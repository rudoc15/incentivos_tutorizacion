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Máster RRHH\TFM\"/>
    </mc:Choice>
  </mc:AlternateContent>
  <xr:revisionPtr revIDLastSave="0" documentId="13_ncr:1_{DA309321-73A4-41CD-86B4-15707834B80F}" xr6:coauthVersionLast="47" xr6:coauthVersionMax="47" xr10:uidLastSave="{00000000-0000-0000-0000-000000000000}"/>
  <bookViews>
    <workbookView xWindow="-108" yWindow="-108" windowWidth="23256" windowHeight="12456" xr2:uid="{EB19C635-F784-40B4-9D60-8F4F8D28344A}"/>
  </bookViews>
  <sheets>
    <sheet name="Nueva Tabla Madre" sheetId="1" r:id="rId1"/>
  </sheets>
  <definedNames>
    <definedName name="_xlnm._FilterDatabase" localSheetId="0" hidden="1">'Nueva Tabla Madre'!#REF!</definedName>
    <definedName name="P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" i="1" l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3" i="1"/>
  <c r="AE4" i="1"/>
  <c r="AE2" i="1"/>
  <c r="I704" i="1"/>
  <c r="AF704" i="1" s="1" a="1"/>
  <c r="N1352" i="1"/>
  <c r="Z3" i="1" l="1"/>
  <c r="Z2" i="1"/>
  <c r="Z4" i="1"/>
  <c r="Z5" i="1"/>
  <c r="Z7" i="1"/>
  <c r="Z6" i="1"/>
  <c r="Z8" i="1"/>
  <c r="Z9" i="1"/>
  <c r="Z10" i="1"/>
  <c r="Z11" i="1"/>
  <c r="Z12" i="1"/>
  <c r="Z13" i="1"/>
  <c r="Z14" i="1"/>
  <c r="Z15" i="1"/>
  <c r="Z16" i="1"/>
  <c r="Z18" i="1"/>
  <c r="Z17" i="1"/>
  <c r="Z20" i="1"/>
  <c r="Z24" i="1"/>
  <c r="Z21" i="1"/>
  <c r="Z23" i="1"/>
  <c r="Z22" i="1"/>
  <c r="Z19" i="1"/>
  <c r="Z25" i="1"/>
  <c r="Z26" i="1"/>
  <c r="Z27" i="1"/>
  <c r="Z28" i="1"/>
  <c r="Z29" i="1"/>
  <c r="Z30" i="1"/>
  <c r="Z32" i="1"/>
  <c r="Z31" i="1"/>
  <c r="Z33" i="1"/>
  <c r="Z34" i="1"/>
  <c r="Z36" i="1"/>
  <c r="Z35" i="1"/>
  <c r="Z37" i="1"/>
  <c r="Z38" i="1"/>
  <c r="Z39" i="1"/>
  <c r="Z40" i="1"/>
  <c r="Z43" i="1"/>
  <c r="Z44" i="1"/>
  <c r="Z45" i="1"/>
  <c r="Z41" i="1"/>
  <c r="Z42" i="1"/>
  <c r="Z46" i="1"/>
  <c r="Z47" i="1"/>
  <c r="Z51" i="1"/>
  <c r="Z50" i="1"/>
  <c r="Z49" i="1"/>
  <c r="Z48" i="1"/>
  <c r="Z52" i="1"/>
  <c r="Z53" i="1"/>
  <c r="Z54" i="1"/>
  <c r="Z55" i="1"/>
  <c r="Z58" i="1"/>
  <c r="Z57" i="1"/>
  <c r="Z56" i="1"/>
  <c r="Z59" i="1"/>
  <c r="Z60" i="1"/>
  <c r="Z63" i="1"/>
  <c r="Z62" i="1"/>
  <c r="Z61" i="1"/>
  <c r="Z67" i="1"/>
  <c r="Z65" i="1"/>
  <c r="Z64" i="1"/>
  <c r="Z68" i="1"/>
  <c r="Z66" i="1"/>
  <c r="Z70" i="1"/>
  <c r="Z69" i="1"/>
  <c r="Z71" i="1"/>
  <c r="Z73" i="1"/>
  <c r="Z72" i="1"/>
  <c r="Z74" i="1"/>
  <c r="Z76" i="1"/>
  <c r="Z78" i="1"/>
  <c r="Z79" i="1"/>
  <c r="Z77" i="1"/>
  <c r="Z75" i="1"/>
  <c r="Z82" i="1"/>
  <c r="Z81" i="1"/>
  <c r="Z80" i="1"/>
  <c r="Z83" i="1"/>
  <c r="Z84" i="1"/>
  <c r="Z87" i="1"/>
  <c r="Z85" i="1"/>
  <c r="Z91" i="1"/>
  <c r="Z90" i="1"/>
  <c r="Z92" i="1"/>
  <c r="Z88" i="1"/>
  <c r="Z86" i="1"/>
  <c r="Z89" i="1"/>
  <c r="Z93" i="1"/>
  <c r="Z94" i="1"/>
  <c r="Z95" i="1"/>
  <c r="Z96" i="1"/>
  <c r="Z97" i="1"/>
  <c r="Z98" i="1"/>
  <c r="Z99" i="1"/>
  <c r="Z100" i="1"/>
  <c r="Z101" i="1"/>
  <c r="Z102" i="1"/>
  <c r="Z104" i="1"/>
  <c r="Z105" i="1"/>
  <c r="Z103" i="1"/>
  <c r="Z106" i="1"/>
  <c r="Z107" i="1"/>
  <c r="Z108" i="1"/>
  <c r="Z109" i="1"/>
  <c r="Z111" i="1"/>
  <c r="Z110" i="1"/>
  <c r="Z112" i="1"/>
  <c r="Z113" i="1"/>
  <c r="Z114" i="1"/>
  <c r="Z115" i="1"/>
  <c r="Z116" i="1"/>
  <c r="Z121" i="1"/>
  <c r="Z117" i="1"/>
  <c r="Z118" i="1"/>
  <c r="Z119" i="1"/>
  <c r="Z120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9" i="1"/>
  <c r="Z164" i="1"/>
  <c r="Z165" i="1"/>
  <c r="Z166" i="1"/>
  <c r="Z168" i="1"/>
  <c r="Z167" i="1"/>
  <c r="Z170" i="1"/>
  <c r="Z175" i="1"/>
  <c r="Z174" i="1"/>
  <c r="Z171" i="1"/>
  <c r="Z172" i="1"/>
  <c r="Z173" i="1"/>
  <c r="Z176" i="1"/>
  <c r="Z177" i="1"/>
  <c r="Z178" i="1"/>
  <c r="Z179" i="1"/>
  <c r="Z180" i="1"/>
  <c r="Z181" i="1"/>
  <c r="Z182" i="1"/>
  <c r="Z183" i="1"/>
  <c r="Z184" i="1"/>
  <c r="Z185" i="1"/>
  <c r="Z187" i="1"/>
  <c r="Z186" i="1"/>
  <c r="Z188" i="1"/>
  <c r="Z189" i="1"/>
  <c r="Z139" i="1"/>
  <c r="Z190" i="1"/>
  <c r="Z191" i="1"/>
  <c r="Z192" i="1"/>
  <c r="Z193" i="1"/>
  <c r="Z194" i="1"/>
  <c r="Z195" i="1"/>
  <c r="Z196" i="1"/>
  <c r="Z199" i="1"/>
  <c r="Z197" i="1"/>
  <c r="Z198" i="1"/>
  <c r="Z201" i="1"/>
  <c r="Z202" i="1"/>
  <c r="Z200" i="1"/>
  <c r="Z203" i="1"/>
  <c r="Z208" i="1"/>
  <c r="Z209" i="1"/>
  <c r="Z204" i="1"/>
  <c r="Z205" i="1"/>
  <c r="Z206" i="1"/>
  <c r="Z207" i="1"/>
  <c r="Z210" i="1"/>
  <c r="Z212" i="1"/>
  <c r="Z211" i="1"/>
  <c r="Z213" i="1"/>
  <c r="Z214" i="1"/>
  <c r="Z215" i="1"/>
  <c r="Z216" i="1"/>
  <c r="Z218" i="1"/>
  <c r="Z217" i="1"/>
  <c r="Z219" i="1"/>
  <c r="Z220" i="1"/>
  <c r="Z221" i="1"/>
  <c r="Z222" i="1"/>
  <c r="Z223" i="1"/>
  <c r="Z224" i="1"/>
  <c r="Z229" i="1"/>
  <c r="Z225" i="1"/>
  <c r="Z226" i="1"/>
  <c r="Z227" i="1"/>
  <c r="Z228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6" i="1"/>
  <c r="Z245" i="1"/>
  <c r="Z247" i="1"/>
  <c r="Z248" i="1"/>
  <c r="Z249" i="1"/>
  <c r="Z250" i="1"/>
  <c r="Z251" i="1"/>
  <c r="Z253" i="1"/>
  <c r="Z258" i="1"/>
  <c r="Z259" i="1"/>
  <c r="Z260" i="1"/>
  <c r="Z254" i="1"/>
  <c r="Z255" i="1"/>
  <c r="Z256" i="1"/>
  <c r="Z252" i="1"/>
  <c r="Z261" i="1"/>
  <c r="Z257" i="1"/>
  <c r="Z264" i="1"/>
  <c r="Z262" i="1"/>
  <c r="Z263" i="1"/>
  <c r="Z378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80" i="1"/>
  <c r="Z279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4" i="1"/>
  <c r="Z301" i="1"/>
  <c r="Z302" i="1"/>
  <c r="Z303" i="1"/>
  <c r="Z305" i="1"/>
  <c r="Z306" i="1"/>
  <c r="Z307" i="1"/>
  <c r="Z308" i="1"/>
  <c r="Z310" i="1"/>
  <c r="Z309" i="1"/>
  <c r="Z311" i="1"/>
  <c r="Z316" i="1"/>
  <c r="Z312" i="1"/>
  <c r="Z313" i="1"/>
  <c r="Z314" i="1"/>
  <c r="Z315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8" i="1"/>
  <c r="Z337" i="1"/>
  <c r="Z339" i="1"/>
  <c r="Z340" i="1"/>
  <c r="Z341" i="1"/>
  <c r="Z343" i="1"/>
  <c r="Z342" i="1"/>
  <c r="Z344" i="1"/>
  <c r="Z345" i="1"/>
  <c r="Z346" i="1"/>
  <c r="Z347" i="1"/>
  <c r="Z348" i="1"/>
  <c r="Z349" i="1"/>
  <c r="Z350" i="1"/>
  <c r="Z356" i="1"/>
  <c r="Z351" i="1"/>
  <c r="Z352" i="1"/>
  <c r="Z353" i="1"/>
  <c r="Z354" i="1"/>
  <c r="Z355" i="1"/>
  <c r="Z357" i="1"/>
  <c r="Z358" i="1"/>
  <c r="Z359" i="1"/>
  <c r="Z360" i="1"/>
  <c r="Z361" i="1"/>
  <c r="Z362" i="1"/>
  <c r="Z367" i="1"/>
  <c r="Z363" i="1"/>
  <c r="Z364" i="1"/>
  <c r="Z365" i="1"/>
  <c r="Z366" i="1"/>
  <c r="Z368" i="1"/>
  <c r="Z369" i="1"/>
  <c r="Z370" i="1"/>
  <c r="Z371" i="1"/>
  <c r="Z372" i="1"/>
  <c r="Z373" i="1"/>
  <c r="Z375" i="1"/>
  <c r="Z374" i="1"/>
  <c r="Z376" i="1"/>
  <c r="Z377" i="1"/>
  <c r="Z379" i="1"/>
  <c r="Z380" i="1"/>
  <c r="Z381" i="1"/>
  <c r="Z383" i="1"/>
  <c r="Z382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1" i="1"/>
  <c r="Z412" i="1"/>
  <c r="Z410" i="1"/>
  <c r="Z413" i="1"/>
  <c r="Z414" i="1"/>
  <c r="Z416" i="1"/>
  <c r="Z417" i="1"/>
  <c r="Z415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43" i="1"/>
  <c r="Z438" i="1"/>
  <c r="Z439" i="1"/>
  <c r="Z440" i="1"/>
  <c r="Z441" i="1"/>
  <c r="Z442" i="1"/>
  <c r="Z444" i="1"/>
  <c r="Z445" i="1"/>
  <c r="Z446" i="1"/>
  <c r="Z451" i="1"/>
  <c r="Z447" i="1"/>
  <c r="Z448" i="1"/>
  <c r="Z449" i="1"/>
  <c r="Z450" i="1"/>
  <c r="Z452" i="1"/>
  <c r="Z453" i="1"/>
  <c r="Z454" i="1"/>
  <c r="Z457" i="1"/>
  <c r="Z455" i="1"/>
  <c r="Z456" i="1"/>
  <c r="Z458" i="1"/>
  <c r="Z459" i="1"/>
  <c r="Z460" i="1"/>
  <c r="Z462" i="1"/>
  <c r="Z461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5" i="1"/>
  <c r="Z486" i="1"/>
  <c r="Z483" i="1"/>
  <c r="Z484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501" i="1"/>
  <c r="Z499" i="1"/>
  <c r="Z500" i="1"/>
  <c r="Z502" i="1"/>
  <c r="Z504" i="1"/>
  <c r="Z503" i="1"/>
  <c r="Z506" i="1"/>
  <c r="Z505" i="1"/>
  <c r="Z507" i="1"/>
  <c r="Z508" i="1"/>
  <c r="Z509" i="1"/>
  <c r="Z510" i="1"/>
  <c r="Z511" i="1"/>
  <c r="Z512" i="1"/>
  <c r="Z513" i="1"/>
  <c r="Z514" i="1"/>
  <c r="Z515" i="1"/>
  <c r="Z516" i="1"/>
  <c r="Z517" i="1"/>
  <c r="Z522" i="1"/>
  <c r="Z519" i="1"/>
  <c r="Z520" i="1"/>
  <c r="Z523" i="1"/>
  <c r="Z521" i="1"/>
  <c r="Z518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2" i="1"/>
  <c r="Z561" i="1"/>
  <c r="Z563" i="1"/>
  <c r="Z564" i="1"/>
  <c r="Z565" i="1"/>
  <c r="Z566" i="1"/>
  <c r="Z567" i="1"/>
  <c r="Z568" i="1"/>
  <c r="Z569" i="1"/>
  <c r="Z570" i="1"/>
  <c r="Z571" i="1"/>
  <c r="Z572" i="1"/>
  <c r="Z574" i="1"/>
  <c r="Z575" i="1"/>
  <c r="Z583" i="1"/>
  <c r="Z576" i="1"/>
  <c r="Z577" i="1"/>
  <c r="Z578" i="1"/>
  <c r="Z579" i="1"/>
  <c r="Z580" i="1"/>
  <c r="Z581" i="1"/>
  <c r="Z573" i="1"/>
  <c r="Z582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3" i="1"/>
  <c r="Z601" i="1"/>
  <c r="Z602" i="1"/>
  <c r="Z604" i="1"/>
  <c r="Z607" i="1"/>
  <c r="Z605" i="1"/>
  <c r="Z608" i="1"/>
  <c r="Z606" i="1"/>
  <c r="Z609" i="1"/>
  <c r="Z610" i="1"/>
  <c r="Z611" i="1"/>
  <c r="Z612" i="1"/>
  <c r="Z613" i="1"/>
  <c r="Z615" i="1"/>
  <c r="Z616" i="1"/>
  <c r="Z614" i="1"/>
  <c r="Z617" i="1"/>
  <c r="Z619" i="1"/>
  <c r="Z618" i="1"/>
  <c r="Z621" i="1"/>
  <c r="Z620" i="1"/>
  <c r="Z622" i="1"/>
  <c r="Z623" i="1"/>
  <c r="Z624" i="1"/>
  <c r="Z625" i="1"/>
  <c r="Z626" i="1"/>
  <c r="Z629" i="1"/>
  <c r="Z627" i="1"/>
  <c r="Z628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5" i="1"/>
  <c r="Z644" i="1"/>
  <c r="Z646" i="1"/>
  <c r="Z647" i="1"/>
  <c r="Z648" i="1"/>
  <c r="Z649" i="1"/>
  <c r="Z651" i="1"/>
  <c r="Z650" i="1"/>
  <c r="Z652" i="1"/>
  <c r="Z653" i="1"/>
  <c r="Z654" i="1"/>
  <c r="Z655" i="1"/>
  <c r="Z656" i="1"/>
  <c r="Z657" i="1"/>
  <c r="Z658" i="1"/>
  <c r="Z659" i="1"/>
  <c r="Z660" i="1"/>
  <c r="Z661" i="1"/>
  <c r="Z663" i="1"/>
  <c r="Z662" i="1"/>
  <c r="Z664" i="1"/>
  <c r="Z665" i="1"/>
  <c r="Z667" i="1"/>
  <c r="Z668" i="1"/>
  <c r="Z666" i="1"/>
  <c r="Z669" i="1"/>
  <c r="Z670" i="1"/>
  <c r="Z671" i="1"/>
  <c r="Z672" i="1"/>
  <c r="Z673" i="1"/>
  <c r="Z674" i="1"/>
  <c r="Z675" i="1"/>
  <c r="Z677" i="1"/>
  <c r="Z676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700" i="1"/>
  <c r="Z699" i="1"/>
  <c r="Z701" i="1"/>
  <c r="Z698" i="1"/>
  <c r="Z703" i="1"/>
  <c r="Z705" i="1"/>
  <c r="Z704" i="1"/>
  <c r="Z702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2" i="1"/>
  <c r="Z733" i="1"/>
  <c r="Z734" i="1"/>
  <c r="Z731" i="1"/>
  <c r="Z730" i="1"/>
  <c r="Z735" i="1"/>
  <c r="Z737" i="1"/>
  <c r="Z738" i="1"/>
  <c r="Z736" i="1"/>
  <c r="Z739" i="1"/>
  <c r="Z740" i="1"/>
  <c r="Z741" i="1"/>
  <c r="Z742" i="1"/>
  <c r="Z743" i="1"/>
  <c r="Z744" i="1"/>
  <c r="Z746" i="1"/>
  <c r="Z745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6" i="1"/>
  <c r="Z765" i="1"/>
  <c r="Z767" i="1"/>
  <c r="Z768" i="1"/>
  <c r="Z769" i="1"/>
  <c r="Z770" i="1"/>
  <c r="Z771" i="1"/>
  <c r="Z772" i="1"/>
  <c r="Z773" i="1"/>
  <c r="Z774" i="1"/>
  <c r="Z775" i="1"/>
  <c r="Z776" i="1"/>
  <c r="Z778" i="1"/>
  <c r="Z777" i="1"/>
  <c r="Z780" i="1"/>
  <c r="Z779" i="1"/>
  <c r="Z781" i="1"/>
  <c r="Z782" i="1"/>
  <c r="Z784" i="1"/>
  <c r="Z783" i="1"/>
  <c r="Z785" i="1"/>
  <c r="Z786" i="1"/>
  <c r="Z788" i="1"/>
  <c r="Z787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10" i="1"/>
  <c r="Z809" i="1"/>
  <c r="Z811" i="1"/>
  <c r="Z812" i="1"/>
  <c r="Z813" i="1"/>
  <c r="Z814" i="1"/>
  <c r="Z815" i="1"/>
  <c r="Z817" i="1"/>
  <c r="Z816" i="1"/>
  <c r="Z818" i="1"/>
  <c r="Z820" i="1"/>
  <c r="Z819" i="1"/>
  <c r="Z821" i="1"/>
  <c r="Z822" i="1"/>
  <c r="Z823" i="1"/>
  <c r="Z824" i="1"/>
  <c r="Z826" i="1"/>
  <c r="Z825" i="1"/>
  <c r="Z827" i="1"/>
  <c r="Z828" i="1"/>
  <c r="Z830" i="1"/>
  <c r="Z829" i="1"/>
  <c r="Z831" i="1"/>
  <c r="Z833" i="1"/>
  <c r="Z832" i="1"/>
  <c r="Z834" i="1"/>
  <c r="Z835" i="1"/>
  <c r="Z836" i="1"/>
  <c r="Z837" i="1"/>
  <c r="Z838" i="1"/>
  <c r="Z839" i="1"/>
  <c r="Z840" i="1"/>
  <c r="Z842" i="1"/>
  <c r="Z841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6" i="1"/>
  <c r="Z857" i="1"/>
  <c r="Z858" i="1"/>
  <c r="Z859" i="1"/>
  <c r="Z855" i="1"/>
  <c r="Z860" i="1"/>
  <c r="Z861" i="1"/>
  <c r="Z862" i="1"/>
  <c r="Z863" i="1"/>
  <c r="Z864" i="1"/>
  <c r="Z866" i="1"/>
  <c r="Z867" i="1"/>
  <c r="Z868" i="1"/>
  <c r="Z865" i="1"/>
  <c r="Z869" i="1"/>
  <c r="Z870" i="1"/>
  <c r="Z871" i="1"/>
  <c r="Z872" i="1"/>
  <c r="Z873" i="1"/>
  <c r="Z874" i="1"/>
  <c r="Z876" i="1"/>
  <c r="Z875" i="1"/>
  <c r="Z877" i="1"/>
  <c r="Z879" i="1"/>
  <c r="Z878" i="1"/>
  <c r="Z882" i="1"/>
  <c r="Z880" i="1"/>
  <c r="Z881" i="1"/>
  <c r="Z883" i="1"/>
  <c r="Z884" i="1"/>
  <c r="Z885" i="1"/>
  <c r="Z886" i="1"/>
  <c r="Z887" i="1"/>
  <c r="Z888" i="1"/>
  <c r="Z892" i="1"/>
  <c r="Z890" i="1"/>
  <c r="Z894" i="1"/>
  <c r="Z891" i="1"/>
  <c r="Z895" i="1"/>
  <c r="Z893" i="1"/>
  <c r="Z889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10" i="1"/>
  <c r="Z909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1" i="1"/>
  <c r="Z980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6" i="1"/>
  <c r="Z995" i="1"/>
  <c r="Z997" i="1"/>
  <c r="Z998" i="1"/>
  <c r="Z999" i="1"/>
  <c r="Z1001" i="1"/>
  <c r="Z1003" i="1"/>
  <c r="Z1004" i="1"/>
  <c r="Z1000" i="1"/>
  <c r="Z1002" i="1"/>
  <c r="Z1005" i="1"/>
  <c r="Z1008" i="1"/>
  <c r="Z1007" i="1"/>
  <c r="Z1009" i="1"/>
  <c r="Z1006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8" i="1"/>
  <c r="Z1027" i="1"/>
  <c r="Z1030" i="1"/>
  <c r="Z1029" i="1"/>
  <c r="Z1031" i="1"/>
  <c r="Z1032" i="1"/>
  <c r="Z1033" i="1"/>
  <c r="Z1036" i="1"/>
  <c r="Z1034" i="1"/>
  <c r="Z1037" i="1"/>
  <c r="Z1035" i="1"/>
  <c r="Z1039" i="1"/>
  <c r="Z1038" i="1"/>
  <c r="Z1040" i="1"/>
  <c r="Z1045" i="1"/>
  <c r="Z1046" i="1"/>
  <c r="Z1042" i="1"/>
  <c r="Z1041" i="1"/>
  <c r="Z1043" i="1"/>
  <c r="Z1044" i="1"/>
  <c r="Z1050" i="1"/>
  <c r="Z1051" i="1"/>
  <c r="Z1049" i="1"/>
  <c r="Z1047" i="1"/>
  <c r="Z1048" i="1"/>
  <c r="Z1052" i="1"/>
  <c r="Z1053" i="1"/>
  <c r="Z1054" i="1"/>
  <c r="Z1055" i="1"/>
  <c r="Z1059" i="1"/>
  <c r="Z1058" i="1"/>
  <c r="Z1057" i="1"/>
  <c r="Z1056" i="1"/>
  <c r="Z1062" i="1"/>
  <c r="Z1060" i="1"/>
  <c r="Z1063" i="1"/>
  <c r="Z1061" i="1"/>
  <c r="Z1065" i="1"/>
  <c r="Z1064" i="1"/>
  <c r="Z1066" i="1"/>
  <c r="Z1069" i="1"/>
  <c r="Z1067" i="1"/>
  <c r="Z1068" i="1"/>
  <c r="Z1070" i="1"/>
  <c r="Z1072" i="1"/>
  <c r="Z1071" i="1"/>
  <c r="Z1073" i="1"/>
  <c r="Z1074" i="1"/>
  <c r="Z1075" i="1"/>
  <c r="Z1079" i="1"/>
  <c r="Z1080" i="1"/>
  <c r="Z1078" i="1"/>
  <c r="Z1076" i="1"/>
  <c r="Z1077" i="1"/>
  <c r="Z1084" i="1"/>
  <c r="Z1085" i="1"/>
  <c r="Z1086" i="1"/>
  <c r="Z1087" i="1"/>
  <c r="Z1082" i="1"/>
  <c r="Z1083" i="1"/>
  <c r="Z1081" i="1"/>
  <c r="Z1088" i="1"/>
  <c r="Z1089" i="1"/>
  <c r="Z1093" i="1"/>
  <c r="Z1090" i="1"/>
  <c r="Z1092" i="1"/>
  <c r="Z1091" i="1"/>
  <c r="Z1094" i="1"/>
  <c r="Z1095" i="1"/>
  <c r="Z1097" i="1"/>
  <c r="Z1096" i="1"/>
  <c r="Z1098" i="1"/>
  <c r="Z1101" i="1"/>
  <c r="Z1100" i="1"/>
  <c r="Z1099" i="1"/>
  <c r="Z1102" i="1"/>
  <c r="Z1103" i="1"/>
  <c r="Z1104" i="1"/>
  <c r="Z1105" i="1"/>
  <c r="Z1106" i="1"/>
  <c r="Z1109" i="1"/>
  <c r="Z1110" i="1"/>
  <c r="Z1108" i="1"/>
  <c r="Z1111" i="1"/>
  <c r="Z1107" i="1"/>
  <c r="Z1112" i="1"/>
  <c r="Z1113" i="1"/>
  <c r="Z1114" i="1"/>
  <c r="Z1115" i="1"/>
  <c r="Z1116" i="1"/>
  <c r="Z1117" i="1"/>
  <c r="Z1118" i="1"/>
  <c r="Z1129" i="1"/>
  <c r="Z1128" i="1"/>
  <c r="Z1124" i="1"/>
  <c r="Z1126" i="1"/>
  <c r="Z1122" i="1"/>
  <c r="Z1120" i="1"/>
  <c r="Z1125" i="1"/>
  <c r="Z1130" i="1"/>
  <c r="Z1127" i="1"/>
  <c r="Z1123" i="1"/>
  <c r="Z1121" i="1"/>
  <c r="Z1119" i="1"/>
  <c r="Z1131" i="1"/>
  <c r="Z1133" i="1"/>
  <c r="Z1132" i="1"/>
  <c r="Z1134" i="1"/>
  <c r="Z1135" i="1"/>
  <c r="Z1138" i="1"/>
  <c r="Z1139" i="1"/>
  <c r="Z1137" i="1"/>
  <c r="Z1136" i="1"/>
  <c r="Z1140" i="1"/>
  <c r="Z1141" i="1"/>
  <c r="Z1142" i="1"/>
  <c r="Z1145" i="1"/>
  <c r="Z1143" i="1"/>
  <c r="Z1144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5" i="1"/>
  <c r="Z1313" i="1"/>
  <c r="Z1316" i="1"/>
  <c r="Z1317" i="1"/>
  <c r="Z1314" i="1"/>
  <c r="Z1318" i="1"/>
  <c r="Z1319" i="1"/>
  <c r="Z1320" i="1"/>
  <c r="Z1321" i="1"/>
  <c r="Z1322" i="1"/>
  <c r="Z1326" i="1"/>
  <c r="Z1324" i="1"/>
  <c r="Z1325" i="1"/>
  <c r="Z1352" i="1"/>
  <c r="Z1327" i="1"/>
  <c r="Z1323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4" i="1"/>
  <c r="Z1342" i="1"/>
  <c r="Z1345" i="1"/>
  <c r="Z1343" i="1"/>
  <c r="Z1346" i="1"/>
  <c r="Z1347" i="1"/>
  <c r="Z1348" i="1"/>
  <c r="Z1349" i="1"/>
  <c r="Z1350" i="1"/>
  <c r="Z1351" i="1"/>
  <c r="Z1328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8" i="1"/>
  <c r="Z1367" i="1"/>
  <c r="Z1369" i="1"/>
  <c r="Z1370" i="1"/>
  <c r="Z1372" i="1"/>
  <c r="Z1371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9" i="1"/>
  <c r="Z1387" i="1"/>
  <c r="Z1388" i="1"/>
  <c r="Z1390" i="1"/>
  <c r="Z1391" i="1"/>
  <c r="Z1392" i="1"/>
  <c r="Z1393" i="1"/>
  <c r="Z1394" i="1"/>
  <c r="Z1395" i="1"/>
  <c r="Z1396" i="1"/>
  <c r="Z1397" i="1"/>
  <c r="Z1398" i="1"/>
  <c r="Z1399" i="1"/>
  <c r="Z1400" i="1"/>
  <c r="Z1402" i="1"/>
  <c r="Z1403" i="1"/>
  <c r="Z1404" i="1"/>
  <c r="Z1405" i="1"/>
  <c r="Z1406" i="1"/>
  <c r="Z1401" i="1"/>
  <c r="Z1407" i="1"/>
  <c r="Z1408" i="1"/>
  <c r="Z1409" i="1"/>
  <c r="Z1410" i="1"/>
  <c r="Z1411" i="1"/>
  <c r="Z1412" i="1"/>
  <c r="Z1413" i="1"/>
  <c r="Z1414" i="1"/>
  <c r="Z1415" i="1"/>
  <c r="Z1416" i="1"/>
  <c r="Z1424" i="1"/>
  <c r="Z1420" i="1"/>
  <c r="Z1425" i="1"/>
  <c r="Z1417" i="1"/>
  <c r="Z1421" i="1"/>
  <c r="Z1418" i="1"/>
  <c r="Z1422" i="1"/>
  <c r="Z1419" i="1"/>
  <c r="Z1423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5" i="1"/>
  <c r="Z1456" i="1"/>
  <c r="Z1454" i="1"/>
  <c r="Z1457" i="1"/>
  <c r="Z1458" i="1"/>
  <c r="Z1459" i="1"/>
  <c r="Z1460" i="1"/>
  <c r="Z1461" i="1"/>
  <c r="Z1462" i="1"/>
  <c r="Z1464" i="1"/>
  <c r="Z1465" i="1"/>
  <c r="Z1463" i="1"/>
  <c r="Z1466" i="1"/>
  <c r="Z1467" i="1"/>
  <c r="Z1468" i="1"/>
  <c r="Z1469" i="1"/>
  <c r="Z1470" i="1"/>
  <c r="Z1471" i="1"/>
  <c r="Z1472" i="1"/>
  <c r="Z1473" i="1"/>
  <c r="Z1474" i="1"/>
  <c r="Z1475" i="1"/>
  <c r="Z1477" i="1"/>
  <c r="Z1478" i="1"/>
  <c r="Z1479" i="1"/>
  <c r="Z1476" i="1"/>
  <c r="Z1480" i="1"/>
  <c r="Z1481" i="1"/>
  <c r="Z1482" i="1"/>
  <c r="Z1484" i="1"/>
  <c r="Z1483" i="1"/>
  <c r="Z1485" i="1"/>
  <c r="Z1486" i="1"/>
  <c r="Z1487" i="1"/>
  <c r="Z1488" i="1"/>
  <c r="Z1489" i="1"/>
  <c r="Z1496" i="1"/>
  <c r="Z1490" i="1"/>
  <c r="Z1491" i="1"/>
  <c r="Z1492" i="1"/>
  <c r="Z1493" i="1"/>
  <c r="Z1497" i="1"/>
  <c r="Z1494" i="1"/>
  <c r="Z1495" i="1"/>
  <c r="Z1498" i="1"/>
  <c r="Z1499" i="1"/>
  <c r="Z1500" i="1"/>
  <c r="Z1501" i="1"/>
  <c r="Z1502" i="1"/>
  <c r="Z1503" i="1"/>
  <c r="Z1504" i="1"/>
  <c r="Z1505" i="1"/>
  <c r="Z1506" i="1"/>
  <c r="Z1509" i="1"/>
  <c r="Z1507" i="1"/>
  <c r="Z1508" i="1"/>
  <c r="Z1510" i="1"/>
  <c r="Z1511" i="1"/>
  <c r="Z1512" i="1"/>
  <c r="Z1513" i="1"/>
  <c r="Z1514" i="1"/>
  <c r="Z1515" i="1"/>
  <c r="Z1516" i="1"/>
  <c r="Z1517" i="1"/>
  <c r="Z1518" i="1"/>
  <c r="Z1519" i="1"/>
  <c r="Z1526" i="1"/>
  <c r="Z1527" i="1"/>
  <c r="Z1528" i="1"/>
  <c r="Z1520" i="1"/>
  <c r="Z1521" i="1"/>
  <c r="Z1522" i="1"/>
  <c r="Z1523" i="1"/>
  <c r="Z1524" i="1"/>
  <c r="Z1525" i="1"/>
  <c r="Z1529" i="1"/>
  <c r="Z1530" i="1"/>
  <c r="Z1531" i="1"/>
  <c r="Z1532" i="1"/>
  <c r="Z1533" i="1"/>
  <c r="Z1535" i="1"/>
  <c r="Z1534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3" i="1"/>
  <c r="Z1554" i="1"/>
  <c r="Z1551" i="1"/>
  <c r="Z1555" i="1"/>
  <c r="Z1552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72" i="1"/>
  <c r="Z1569" i="1"/>
  <c r="Z1570" i="1"/>
  <c r="Z1571" i="1"/>
  <c r="Z1573" i="1"/>
  <c r="Z1574" i="1"/>
  <c r="Z1576" i="1"/>
  <c r="Z1577" i="1"/>
  <c r="Z1578" i="1"/>
  <c r="Z1579" i="1"/>
  <c r="Z1580" i="1"/>
  <c r="Z1575" i="1"/>
  <c r="Z1581" i="1"/>
  <c r="Z1583" i="1"/>
  <c r="Z1582" i="1"/>
  <c r="Z1584" i="1"/>
  <c r="Z1587" i="1"/>
  <c r="Z1585" i="1"/>
  <c r="Z1586" i="1"/>
  <c r="Z1588" i="1"/>
  <c r="Z1591" i="1"/>
  <c r="Z1589" i="1"/>
  <c r="Z1590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1" i="1"/>
  <c r="Z1640" i="1"/>
  <c r="Z1642" i="1"/>
  <c r="Z1643" i="1"/>
  <c r="Z1644" i="1"/>
  <c r="Z1645" i="1"/>
  <c r="Z1646" i="1"/>
  <c r="Z1647" i="1"/>
  <c r="Z1648" i="1"/>
  <c r="Z1649" i="1"/>
  <c r="Z1651" i="1"/>
  <c r="Z1650" i="1"/>
  <c r="Z1652" i="1"/>
  <c r="Z1653" i="1"/>
  <c r="Z1654" i="1"/>
  <c r="Z1655" i="1"/>
  <c r="Z1656" i="1"/>
  <c r="Z1657" i="1"/>
  <c r="Z1659" i="1"/>
  <c r="Z1660" i="1"/>
  <c r="Z1661" i="1"/>
  <c r="Z1658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7" i="1"/>
  <c r="Z1688" i="1"/>
  <c r="Z1686" i="1"/>
  <c r="Z1689" i="1"/>
  <c r="Z1690" i="1"/>
  <c r="Z1691" i="1"/>
  <c r="Z1685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5" i="1"/>
  <c r="Z1714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3" i="1"/>
  <c r="Z1732" i="1"/>
  <c r="Z1734" i="1"/>
  <c r="Z1735" i="1"/>
  <c r="Z1736" i="1"/>
  <c r="Z1737" i="1"/>
  <c r="Z1738" i="1"/>
  <c r="Z1739" i="1"/>
  <c r="Z1741" i="1"/>
  <c r="Z1742" i="1"/>
  <c r="Z1740" i="1"/>
  <c r="Z1743" i="1"/>
  <c r="Z1744" i="1"/>
  <c r="Z1745" i="1"/>
  <c r="Z1746" i="1"/>
  <c r="Z1747" i="1"/>
  <c r="Z1748" i="1"/>
  <c r="Z1749" i="1"/>
  <c r="Z1750" i="1"/>
  <c r="Z1752" i="1"/>
  <c r="Z1753" i="1"/>
  <c r="Z1754" i="1"/>
  <c r="Z1751" i="1"/>
  <c r="Z1755" i="1"/>
  <c r="Z1756" i="1"/>
  <c r="Z1757" i="1"/>
  <c r="Z1761" i="1"/>
  <c r="Z1762" i="1"/>
  <c r="Z1759" i="1"/>
  <c r="Z1758" i="1"/>
  <c r="Z1760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86" i="1"/>
  <c r="Z1777" i="1"/>
  <c r="Z1778" i="1"/>
  <c r="Z1779" i="1"/>
  <c r="Z1780" i="1"/>
  <c r="Z1781" i="1"/>
  <c r="Z1782" i="1"/>
  <c r="Z1783" i="1"/>
  <c r="Z1784" i="1"/>
  <c r="Z1785" i="1"/>
  <c r="Z1788" i="1"/>
  <c r="Z1790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789" i="1"/>
  <c r="Z1804" i="1"/>
  <c r="Z1805" i="1"/>
  <c r="Z1806" i="1"/>
  <c r="Z1791" i="1"/>
  <c r="Z1807" i="1"/>
  <c r="Z1787" i="1"/>
  <c r="Z1808" i="1"/>
  <c r="Z1809" i="1"/>
  <c r="Z1810" i="1"/>
  <c r="Z1812" i="1"/>
  <c r="Z1813" i="1"/>
  <c r="Z1814" i="1"/>
  <c r="Z1815" i="1"/>
  <c r="Z1816" i="1"/>
  <c r="Z1817" i="1"/>
  <c r="Z1818" i="1"/>
  <c r="Z1811" i="1"/>
  <c r="Z1819" i="1"/>
  <c r="Z1820" i="1"/>
  <c r="Z1823" i="1"/>
  <c r="Z1824" i="1"/>
  <c r="Z1821" i="1"/>
  <c r="Z1822" i="1"/>
  <c r="Z1825" i="1"/>
  <c r="Z1826" i="1"/>
  <c r="Z1831" i="1"/>
  <c r="Z1832" i="1"/>
  <c r="Z1827" i="1"/>
  <c r="Z1828" i="1"/>
  <c r="Z1829" i="1"/>
  <c r="Z1830" i="1"/>
  <c r="Z1833" i="1"/>
  <c r="Z1834" i="1"/>
  <c r="Z1835" i="1"/>
  <c r="Z1836" i="1"/>
  <c r="Z1838" i="1"/>
  <c r="Z1837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7" i="1"/>
  <c r="Z1856" i="1"/>
  <c r="Z1858" i="1"/>
  <c r="Z1860" i="1"/>
  <c r="Z1861" i="1"/>
  <c r="Z1862" i="1"/>
  <c r="Z1859" i="1"/>
  <c r="Z1863" i="1"/>
  <c r="Z1864" i="1"/>
  <c r="Z1865" i="1"/>
  <c r="Z1866" i="1"/>
  <c r="Z1867" i="1"/>
  <c r="Z1868" i="1"/>
  <c r="Z1869" i="1"/>
  <c r="Z1870" i="1"/>
  <c r="Z1871" i="1"/>
  <c r="Z1872" i="1"/>
  <c r="Z1875" i="1"/>
  <c r="Z1873" i="1"/>
  <c r="Z1880" i="1"/>
  <c r="Z1877" i="1"/>
  <c r="Z1874" i="1"/>
  <c r="Z1876" i="1"/>
  <c r="Z1878" i="1"/>
  <c r="Z1879" i="1"/>
  <c r="Z1881" i="1"/>
  <c r="Z1883" i="1"/>
  <c r="Z1884" i="1"/>
  <c r="Z1882" i="1"/>
  <c r="Z1885" i="1"/>
  <c r="Z1886" i="1"/>
  <c r="Z1887" i="1"/>
  <c r="Z1888" i="1"/>
  <c r="Z1889" i="1"/>
  <c r="Z1894" i="1"/>
  <c r="Z1899" i="1"/>
  <c r="Z1893" i="1"/>
  <c r="Z1892" i="1"/>
  <c r="Z1896" i="1"/>
  <c r="Z1895" i="1"/>
  <c r="Z1891" i="1"/>
  <c r="Z1890" i="1"/>
  <c r="Z1898" i="1"/>
  <c r="Z1900" i="1"/>
  <c r="Z1897" i="1"/>
  <c r="Z1903" i="1"/>
  <c r="Z1902" i="1"/>
  <c r="Z1901" i="1"/>
  <c r="Z1910" i="1"/>
  <c r="Z1911" i="1"/>
  <c r="Z1904" i="1"/>
  <c r="Z1906" i="1"/>
  <c r="Z1909" i="1"/>
  <c r="Z1908" i="1"/>
  <c r="Z1907" i="1"/>
  <c r="Z1905" i="1"/>
  <c r="Z1915" i="1"/>
  <c r="Z1919" i="1"/>
  <c r="Z1912" i="1"/>
  <c r="Z1921" i="1"/>
  <c r="Z1913" i="1"/>
  <c r="Z1917" i="1"/>
  <c r="Z1914" i="1"/>
  <c r="Z1918" i="1"/>
  <c r="Z1920" i="1"/>
  <c r="Z1916" i="1"/>
  <c r="Z1922" i="1"/>
  <c r="Z1924" i="1"/>
  <c r="Z1927" i="1"/>
  <c r="Z1928" i="1"/>
  <c r="Z1929" i="1"/>
  <c r="Z1923" i="1"/>
  <c r="Z1926" i="1"/>
  <c r="Z1925" i="1"/>
  <c r="Z1930" i="1"/>
  <c r="Z1931" i="1"/>
  <c r="Z1933" i="1"/>
  <c r="Z1932" i="1"/>
  <c r="Z1934" i="1"/>
  <c r="Z1935" i="1"/>
  <c r="Z1936" i="1"/>
  <c r="Z1937" i="1"/>
  <c r="Z1944" i="1"/>
  <c r="Z1943" i="1"/>
  <c r="Z1940" i="1"/>
  <c r="Z1938" i="1"/>
  <c r="Z1939" i="1"/>
  <c r="Z1942" i="1"/>
  <c r="Z1941" i="1"/>
  <c r="Z1946" i="1"/>
  <c r="Z1945" i="1"/>
  <c r="Z1947" i="1"/>
  <c r="Z1949" i="1"/>
  <c r="Z1948" i="1"/>
  <c r="Z1956" i="1"/>
  <c r="Z1951" i="1"/>
  <c r="Z1952" i="1"/>
  <c r="Z1953" i="1"/>
  <c r="Z1957" i="1"/>
  <c r="Z1958" i="1"/>
  <c r="Z1959" i="1"/>
  <c r="Z1954" i="1"/>
  <c r="Z1955" i="1"/>
  <c r="Z1950" i="1"/>
  <c r="Z1960" i="1"/>
  <c r="Z1961" i="1"/>
  <c r="Z1962" i="1"/>
  <c r="Z1965" i="1"/>
  <c r="Z1964" i="1"/>
  <c r="Z1963" i="1"/>
  <c r="Z1966" i="1"/>
  <c r="Z1967" i="1"/>
  <c r="Z1969" i="1"/>
  <c r="Z1970" i="1"/>
  <c r="Z1968" i="1"/>
  <c r="Z1971" i="1"/>
  <c r="Z1972" i="1"/>
  <c r="Z1973" i="1"/>
  <c r="Z1974" i="1"/>
  <c r="Z1975" i="1"/>
  <c r="Z1976" i="1"/>
  <c r="Z1977" i="1"/>
  <c r="Z1978" i="1"/>
  <c r="Z1980" i="1"/>
  <c r="Z1979" i="1"/>
  <c r="Z1981" i="1"/>
  <c r="Z1982" i="1"/>
  <c r="Z1987" i="1"/>
  <c r="Z1984" i="1"/>
  <c r="Z1988" i="1"/>
  <c r="Z1986" i="1"/>
  <c r="Z1989" i="1"/>
  <c r="Z1983" i="1"/>
  <c r="Z1990" i="1"/>
  <c r="Z1991" i="1"/>
  <c r="Z1994" i="1"/>
  <c r="Z1995" i="1"/>
  <c r="Z1992" i="1"/>
  <c r="Z1993" i="1"/>
  <c r="Z1996" i="1"/>
  <c r="Z1997" i="1"/>
  <c r="Z2001" i="1"/>
  <c r="Z2000" i="1"/>
  <c r="Z1999" i="1"/>
  <c r="Z1998" i="1"/>
  <c r="Z2004" i="1"/>
  <c r="Z2002" i="1"/>
  <c r="Z2003" i="1"/>
  <c r="Z2006" i="1"/>
  <c r="Z2005" i="1"/>
  <c r="Z2008" i="1"/>
  <c r="Z2011" i="1"/>
  <c r="Z2012" i="1"/>
  <c r="Z2014" i="1"/>
  <c r="Z2013" i="1"/>
  <c r="Z2009" i="1"/>
  <c r="Z2010" i="1"/>
  <c r="Z2015" i="1"/>
  <c r="Z2007" i="1"/>
  <c r="Z2016" i="1"/>
  <c r="Z2019" i="1"/>
  <c r="Z2017" i="1"/>
  <c r="Z2018" i="1"/>
  <c r="Z2020" i="1"/>
  <c r="Z2021" i="1"/>
  <c r="Z2022" i="1"/>
  <c r="Z2023" i="1"/>
  <c r="Z2024" i="1"/>
  <c r="Z2025" i="1"/>
  <c r="Z2026" i="1"/>
  <c r="Z2029" i="1"/>
  <c r="Z2028" i="1"/>
  <c r="Z2027" i="1"/>
  <c r="Z2032" i="1"/>
  <c r="Z2030" i="1"/>
  <c r="Z2031" i="1"/>
  <c r="Z2034" i="1"/>
  <c r="Z2035" i="1"/>
  <c r="Z2036" i="1"/>
  <c r="Z2037" i="1"/>
  <c r="Z2038" i="1"/>
  <c r="Z2039" i="1"/>
  <c r="Z2040" i="1"/>
  <c r="Z2041" i="1"/>
  <c r="Z2042" i="1"/>
  <c r="Z2043" i="1"/>
  <c r="Z2048" i="1"/>
  <c r="Z2046" i="1"/>
  <c r="Z2047" i="1"/>
  <c r="Z2049" i="1"/>
  <c r="Z2050" i="1"/>
  <c r="Z2051" i="1"/>
  <c r="Z2044" i="1"/>
  <c r="Z2045" i="1"/>
  <c r="Z2052" i="1"/>
  <c r="Z2053" i="1"/>
  <c r="Z2054" i="1"/>
  <c r="Z2055" i="1"/>
  <c r="Z2056" i="1"/>
  <c r="Z2057" i="1"/>
  <c r="Z2058" i="1"/>
  <c r="Z2059" i="1"/>
  <c r="Z2063" i="1"/>
  <c r="Z2060" i="1"/>
  <c r="Z2064" i="1"/>
  <c r="Z2062" i="1"/>
  <c r="Z2061" i="1"/>
  <c r="Z2065" i="1"/>
  <c r="Z2066" i="1"/>
  <c r="Z2067" i="1"/>
  <c r="Z2068" i="1"/>
  <c r="Z2069" i="1"/>
  <c r="Z2072" i="1"/>
  <c r="Z2073" i="1"/>
  <c r="Z2079" i="1"/>
  <c r="Z2070" i="1"/>
  <c r="Z2071" i="1"/>
  <c r="Z2074" i="1"/>
  <c r="Z2075" i="1"/>
  <c r="Z2076" i="1"/>
  <c r="Z2077" i="1"/>
  <c r="Z2078" i="1"/>
  <c r="Z2080" i="1"/>
  <c r="Z2081" i="1"/>
  <c r="Z2084" i="1"/>
  <c r="Z2082" i="1"/>
  <c r="Z2110" i="1"/>
  <c r="Z2083" i="1"/>
  <c r="Z2089" i="1"/>
  <c r="Z2087" i="1"/>
  <c r="Z2088" i="1"/>
  <c r="Z2085" i="1"/>
  <c r="Z2086" i="1"/>
  <c r="Z2095" i="1"/>
  <c r="Z2096" i="1"/>
  <c r="Z2097" i="1"/>
  <c r="Z2092" i="1"/>
  <c r="Z2093" i="1"/>
  <c r="Z2094" i="1"/>
  <c r="Z2090" i="1"/>
  <c r="Z2091" i="1"/>
  <c r="Z2098" i="1"/>
  <c r="Z2099" i="1"/>
  <c r="Z2105" i="1"/>
  <c r="Z2106" i="1"/>
  <c r="Z2103" i="1"/>
  <c r="Z2101" i="1"/>
  <c r="Z2104" i="1"/>
  <c r="Z2100" i="1"/>
  <c r="Z2102" i="1"/>
  <c r="Z2107" i="1"/>
  <c r="Z2108" i="1"/>
  <c r="Z2109" i="1"/>
  <c r="Z2111" i="1"/>
  <c r="Z2112" i="1"/>
  <c r="Z2113" i="1"/>
  <c r="Z2114" i="1"/>
  <c r="Z2116" i="1"/>
  <c r="Z2117" i="1"/>
  <c r="Z2118" i="1"/>
  <c r="Z2119" i="1"/>
  <c r="I3" i="1"/>
  <c r="AF3" i="1" s="1" a="1"/>
  <c r="I2" i="1"/>
  <c r="AF2" i="1" s="1" a="1"/>
  <c r="I4" i="1"/>
  <c r="AF4" i="1" s="1" a="1"/>
  <c r="I5" i="1"/>
  <c r="AF5" i="1" s="1" a="1"/>
  <c r="I7" i="1"/>
  <c r="AF7" i="1" s="1" a="1"/>
  <c r="I6" i="1"/>
  <c r="AF6" i="1" s="1" a="1"/>
  <c r="I8" i="1"/>
  <c r="AF8" i="1" s="1" a="1"/>
  <c r="I9" i="1"/>
  <c r="AF9" i="1" s="1" a="1"/>
  <c r="I10" i="1"/>
  <c r="AF10" i="1" s="1" a="1"/>
  <c r="I11" i="1"/>
  <c r="AF11" i="1" s="1" a="1"/>
  <c r="I12" i="1"/>
  <c r="AF12" i="1" s="1" a="1"/>
  <c r="I13" i="1"/>
  <c r="AF13" i="1" s="1" a="1"/>
  <c r="I14" i="1"/>
  <c r="AF14" i="1" s="1" a="1"/>
  <c r="I15" i="1"/>
  <c r="AF15" i="1" s="1" a="1"/>
  <c r="I16" i="1"/>
  <c r="AF16" i="1" s="1" a="1"/>
  <c r="I18" i="1"/>
  <c r="AF18" i="1" s="1" a="1"/>
  <c r="I17" i="1"/>
  <c r="AF17" i="1" s="1" a="1"/>
  <c r="I20" i="1"/>
  <c r="AF20" i="1" s="1" a="1"/>
  <c r="I24" i="1"/>
  <c r="AF24" i="1" s="1" a="1"/>
  <c r="I21" i="1"/>
  <c r="AF21" i="1" s="1" a="1"/>
  <c r="I23" i="1"/>
  <c r="AF23" i="1" s="1" a="1"/>
  <c r="I22" i="1"/>
  <c r="AF22" i="1" s="1" a="1"/>
  <c r="I19" i="1"/>
  <c r="AF19" i="1" s="1" a="1"/>
  <c r="I25" i="1"/>
  <c r="AF25" i="1" s="1" a="1"/>
  <c r="I26" i="1"/>
  <c r="AF26" i="1" s="1" a="1"/>
  <c r="I27" i="1"/>
  <c r="AF27" i="1" s="1" a="1"/>
  <c r="I28" i="1"/>
  <c r="AF28" i="1" s="1" a="1"/>
  <c r="I29" i="1"/>
  <c r="AF29" i="1" s="1" a="1"/>
  <c r="I30" i="1"/>
  <c r="AF30" i="1" s="1" a="1"/>
  <c r="I32" i="1"/>
  <c r="AF32" i="1" s="1" a="1"/>
  <c r="I31" i="1"/>
  <c r="AF31" i="1" s="1" a="1"/>
  <c r="I33" i="1"/>
  <c r="AF33" i="1" s="1" a="1"/>
  <c r="I34" i="1"/>
  <c r="AF34" i="1" s="1" a="1"/>
  <c r="I36" i="1"/>
  <c r="AF36" i="1" s="1" a="1"/>
  <c r="I35" i="1"/>
  <c r="AF35" i="1" s="1" a="1"/>
  <c r="I37" i="1"/>
  <c r="AF37" i="1" s="1" a="1"/>
  <c r="I38" i="1"/>
  <c r="AF38" i="1" s="1" a="1"/>
  <c r="I39" i="1"/>
  <c r="AF39" i="1" s="1" a="1"/>
  <c r="I40" i="1"/>
  <c r="AF40" i="1" s="1" a="1"/>
  <c r="I43" i="1"/>
  <c r="AF43" i="1" s="1" a="1"/>
  <c r="I44" i="1"/>
  <c r="AF44" i="1" s="1" a="1"/>
  <c r="I45" i="1"/>
  <c r="AF45" i="1" s="1" a="1"/>
  <c r="I41" i="1"/>
  <c r="AF41" i="1" s="1" a="1"/>
  <c r="I42" i="1"/>
  <c r="AF42" i="1" s="1" a="1"/>
  <c r="I46" i="1"/>
  <c r="AF46" i="1" s="1" a="1"/>
  <c r="I47" i="1"/>
  <c r="AF47" i="1" s="1" a="1"/>
  <c r="I51" i="1"/>
  <c r="AF51" i="1" s="1" a="1"/>
  <c r="I50" i="1"/>
  <c r="AF50" i="1" s="1" a="1"/>
  <c r="I49" i="1"/>
  <c r="AF49" i="1" s="1" a="1"/>
  <c r="I48" i="1"/>
  <c r="AF48" i="1" s="1" a="1"/>
  <c r="I52" i="1"/>
  <c r="AF52" i="1" s="1" a="1"/>
  <c r="I53" i="1"/>
  <c r="AF53" i="1" s="1" a="1"/>
  <c r="I54" i="1"/>
  <c r="AF54" i="1" s="1" a="1"/>
  <c r="I55" i="1"/>
  <c r="AF55" i="1" s="1" a="1"/>
  <c r="I58" i="1"/>
  <c r="AF58" i="1" s="1" a="1"/>
  <c r="I57" i="1"/>
  <c r="AF57" i="1" s="1" a="1"/>
  <c r="I56" i="1"/>
  <c r="AF56" i="1" s="1" a="1"/>
  <c r="I59" i="1"/>
  <c r="AF59" i="1" s="1" a="1"/>
  <c r="I60" i="1"/>
  <c r="AF60" i="1" s="1" a="1"/>
  <c r="I63" i="1"/>
  <c r="AF63" i="1" s="1" a="1"/>
  <c r="I62" i="1"/>
  <c r="AF62" i="1" s="1" a="1"/>
  <c r="I61" i="1"/>
  <c r="AF61" i="1" s="1" a="1"/>
  <c r="I67" i="1"/>
  <c r="AF67" i="1" s="1" a="1"/>
  <c r="I65" i="1"/>
  <c r="AF65" i="1" s="1" a="1"/>
  <c r="I64" i="1"/>
  <c r="AF64" i="1" s="1" a="1"/>
  <c r="I68" i="1"/>
  <c r="AF68" i="1" s="1" a="1"/>
  <c r="I66" i="1"/>
  <c r="AF66" i="1" s="1" a="1"/>
  <c r="I70" i="1"/>
  <c r="AF70" i="1" s="1" a="1"/>
  <c r="I69" i="1"/>
  <c r="AF69" i="1" s="1" a="1"/>
  <c r="I71" i="1"/>
  <c r="AF71" i="1" s="1" a="1"/>
  <c r="I73" i="1"/>
  <c r="AF73" i="1" s="1" a="1"/>
  <c r="I72" i="1"/>
  <c r="AF72" i="1" s="1" a="1"/>
  <c r="I74" i="1"/>
  <c r="AF74" i="1" s="1" a="1"/>
  <c r="I76" i="1"/>
  <c r="AF76" i="1" s="1" a="1"/>
  <c r="I78" i="1"/>
  <c r="AF78" i="1" s="1" a="1"/>
  <c r="I79" i="1"/>
  <c r="AF79" i="1" s="1" a="1"/>
  <c r="I77" i="1"/>
  <c r="AF77" i="1" s="1" a="1"/>
  <c r="I75" i="1"/>
  <c r="AF75" i="1" s="1" a="1"/>
  <c r="I82" i="1"/>
  <c r="AF82" i="1" s="1" a="1"/>
  <c r="I81" i="1"/>
  <c r="AF81" i="1" s="1" a="1"/>
  <c r="I80" i="1"/>
  <c r="AF80" i="1" s="1" a="1"/>
  <c r="I83" i="1"/>
  <c r="AF83" i="1" s="1" a="1"/>
  <c r="I84" i="1"/>
  <c r="AF84" i="1" s="1" a="1"/>
  <c r="I87" i="1"/>
  <c r="AF87" i="1" s="1" a="1"/>
  <c r="I85" i="1"/>
  <c r="AF85" i="1" s="1" a="1"/>
  <c r="I91" i="1"/>
  <c r="AF91" i="1" s="1" a="1"/>
  <c r="I90" i="1"/>
  <c r="AF90" i="1" s="1" a="1"/>
  <c r="I92" i="1"/>
  <c r="AF92" i="1" s="1" a="1"/>
  <c r="I88" i="1"/>
  <c r="AF88" i="1" s="1" a="1"/>
  <c r="I86" i="1"/>
  <c r="AF86" i="1" s="1" a="1"/>
  <c r="I89" i="1"/>
  <c r="AF89" i="1" s="1" a="1"/>
  <c r="I93" i="1"/>
  <c r="AF93" i="1" s="1" a="1"/>
  <c r="I94" i="1"/>
  <c r="AF94" i="1" s="1" a="1"/>
  <c r="I95" i="1"/>
  <c r="AF95" i="1" s="1" a="1"/>
  <c r="I96" i="1"/>
  <c r="AF96" i="1" s="1" a="1"/>
  <c r="I97" i="1"/>
  <c r="AF97" i="1" s="1" a="1"/>
  <c r="I98" i="1"/>
  <c r="AF98" i="1" s="1" a="1"/>
  <c r="I99" i="1"/>
  <c r="AF99" i="1" s="1" a="1"/>
  <c r="I100" i="1"/>
  <c r="AF100" i="1" s="1" a="1"/>
  <c r="I101" i="1"/>
  <c r="AF101" i="1" s="1" a="1"/>
  <c r="I102" i="1"/>
  <c r="AF102" i="1" s="1" a="1"/>
  <c r="I104" i="1"/>
  <c r="AF104" i="1" s="1" a="1"/>
  <c r="I105" i="1"/>
  <c r="AF105" i="1" s="1" a="1"/>
  <c r="I103" i="1"/>
  <c r="AF103" i="1" s="1" a="1"/>
  <c r="I106" i="1"/>
  <c r="AF106" i="1" s="1" a="1"/>
  <c r="I107" i="1"/>
  <c r="AF107" i="1" s="1" a="1"/>
  <c r="I108" i="1"/>
  <c r="AF108" i="1" s="1" a="1"/>
  <c r="I109" i="1"/>
  <c r="AF109" i="1" s="1" a="1"/>
  <c r="I111" i="1"/>
  <c r="AF111" i="1" s="1" a="1"/>
  <c r="I110" i="1"/>
  <c r="AF110" i="1" s="1" a="1"/>
  <c r="I112" i="1"/>
  <c r="AF112" i="1" s="1" a="1"/>
  <c r="I113" i="1"/>
  <c r="AF113" i="1" s="1" a="1"/>
  <c r="I114" i="1"/>
  <c r="AF114" i="1" s="1" a="1"/>
  <c r="I115" i="1"/>
  <c r="AF115" i="1" s="1" a="1"/>
  <c r="I116" i="1"/>
  <c r="AF116" i="1" s="1" a="1"/>
  <c r="I121" i="1"/>
  <c r="AF121" i="1" s="1" a="1"/>
  <c r="I117" i="1"/>
  <c r="AF117" i="1" s="1" a="1"/>
  <c r="I118" i="1"/>
  <c r="AF118" i="1" s="1" a="1"/>
  <c r="I119" i="1"/>
  <c r="AF119" i="1" s="1" a="1"/>
  <c r="I120" i="1"/>
  <c r="AF120" i="1" s="1" a="1"/>
  <c r="I122" i="1"/>
  <c r="AF122" i="1" s="1" a="1"/>
  <c r="I123" i="1"/>
  <c r="AF123" i="1" s="1" a="1"/>
  <c r="I124" i="1"/>
  <c r="AF124" i="1" s="1" a="1"/>
  <c r="I125" i="1"/>
  <c r="AF125" i="1" s="1" a="1"/>
  <c r="I126" i="1"/>
  <c r="AF126" i="1" s="1" a="1"/>
  <c r="I127" i="1"/>
  <c r="AF127" i="1" s="1" a="1"/>
  <c r="I128" i="1"/>
  <c r="AF128" i="1" s="1" a="1"/>
  <c r="I129" i="1"/>
  <c r="AF129" i="1" s="1" a="1"/>
  <c r="I130" i="1"/>
  <c r="AF130" i="1" s="1" a="1"/>
  <c r="I131" i="1"/>
  <c r="AF131" i="1" s="1" a="1"/>
  <c r="I132" i="1"/>
  <c r="AF132" i="1" s="1" a="1"/>
  <c r="I133" i="1"/>
  <c r="AF133" i="1" s="1" a="1"/>
  <c r="I134" i="1"/>
  <c r="AF134" i="1" s="1" a="1"/>
  <c r="I135" i="1"/>
  <c r="AF135" i="1" s="1" a="1"/>
  <c r="I136" i="1"/>
  <c r="AF136" i="1" s="1" a="1"/>
  <c r="I137" i="1"/>
  <c r="AF137" i="1" s="1" a="1"/>
  <c r="I138" i="1"/>
  <c r="AF138" i="1" s="1" a="1"/>
  <c r="I140" i="1"/>
  <c r="AF140" i="1" s="1" a="1"/>
  <c r="I141" i="1"/>
  <c r="AF141" i="1" s="1" a="1"/>
  <c r="I142" i="1"/>
  <c r="AF142" i="1" s="1" a="1"/>
  <c r="I143" i="1"/>
  <c r="AF143" i="1" s="1" a="1"/>
  <c r="I144" i="1"/>
  <c r="AF144" i="1" s="1" a="1"/>
  <c r="I145" i="1"/>
  <c r="AF145" i="1" s="1" a="1"/>
  <c r="I146" i="1"/>
  <c r="AF146" i="1" s="1" a="1"/>
  <c r="I147" i="1"/>
  <c r="AF147" i="1" s="1" a="1"/>
  <c r="I148" i="1"/>
  <c r="AF148" i="1" s="1" a="1"/>
  <c r="I149" i="1"/>
  <c r="AF149" i="1" s="1" a="1"/>
  <c r="I150" i="1"/>
  <c r="AF150" i="1" s="1" a="1"/>
  <c r="I151" i="1"/>
  <c r="AF151" i="1" s="1" a="1"/>
  <c r="I152" i="1"/>
  <c r="AF152" i="1" s="1" a="1"/>
  <c r="I153" i="1"/>
  <c r="AF153" i="1" s="1" a="1"/>
  <c r="I154" i="1"/>
  <c r="AF154" i="1" s="1" a="1"/>
  <c r="I155" i="1"/>
  <c r="AF155" i="1" s="1" a="1"/>
  <c r="I156" i="1"/>
  <c r="AF156" i="1" s="1" a="1"/>
  <c r="I157" i="1"/>
  <c r="AF157" i="1" s="1" a="1"/>
  <c r="I158" i="1"/>
  <c r="AF158" i="1" s="1" a="1"/>
  <c r="I159" i="1"/>
  <c r="AF159" i="1" s="1" a="1"/>
  <c r="I160" i="1"/>
  <c r="AF160" i="1" s="1" a="1"/>
  <c r="I161" i="1"/>
  <c r="AF161" i="1" s="1" a="1"/>
  <c r="I162" i="1"/>
  <c r="AF162" i="1" s="1" a="1"/>
  <c r="I163" i="1"/>
  <c r="AF163" i="1" s="1" a="1"/>
  <c r="I169" i="1"/>
  <c r="AF169" i="1" s="1" a="1"/>
  <c r="I164" i="1"/>
  <c r="AF164" i="1" s="1" a="1"/>
  <c r="I165" i="1"/>
  <c r="AF165" i="1" s="1" a="1"/>
  <c r="I166" i="1"/>
  <c r="AF166" i="1" s="1" a="1"/>
  <c r="I168" i="1"/>
  <c r="AF168" i="1" s="1" a="1"/>
  <c r="I167" i="1"/>
  <c r="AF167" i="1" s="1" a="1"/>
  <c r="I170" i="1"/>
  <c r="AF170" i="1" s="1" a="1"/>
  <c r="I175" i="1"/>
  <c r="AF175" i="1" s="1" a="1"/>
  <c r="I174" i="1"/>
  <c r="AF174" i="1" s="1" a="1"/>
  <c r="I171" i="1"/>
  <c r="AF171" i="1" s="1" a="1"/>
  <c r="I172" i="1"/>
  <c r="AF172" i="1" s="1" a="1"/>
  <c r="I173" i="1"/>
  <c r="AF173" i="1" s="1" a="1"/>
  <c r="I176" i="1"/>
  <c r="AF176" i="1" s="1" a="1"/>
  <c r="I177" i="1"/>
  <c r="AF177" i="1" s="1" a="1"/>
  <c r="I178" i="1"/>
  <c r="AF178" i="1" s="1" a="1"/>
  <c r="I179" i="1"/>
  <c r="AF179" i="1" s="1" a="1"/>
  <c r="I180" i="1"/>
  <c r="AF180" i="1" s="1" a="1"/>
  <c r="I181" i="1"/>
  <c r="AF181" i="1" s="1" a="1"/>
  <c r="I182" i="1"/>
  <c r="AF182" i="1" s="1" a="1"/>
  <c r="I183" i="1"/>
  <c r="AF183" i="1" s="1" a="1"/>
  <c r="I184" i="1"/>
  <c r="AF184" i="1" s="1" a="1"/>
  <c r="I185" i="1"/>
  <c r="AF185" i="1" s="1" a="1"/>
  <c r="I187" i="1"/>
  <c r="AF187" i="1" s="1" a="1"/>
  <c r="I186" i="1"/>
  <c r="AF186" i="1" s="1" a="1"/>
  <c r="I188" i="1"/>
  <c r="AF188" i="1" s="1" a="1"/>
  <c r="I189" i="1"/>
  <c r="AF189" i="1" s="1" a="1"/>
  <c r="I139" i="1"/>
  <c r="AF139" i="1" s="1" a="1"/>
  <c r="I190" i="1"/>
  <c r="AF190" i="1" s="1" a="1"/>
  <c r="I191" i="1"/>
  <c r="AF191" i="1" s="1" a="1"/>
  <c r="I192" i="1"/>
  <c r="AF192" i="1" s="1" a="1"/>
  <c r="I193" i="1"/>
  <c r="AF193" i="1" s="1" a="1"/>
  <c r="I194" i="1"/>
  <c r="AF194" i="1" s="1" a="1"/>
  <c r="I195" i="1"/>
  <c r="AF195" i="1" s="1" a="1"/>
  <c r="I196" i="1"/>
  <c r="AF196" i="1" s="1" a="1"/>
  <c r="I199" i="1"/>
  <c r="AF199" i="1" s="1" a="1"/>
  <c r="I197" i="1"/>
  <c r="AF197" i="1" s="1" a="1"/>
  <c r="I198" i="1"/>
  <c r="AF198" i="1" s="1" a="1"/>
  <c r="I201" i="1"/>
  <c r="AF201" i="1" s="1" a="1"/>
  <c r="I202" i="1"/>
  <c r="AF202" i="1" s="1" a="1"/>
  <c r="I200" i="1"/>
  <c r="AF200" i="1" s="1" a="1"/>
  <c r="I203" i="1"/>
  <c r="AF203" i="1" s="1" a="1"/>
  <c r="I208" i="1"/>
  <c r="AF208" i="1" s="1" a="1"/>
  <c r="I209" i="1"/>
  <c r="AF209" i="1" s="1" a="1"/>
  <c r="I204" i="1"/>
  <c r="AF204" i="1" s="1" a="1"/>
  <c r="I205" i="1"/>
  <c r="AF205" i="1" s="1" a="1"/>
  <c r="I206" i="1"/>
  <c r="AF206" i="1" s="1" a="1"/>
  <c r="I207" i="1"/>
  <c r="AF207" i="1" s="1" a="1"/>
  <c r="I210" i="1"/>
  <c r="AF210" i="1" s="1" a="1"/>
  <c r="I212" i="1"/>
  <c r="AF212" i="1" s="1" a="1"/>
  <c r="I211" i="1"/>
  <c r="AF211" i="1" s="1" a="1"/>
  <c r="I213" i="1"/>
  <c r="AF213" i="1" s="1" a="1"/>
  <c r="I214" i="1"/>
  <c r="AF214" i="1" s="1" a="1"/>
  <c r="I215" i="1"/>
  <c r="AF215" i="1" s="1" a="1"/>
  <c r="I216" i="1"/>
  <c r="AF216" i="1" s="1" a="1"/>
  <c r="I218" i="1"/>
  <c r="AF218" i="1" s="1" a="1"/>
  <c r="I217" i="1"/>
  <c r="AF217" i="1" s="1" a="1"/>
  <c r="I219" i="1"/>
  <c r="AF219" i="1" s="1" a="1"/>
  <c r="I220" i="1"/>
  <c r="AF220" i="1" s="1" a="1"/>
  <c r="I221" i="1"/>
  <c r="AF221" i="1" s="1" a="1"/>
  <c r="I222" i="1"/>
  <c r="AF222" i="1" s="1" a="1"/>
  <c r="I223" i="1"/>
  <c r="AF223" i="1" s="1" a="1"/>
  <c r="I224" i="1"/>
  <c r="AF224" i="1" s="1" a="1"/>
  <c r="I229" i="1"/>
  <c r="AF229" i="1" s="1" a="1"/>
  <c r="I225" i="1"/>
  <c r="AF225" i="1" s="1" a="1"/>
  <c r="I226" i="1"/>
  <c r="AF226" i="1" s="1" a="1"/>
  <c r="I227" i="1"/>
  <c r="AF227" i="1" s="1" a="1"/>
  <c r="I228" i="1"/>
  <c r="AF228" i="1" s="1" a="1"/>
  <c r="I230" i="1"/>
  <c r="AF230" i="1" s="1" a="1"/>
  <c r="I231" i="1"/>
  <c r="AF231" i="1" s="1" a="1"/>
  <c r="I232" i="1"/>
  <c r="AF232" i="1" s="1" a="1"/>
  <c r="I233" i="1"/>
  <c r="AF233" i="1" s="1" a="1"/>
  <c r="I234" i="1"/>
  <c r="AF234" i="1" s="1" a="1"/>
  <c r="I235" i="1"/>
  <c r="AF235" i="1" s="1" a="1"/>
  <c r="I236" i="1"/>
  <c r="AF236" i="1" s="1" a="1"/>
  <c r="I237" i="1"/>
  <c r="AF237" i="1" s="1" a="1"/>
  <c r="I238" i="1"/>
  <c r="AF238" i="1" s="1" a="1"/>
  <c r="I239" i="1"/>
  <c r="AF239" i="1" s="1" a="1"/>
  <c r="I240" i="1"/>
  <c r="AF240" i="1" s="1" a="1"/>
  <c r="I241" i="1"/>
  <c r="AF241" i="1" s="1" a="1"/>
  <c r="I242" i="1"/>
  <c r="AF242" i="1" s="1" a="1"/>
  <c r="I243" i="1"/>
  <c r="AF243" i="1" s="1" a="1"/>
  <c r="I244" i="1"/>
  <c r="AF244" i="1" s="1" a="1"/>
  <c r="I246" i="1"/>
  <c r="AF246" i="1" s="1" a="1"/>
  <c r="I245" i="1"/>
  <c r="AF245" i="1" s="1" a="1"/>
  <c r="I247" i="1"/>
  <c r="AF247" i="1" s="1" a="1"/>
  <c r="I248" i="1"/>
  <c r="AF248" i="1" s="1" a="1"/>
  <c r="I249" i="1"/>
  <c r="AF249" i="1" s="1" a="1"/>
  <c r="I250" i="1"/>
  <c r="AF250" i="1" s="1" a="1"/>
  <c r="I251" i="1"/>
  <c r="AF251" i="1" s="1" a="1"/>
  <c r="I253" i="1"/>
  <c r="AF253" i="1" s="1" a="1"/>
  <c r="I258" i="1"/>
  <c r="AF258" i="1" s="1" a="1"/>
  <c r="I259" i="1"/>
  <c r="AF259" i="1" s="1" a="1"/>
  <c r="I260" i="1"/>
  <c r="AF260" i="1" s="1" a="1"/>
  <c r="I254" i="1"/>
  <c r="AF254" i="1" s="1" a="1"/>
  <c r="I255" i="1"/>
  <c r="AF255" i="1" s="1" a="1"/>
  <c r="I256" i="1"/>
  <c r="AF256" i="1" s="1" a="1"/>
  <c r="I252" i="1"/>
  <c r="AF252" i="1" s="1" a="1"/>
  <c r="I261" i="1"/>
  <c r="AF261" i="1" s="1" a="1"/>
  <c r="I257" i="1"/>
  <c r="AF257" i="1" s="1" a="1"/>
  <c r="I264" i="1"/>
  <c r="AF264" i="1" s="1" a="1"/>
  <c r="I262" i="1"/>
  <c r="AF262" i="1" s="1" a="1"/>
  <c r="I263" i="1"/>
  <c r="AF263" i="1" s="1" a="1"/>
  <c r="I378" i="1"/>
  <c r="AF378" i="1" s="1" a="1"/>
  <c r="I265" i="1"/>
  <c r="AF265" i="1" s="1" a="1"/>
  <c r="I266" i="1"/>
  <c r="AF266" i="1" s="1" a="1"/>
  <c r="I267" i="1"/>
  <c r="AF267" i="1" s="1" a="1"/>
  <c r="I268" i="1"/>
  <c r="AF268" i="1" s="1" a="1"/>
  <c r="I269" i="1"/>
  <c r="AF269" i="1" s="1" a="1"/>
  <c r="I270" i="1"/>
  <c r="AF270" i="1" s="1" a="1"/>
  <c r="I271" i="1"/>
  <c r="AF271" i="1" s="1" a="1"/>
  <c r="I272" i="1"/>
  <c r="AF272" i="1" s="1" a="1"/>
  <c r="I273" i="1"/>
  <c r="AF273" i="1" s="1" a="1"/>
  <c r="I274" i="1"/>
  <c r="AF274" i="1" s="1" a="1"/>
  <c r="I275" i="1"/>
  <c r="AF275" i="1" s="1" a="1"/>
  <c r="I276" i="1"/>
  <c r="AF276" i="1" s="1" a="1"/>
  <c r="I277" i="1"/>
  <c r="AF277" i="1" s="1" a="1"/>
  <c r="I278" i="1"/>
  <c r="AF278" i="1" s="1" a="1"/>
  <c r="I280" i="1"/>
  <c r="AF280" i="1" s="1" a="1"/>
  <c r="I279" i="1"/>
  <c r="AF279" i="1" s="1" a="1"/>
  <c r="I281" i="1"/>
  <c r="AF281" i="1" s="1" a="1"/>
  <c r="I282" i="1"/>
  <c r="AF282" i="1" s="1" a="1"/>
  <c r="I283" i="1"/>
  <c r="AF283" i="1" s="1" a="1"/>
  <c r="I284" i="1"/>
  <c r="AF284" i="1" s="1" a="1"/>
  <c r="I285" i="1"/>
  <c r="AF285" i="1" s="1" a="1"/>
  <c r="I286" i="1"/>
  <c r="AF286" i="1" s="1" a="1"/>
  <c r="I287" i="1"/>
  <c r="AF287" i="1" s="1" a="1"/>
  <c r="I288" i="1"/>
  <c r="AF288" i="1" s="1" a="1"/>
  <c r="I289" i="1"/>
  <c r="AF289" i="1" s="1" a="1"/>
  <c r="I290" i="1"/>
  <c r="AF290" i="1" s="1" a="1"/>
  <c r="I291" i="1"/>
  <c r="AF291" i="1" s="1" a="1"/>
  <c r="I292" i="1"/>
  <c r="AF292" i="1" s="1" a="1"/>
  <c r="I293" i="1"/>
  <c r="AF293" i="1" s="1" a="1"/>
  <c r="I294" i="1"/>
  <c r="AF294" i="1" s="1" a="1"/>
  <c r="I295" i="1"/>
  <c r="AF295" i="1" s="1" a="1"/>
  <c r="I296" i="1"/>
  <c r="AF296" i="1" s="1" a="1"/>
  <c r="I297" i="1"/>
  <c r="AF297" i="1" s="1" a="1"/>
  <c r="I298" i="1"/>
  <c r="AF298" i="1" s="1" a="1"/>
  <c r="I299" i="1"/>
  <c r="AF299" i="1" s="1" a="1"/>
  <c r="I300" i="1"/>
  <c r="AF300" i="1" s="1" a="1"/>
  <c r="I304" i="1"/>
  <c r="AF304" i="1" s="1" a="1"/>
  <c r="I301" i="1"/>
  <c r="AF301" i="1" s="1" a="1"/>
  <c r="I302" i="1"/>
  <c r="AF302" i="1" s="1" a="1"/>
  <c r="I303" i="1"/>
  <c r="AF303" i="1" s="1" a="1"/>
  <c r="I305" i="1"/>
  <c r="AF305" i="1" s="1" a="1"/>
  <c r="I306" i="1"/>
  <c r="AF306" i="1" s="1" a="1"/>
  <c r="I307" i="1"/>
  <c r="AF307" i="1" s="1" a="1"/>
  <c r="I308" i="1"/>
  <c r="AF308" i="1" s="1" a="1"/>
  <c r="I310" i="1"/>
  <c r="AF310" i="1" s="1" a="1"/>
  <c r="I309" i="1"/>
  <c r="AF309" i="1" s="1" a="1"/>
  <c r="I311" i="1"/>
  <c r="AF311" i="1" s="1" a="1"/>
  <c r="I316" i="1"/>
  <c r="AF316" i="1" s="1" a="1"/>
  <c r="I312" i="1"/>
  <c r="AF312" i="1" s="1" a="1"/>
  <c r="I313" i="1"/>
  <c r="AF313" i="1" s="1" a="1"/>
  <c r="I314" i="1"/>
  <c r="AF314" i="1" s="1" a="1"/>
  <c r="I315" i="1"/>
  <c r="AF315" i="1" s="1" a="1"/>
  <c r="I317" i="1"/>
  <c r="AF317" i="1" s="1" a="1"/>
  <c r="I318" i="1"/>
  <c r="AF318" i="1" s="1" a="1"/>
  <c r="I319" i="1"/>
  <c r="AF319" i="1" s="1" a="1"/>
  <c r="I320" i="1"/>
  <c r="AF320" i="1" s="1" a="1"/>
  <c r="I321" i="1"/>
  <c r="AF321" i="1" s="1" a="1"/>
  <c r="I322" i="1"/>
  <c r="AF322" i="1" s="1" a="1"/>
  <c r="I323" i="1"/>
  <c r="AF323" i="1" s="1" a="1"/>
  <c r="I324" i="1"/>
  <c r="AF324" i="1" s="1" a="1"/>
  <c r="I325" i="1"/>
  <c r="AF325" i="1" s="1" a="1"/>
  <c r="I326" i="1"/>
  <c r="AF326" i="1" s="1" a="1"/>
  <c r="I327" i="1"/>
  <c r="AF327" i="1" s="1" a="1"/>
  <c r="I328" i="1"/>
  <c r="AF328" i="1" s="1" a="1"/>
  <c r="I329" i="1"/>
  <c r="AF329" i="1" s="1" a="1"/>
  <c r="I330" i="1"/>
  <c r="AF330" i="1" s="1" a="1"/>
  <c r="I331" i="1"/>
  <c r="AF331" i="1" s="1" a="1"/>
  <c r="I332" i="1"/>
  <c r="AF332" i="1" s="1" a="1"/>
  <c r="I333" i="1"/>
  <c r="AF333" i="1" s="1" a="1"/>
  <c r="I334" i="1"/>
  <c r="AF334" i="1" s="1" a="1"/>
  <c r="I335" i="1"/>
  <c r="AF335" i="1" s="1" a="1"/>
  <c r="I336" i="1"/>
  <c r="AF336" i="1" s="1" a="1"/>
  <c r="I338" i="1"/>
  <c r="AF338" i="1" s="1" a="1"/>
  <c r="I337" i="1"/>
  <c r="AF337" i="1" s="1" a="1"/>
  <c r="I339" i="1"/>
  <c r="AF339" i="1" s="1" a="1"/>
  <c r="I340" i="1"/>
  <c r="AF340" i="1" s="1" a="1"/>
  <c r="I341" i="1"/>
  <c r="AF341" i="1" s="1" a="1"/>
  <c r="I343" i="1"/>
  <c r="AF343" i="1" s="1" a="1"/>
  <c r="I342" i="1"/>
  <c r="AF342" i="1" s="1" a="1"/>
  <c r="I344" i="1"/>
  <c r="AF344" i="1" s="1" a="1"/>
  <c r="I345" i="1"/>
  <c r="AF345" i="1" s="1" a="1"/>
  <c r="I346" i="1"/>
  <c r="AF346" i="1" s="1" a="1"/>
  <c r="I347" i="1"/>
  <c r="AF347" i="1" s="1" a="1"/>
  <c r="I348" i="1"/>
  <c r="AF348" i="1" s="1" a="1"/>
  <c r="I349" i="1"/>
  <c r="AF349" i="1" s="1" a="1"/>
  <c r="I350" i="1"/>
  <c r="AF350" i="1" s="1" a="1"/>
  <c r="I356" i="1"/>
  <c r="AF356" i="1" s="1" a="1"/>
  <c r="I351" i="1"/>
  <c r="AF351" i="1" s="1" a="1"/>
  <c r="I352" i="1"/>
  <c r="AF352" i="1" s="1" a="1"/>
  <c r="I353" i="1"/>
  <c r="AF353" i="1" s="1" a="1"/>
  <c r="I354" i="1"/>
  <c r="AF354" i="1" s="1" a="1"/>
  <c r="I355" i="1"/>
  <c r="AF355" i="1" s="1" a="1"/>
  <c r="I357" i="1"/>
  <c r="AF357" i="1" s="1" a="1"/>
  <c r="I358" i="1"/>
  <c r="AF358" i="1" s="1" a="1"/>
  <c r="I359" i="1"/>
  <c r="AF359" i="1" s="1" a="1"/>
  <c r="I360" i="1"/>
  <c r="AF360" i="1" s="1" a="1"/>
  <c r="I361" i="1"/>
  <c r="AF361" i="1" s="1" a="1"/>
  <c r="I362" i="1"/>
  <c r="AF362" i="1" s="1" a="1"/>
  <c r="I367" i="1"/>
  <c r="AF367" i="1" s="1" a="1"/>
  <c r="I363" i="1"/>
  <c r="AF363" i="1" s="1" a="1"/>
  <c r="I364" i="1"/>
  <c r="AF364" i="1" s="1" a="1"/>
  <c r="I365" i="1"/>
  <c r="AF365" i="1" s="1" a="1"/>
  <c r="I366" i="1"/>
  <c r="AF366" i="1" s="1" a="1"/>
  <c r="I368" i="1"/>
  <c r="AF368" i="1" s="1" a="1"/>
  <c r="I369" i="1"/>
  <c r="AF369" i="1" s="1" a="1"/>
  <c r="I370" i="1"/>
  <c r="AF370" i="1" s="1" a="1"/>
  <c r="I371" i="1"/>
  <c r="AF371" i="1" s="1" a="1"/>
  <c r="I372" i="1"/>
  <c r="AF372" i="1" s="1" a="1"/>
  <c r="I373" i="1"/>
  <c r="AF373" i="1" s="1" a="1"/>
  <c r="I375" i="1"/>
  <c r="AF375" i="1" s="1" a="1"/>
  <c r="I374" i="1"/>
  <c r="AF374" i="1" s="1" a="1"/>
  <c r="I376" i="1"/>
  <c r="AF376" i="1" s="1" a="1"/>
  <c r="I377" i="1"/>
  <c r="AF377" i="1" s="1" a="1"/>
  <c r="I379" i="1"/>
  <c r="AF379" i="1" s="1" a="1"/>
  <c r="I380" i="1"/>
  <c r="AF380" i="1" s="1" a="1"/>
  <c r="I381" i="1"/>
  <c r="AF381" i="1" s="1" a="1"/>
  <c r="I383" i="1"/>
  <c r="AF383" i="1" s="1" a="1"/>
  <c r="I382" i="1"/>
  <c r="AF382" i="1" s="1" a="1"/>
  <c r="I384" i="1"/>
  <c r="AF384" i="1" s="1" a="1"/>
  <c r="I385" i="1"/>
  <c r="AF385" i="1" s="1" a="1"/>
  <c r="I386" i="1"/>
  <c r="AF386" i="1" s="1" a="1"/>
  <c r="I387" i="1"/>
  <c r="AF387" i="1" s="1" a="1"/>
  <c r="I388" i="1"/>
  <c r="AF388" i="1" s="1" a="1"/>
  <c r="I389" i="1"/>
  <c r="AF389" i="1" s="1" a="1"/>
  <c r="I390" i="1"/>
  <c r="AF390" i="1" s="1" a="1"/>
  <c r="I391" i="1"/>
  <c r="AF391" i="1" s="1" a="1"/>
  <c r="I392" i="1"/>
  <c r="AF392" i="1" s="1" a="1"/>
  <c r="I393" i="1"/>
  <c r="AF393" i="1" s="1" a="1"/>
  <c r="I394" i="1"/>
  <c r="AF394" i="1" s="1" a="1"/>
  <c r="I395" i="1"/>
  <c r="AF395" i="1" s="1" a="1"/>
  <c r="I396" i="1"/>
  <c r="AF396" i="1" s="1" a="1"/>
  <c r="I397" i="1"/>
  <c r="AF397" i="1" s="1" a="1"/>
  <c r="I398" i="1"/>
  <c r="AF398" i="1" s="1" a="1"/>
  <c r="I399" i="1"/>
  <c r="AF399" i="1" s="1" a="1"/>
  <c r="I400" i="1"/>
  <c r="AF400" i="1" s="1" a="1"/>
  <c r="I401" i="1"/>
  <c r="AF401" i="1" s="1" a="1"/>
  <c r="I402" i="1"/>
  <c r="AF402" i="1" s="1" a="1"/>
  <c r="I403" i="1"/>
  <c r="AF403" i="1" s="1" a="1"/>
  <c r="I404" i="1"/>
  <c r="AF404" i="1" s="1" a="1"/>
  <c r="I405" i="1"/>
  <c r="AF405" i="1" s="1" a="1"/>
  <c r="I406" i="1"/>
  <c r="AF406" i="1" s="1" a="1"/>
  <c r="I407" i="1"/>
  <c r="AF407" i="1" s="1" a="1"/>
  <c r="I408" i="1"/>
  <c r="AF408" i="1" s="1" a="1"/>
  <c r="I409" i="1"/>
  <c r="AF409" i="1" s="1" a="1"/>
  <c r="I411" i="1"/>
  <c r="AF411" i="1" s="1" a="1"/>
  <c r="I412" i="1"/>
  <c r="AF412" i="1" s="1" a="1"/>
  <c r="I410" i="1"/>
  <c r="AF410" i="1" s="1" a="1"/>
  <c r="I413" i="1"/>
  <c r="AF413" i="1" s="1" a="1"/>
  <c r="I414" i="1"/>
  <c r="AF414" i="1" s="1" a="1"/>
  <c r="I416" i="1"/>
  <c r="AF416" i="1" s="1" a="1"/>
  <c r="I417" i="1"/>
  <c r="AF417" i="1" s="1" a="1"/>
  <c r="I415" i="1"/>
  <c r="AF415" i="1" s="1" a="1"/>
  <c r="I418" i="1"/>
  <c r="AF418" i="1" s="1" a="1"/>
  <c r="I419" i="1"/>
  <c r="AF419" i="1" s="1" a="1"/>
  <c r="I420" i="1"/>
  <c r="AF420" i="1" s="1" a="1"/>
  <c r="I421" i="1"/>
  <c r="AF421" i="1" s="1" a="1"/>
  <c r="I422" i="1"/>
  <c r="AF422" i="1" s="1" a="1"/>
  <c r="I423" i="1"/>
  <c r="AF423" i="1" s="1" a="1"/>
  <c r="I424" i="1"/>
  <c r="AF424" i="1" s="1" a="1"/>
  <c r="I425" i="1"/>
  <c r="AF425" i="1" s="1" a="1"/>
  <c r="I426" i="1"/>
  <c r="AF426" i="1" s="1" a="1"/>
  <c r="I427" i="1"/>
  <c r="AF427" i="1" s="1" a="1"/>
  <c r="I428" i="1"/>
  <c r="AF428" i="1" s="1" a="1"/>
  <c r="I429" i="1"/>
  <c r="AF429" i="1" s="1" a="1"/>
  <c r="I430" i="1"/>
  <c r="AF430" i="1" s="1" a="1"/>
  <c r="I431" i="1"/>
  <c r="AF431" i="1" s="1" a="1"/>
  <c r="I432" i="1"/>
  <c r="AF432" i="1" s="1" a="1"/>
  <c r="I433" i="1"/>
  <c r="AF433" i="1" s="1" a="1"/>
  <c r="I434" i="1"/>
  <c r="AF434" i="1" s="1" a="1"/>
  <c r="I435" i="1"/>
  <c r="AF435" i="1" s="1" a="1"/>
  <c r="I436" i="1"/>
  <c r="AF436" i="1" s="1" a="1"/>
  <c r="I437" i="1"/>
  <c r="AF437" i="1" s="1" a="1"/>
  <c r="I443" i="1"/>
  <c r="AF443" i="1" s="1" a="1"/>
  <c r="I438" i="1"/>
  <c r="AF438" i="1" s="1" a="1"/>
  <c r="I439" i="1"/>
  <c r="AF439" i="1" s="1" a="1"/>
  <c r="I440" i="1"/>
  <c r="AF440" i="1" s="1" a="1"/>
  <c r="I441" i="1"/>
  <c r="AF441" i="1" s="1" a="1"/>
  <c r="I442" i="1"/>
  <c r="AF442" i="1" s="1" a="1"/>
  <c r="I444" i="1"/>
  <c r="AF444" i="1" s="1" a="1"/>
  <c r="I445" i="1"/>
  <c r="AF445" i="1" s="1" a="1"/>
  <c r="I446" i="1"/>
  <c r="AF446" i="1" s="1" a="1"/>
  <c r="I451" i="1"/>
  <c r="AF451" i="1" s="1" a="1"/>
  <c r="I447" i="1"/>
  <c r="AF447" i="1" s="1" a="1"/>
  <c r="I448" i="1"/>
  <c r="AF448" i="1" s="1" a="1"/>
  <c r="I449" i="1"/>
  <c r="AF449" i="1" s="1" a="1"/>
  <c r="I450" i="1"/>
  <c r="AF450" i="1" s="1" a="1"/>
  <c r="I452" i="1"/>
  <c r="AF452" i="1" s="1" a="1"/>
  <c r="I453" i="1"/>
  <c r="AF453" i="1" s="1" a="1"/>
  <c r="I454" i="1"/>
  <c r="AF454" i="1" s="1" a="1"/>
  <c r="I457" i="1"/>
  <c r="AF457" i="1" s="1" a="1"/>
  <c r="I455" i="1"/>
  <c r="AF455" i="1" s="1" a="1"/>
  <c r="I456" i="1"/>
  <c r="AF456" i="1" s="1" a="1"/>
  <c r="I458" i="1"/>
  <c r="AF458" i="1" s="1" a="1"/>
  <c r="I459" i="1"/>
  <c r="AF459" i="1" s="1" a="1"/>
  <c r="I460" i="1"/>
  <c r="AF460" i="1" s="1" a="1"/>
  <c r="I462" i="1"/>
  <c r="AF462" i="1" s="1" a="1"/>
  <c r="I461" i="1"/>
  <c r="AF461" i="1" s="1" a="1"/>
  <c r="I463" i="1"/>
  <c r="AF463" i="1" s="1" a="1"/>
  <c r="I464" i="1"/>
  <c r="AF464" i="1" s="1" a="1"/>
  <c r="I465" i="1"/>
  <c r="AF465" i="1" s="1" a="1"/>
  <c r="I466" i="1"/>
  <c r="AF466" i="1" s="1" a="1"/>
  <c r="I467" i="1"/>
  <c r="AF467" i="1" s="1" a="1"/>
  <c r="I468" i="1"/>
  <c r="AF468" i="1" s="1" a="1"/>
  <c r="I469" i="1"/>
  <c r="AF469" i="1" s="1" a="1"/>
  <c r="I470" i="1"/>
  <c r="AF470" i="1" s="1" a="1"/>
  <c r="I471" i="1"/>
  <c r="AF471" i="1" s="1" a="1"/>
  <c r="I472" i="1"/>
  <c r="AF472" i="1" s="1" a="1"/>
  <c r="I473" i="1"/>
  <c r="AF473" i="1" s="1" a="1"/>
  <c r="I474" i="1"/>
  <c r="AF474" i="1" s="1" a="1"/>
  <c r="I475" i="1"/>
  <c r="AF475" i="1" s="1" a="1"/>
  <c r="I476" i="1"/>
  <c r="AF476" i="1" s="1" a="1"/>
  <c r="I477" i="1"/>
  <c r="AF477" i="1" s="1" a="1"/>
  <c r="I478" i="1"/>
  <c r="AF478" i="1" s="1" a="1"/>
  <c r="I479" i="1"/>
  <c r="AF479" i="1" s="1" a="1"/>
  <c r="I480" i="1"/>
  <c r="AF480" i="1" s="1" a="1"/>
  <c r="I481" i="1"/>
  <c r="AF481" i="1" s="1" a="1"/>
  <c r="I482" i="1"/>
  <c r="AF482" i="1" s="1" a="1"/>
  <c r="I485" i="1"/>
  <c r="AF485" i="1" s="1" a="1"/>
  <c r="I486" i="1"/>
  <c r="AF486" i="1" s="1" a="1"/>
  <c r="I483" i="1"/>
  <c r="AF483" i="1" s="1" a="1"/>
  <c r="I484" i="1"/>
  <c r="AF484" i="1" s="1" a="1"/>
  <c r="I487" i="1"/>
  <c r="AF487" i="1" s="1" a="1"/>
  <c r="I488" i="1"/>
  <c r="AF488" i="1" s="1" a="1"/>
  <c r="I489" i="1"/>
  <c r="AF489" i="1" s="1" a="1"/>
  <c r="I490" i="1"/>
  <c r="AF490" i="1" s="1" a="1"/>
  <c r="I491" i="1"/>
  <c r="AF491" i="1" s="1" a="1"/>
  <c r="I492" i="1"/>
  <c r="AF492" i="1" s="1" a="1"/>
  <c r="I493" i="1"/>
  <c r="AF493" i="1" s="1" a="1"/>
  <c r="I494" i="1"/>
  <c r="AF494" i="1" s="1" a="1"/>
  <c r="I495" i="1"/>
  <c r="AF495" i="1" s="1" a="1"/>
  <c r="I496" i="1"/>
  <c r="AF496" i="1" s="1" a="1"/>
  <c r="I497" i="1"/>
  <c r="AF497" i="1" s="1" a="1"/>
  <c r="I498" i="1"/>
  <c r="AF498" i="1" s="1" a="1"/>
  <c r="I501" i="1"/>
  <c r="AF501" i="1" s="1" a="1"/>
  <c r="I499" i="1"/>
  <c r="AF499" i="1" s="1" a="1"/>
  <c r="I500" i="1"/>
  <c r="AF500" i="1" s="1" a="1"/>
  <c r="I502" i="1"/>
  <c r="AF502" i="1" s="1" a="1"/>
  <c r="I504" i="1"/>
  <c r="AF504" i="1" s="1" a="1"/>
  <c r="I503" i="1"/>
  <c r="AF503" i="1" s="1" a="1"/>
  <c r="I506" i="1"/>
  <c r="AF506" i="1" s="1" a="1"/>
  <c r="I505" i="1"/>
  <c r="AF505" i="1" s="1" a="1"/>
  <c r="I507" i="1"/>
  <c r="AF507" i="1" s="1" a="1"/>
  <c r="I508" i="1"/>
  <c r="AF508" i="1" s="1" a="1"/>
  <c r="I509" i="1"/>
  <c r="AF509" i="1" s="1" a="1"/>
  <c r="I510" i="1"/>
  <c r="AF510" i="1" s="1" a="1"/>
  <c r="I511" i="1"/>
  <c r="AF511" i="1" s="1" a="1"/>
  <c r="I512" i="1"/>
  <c r="AF512" i="1" s="1" a="1"/>
  <c r="I513" i="1"/>
  <c r="AF513" i="1" s="1" a="1"/>
  <c r="I514" i="1"/>
  <c r="AF514" i="1" s="1" a="1"/>
  <c r="I515" i="1"/>
  <c r="AF515" i="1" s="1" a="1"/>
  <c r="I516" i="1"/>
  <c r="AF516" i="1" s="1" a="1"/>
  <c r="I517" i="1"/>
  <c r="AF517" i="1" s="1" a="1"/>
  <c r="I522" i="1"/>
  <c r="AF522" i="1" s="1" a="1"/>
  <c r="I519" i="1"/>
  <c r="AF519" i="1" s="1" a="1"/>
  <c r="I520" i="1"/>
  <c r="AF520" i="1" s="1" a="1"/>
  <c r="I523" i="1"/>
  <c r="AF523" i="1" s="1" a="1"/>
  <c r="I521" i="1"/>
  <c r="AF521" i="1" s="1" a="1"/>
  <c r="I518" i="1"/>
  <c r="AF518" i="1" s="1" a="1"/>
  <c r="I524" i="1"/>
  <c r="AF524" i="1" s="1" a="1"/>
  <c r="I525" i="1"/>
  <c r="AF525" i="1" s="1" a="1"/>
  <c r="I526" i="1"/>
  <c r="AF526" i="1" s="1" a="1"/>
  <c r="I527" i="1"/>
  <c r="AF527" i="1" s="1" a="1"/>
  <c r="I528" i="1"/>
  <c r="AF528" i="1" s="1" a="1"/>
  <c r="I529" i="1"/>
  <c r="AF529" i="1" s="1" a="1"/>
  <c r="I530" i="1"/>
  <c r="AF530" i="1" s="1" a="1"/>
  <c r="I531" i="1"/>
  <c r="AF531" i="1" s="1" a="1"/>
  <c r="I532" i="1"/>
  <c r="AF532" i="1" s="1" a="1"/>
  <c r="I533" i="1"/>
  <c r="AF533" i="1" s="1" a="1"/>
  <c r="I534" i="1"/>
  <c r="AF534" i="1" s="1" a="1"/>
  <c r="I535" i="1"/>
  <c r="AF535" i="1" s="1" a="1"/>
  <c r="I536" i="1"/>
  <c r="AF536" i="1" s="1" a="1"/>
  <c r="I537" i="1"/>
  <c r="AF537" i="1" s="1" a="1"/>
  <c r="I538" i="1"/>
  <c r="AF538" i="1" s="1" a="1"/>
  <c r="I539" i="1"/>
  <c r="AF539" i="1" s="1" a="1"/>
  <c r="I540" i="1"/>
  <c r="AF540" i="1" s="1" a="1"/>
  <c r="I541" i="1"/>
  <c r="AF541" i="1" s="1" a="1"/>
  <c r="I542" i="1"/>
  <c r="AF542" i="1" s="1" a="1"/>
  <c r="I543" i="1"/>
  <c r="AF543" i="1" s="1" a="1"/>
  <c r="I544" i="1"/>
  <c r="AF544" i="1" s="1" a="1"/>
  <c r="I545" i="1"/>
  <c r="AF545" i="1" s="1" a="1"/>
  <c r="I546" i="1"/>
  <c r="AF546" i="1" s="1" a="1"/>
  <c r="I547" i="1"/>
  <c r="AF547" i="1" s="1" a="1"/>
  <c r="I548" i="1"/>
  <c r="AF548" i="1" s="1" a="1"/>
  <c r="I549" i="1"/>
  <c r="AF549" i="1" s="1" a="1"/>
  <c r="I550" i="1"/>
  <c r="AF550" i="1" s="1" a="1"/>
  <c r="I551" i="1"/>
  <c r="AF551" i="1" s="1" a="1"/>
  <c r="I552" i="1"/>
  <c r="AF552" i="1" s="1" a="1"/>
  <c r="I553" i="1"/>
  <c r="AF553" i="1" s="1" a="1"/>
  <c r="I554" i="1"/>
  <c r="AF554" i="1" s="1" a="1"/>
  <c r="I555" i="1"/>
  <c r="AF555" i="1" s="1" a="1"/>
  <c r="I556" i="1"/>
  <c r="AF556" i="1" s="1" a="1"/>
  <c r="I557" i="1"/>
  <c r="AF557" i="1" s="1" a="1"/>
  <c r="I558" i="1"/>
  <c r="AF558" i="1" s="1" a="1"/>
  <c r="I559" i="1"/>
  <c r="AF559" i="1" s="1" a="1"/>
  <c r="I560" i="1"/>
  <c r="AF560" i="1" s="1" a="1"/>
  <c r="I562" i="1"/>
  <c r="AF562" i="1" s="1" a="1"/>
  <c r="I561" i="1"/>
  <c r="AF561" i="1" s="1" a="1"/>
  <c r="I563" i="1"/>
  <c r="AF563" i="1" s="1" a="1"/>
  <c r="I564" i="1"/>
  <c r="AF564" i="1" s="1" a="1"/>
  <c r="I565" i="1"/>
  <c r="AF565" i="1" s="1" a="1"/>
  <c r="I566" i="1"/>
  <c r="AF566" i="1" s="1" a="1"/>
  <c r="I567" i="1"/>
  <c r="AF567" i="1" s="1" a="1"/>
  <c r="I568" i="1"/>
  <c r="AF568" i="1" s="1" a="1"/>
  <c r="I569" i="1"/>
  <c r="AF569" i="1" s="1" a="1"/>
  <c r="I570" i="1"/>
  <c r="AF570" i="1" s="1" a="1"/>
  <c r="I571" i="1"/>
  <c r="AF571" i="1" s="1" a="1"/>
  <c r="I572" i="1"/>
  <c r="AF572" i="1" s="1" a="1"/>
  <c r="I574" i="1"/>
  <c r="AF574" i="1" s="1" a="1"/>
  <c r="I575" i="1"/>
  <c r="AF575" i="1" s="1" a="1"/>
  <c r="I583" i="1"/>
  <c r="AF583" i="1" s="1" a="1"/>
  <c r="I576" i="1"/>
  <c r="AF576" i="1" s="1" a="1"/>
  <c r="I577" i="1"/>
  <c r="AF577" i="1" s="1" a="1"/>
  <c r="I578" i="1"/>
  <c r="AF578" i="1" s="1" a="1"/>
  <c r="I579" i="1"/>
  <c r="AF579" i="1" s="1" a="1"/>
  <c r="I580" i="1"/>
  <c r="AF580" i="1" s="1" a="1"/>
  <c r="I581" i="1"/>
  <c r="AF581" i="1" s="1" a="1"/>
  <c r="I573" i="1"/>
  <c r="AF573" i="1" s="1" a="1"/>
  <c r="I582" i="1"/>
  <c r="AF582" i="1" s="1" a="1"/>
  <c r="I584" i="1"/>
  <c r="AF584" i="1" s="1" a="1"/>
  <c r="I585" i="1"/>
  <c r="AF585" i="1" s="1" a="1"/>
  <c r="I586" i="1"/>
  <c r="AF586" i="1" s="1" a="1"/>
  <c r="I587" i="1"/>
  <c r="AF587" i="1" s="1" a="1"/>
  <c r="I588" i="1"/>
  <c r="AF588" i="1" s="1" a="1"/>
  <c r="I589" i="1"/>
  <c r="AF589" i="1" s="1" a="1"/>
  <c r="I590" i="1"/>
  <c r="AF590" i="1" s="1" a="1"/>
  <c r="I591" i="1"/>
  <c r="AF591" i="1" s="1" a="1"/>
  <c r="I592" i="1"/>
  <c r="AF592" i="1" s="1" a="1"/>
  <c r="I593" i="1"/>
  <c r="AF593" i="1" s="1" a="1"/>
  <c r="I594" i="1"/>
  <c r="AF594" i="1" s="1" a="1"/>
  <c r="I595" i="1"/>
  <c r="AF595" i="1" s="1" a="1"/>
  <c r="I596" i="1"/>
  <c r="AF596" i="1" s="1" a="1"/>
  <c r="I597" i="1"/>
  <c r="AF597" i="1" s="1" a="1"/>
  <c r="I598" i="1"/>
  <c r="AF598" i="1" s="1" a="1"/>
  <c r="I599" i="1"/>
  <c r="AF599" i="1" s="1" a="1"/>
  <c r="I600" i="1"/>
  <c r="AF600" i="1" s="1" a="1"/>
  <c r="I603" i="1"/>
  <c r="AF603" i="1" s="1" a="1"/>
  <c r="I601" i="1"/>
  <c r="AF601" i="1" s="1" a="1"/>
  <c r="I602" i="1"/>
  <c r="AF602" i="1" s="1" a="1"/>
  <c r="I604" i="1"/>
  <c r="AF604" i="1" s="1" a="1"/>
  <c r="I607" i="1"/>
  <c r="AF607" i="1" s="1" a="1"/>
  <c r="I605" i="1"/>
  <c r="AF605" i="1" s="1" a="1"/>
  <c r="I608" i="1"/>
  <c r="AF608" i="1" s="1" a="1"/>
  <c r="I606" i="1"/>
  <c r="AF606" i="1" s="1" a="1"/>
  <c r="I609" i="1"/>
  <c r="AF609" i="1" s="1" a="1"/>
  <c r="I610" i="1"/>
  <c r="AF610" i="1" s="1" a="1"/>
  <c r="I611" i="1"/>
  <c r="AF611" i="1" s="1" a="1"/>
  <c r="I612" i="1"/>
  <c r="AF612" i="1" s="1" a="1"/>
  <c r="I613" i="1"/>
  <c r="AF613" i="1" s="1" a="1"/>
  <c r="I615" i="1"/>
  <c r="AF615" i="1" s="1" a="1"/>
  <c r="I616" i="1"/>
  <c r="AF616" i="1" s="1" a="1"/>
  <c r="I614" i="1"/>
  <c r="AF614" i="1" s="1" a="1"/>
  <c r="I617" i="1"/>
  <c r="AF617" i="1" s="1" a="1"/>
  <c r="I619" i="1"/>
  <c r="AF619" i="1" s="1" a="1"/>
  <c r="I618" i="1"/>
  <c r="AF618" i="1" s="1" a="1"/>
  <c r="I621" i="1"/>
  <c r="AF621" i="1" s="1" a="1"/>
  <c r="I620" i="1"/>
  <c r="AF620" i="1" s="1" a="1"/>
  <c r="I622" i="1"/>
  <c r="AF622" i="1" s="1" a="1"/>
  <c r="I623" i="1"/>
  <c r="AF623" i="1" s="1" a="1"/>
  <c r="I624" i="1"/>
  <c r="AF624" i="1" s="1" a="1"/>
  <c r="I625" i="1"/>
  <c r="AF625" i="1" s="1" a="1"/>
  <c r="I626" i="1"/>
  <c r="AF626" i="1" s="1" a="1"/>
  <c r="I629" i="1"/>
  <c r="AF629" i="1" s="1" a="1"/>
  <c r="I627" i="1"/>
  <c r="AF627" i="1" s="1" a="1"/>
  <c r="I628" i="1"/>
  <c r="AF628" i="1" s="1" a="1"/>
  <c r="I630" i="1"/>
  <c r="AF630" i="1" s="1" a="1"/>
  <c r="I631" i="1"/>
  <c r="AF631" i="1" s="1" a="1"/>
  <c r="I632" i="1"/>
  <c r="AF632" i="1" s="1" a="1"/>
  <c r="I633" i="1"/>
  <c r="AF633" i="1" s="1" a="1"/>
  <c r="I634" i="1"/>
  <c r="AF634" i="1" s="1" a="1"/>
  <c r="I635" i="1"/>
  <c r="AF635" i="1" s="1" a="1"/>
  <c r="I636" i="1"/>
  <c r="AF636" i="1" s="1" a="1"/>
  <c r="I637" i="1"/>
  <c r="AF637" i="1" s="1" a="1"/>
  <c r="I638" i="1"/>
  <c r="AF638" i="1" s="1" a="1"/>
  <c r="I639" i="1"/>
  <c r="AF639" i="1" s="1" a="1"/>
  <c r="I640" i="1"/>
  <c r="AF640" i="1" s="1" a="1"/>
  <c r="I641" i="1"/>
  <c r="AF641" i="1" s="1" a="1"/>
  <c r="I642" i="1"/>
  <c r="AF642" i="1" s="1" a="1"/>
  <c r="I643" i="1"/>
  <c r="AF643" i="1" s="1" a="1"/>
  <c r="I645" i="1"/>
  <c r="AF645" i="1" s="1" a="1"/>
  <c r="I644" i="1"/>
  <c r="AF644" i="1" s="1" a="1"/>
  <c r="I646" i="1"/>
  <c r="AF646" i="1" s="1" a="1"/>
  <c r="I647" i="1"/>
  <c r="AF647" i="1" s="1" a="1"/>
  <c r="I648" i="1"/>
  <c r="AF648" i="1" s="1" a="1"/>
  <c r="I649" i="1"/>
  <c r="AF649" i="1" s="1" a="1"/>
  <c r="I651" i="1"/>
  <c r="AF651" i="1" s="1" a="1"/>
  <c r="I650" i="1"/>
  <c r="AF650" i="1" s="1" a="1"/>
  <c r="I652" i="1"/>
  <c r="AF652" i="1" s="1" a="1"/>
  <c r="I653" i="1"/>
  <c r="AF653" i="1" s="1" a="1"/>
  <c r="I654" i="1"/>
  <c r="AF654" i="1" s="1" a="1"/>
  <c r="I655" i="1"/>
  <c r="AF655" i="1" s="1" a="1"/>
  <c r="I656" i="1"/>
  <c r="AF656" i="1" s="1" a="1"/>
  <c r="I657" i="1"/>
  <c r="AF657" i="1" s="1" a="1"/>
  <c r="I658" i="1"/>
  <c r="AF658" i="1" s="1" a="1"/>
  <c r="I659" i="1"/>
  <c r="AF659" i="1" s="1" a="1"/>
  <c r="I660" i="1"/>
  <c r="AF660" i="1" s="1" a="1"/>
  <c r="I661" i="1"/>
  <c r="AF661" i="1" s="1" a="1"/>
  <c r="I663" i="1"/>
  <c r="AF663" i="1" s="1" a="1"/>
  <c r="I662" i="1"/>
  <c r="AF662" i="1" s="1" a="1"/>
  <c r="I664" i="1"/>
  <c r="AF664" i="1" s="1" a="1"/>
  <c r="I665" i="1"/>
  <c r="AF665" i="1" s="1" a="1"/>
  <c r="I667" i="1"/>
  <c r="AF667" i="1" s="1" a="1"/>
  <c r="I668" i="1"/>
  <c r="AF668" i="1" s="1" a="1"/>
  <c r="I666" i="1"/>
  <c r="AF666" i="1" s="1" a="1"/>
  <c r="I669" i="1"/>
  <c r="AF669" i="1" s="1" a="1"/>
  <c r="I670" i="1"/>
  <c r="AF670" i="1" s="1" a="1"/>
  <c r="I671" i="1"/>
  <c r="AF671" i="1" s="1" a="1"/>
  <c r="I672" i="1"/>
  <c r="AF672" i="1" s="1" a="1"/>
  <c r="I673" i="1"/>
  <c r="AF673" i="1" s="1" a="1"/>
  <c r="I674" i="1"/>
  <c r="AF674" i="1" s="1" a="1"/>
  <c r="I675" i="1"/>
  <c r="AF675" i="1" s="1" a="1"/>
  <c r="I677" i="1"/>
  <c r="AF677" i="1" s="1" a="1"/>
  <c r="I676" i="1"/>
  <c r="AF676" i="1" s="1" a="1"/>
  <c r="I678" i="1"/>
  <c r="AF678" i="1" s="1" a="1"/>
  <c r="I679" i="1"/>
  <c r="AF679" i="1" s="1" a="1"/>
  <c r="I680" i="1"/>
  <c r="AF680" i="1" s="1" a="1"/>
  <c r="I681" i="1"/>
  <c r="AF681" i="1" s="1" a="1"/>
  <c r="I682" i="1"/>
  <c r="AF682" i="1" s="1" a="1"/>
  <c r="I683" i="1"/>
  <c r="AF683" i="1" s="1" a="1"/>
  <c r="I684" i="1"/>
  <c r="AF684" i="1" s="1" a="1"/>
  <c r="I685" i="1"/>
  <c r="AF685" i="1" s="1" a="1"/>
  <c r="I686" i="1"/>
  <c r="AF686" i="1" s="1" a="1"/>
  <c r="I687" i="1"/>
  <c r="AF687" i="1" s="1" a="1"/>
  <c r="I688" i="1"/>
  <c r="AF688" i="1" s="1" a="1"/>
  <c r="I689" i="1"/>
  <c r="AF689" i="1" s="1" a="1"/>
  <c r="I690" i="1"/>
  <c r="AF690" i="1" s="1" a="1"/>
  <c r="I691" i="1"/>
  <c r="AF691" i="1" s="1" a="1"/>
  <c r="I692" i="1"/>
  <c r="AF692" i="1" s="1" a="1"/>
  <c r="I693" i="1"/>
  <c r="AF693" i="1" s="1" a="1"/>
  <c r="I694" i="1"/>
  <c r="AF694" i="1" s="1" a="1"/>
  <c r="I695" i="1"/>
  <c r="AF695" i="1" s="1" a="1"/>
  <c r="I696" i="1"/>
  <c r="AF696" i="1" s="1" a="1"/>
  <c r="I697" i="1"/>
  <c r="AF697" i="1" s="1" a="1"/>
  <c r="I700" i="1"/>
  <c r="AF700" i="1" s="1" a="1"/>
  <c r="I699" i="1"/>
  <c r="AF699" i="1" s="1" a="1"/>
  <c r="I701" i="1"/>
  <c r="AF701" i="1" s="1" a="1"/>
  <c r="I698" i="1"/>
  <c r="AF698" i="1" s="1" a="1"/>
  <c r="I703" i="1"/>
  <c r="AF703" i="1" s="1" a="1"/>
  <c r="I705" i="1"/>
  <c r="AF705" i="1" s="1" a="1"/>
  <c r="I702" i="1"/>
  <c r="AF702" i="1" s="1" a="1"/>
  <c r="I706" i="1"/>
  <c r="AF706" i="1" s="1" a="1"/>
  <c r="I707" i="1"/>
  <c r="AF707" i="1" s="1" a="1"/>
  <c r="I708" i="1"/>
  <c r="AF708" i="1" s="1" a="1"/>
  <c r="I709" i="1"/>
  <c r="AF709" i="1" s="1" a="1"/>
  <c r="I710" i="1"/>
  <c r="AF710" i="1" s="1" a="1"/>
  <c r="I711" i="1"/>
  <c r="AF711" i="1" s="1" a="1"/>
  <c r="I712" i="1"/>
  <c r="AF712" i="1" s="1" a="1"/>
  <c r="I713" i="1"/>
  <c r="AF713" i="1" s="1" a="1"/>
  <c r="I714" i="1"/>
  <c r="AF714" i="1" s="1" a="1"/>
  <c r="I715" i="1"/>
  <c r="AF715" i="1" s="1" a="1"/>
  <c r="I716" i="1"/>
  <c r="AF716" i="1" s="1" a="1"/>
  <c r="I717" i="1"/>
  <c r="AF717" i="1" s="1" a="1"/>
  <c r="I718" i="1"/>
  <c r="AF718" i="1" s="1" a="1"/>
  <c r="I719" i="1"/>
  <c r="AF719" i="1" s="1" a="1"/>
  <c r="I720" i="1"/>
  <c r="AF720" i="1" s="1" a="1"/>
  <c r="I721" i="1"/>
  <c r="AF721" i="1" s="1" a="1"/>
  <c r="I722" i="1"/>
  <c r="AF722" i="1" s="1" a="1"/>
  <c r="I723" i="1"/>
  <c r="AF723" i="1" s="1" a="1"/>
  <c r="I724" i="1"/>
  <c r="AF724" i="1" s="1" a="1"/>
  <c r="I725" i="1"/>
  <c r="AF725" i="1" s="1" a="1"/>
  <c r="I726" i="1"/>
  <c r="AF726" i="1" s="1" a="1"/>
  <c r="I727" i="1"/>
  <c r="AF727" i="1" s="1" a="1"/>
  <c r="I728" i="1"/>
  <c r="AF728" i="1" s="1" a="1"/>
  <c r="I729" i="1"/>
  <c r="AF729" i="1" s="1" a="1"/>
  <c r="I732" i="1"/>
  <c r="AF732" i="1" s="1" a="1"/>
  <c r="I733" i="1"/>
  <c r="AF733" i="1" s="1" a="1"/>
  <c r="I734" i="1"/>
  <c r="AF734" i="1" s="1" a="1"/>
  <c r="I731" i="1"/>
  <c r="AF731" i="1" s="1" a="1"/>
  <c r="I730" i="1"/>
  <c r="AF730" i="1" s="1" a="1"/>
  <c r="I735" i="1"/>
  <c r="AF735" i="1" s="1" a="1"/>
  <c r="I737" i="1"/>
  <c r="AF737" i="1" s="1" a="1"/>
  <c r="I738" i="1"/>
  <c r="AF738" i="1" s="1" a="1"/>
  <c r="I736" i="1"/>
  <c r="AF736" i="1" s="1" a="1"/>
  <c r="I739" i="1"/>
  <c r="AF739" i="1" s="1" a="1"/>
  <c r="I740" i="1"/>
  <c r="AF740" i="1" s="1" a="1"/>
  <c r="I741" i="1"/>
  <c r="AF741" i="1" s="1" a="1"/>
  <c r="I742" i="1"/>
  <c r="AF742" i="1" s="1" a="1"/>
  <c r="I743" i="1"/>
  <c r="AF743" i="1" s="1" a="1"/>
  <c r="I744" i="1"/>
  <c r="AF744" i="1" s="1" a="1"/>
  <c r="I746" i="1"/>
  <c r="AF746" i="1" s="1" a="1"/>
  <c r="I745" i="1"/>
  <c r="AF745" i="1" s="1" a="1"/>
  <c r="I747" i="1"/>
  <c r="AF747" i="1" s="1" a="1"/>
  <c r="I748" i="1"/>
  <c r="AF748" i="1" s="1" a="1"/>
  <c r="I749" i="1"/>
  <c r="AF749" i="1" s="1" a="1"/>
  <c r="I750" i="1"/>
  <c r="AF750" i="1" s="1" a="1"/>
  <c r="I751" i="1"/>
  <c r="AF751" i="1" s="1" a="1"/>
  <c r="I752" i="1"/>
  <c r="AF752" i="1" s="1" a="1"/>
  <c r="I753" i="1"/>
  <c r="AF753" i="1" s="1" a="1"/>
  <c r="I754" i="1"/>
  <c r="AF754" i="1" s="1" a="1"/>
  <c r="I755" i="1"/>
  <c r="AF755" i="1" s="1" a="1"/>
  <c r="I756" i="1"/>
  <c r="AF756" i="1" s="1" a="1"/>
  <c r="I757" i="1"/>
  <c r="AF757" i="1" s="1" a="1"/>
  <c r="I758" i="1"/>
  <c r="AF758" i="1" s="1" a="1"/>
  <c r="I759" i="1"/>
  <c r="AF759" i="1" s="1" a="1"/>
  <c r="I760" i="1"/>
  <c r="AF760" i="1" s="1" a="1"/>
  <c r="I761" i="1"/>
  <c r="AF761" i="1" s="1" a="1"/>
  <c r="I762" i="1"/>
  <c r="AF762" i="1" s="1" a="1"/>
  <c r="I763" i="1"/>
  <c r="AF763" i="1" s="1" a="1"/>
  <c r="I764" i="1"/>
  <c r="AF764" i="1" s="1" a="1"/>
  <c r="I766" i="1"/>
  <c r="AF766" i="1" s="1" a="1"/>
  <c r="I765" i="1"/>
  <c r="AF765" i="1" s="1" a="1"/>
  <c r="I767" i="1"/>
  <c r="AF767" i="1" s="1" a="1"/>
  <c r="I768" i="1"/>
  <c r="AF768" i="1" s="1" a="1"/>
  <c r="I769" i="1"/>
  <c r="AF769" i="1" s="1" a="1"/>
  <c r="I770" i="1"/>
  <c r="AF770" i="1" s="1" a="1"/>
  <c r="I771" i="1"/>
  <c r="AF771" i="1" s="1" a="1"/>
  <c r="I772" i="1"/>
  <c r="AF772" i="1" s="1" a="1"/>
  <c r="I773" i="1"/>
  <c r="AF773" i="1" s="1" a="1"/>
  <c r="I774" i="1"/>
  <c r="AF774" i="1" s="1" a="1"/>
  <c r="I775" i="1"/>
  <c r="AF775" i="1" s="1" a="1"/>
  <c r="I776" i="1"/>
  <c r="AF776" i="1" s="1" a="1"/>
  <c r="I778" i="1"/>
  <c r="AF778" i="1" s="1" a="1"/>
  <c r="I777" i="1"/>
  <c r="AF777" i="1" s="1" a="1"/>
  <c r="I780" i="1"/>
  <c r="AF780" i="1" s="1" a="1"/>
  <c r="I779" i="1"/>
  <c r="AF779" i="1" s="1" a="1"/>
  <c r="I781" i="1"/>
  <c r="AF781" i="1" s="1" a="1"/>
  <c r="I782" i="1"/>
  <c r="AF782" i="1" s="1" a="1"/>
  <c r="I784" i="1"/>
  <c r="AF784" i="1" s="1" a="1"/>
  <c r="I783" i="1"/>
  <c r="AF783" i="1" s="1" a="1"/>
  <c r="I785" i="1"/>
  <c r="AF785" i="1" s="1" a="1"/>
  <c r="I786" i="1"/>
  <c r="AF786" i="1" s="1" a="1"/>
  <c r="I788" i="1"/>
  <c r="AF788" i="1" s="1" a="1"/>
  <c r="I787" i="1"/>
  <c r="AF787" i="1" s="1" a="1"/>
  <c r="I789" i="1"/>
  <c r="AF789" i="1" s="1" a="1"/>
  <c r="I790" i="1"/>
  <c r="AF790" i="1" s="1" a="1"/>
  <c r="I791" i="1"/>
  <c r="AF791" i="1" s="1" a="1"/>
  <c r="I792" i="1"/>
  <c r="AF792" i="1" s="1" a="1"/>
  <c r="I793" i="1"/>
  <c r="AF793" i="1" s="1" a="1"/>
  <c r="I794" i="1"/>
  <c r="AF794" i="1" s="1" a="1"/>
  <c r="I795" i="1"/>
  <c r="AF795" i="1" s="1" a="1"/>
  <c r="I796" i="1"/>
  <c r="AF796" i="1" s="1" a="1"/>
  <c r="I797" i="1"/>
  <c r="AF797" i="1" s="1" a="1"/>
  <c r="I798" i="1"/>
  <c r="AF798" i="1" s="1" a="1"/>
  <c r="I799" i="1"/>
  <c r="AF799" i="1" s="1" a="1"/>
  <c r="I800" i="1"/>
  <c r="AF800" i="1" s="1" a="1"/>
  <c r="I801" i="1"/>
  <c r="AF801" i="1" s="1" a="1"/>
  <c r="I802" i="1"/>
  <c r="AF802" i="1" s="1" a="1"/>
  <c r="I803" i="1"/>
  <c r="AF803" i="1" s="1" a="1"/>
  <c r="I804" i="1"/>
  <c r="AF804" i="1" s="1" a="1"/>
  <c r="I805" i="1"/>
  <c r="AF805" i="1" s="1" a="1"/>
  <c r="I806" i="1"/>
  <c r="AF806" i="1" s="1" a="1"/>
  <c r="I807" i="1"/>
  <c r="AF807" i="1" s="1" a="1"/>
  <c r="I808" i="1"/>
  <c r="AF808" i="1" s="1" a="1"/>
  <c r="I810" i="1"/>
  <c r="AF810" i="1" s="1" a="1"/>
  <c r="I809" i="1"/>
  <c r="AF809" i="1" s="1" a="1"/>
  <c r="I811" i="1"/>
  <c r="AF811" i="1" s="1" a="1"/>
  <c r="I812" i="1"/>
  <c r="AF812" i="1" s="1" a="1"/>
  <c r="I813" i="1"/>
  <c r="AF813" i="1" s="1" a="1"/>
  <c r="I814" i="1"/>
  <c r="AF814" i="1" s="1" a="1"/>
  <c r="I815" i="1"/>
  <c r="AF815" i="1" s="1" a="1"/>
  <c r="I817" i="1"/>
  <c r="AF817" i="1" s="1" a="1"/>
  <c r="I816" i="1"/>
  <c r="AF816" i="1" s="1" a="1"/>
  <c r="I818" i="1"/>
  <c r="AF818" i="1" s="1" a="1"/>
  <c r="I820" i="1"/>
  <c r="AF820" i="1" s="1" a="1"/>
  <c r="I819" i="1"/>
  <c r="AF819" i="1" s="1" a="1"/>
  <c r="I821" i="1"/>
  <c r="AF821" i="1" s="1" a="1"/>
  <c r="I822" i="1"/>
  <c r="AF822" i="1" s="1" a="1"/>
  <c r="I823" i="1"/>
  <c r="AF823" i="1" s="1" a="1"/>
  <c r="I824" i="1"/>
  <c r="AF824" i="1" s="1" a="1"/>
  <c r="I826" i="1"/>
  <c r="AF826" i="1" s="1" a="1"/>
  <c r="I825" i="1"/>
  <c r="AF825" i="1" s="1" a="1"/>
  <c r="I827" i="1"/>
  <c r="AF827" i="1" s="1" a="1"/>
  <c r="I828" i="1"/>
  <c r="AF828" i="1" s="1" a="1"/>
  <c r="I830" i="1"/>
  <c r="AF830" i="1" s="1" a="1"/>
  <c r="I829" i="1"/>
  <c r="AF829" i="1" s="1" a="1"/>
  <c r="I831" i="1"/>
  <c r="AF831" i="1" s="1" a="1"/>
  <c r="I833" i="1"/>
  <c r="AF833" i="1" s="1" a="1"/>
  <c r="I832" i="1"/>
  <c r="AF832" i="1" s="1" a="1"/>
  <c r="I834" i="1"/>
  <c r="AF834" i="1" s="1" a="1"/>
  <c r="I835" i="1"/>
  <c r="AF835" i="1" s="1" a="1"/>
  <c r="I836" i="1"/>
  <c r="AF836" i="1" s="1" a="1"/>
  <c r="I837" i="1"/>
  <c r="AF837" i="1" s="1" a="1"/>
  <c r="I838" i="1"/>
  <c r="AF838" i="1" s="1" a="1"/>
  <c r="I839" i="1"/>
  <c r="AF839" i="1" s="1" a="1"/>
  <c r="I840" i="1"/>
  <c r="AF840" i="1" s="1" a="1"/>
  <c r="I842" i="1"/>
  <c r="AF842" i="1" s="1" a="1"/>
  <c r="I841" i="1"/>
  <c r="AF841" i="1" s="1" a="1"/>
  <c r="I843" i="1"/>
  <c r="AF843" i="1" s="1" a="1"/>
  <c r="I844" i="1"/>
  <c r="AF844" i="1" s="1" a="1"/>
  <c r="I845" i="1"/>
  <c r="AF845" i="1" s="1" a="1"/>
  <c r="I846" i="1"/>
  <c r="AF846" i="1" s="1" a="1"/>
  <c r="I847" i="1"/>
  <c r="AF847" i="1" s="1" a="1"/>
  <c r="I848" i="1"/>
  <c r="AF848" i="1" s="1" a="1"/>
  <c r="I849" i="1"/>
  <c r="AF849" i="1" s="1" a="1"/>
  <c r="I850" i="1"/>
  <c r="AF850" i="1" s="1" a="1"/>
  <c r="I851" i="1"/>
  <c r="AF851" i="1" s="1" a="1"/>
  <c r="I852" i="1"/>
  <c r="AF852" i="1" s="1" a="1"/>
  <c r="I853" i="1"/>
  <c r="AF853" i="1" s="1" a="1"/>
  <c r="I854" i="1"/>
  <c r="AF854" i="1" s="1" a="1"/>
  <c r="I856" i="1"/>
  <c r="AF856" i="1" s="1" a="1"/>
  <c r="I857" i="1"/>
  <c r="AF857" i="1" s="1" a="1"/>
  <c r="I858" i="1"/>
  <c r="AF858" i="1" s="1" a="1"/>
  <c r="I859" i="1"/>
  <c r="AF859" i="1" s="1" a="1"/>
  <c r="I855" i="1"/>
  <c r="AF855" i="1" s="1" a="1"/>
  <c r="I860" i="1"/>
  <c r="AF860" i="1" s="1" a="1"/>
  <c r="I861" i="1"/>
  <c r="AF861" i="1" s="1" a="1"/>
  <c r="I862" i="1"/>
  <c r="AF862" i="1" s="1" a="1"/>
  <c r="I863" i="1"/>
  <c r="AF863" i="1" s="1" a="1"/>
  <c r="I864" i="1"/>
  <c r="AF864" i="1" s="1" a="1"/>
  <c r="I866" i="1"/>
  <c r="AF866" i="1" s="1" a="1"/>
  <c r="I867" i="1"/>
  <c r="AF867" i="1" s="1" a="1"/>
  <c r="I868" i="1"/>
  <c r="AF868" i="1" s="1" a="1"/>
  <c r="I865" i="1"/>
  <c r="AF865" i="1" s="1" a="1"/>
  <c r="I869" i="1"/>
  <c r="AF869" i="1" s="1" a="1"/>
  <c r="I870" i="1"/>
  <c r="AF870" i="1" s="1" a="1"/>
  <c r="I871" i="1"/>
  <c r="AF871" i="1" s="1" a="1"/>
  <c r="I872" i="1"/>
  <c r="AF872" i="1" s="1" a="1"/>
  <c r="I873" i="1"/>
  <c r="AF873" i="1" s="1" a="1"/>
  <c r="I874" i="1"/>
  <c r="AF874" i="1" s="1" a="1"/>
  <c r="I876" i="1"/>
  <c r="AF876" i="1" s="1" a="1"/>
  <c r="I875" i="1"/>
  <c r="AF875" i="1" s="1" a="1"/>
  <c r="I877" i="1"/>
  <c r="AF877" i="1" s="1" a="1"/>
  <c r="I879" i="1"/>
  <c r="AF879" i="1" s="1" a="1"/>
  <c r="I878" i="1"/>
  <c r="AF878" i="1" s="1" a="1"/>
  <c r="I882" i="1"/>
  <c r="AF882" i="1" s="1" a="1"/>
  <c r="I880" i="1"/>
  <c r="AF880" i="1" s="1" a="1"/>
  <c r="I881" i="1"/>
  <c r="AF881" i="1" s="1" a="1"/>
  <c r="I883" i="1"/>
  <c r="AF883" i="1" s="1" a="1"/>
  <c r="I884" i="1"/>
  <c r="AF884" i="1" s="1" a="1"/>
  <c r="I885" i="1"/>
  <c r="AF885" i="1" s="1" a="1"/>
  <c r="I886" i="1"/>
  <c r="AF886" i="1" s="1" a="1"/>
  <c r="I887" i="1"/>
  <c r="AF887" i="1" s="1" a="1"/>
  <c r="I888" i="1"/>
  <c r="AF888" i="1" s="1" a="1"/>
  <c r="I892" i="1"/>
  <c r="AF892" i="1" s="1" a="1"/>
  <c r="I890" i="1"/>
  <c r="AF890" i="1" s="1" a="1"/>
  <c r="I894" i="1"/>
  <c r="AF894" i="1" s="1" a="1"/>
  <c r="I891" i="1"/>
  <c r="AF891" i="1" s="1" a="1"/>
  <c r="I895" i="1"/>
  <c r="AF895" i="1" s="1" a="1"/>
  <c r="I893" i="1"/>
  <c r="AF893" i="1" s="1" a="1"/>
  <c r="I889" i="1"/>
  <c r="AF889" i="1" s="1" a="1"/>
  <c r="I896" i="1"/>
  <c r="AF896" i="1" s="1" a="1"/>
  <c r="I897" i="1"/>
  <c r="AF897" i="1" s="1" a="1"/>
  <c r="I898" i="1"/>
  <c r="AF898" i="1" s="1" a="1"/>
  <c r="I899" i="1"/>
  <c r="AF899" i="1" s="1" a="1"/>
  <c r="I900" i="1"/>
  <c r="AF900" i="1" s="1" a="1"/>
  <c r="I901" i="1"/>
  <c r="AF901" i="1" s="1" a="1"/>
  <c r="I902" i="1"/>
  <c r="AF902" i="1" s="1" a="1"/>
  <c r="I903" i="1"/>
  <c r="AF903" i="1" s="1" a="1"/>
  <c r="I904" i="1"/>
  <c r="AF904" i="1" s="1" a="1"/>
  <c r="I905" i="1"/>
  <c r="AF905" i="1" s="1" a="1"/>
  <c r="I906" i="1"/>
  <c r="AF906" i="1" s="1" a="1"/>
  <c r="I907" i="1"/>
  <c r="AF907" i="1" s="1" a="1"/>
  <c r="I908" i="1"/>
  <c r="AF908" i="1" s="1" a="1"/>
  <c r="I910" i="1"/>
  <c r="AF910" i="1" s="1" a="1"/>
  <c r="I909" i="1"/>
  <c r="AF909" i="1" s="1" a="1"/>
  <c r="I911" i="1"/>
  <c r="AF911" i="1" s="1" a="1"/>
  <c r="I912" i="1"/>
  <c r="AF912" i="1" s="1" a="1"/>
  <c r="I913" i="1"/>
  <c r="AF913" i="1" s="1" a="1"/>
  <c r="I914" i="1"/>
  <c r="AF914" i="1" s="1" a="1"/>
  <c r="I915" i="1"/>
  <c r="AF915" i="1" s="1" a="1"/>
  <c r="I916" i="1"/>
  <c r="AF916" i="1" s="1" a="1"/>
  <c r="I917" i="1"/>
  <c r="AF917" i="1" s="1" a="1"/>
  <c r="I918" i="1"/>
  <c r="AF918" i="1" s="1" a="1"/>
  <c r="I919" i="1"/>
  <c r="AF919" i="1" s="1" a="1"/>
  <c r="I920" i="1"/>
  <c r="AF920" i="1" s="1" a="1"/>
  <c r="I921" i="1"/>
  <c r="AF921" i="1" s="1" a="1"/>
  <c r="I922" i="1"/>
  <c r="AF922" i="1" s="1" a="1"/>
  <c r="I923" i="1"/>
  <c r="AF923" i="1" s="1" a="1"/>
  <c r="I924" i="1"/>
  <c r="AF924" i="1" s="1" a="1"/>
  <c r="I925" i="1"/>
  <c r="AF925" i="1" s="1" a="1"/>
  <c r="I926" i="1"/>
  <c r="AF926" i="1" s="1" a="1"/>
  <c r="I927" i="1"/>
  <c r="AF927" i="1" s="1" a="1"/>
  <c r="I928" i="1"/>
  <c r="AF928" i="1" s="1" a="1"/>
  <c r="I929" i="1"/>
  <c r="AF929" i="1" s="1" a="1"/>
  <c r="I930" i="1"/>
  <c r="AF930" i="1" s="1" a="1"/>
  <c r="I931" i="1"/>
  <c r="AF931" i="1" s="1" a="1"/>
  <c r="I932" i="1"/>
  <c r="AF932" i="1" s="1" a="1"/>
  <c r="I933" i="1"/>
  <c r="AF933" i="1" s="1" a="1"/>
  <c r="I934" i="1"/>
  <c r="AF934" i="1" s="1" a="1"/>
  <c r="I935" i="1"/>
  <c r="AF935" i="1" s="1" a="1"/>
  <c r="I936" i="1"/>
  <c r="AF936" i="1" s="1" a="1"/>
  <c r="I937" i="1"/>
  <c r="AF937" i="1" s="1" a="1"/>
  <c r="I938" i="1"/>
  <c r="AF938" i="1" s="1" a="1"/>
  <c r="I939" i="1"/>
  <c r="AF939" i="1" s="1" a="1"/>
  <c r="I940" i="1"/>
  <c r="AF940" i="1" s="1" a="1"/>
  <c r="I941" i="1"/>
  <c r="AF941" i="1" s="1" a="1"/>
  <c r="I942" i="1"/>
  <c r="AF942" i="1" s="1" a="1"/>
  <c r="I943" i="1"/>
  <c r="AF943" i="1" s="1" a="1"/>
  <c r="I944" i="1"/>
  <c r="AF944" i="1" s="1" a="1"/>
  <c r="I945" i="1"/>
  <c r="AF945" i="1" s="1" a="1"/>
  <c r="I946" i="1"/>
  <c r="AF946" i="1" s="1" a="1"/>
  <c r="I947" i="1"/>
  <c r="AF947" i="1" s="1" a="1"/>
  <c r="I948" i="1"/>
  <c r="AF948" i="1" s="1" a="1"/>
  <c r="I949" i="1"/>
  <c r="AF949" i="1" s="1" a="1"/>
  <c r="I950" i="1"/>
  <c r="AF950" i="1" s="1" a="1"/>
  <c r="I951" i="1"/>
  <c r="AF951" i="1" s="1" a="1"/>
  <c r="I952" i="1"/>
  <c r="AF952" i="1" s="1" a="1"/>
  <c r="I953" i="1"/>
  <c r="AF953" i="1" s="1" a="1"/>
  <c r="I954" i="1"/>
  <c r="AF954" i="1" s="1" a="1"/>
  <c r="I955" i="1"/>
  <c r="AF955" i="1" s="1" a="1"/>
  <c r="I956" i="1"/>
  <c r="AF956" i="1" s="1" a="1"/>
  <c r="I957" i="1"/>
  <c r="AF957" i="1" s="1" a="1"/>
  <c r="I958" i="1"/>
  <c r="AF958" i="1" s="1" a="1"/>
  <c r="I959" i="1"/>
  <c r="AF959" i="1" s="1" a="1"/>
  <c r="I960" i="1"/>
  <c r="AF960" i="1" s="1" a="1"/>
  <c r="I961" i="1"/>
  <c r="AF961" i="1" s="1" a="1"/>
  <c r="I962" i="1"/>
  <c r="AF962" i="1" s="1" a="1"/>
  <c r="I963" i="1"/>
  <c r="AF963" i="1" s="1" a="1"/>
  <c r="I964" i="1"/>
  <c r="AF964" i="1" s="1" a="1"/>
  <c r="I965" i="1"/>
  <c r="AF965" i="1" s="1" a="1"/>
  <c r="I966" i="1"/>
  <c r="AF966" i="1" s="1" a="1"/>
  <c r="I967" i="1"/>
  <c r="AF967" i="1" s="1" a="1"/>
  <c r="I968" i="1"/>
  <c r="AF968" i="1" s="1" a="1"/>
  <c r="I969" i="1"/>
  <c r="AF969" i="1" s="1" a="1"/>
  <c r="I970" i="1"/>
  <c r="AF970" i="1" s="1" a="1"/>
  <c r="I971" i="1"/>
  <c r="AF971" i="1" s="1" a="1"/>
  <c r="I972" i="1"/>
  <c r="AF972" i="1" s="1" a="1"/>
  <c r="I973" i="1"/>
  <c r="AF973" i="1" s="1" a="1"/>
  <c r="I974" i="1"/>
  <c r="AF974" i="1" s="1" a="1"/>
  <c r="I975" i="1"/>
  <c r="AF975" i="1" s="1" a="1"/>
  <c r="I976" i="1"/>
  <c r="AF976" i="1" s="1" a="1"/>
  <c r="I977" i="1"/>
  <c r="AF977" i="1" s="1" a="1"/>
  <c r="I978" i="1"/>
  <c r="AF978" i="1" s="1" a="1"/>
  <c r="I979" i="1"/>
  <c r="AF979" i="1" s="1" a="1"/>
  <c r="I981" i="1"/>
  <c r="AF981" i="1" s="1" a="1"/>
  <c r="I980" i="1"/>
  <c r="AF980" i="1" s="1" a="1"/>
  <c r="I982" i="1"/>
  <c r="AF982" i="1" s="1" a="1"/>
  <c r="I983" i="1"/>
  <c r="AF983" i="1" s="1" a="1"/>
  <c r="I984" i="1"/>
  <c r="AF984" i="1" s="1" a="1"/>
  <c r="I985" i="1"/>
  <c r="AF985" i="1" s="1" a="1"/>
  <c r="I986" i="1"/>
  <c r="AF986" i="1" s="1" a="1"/>
  <c r="I987" i="1"/>
  <c r="AF987" i="1" s="1" a="1"/>
  <c r="I988" i="1"/>
  <c r="AF988" i="1" s="1" a="1"/>
  <c r="I989" i="1"/>
  <c r="AF989" i="1" s="1" a="1"/>
  <c r="I990" i="1"/>
  <c r="AF990" i="1" s="1" a="1"/>
  <c r="I991" i="1"/>
  <c r="AF991" i="1" s="1" a="1"/>
  <c r="I992" i="1"/>
  <c r="AF992" i="1" s="1" a="1"/>
  <c r="I993" i="1"/>
  <c r="AF993" i="1" s="1" a="1"/>
  <c r="I994" i="1"/>
  <c r="AF994" i="1" s="1" a="1"/>
  <c r="I996" i="1"/>
  <c r="AF996" i="1" s="1" a="1"/>
  <c r="I995" i="1"/>
  <c r="AF995" i="1" s="1" a="1"/>
  <c r="I997" i="1"/>
  <c r="AF997" i="1" s="1" a="1"/>
  <c r="I998" i="1"/>
  <c r="AF998" i="1" s="1" a="1"/>
  <c r="I999" i="1"/>
  <c r="AF999" i="1" s="1" a="1"/>
  <c r="I1001" i="1"/>
  <c r="AF1001" i="1" s="1" a="1"/>
  <c r="I1003" i="1"/>
  <c r="AF1003" i="1" s="1" a="1"/>
  <c r="I1004" i="1"/>
  <c r="AF1004" i="1" s="1" a="1"/>
  <c r="I1000" i="1"/>
  <c r="AF1000" i="1" s="1" a="1"/>
  <c r="I1002" i="1"/>
  <c r="AF1002" i="1" s="1" a="1"/>
  <c r="I1005" i="1"/>
  <c r="AF1005" i="1" s="1" a="1"/>
  <c r="I1008" i="1"/>
  <c r="AF1008" i="1" s="1" a="1"/>
  <c r="I1007" i="1"/>
  <c r="AF1007" i="1" s="1" a="1"/>
  <c r="I1009" i="1"/>
  <c r="AF1009" i="1" s="1" a="1"/>
  <c r="I1006" i="1"/>
  <c r="AF1006" i="1" s="1" a="1"/>
  <c r="I1010" i="1"/>
  <c r="AF1010" i="1" s="1" a="1"/>
  <c r="I1011" i="1"/>
  <c r="AF1011" i="1" s="1" a="1"/>
  <c r="I1012" i="1"/>
  <c r="AF1012" i="1" s="1" a="1"/>
  <c r="I1013" i="1"/>
  <c r="AF1013" i="1" s="1" a="1"/>
  <c r="I1014" i="1"/>
  <c r="AF1014" i="1" s="1" a="1"/>
  <c r="I1015" i="1"/>
  <c r="AF1015" i="1" s="1" a="1"/>
  <c r="I1016" i="1"/>
  <c r="AF1016" i="1" s="1" a="1"/>
  <c r="I1017" i="1"/>
  <c r="AF1017" i="1" s="1" a="1"/>
  <c r="I1018" i="1"/>
  <c r="AF1018" i="1" s="1" a="1"/>
  <c r="I1019" i="1"/>
  <c r="AF1019" i="1" s="1" a="1"/>
  <c r="I1020" i="1"/>
  <c r="AF1020" i="1" s="1" a="1"/>
  <c r="I1021" i="1"/>
  <c r="AF1021" i="1" s="1" a="1"/>
  <c r="I1022" i="1"/>
  <c r="AF1022" i="1" s="1" a="1"/>
  <c r="I1023" i="1"/>
  <c r="AF1023" i="1" s="1" a="1"/>
  <c r="I1024" i="1"/>
  <c r="AF1024" i="1" s="1" a="1"/>
  <c r="I1025" i="1"/>
  <c r="AF1025" i="1" s="1" a="1"/>
  <c r="I1026" i="1"/>
  <c r="AF1026" i="1" s="1" a="1"/>
  <c r="I1028" i="1"/>
  <c r="AF1028" i="1" s="1" a="1"/>
  <c r="I1027" i="1"/>
  <c r="AF1027" i="1" s="1" a="1"/>
  <c r="I1030" i="1"/>
  <c r="AF1030" i="1" s="1" a="1"/>
  <c r="I1029" i="1"/>
  <c r="AF1029" i="1" s="1" a="1"/>
  <c r="I1031" i="1"/>
  <c r="AF1031" i="1" s="1" a="1"/>
  <c r="I1032" i="1"/>
  <c r="AF1032" i="1" s="1" a="1"/>
  <c r="I1033" i="1"/>
  <c r="AF1033" i="1" s="1" a="1"/>
  <c r="I1036" i="1"/>
  <c r="AF1036" i="1" s="1" a="1"/>
  <c r="I1034" i="1"/>
  <c r="AF1034" i="1" s="1" a="1"/>
  <c r="I1037" i="1"/>
  <c r="AF1037" i="1" s="1" a="1"/>
  <c r="I1035" i="1"/>
  <c r="AF1035" i="1" s="1" a="1"/>
  <c r="I1039" i="1"/>
  <c r="AF1039" i="1" s="1" a="1"/>
  <c r="I1038" i="1"/>
  <c r="AF1038" i="1" s="1" a="1"/>
  <c r="I1040" i="1"/>
  <c r="AF1040" i="1" s="1" a="1"/>
  <c r="I1045" i="1"/>
  <c r="AF1045" i="1" s="1" a="1"/>
  <c r="I1046" i="1"/>
  <c r="AF1046" i="1" s="1" a="1"/>
  <c r="I1042" i="1"/>
  <c r="AF1042" i="1" s="1" a="1"/>
  <c r="I1041" i="1"/>
  <c r="AF1041" i="1" s="1" a="1"/>
  <c r="I1043" i="1"/>
  <c r="AF1043" i="1" s="1" a="1"/>
  <c r="I1044" i="1"/>
  <c r="AF1044" i="1" s="1" a="1"/>
  <c r="I1050" i="1"/>
  <c r="AF1050" i="1" s="1" a="1"/>
  <c r="I1051" i="1"/>
  <c r="AF1051" i="1" s="1" a="1"/>
  <c r="I1049" i="1"/>
  <c r="AF1049" i="1" s="1" a="1"/>
  <c r="I1047" i="1"/>
  <c r="AF1047" i="1" s="1" a="1"/>
  <c r="I1048" i="1"/>
  <c r="AF1048" i="1" s="1" a="1"/>
  <c r="I1052" i="1"/>
  <c r="AF1052" i="1" s="1" a="1"/>
  <c r="I1053" i="1"/>
  <c r="AF1053" i="1" s="1" a="1"/>
  <c r="I1054" i="1"/>
  <c r="AF1054" i="1" s="1" a="1"/>
  <c r="I1055" i="1"/>
  <c r="AF1055" i="1" s="1" a="1"/>
  <c r="I1059" i="1"/>
  <c r="AF1059" i="1" s="1" a="1"/>
  <c r="I1058" i="1"/>
  <c r="AF1058" i="1" s="1" a="1"/>
  <c r="I1057" i="1"/>
  <c r="AF1057" i="1" s="1" a="1"/>
  <c r="I1056" i="1"/>
  <c r="AF1056" i="1" s="1" a="1"/>
  <c r="I1062" i="1"/>
  <c r="AF1062" i="1" s="1" a="1"/>
  <c r="I1060" i="1"/>
  <c r="AF1060" i="1" s="1" a="1"/>
  <c r="I1063" i="1"/>
  <c r="AF1063" i="1" s="1" a="1"/>
  <c r="I1061" i="1"/>
  <c r="AF1061" i="1" s="1" a="1"/>
  <c r="I1065" i="1"/>
  <c r="AF1065" i="1" s="1" a="1"/>
  <c r="I1064" i="1"/>
  <c r="AF1064" i="1" s="1" a="1"/>
  <c r="I1066" i="1"/>
  <c r="AF1066" i="1" s="1" a="1"/>
  <c r="I1069" i="1"/>
  <c r="AF1069" i="1" s="1" a="1"/>
  <c r="I1067" i="1"/>
  <c r="AF1067" i="1" s="1" a="1"/>
  <c r="I1068" i="1"/>
  <c r="AF1068" i="1" s="1" a="1"/>
  <c r="I1070" i="1"/>
  <c r="AF1070" i="1" s="1" a="1"/>
  <c r="I1072" i="1"/>
  <c r="AF1072" i="1" s="1" a="1"/>
  <c r="I1071" i="1"/>
  <c r="AF1071" i="1" s="1" a="1"/>
  <c r="I1073" i="1"/>
  <c r="AF1073" i="1" s="1" a="1"/>
  <c r="I1074" i="1"/>
  <c r="AF1074" i="1" s="1" a="1"/>
  <c r="I1075" i="1"/>
  <c r="AF1075" i="1" s="1" a="1"/>
  <c r="I1079" i="1"/>
  <c r="AF1079" i="1" s="1" a="1"/>
  <c r="I1080" i="1"/>
  <c r="AF1080" i="1" s="1" a="1"/>
  <c r="I1078" i="1"/>
  <c r="AF1078" i="1" s="1" a="1"/>
  <c r="I1076" i="1"/>
  <c r="AF1076" i="1" s="1" a="1"/>
  <c r="I1077" i="1"/>
  <c r="AF1077" i="1" s="1" a="1"/>
  <c r="I1084" i="1"/>
  <c r="AF1084" i="1" s="1" a="1"/>
  <c r="I1085" i="1"/>
  <c r="AF1085" i="1" s="1" a="1"/>
  <c r="I1086" i="1"/>
  <c r="AF1086" i="1" s="1" a="1"/>
  <c r="I1087" i="1"/>
  <c r="AF1087" i="1" s="1" a="1"/>
  <c r="I1082" i="1"/>
  <c r="AF1082" i="1" s="1" a="1"/>
  <c r="I1083" i="1"/>
  <c r="AF1083" i="1" s="1" a="1"/>
  <c r="I1081" i="1"/>
  <c r="AF1081" i="1" s="1" a="1"/>
  <c r="I1088" i="1"/>
  <c r="AF1088" i="1" s="1" a="1"/>
  <c r="I1089" i="1"/>
  <c r="AF1089" i="1" s="1" a="1"/>
  <c r="I1093" i="1"/>
  <c r="AF1093" i="1" s="1" a="1"/>
  <c r="I1090" i="1"/>
  <c r="AF1090" i="1" s="1" a="1"/>
  <c r="I1092" i="1"/>
  <c r="AF1092" i="1" s="1" a="1"/>
  <c r="I1091" i="1"/>
  <c r="AF1091" i="1" s="1" a="1"/>
  <c r="I1094" i="1"/>
  <c r="AF1094" i="1" s="1" a="1"/>
  <c r="I1095" i="1"/>
  <c r="AF1095" i="1" s="1" a="1"/>
  <c r="I1097" i="1"/>
  <c r="AF1097" i="1" s="1" a="1"/>
  <c r="I1096" i="1"/>
  <c r="AF1096" i="1" s="1" a="1"/>
  <c r="I1098" i="1"/>
  <c r="AF1098" i="1" s="1" a="1"/>
  <c r="I1101" i="1"/>
  <c r="AF1101" i="1" s="1" a="1"/>
  <c r="I1100" i="1"/>
  <c r="AF1100" i="1" s="1" a="1"/>
  <c r="I1099" i="1"/>
  <c r="AF1099" i="1" s="1" a="1"/>
  <c r="I1102" i="1"/>
  <c r="AF1102" i="1" s="1" a="1"/>
  <c r="I1103" i="1"/>
  <c r="AF1103" i="1" s="1" a="1"/>
  <c r="I1104" i="1"/>
  <c r="AF1104" i="1" s="1" a="1"/>
  <c r="I1105" i="1"/>
  <c r="AF1105" i="1" s="1" a="1"/>
  <c r="I1106" i="1"/>
  <c r="AF1106" i="1" s="1" a="1"/>
  <c r="I1109" i="1"/>
  <c r="AF1109" i="1" s="1" a="1"/>
  <c r="I1110" i="1"/>
  <c r="AF1110" i="1" s="1" a="1"/>
  <c r="I1108" i="1"/>
  <c r="AF1108" i="1" s="1" a="1"/>
  <c r="I1111" i="1"/>
  <c r="AF1111" i="1" s="1" a="1"/>
  <c r="I1107" i="1"/>
  <c r="AF1107" i="1" s="1" a="1"/>
  <c r="I1112" i="1"/>
  <c r="AF1112" i="1" s="1" a="1"/>
  <c r="I1113" i="1"/>
  <c r="AF1113" i="1" s="1" a="1"/>
  <c r="I1114" i="1"/>
  <c r="AF1114" i="1" s="1" a="1"/>
  <c r="I1115" i="1"/>
  <c r="AF1115" i="1" s="1" a="1"/>
  <c r="I1116" i="1"/>
  <c r="AF1116" i="1" s="1" a="1"/>
  <c r="I1117" i="1"/>
  <c r="AF1117" i="1" s="1" a="1"/>
  <c r="I1118" i="1"/>
  <c r="AF1118" i="1" s="1" a="1"/>
  <c r="I1129" i="1"/>
  <c r="AF1129" i="1" s="1" a="1"/>
  <c r="I1128" i="1"/>
  <c r="AF1128" i="1" s="1" a="1"/>
  <c r="I1124" i="1"/>
  <c r="AF1124" i="1" s="1" a="1"/>
  <c r="I1126" i="1"/>
  <c r="AF1126" i="1" s="1" a="1"/>
  <c r="I1122" i="1"/>
  <c r="AF1122" i="1" s="1" a="1"/>
  <c r="I1120" i="1"/>
  <c r="AF1120" i="1" s="1" a="1"/>
  <c r="I1125" i="1"/>
  <c r="AF1125" i="1" s="1" a="1"/>
  <c r="I1130" i="1"/>
  <c r="AF1130" i="1" s="1" a="1"/>
  <c r="I1127" i="1"/>
  <c r="AF1127" i="1" s="1" a="1"/>
  <c r="I1123" i="1"/>
  <c r="AF1123" i="1" s="1" a="1"/>
  <c r="I1121" i="1"/>
  <c r="AF1121" i="1" s="1" a="1"/>
  <c r="I1119" i="1"/>
  <c r="AF1119" i="1" s="1" a="1"/>
  <c r="I1131" i="1"/>
  <c r="AF1131" i="1" s="1" a="1"/>
  <c r="I1133" i="1"/>
  <c r="AF1133" i="1" s="1" a="1"/>
  <c r="I1132" i="1"/>
  <c r="AF1132" i="1" s="1" a="1"/>
  <c r="I1134" i="1"/>
  <c r="AF1134" i="1" s="1" a="1"/>
  <c r="I1135" i="1"/>
  <c r="AF1135" i="1" s="1" a="1"/>
  <c r="I1138" i="1"/>
  <c r="AF1138" i="1" s="1" a="1"/>
  <c r="I1139" i="1"/>
  <c r="AF1139" i="1" s="1" a="1"/>
  <c r="I1137" i="1"/>
  <c r="AF1137" i="1" s="1" a="1"/>
  <c r="I1136" i="1"/>
  <c r="AF1136" i="1" s="1" a="1"/>
  <c r="I1140" i="1"/>
  <c r="AF1140" i="1" s="1" a="1"/>
  <c r="I1141" i="1"/>
  <c r="AF1141" i="1" s="1" a="1"/>
  <c r="I1142" i="1"/>
  <c r="AF1142" i="1" s="1" a="1"/>
  <c r="I1145" i="1"/>
  <c r="AF1145" i="1" s="1" a="1"/>
  <c r="I1143" i="1"/>
  <c r="AF1143" i="1" s="1" a="1"/>
  <c r="I1144" i="1"/>
  <c r="AF1144" i="1" s="1" a="1"/>
  <c r="I1146" i="1"/>
  <c r="AF1146" i="1" s="1" a="1"/>
  <c r="I1147" i="1"/>
  <c r="AF1147" i="1" s="1" a="1"/>
  <c r="I1148" i="1"/>
  <c r="AF1148" i="1" s="1" a="1"/>
  <c r="I1149" i="1"/>
  <c r="AF1149" i="1" s="1" a="1"/>
  <c r="I1150" i="1"/>
  <c r="AF1150" i="1" s="1" a="1"/>
  <c r="I1151" i="1"/>
  <c r="AF1151" i="1" s="1" a="1"/>
  <c r="I1152" i="1"/>
  <c r="AF1152" i="1" s="1" a="1"/>
  <c r="I1153" i="1"/>
  <c r="AF1153" i="1" s="1" a="1"/>
  <c r="I1154" i="1"/>
  <c r="AF1154" i="1" s="1" a="1"/>
  <c r="I1155" i="1"/>
  <c r="AF1155" i="1" s="1" a="1"/>
  <c r="I1156" i="1"/>
  <c r="AF1156" i="1" s="1" a="1"/>
  <c r="I1157" i="1"/>
  <c r="AF1157" i="1" s="1" a="1"/>
  <c r="I1158" i="1"/>
  <c r="AF1158" i="1" s="1" a="1"/>
  <c r="I1159" i="1"/>
  <c r="AF1159" i="1" s="1" a="1"/>
  <c r="I1160" i="1"/>
  <c r="AF1160" i="1" s="1" a="1"/>
  <c r="I1161" i="1"/>
  <c r="AF1161" i="1" s="1" a="1"/>
  <c r="I1162" i="1"/>
  <c r="AF1162" i="1" s="1" a="1"/>
  <c r="I1163" i="1"/>
  <c r="AF1163" i="1" s="1" a="1"/>
  <c r="I1164" i="1"/>
  <c r="AF1164" i="1" s="1" a="1"/>
  <c r="I1165" i="1"/>
  <c r="AF1165" i="1" s="1" a="1"/>
  <c r="I1166" i="1"/>
  <c r="AF1166" i="1" s="1" a="1"/>
  <c r="I1167" i="1"/>
  <c r="AF1167" i="1" s="1" a="1"/>
  <c r="I1168" i="1"/>
  <c r="AF1168" i="1" s="1" a="1"/>
  <c r="I1169" i="1"/>
  <c r="AF1169" i="1" s="1" a="1"/>
  <c r="I1170" i="1"/>
  <c r="AF1170" i="1" s="1" a="1"/>
  <c r="I1171" i="1"/>
  <c r="AF1171" i="1" s="1" a="1"/>
  <c r="I1172" i="1"/>
  <c r="AF1172" i="1" s="1" a="1"/>
  <c r="I1173" i="1"/>
  <c r="AF1173" i="1" s="1" a="1"/>
  <c r="I1174" i="1"/>
  <c r="AF1174" i="1" s="1" a="1"/>
  <c r="I1175" i="1"/>
  <c r="AF1175" i="1" s="1" a="1"/>
  <c r="I1176" i="1"/>
  <c r="AF1176" i="1" s="1" a="1"/>
  <c r="I1177" i="1"/>
  <c r="AF1177" i="1" s="1" a="1"/>
  <c r="I1178" i="1"/>
  <c r="AF1178" i="1" s="1" a="1"/>
  <c r="I1179" i="1"/>
  <c r="AF1179" i="1" s="1" a="1"/>
  <c r="I1180" i="1"/>
  <c r="AF1180" i="1" s="1" a="1"/>
  <c r="I1181" i="1"/>
  <c r="AF1181" i="1" s="1" a="1"/>
  <c r="I1182" i="1"/>
  <c r="AF1182" i="1" s="1" a="1"/>
  <c r="I1183" i="1"/>
  <c r="AF1183" i="1" s="1" a="1"/>
  <c r="I1184" i="1"/>
  <c r="AF1184" i="1" s="1" a="1"/>
  <c r="I1185" i="1"/>
  <c r="AF1185" i="1" s="1" a="1"/>
  <c r="I1186" i="1"/>
  <c r="AF1186" i="1" s="1" a="1"/>
  <c r="I1187" i="1"/>
  <c r="AF1187" i="1" s="1" a="1"/>
  <c r="I1188" i="1"/>
  <c r="AF1188" i="1" s="1" a="1"/>
  <c r="I1189" i="1"/>
  <c r="AF1189" i="1" s="1" a="1"/>
  <c r="I1190" i="1"/>
  <c r="AF1190" i="1" s="1" a="1"/>
  <c r="I1191" i="1"/>
  <c r="AF1191" i="1" s="1" a="1"/>
  <c r="I1192" i="1"/>
  <c r="AF1192" i="1" s="1" a="1"/>
  <c r="I1193" i="1"/>
  <c r="AF1193" i="1" s="1" a="1"/>
  <c r="I1194" i="1"/>
  <c r="AF1194" i="1" s="1" a="1"/>
  <c r="I1195" i="1"/>
  <c r="AF1195" i="1" s="1" a="1"/>
  <c r="I1196" i="1"/>
  <c r="AF1196" i="1" s="1" a="1"/>
  <c r="I1197" i="1"/>
  <c r="AF1197" i="1" s="1" a="1"/>
  <c r="I1198" i="1"/>
  <c r="AF1198" i="1" s="1" a="1"/>
  <c r="I1199" i="1"/>
  <c r="AF1199" i="1" s="1" a="1"/>
  <c r="I1200" i="1"/>
  <c r="AF1200" i="1" s="1" a="1"/>
  <c r="I1201" i="1"/>
  <c r="AF1201" i="1" s="1" a="1"/>
  <c r="I1202" i="1"/>
  <c r="AF1202" i="1" s="1" a="1"/>
  <c r="I1203" i="1"/>
  <c r="AF1203" i="1" s="1" a="1"/>
  <c r="I1204" i="1"/>
  <c r="AF1204" i="1" s="1" a="1"/>
  <c r="I1205" i="1"/>
  <c r="AF1205" i="1" s="1" a="1"/>
  <c r="I1206" i="1"/>
  <c r="AF1206" i="1" s="1" a="1"/>
  <c r="I1207" i="1"/>
  <c r="AF1207" i="1" s="1" a="1"/>
  <c r="I1208" i="1"/>
  <c r="AF1208" i="1" s="1" a="1"/>
  <c r="I1209" i="1"/>
  <c r="AF1209" i="1" s="1" a="1"/>
  <c r="I1210" i="1"/>
  <c r="AF1210" i="1" s="1" a="1"/>
  <c r="I1211" i="1"/>
  <c r="AF1211" i="1" s="1" a="1"/>
  <c r="I1212" i="1"/>
  <c r="AF1212" i="1" s="1" a="1"/>
  <c r="I1213" i="1"/>
  <c r="AF1213" i="1" s="1" a="1"/>
  <c r="I1214" i="1"/>
  <c r="AF1214" i="1" s="1" a="1"/>
  <c r="I1215" i="1"/>
  <c r="AF1215" i="1" s="1" a="1"/>
  <c r="I1216" i="1"/>
  <c r="AF1216" i="1" s="1" a="1"/>
  <c r="I1217" i="1"/>
  <c r="AF1217" i="1" s="1" a="1"/>
  <c r="I1218" i="1"/>
  <c r="AF1218" i="1" s="1" a="1"/>
  <c r="I1219" i="1"/>
  <c r="AF1219" i="1" s="1" a="1"/>
  <c r="I1220" i="1"/>
  <c r="AF1220" i="1" s="1" a="1"/>
  <c r="I1221" i="1"/>
  <c r="AF1221" i="1" s="1" a="1"/>
  <c r="I1222" i="1"/>
  <c r="AF1222" i="1" s="1" a="1"/>
  <c r="I1223" i="1"/>
  <c r="AF1223" i="1" s="1" a="1"/>
  <c r="I1224" i="1"/>
  <c r="AF1224" i="1" s="1" a="1"/>
  <c r="I1225" i="1"/>
  <c r="AF1225" i="1" s="1" a="1"/>
  <c r="I1226" i="1"/>
  <c r="AF1226" i="1" s="1" a="1"/>
  <c r="I1227" i="1"/>
  <c r="AF1227" i="1" s="1" a="1"/>
  <c r="I1228" i="1"/>
  <c r="AF1228" i="1" s="1" a="1"/>
  <c r="I1229" i="1"/>
  <c r="AF1229" i="1" s="1" a="1"/>
  <c r="I1230" i="1"/>
  <c r="AF1230" i="1" s="1" a="1"/>
  <c r="I1231" i="1"/>
  <c r="AF1231" i="1" s="1" a="1"/>
  <c r="I1232" i="1"/>
  <c r="AF1232" i="1" s="1" a="1"/>
  <c r="I1233" i="1"/>
  <c r="AF1233" i="1" s="1" a="1"/>
  <c r="I1234" i="1"/>
  <c r="AF1234" i="1" s="1" a="1"/>
  <c r="I1235" i="1"/>
  <c r="AF1235" i="1" s="1" a="1"/>
  <c r="I1236" i="1"/>
  <c r="AF1236" i="1" s="1" a="1"/>
  <c r="I1237" i="1"/>
  <c r="AF1237" i="1" s="1" a="1"/>
  <c r="I1238" i="1"/>
  <c r="AF1238" i="1" s="1" a="1"/>
  <c r="I1239" i="1"/>
  <c r="AF1239" i="1" s="1" a="1"/>
  <c r="I1240" i="1"/>
  <c r="AF1240" i="1" s="1" a="1"/>
  <c r="I1241" i="1"/>
  <c r="AF1241" i="1" s="1" a="1"/>
  <c r="I1242" i="1"/>
  <c r="AF1242" i="1" s="1" a="1"/>
  <c r="I1243" i="1"/>
  <c r="AF1243" i="1" s="1" a="1"/>
  <c r="I1244" i="1"/>
  <c r="AF1244" i="1" s="1" a="1"/>
  <c r="I1245" i="1"/>
  <c r="AF1245" i="1" s="1" a="1"/>
  <c r="I1246" i="1"/>
  <c r="AF1246" i="1" s="1" a="1"/>
  <c r="I1247" i="1"/>
  <c r="AF1247" i="1" s="1" a="1"/>
  <c r="I1248" i="1"/>
  <c r="AF1248" i="1" s="1" a="1"/>
  <c r="I1249" i="1"/>
  <c r="AF1249" i="1" s="1" a="1"/>
  <c r="I1250" i="1"/>
  <c r="AF1250" i="1" s="1" a="1"/>
  <c r="I1251" i="1"/>
  <c r="AF1251" i="1" s="1" a="1"/>
  <c r="I1252" i="1"/>
  <c r="AF1252" i="1" s="1" a="1"/>
  <c r="I1253" i="1"/>
  <c r="AF1253" i="1" s="1" a="1"/>
  <c r="I1254" i="1"/>
  <c r="AF1254" i="1" s="1" a="1"/>
  <c r="I1255" i="1"/>
  <c r="AF1255" i="1" s="1" a="1"/>
  <c r="I1256" i="1"/>
  <c r="AF1256" i="1" s="1" a="1"/>
  <c r="I1257" i="1"/>
  <c r="AF1257" i="1" s="1" a="1"/>
  <c r="I1258" i="1"/>
  <c r="AF1258" i="1" s="1" a="1"/>
  <c r="I1259" i="1"/>
  <c r="AF1259" i="1" s="1" a="1"/>
  <c r="I1260" i="1"/>
  <c r="AF1260" i="1" s="1" a="1"/>
  <c r="I1261" i="1"/>
  <c r="AF1261" i="1" s="1" a="1"/>
  <c r="I1262" i="1"/>
  <c r="AF1262" i="1" s="1" a="1"/>
  <c r="I1263" i="1"/>
  <c r="AF1263" i="1" s="1" a="1"/>
  <c r="I1264" i="1"/>
  <c r="AF1264" i="1" s="1" a="1"/>
  <c r="I1265" i="1"/>
  <c r="AF1265" i="1" s="1" a="1"/>
  <c r="I1266" i="1"/>
  <c r="AF1266" i="1" s="1" a="1"/>
  <c r="I1267" i="1"/>
  <c r="AF1267" i="1" s="1" a="1"/>
  <c r="I1268" i="1"/>
  <c r="AF1268" i="1" s="1" a="1"/>
  <c r="I1269" i="1"/>
  <c r="AF1269" i="1" s="1" a="1"/>
  <c r="I1270" i="1"/>
  <c r="AF1270" i="1" s="1" a="1"/>
  <c r="I1271" i="1"/>
  <c r="AF1271" i="1" s="1" a="1"/>
  <c r="I1272" i="1"/>
  <c r="AF1272" i="1" s="1" a="1"/>
  <c r="I1273" i="1"/>
  <c r="AF1273" i="1" s="1" a="1"/>
  <c r="I1274" i="1"/>
  <c r="AF1274" i="1" s="1" a="1"/>
  <c r="I1275" i="1"/>
  <c r="AF1275" i="1" s="1" a="1"/>
  <c r="I1276" i="1"/>
  <c r="AF1276" i="1" s="1" a="1"/>
  <c r="I1277" i="1"/>
  <c r="AF1277" i="1" s="1" a="1"/>
  <c r="I1278" i="1"/>
  <c r="AF1278" i="1" s="1" a="1"/>
  <c r="I1279" i="1"/>
  <c r="AF1279" i="1" s="1" a="1"/>
  <c r="I1280" i="1"/>
  <c r="AF1280" i="1" s="1" a="1"/>
  <c r="I1281" i="1"/>
  <c r="AF1281" i="1" s="1" a="1"/>
  <c r="I1282" i="1"/>
  <c r="AF1282" i="1" s="1" a="1"/>
  <c r="I1283" i="1"/>
  <c r="AF1283" i="1" s="1" a="1"/>
  <c r="I1284" i="1"/>
  <c r="AF1284" i="1" s="1" a="1"/>
  <c r="I1285" i="1"/>
  <c r="AF1285" i="1" s="1" a="1"/>
  <c r="I1286" i="1"/>
  <c r="AF1286" i="1" s="1" a="1"/>
  <c r="I1287" i="1"/>
  <c r="AF1287" i="1" s="1" a="1"/>
  <c r="I1288" i="1"/>
  <c r="AF1288" i="1" s="1" a="1"/>
  <c r="I1289" i="1"/>
  <c r="AF1289" i="1" s="1" a="1"/>
  <c r="I1290" i="1"/>
  <c r="AF1290" i="1" s="1" a="1"/>
  <c r="I1291" i="1"/>
  <c r="AF1291" i="1" s="1" a="1"/>
  <c r="I1292" i="1"/>
  <c r="AF1292" i="1" s="1" a="1"/>
  <c r="I1293" i="1"/>
  <c r="AF1293" i="1" s="1" a="1"/>
  <c r="I1294" i="1"/>
  <c r="AF1294" i="1" s="1" a="1"/>
  <c r="I1295" i="1"/>
  <c r="AF1295" i="1" s="1" a="1"/>
  <c r="I1296" i="1"/>
  <c r="AF1296" i="1" s="1" a="1"/>
  <c r="I1297" i="1"/>
  <c r="AF1297" i="1" s="1" a="1"/>
  <c r="I1298" i="1"/>
  <c r="AF1298" i="1" s="1" a="1"/>
  <c r="I1299" i="1"/>
  <c r="AF1299" i="1" s="1" a="1"/>
  <c r="I1300" i="1"/>
  <c r="AF1300" i="1" s="1" a="1"/>
  <c r="I1301" i="1"/>
  <c r="AF1301" i="1" s="1" a="1"/>
  <c r="I1302" i="1"/>
  <c r="AF1302" i="1" s="1" a="1"/>
  <c r="I1303" i="1"/>
  <c r="AF1303" i="1" s="1" a="1"/>
  <c r="I1304" i="1"/>
  <c r="AF1304" i="1" s="1" a="1"/>
  <c r="I1305" i="1"/>
  <c r="AF1305" i="1" s="1" a="1"/>
  <c r="I1306" i="1"/>
  <c r="AF1306" i="1" s="1" a="1"/>
  <c r="I1307" i="1"/>
  <c r="AF1307" i="1" s="1" a="1"/>
  <c r="I1308" i="1"/>
  <c r="AF1308" i="1" s="1" a="1"/>
  <c r="I1309" i="1"/>
  <c r="AF1309" i="1" s="1" a="1"/>
  <c r="I1310" i="1"/>
  <c r="AF1310" i="1" s="1" a="1"/>
  <c r="I1311" i="1"/>
  <c r="AF1311" i="1" s="1" a="1"/>
  <c r="I1312" i="1"/>
  <c r="AF1312" i="1" s="1" a="1"/>
  <c r="I1315" i="1"/>
  <c r="AF1315" i="1" s="1" a="1"/>
  <c r="I1313" i="1"/>
  <c r="AF1313" i="1" s="1" a="1"/>
  <c r="I1316" i="1"/>
  <c r="AF1316" i="1" s="1" a="1"/>
  <c r="I1317" i="1"/>
  <c r="AF1317" i="1" s="1" a="1"/>
  <c r="I1314" i="1"/>
  <c r="AF1314" i="1" s="1" a="1"/>
  <c r="I1318" i="1"/>
  <c r="AF1318" i="1" s="1" a="1"/>
  <c r="I1319" i="1"/>
  <c r="AF1319" i="1" s="1" a="1"/>
  <c r="I1320" i="1"/>
  <c r="AF1320" i="1" s="1" a="1"/>
  <c r="I1321" i="1"/>
  <c r="AF1321" i="1" s="1" a="1"/>
  <c r="I1322" i="1"/>
  <c r="AF1322" i="1" s="1" a="1"/>
  <c r="I1326" i="1"/>
  <c r="AF1326" i="1" s="1" a="1"/>
  <c r="I1324" i="1"/>
  <c r="AF1324" i="1" s="1" a="1"/>
  <c r="I1325" i="1"/>
  <c r="AF1325" i="1" s="1" a="1"/>
  <c r="I1352" i="1"/>
  <c r="AF1352" i="1" s="1" a="1"/>
  <c r="I1327" i="1"/>
  <c r="AF1327" i="1" s="1" a="1"/>
  <c r="I1323" i="1"/>
  <c r="AF1323" i="1" s="1" a="1"/>
  <c r="I1329" i="1"/>
  <c r="AF1329" i="1" s="1" a="1"/>
  <c r="I1330" i="1"/>
  <c r="AF1330" i="1" s="1" a="1"/>
  <c r="I1331" i="1"/>
  <c r="AF1331" i="1" s="1" a="1"/>
  <c r="I1332" i="1"/>
  <c r="AF1332" i="1" s="1" a="1"/>
  <c r="I1333" i="1"/>
  <c r="AF1333" i="1" s="1" a="1"/>
  <c r="I1334" i="1"/>
  <c r="AF1334" i="1" s="1" a="1"/>
  <c r="I1335" i="1"/>
  <c r="AF1335" i="1" s="1" a="1"/>
  <c r="I1336" i="1"/>
  <c r="AF1336" i="1" s="1" a="1"/>
  <c r="I1337" i="1"/>
  <c r="AF1337" i="1" s="1" a="1"/>
  <c r="I1338" i="1"/>
  <c r="AF1338" i="1" s="1" a="1"/>
  <c r="I1339" i="1"/>
  <c r="AF1339" i="1" s="1" a="1"/>
  <c r="I1340" i="1"/>
  <c r="AF1340" i="1" s="1" a="1"/>
  <c r="I1341" i="1"/>
  <c r="AF1341" i="1" s="1" a="1"/>
  <c r="I1344" i="1"/>
  <c r="AF1344" i="1" s="1" a="1"/>
  <c r="I1342" i="1"/>
  <c r="AF1342" i="1" s="1" a="1"/>
  <c r="I1345" i="1"/>
  <c r="AF1345" i="1" s="1" a="1"/>
  <c r="I1343" i="1"/>
  <c r="AF1343" i="1" s="1" a="1"/>
  <c r="I1346" i="1"/>
  <c r="AF1346" i="1" s="1" a="1"/>
  <c r="I1347" i="1"/>
  <c r="AF1347" i="1" s="1" a="1"/>
  <c r="I1348" i="1"/>
  <c r="AF1348" i="1" s="1" a="1"/>
  <c r="I1349" i="1"/>
  <c r="AF1349" i="1" s="1" a="1"/>
  <c r="I1350" i="1"/>
  <c r="AF1350" i="1" s="1" a="1"/>
  <c r="I1351" i="1"/>
  <c r="AF1351" i="1" s="1" a="1"/>
  <c r="I1328" i="1"/>
  <c r="AF1328" i="1" s="1" a="1"/>
  <c r="I1353" i="1"/>
  <c r="AF1353" i="1" s="1" a="1"/>
  <c r="I1354" i="1"/>
  <c r="AF1354" i="1" s="1" a="1"/>
  <c r="I1355" i="1"/>
  <c r="AF1355" i="1" s="1" a="1"/>
  <c r="I1356" i="1"/>
  <c r="AF1356" i="1" s="1" a="1"/>
  <c r="I1357" i="1"/>
  <c r="AF1357" i="1" s="1" a="1"/>
  <c r="I1358" i="1"/>
  <c r="AF1358" i="1" s="1" a="1"/>
  <c r="I1359" i="1"/>
  <c r="AF1359" i="1" s="1" a="1"/>
  <c r="I1360" i="1"/>
  <c r="AF1360" i="1" s="1" a="1"/>
  <c r="I1361" i="1"/>
  <c r="AF1361" i="1" s="1" a="1"/>
  <c r="I1362" i="1"/>
  <c r="AF1362" i="1" s="1" a="1"/>
  <c r="I1363" i="1"/>
  <c r="AF1363" i="1" s="1" a="1"/>
  <c r="I1364" i="1"/>
  <c r="AF1364" i="1" s="1" a="1"/>
  <c r="I1365" i="1"/>
  <c r="AF1365" i="1" s="1" a="1"/>
  <c r="I1366" i="1"/>
  <c r="AF1366" i="1" s="1" a="1"/>
  <c r="I1368" i="1"/>
  <c r="AF1368" i="1" s="1" a="1"/>
  <c r="I1367" i="1"/>
  <c r="AF1367" i="1" s="1" a="1"/>
  <c r="I1369" i="1"/>
  <c r="AF1369" i="1" s="1" a="1"/>
  <c r="I1370" i="1"/>
  <c r="AF1370" i="1" s="1" a="1"/>
  <c r="I1372" i="1"/>
  <c r="AF1372" i="1" s="1" a="1"/>
  <c r="I1371" i="1"/>
  <c r="AF1371" i="1" s="1" a="1"/>
  <c r="I1373" i="1"/>
  <c r="AF1373" i="1" s="1" a="1"/>
  <c r="I1374" i="1"/>
  <c r="AF1374" i="1" s="1" a="1"/>
  <c r="I1375" i="1"/>
  <c r="AF1375" i="1" s="1" a="1"/>
  <c r="I1376" i="1"/>
  <c r="AF1376" i="1" s="1" a="1"/>
  <c r="I1377" i="1"/>
  <c r="AF1377" i="1" s="1" a="1"/>
  <c r="I1378" i="1"/>
  <c r="AF1378" i="1" s="1" a="1"/>
  <c r="I1379" i="1"/>
  <c r="AF1379" i="1" s="1" a="1"/>
  <c r="I1380" i="1"/>
  <c r="AF1380" i="1" s="1" a="1"/>
  <c r="I1381" i="1"/>
  <c r="AF1381" i="1" s="1" a="1"/>
  <c r="I1382" i="1"/>
  <c r="AF1382" i="1" s="1" a="1"/>
  <c r="I1383" i="1"/>
  <c r="AF1383" i="1" s="1" a="1"/>
  <c r="I1384" i="1"/>
  <c r="AF1384" i="1" s="1" a="1"/>
  <c r="I1385" i="1"/>
  <c r="AF1385" i="1" s="1" a="1"/>
  <c r="I1386" i="1"/>
  <c r="AF1386" i="1" s="1" a="1"/>
  <c r="I1389" i="1"/>
  <c r="AF1389" i="1" s="1" a="1"/>
  <c r="I1387" i="1"/>
  <c r="AF1387" i="1" s="1" a="1"/>
  <c r="I1388" i="1"/>
  <c r="AF1388" i="1" s="1" a="1"/>
  <c r="I1390" i="1"/>
  <c r="AF1390" i="1" s="1" a="1"/>
  <c r="I1391" i="1"/>
  <c r="AF1391" i="1" s="1" a="1"/>
  <c r="I1392" i="1"/>
  <c r="AF1392" i="1" s="1" a="1"/>
  <c r="I1393" i="1"/>
  <c r="AF1393" i="1" s="1" a="1"/>
  <c r="I1394" i="1"/>
  <c r="AF1394" i="1" s="1" a="1"/>
  <c r="I1395" i="1"/>
  <c r="AF1395" i="1" s="1" a="1"/>
  <c r="I1396" i="1"/>
  <c r="AF1396" i="1" s="1" a="1"/>
  <c r="I1397" i="1"/>
  <c r="AF1397" i="1" s="1" a="1"/>
  <c r="I1398" i="1"/>
  <c r="AF1398" i="1" s="1" a="1"/>
  <c r="I1399" i="1"/>
  <c r="AF1399" i="1" s="1" a="1"/>
  <c r="I1400" i="1"/>
  <c r="AF1400" i="1" s="1" a="1"/>
  <c r="I1402" i="1"/>
  <c r="AF1402" i="1" s="1" a="1"/>
  <c r="I1403" i="1"/>
  <c r="AF1403" i="1" s="1" a="1"/>
  <c r="I1404" i="1"/>
  <c r="AF1404" i="1" s="1" a="1"/>
  <c r="I1405" i="1"/>
  <c r="AF1405" i="1" s="1" a="1"/>
  <c r="I1406" i="1"/>
  <c r="AF1406" i="1" s="1" a="1"/>
  <c r="I1401" i="1"/>
  <c r="AF1401" i="1" s="1" a="1"/>
  <c r="I1407" i="1"/>
  <c r="AF1407" i="1" s="1" a="1"/>
  <c r="I1408" i="1"/>
  <c r="AF1408" i="1" s="1" a="1"/>
  <c r="I1409" i="1"/>
  <c r="AF1409" i="1" s="1" a="1"/>
  <c r="I1410" i="1"/>
  <c r="AF1410" i="1" s="1" a="1"/>
  <c r="I1411" i="1"/>
  <c r="AF1411" i="1" s="1" a="1"/>
  <c r="I1412" i="1"/>
  <c r="AF1412" i="1" s="1" a="1"/>
  <c r="I1413" i="1"/>
  <c r="AF1413" i="1" s="1" a="1"/>
  <c r="I1414" i="1"/>
  <c r="AF1414" i="1" s="1" a="1"/>
  <c r="I1415" i="1"/>
  <c r="AF1415" i="1" s="1" a="1"/>
  <c r="I1416" i="1"/>
  <c r="AF1416" i="1" s="1" a="1"/>
  <c r="I1424" i="1"/>
  <c r="AF1424" i="1" s="1" a="1"/>
  <c r="I1420" i="1"/>
  <c r="AF1420" i="1" s="1" a="1"/>
  <c r="I1425" i="1"/>
  <c r="AF1425" i="1" s="1" a="1"/>
  <c r="I1417" i="1"/>
  <c r="AF1417" i="1" s="1" a="1"/>
  <c r="I1421" i="1"/>
  <c r="AF1421" i="1" s="1" a="1"/>
  <c r="I1418" i="1"/>
  <c r="AF1418" i="1" s="1" a="1"/>
  <c r="I1422" i="1"/>
  <c r="AF1422" i="1" s="1" a="1"/>
  <c r="I1419" i="1"/>
  <c r="AF1419" i="1" s="1" a="1"/>
  <c r="I1423" i="1"/>
  <c r="AF1423" i="1" s="1" a="1"/>
  <c r="I1426" i="1"/>
  <c r="AF1426" i="1" s="1" a="1"/>
  <c r="I1427" i="1"/>
  <c r="AF1427" i="1" s="1" a="1"/>
  <c r="I1428" i="1"/>
  <c r="AF1428" i="1" s="1" a="1"/>
  <c r="I1429" i="1"/>
  <c r="AF1429" i="1" s="1" a="1"/>
  <c r="I1430" i="1"/>
  <c r="AF1430" i="1" s="1" a="1"/>
  <c r="I1431" i="1"/>
  <c r="AF1431" i="1" s="1" a="1"/>
  <c r="I1432" i="1"/>
  <c r="AF1432" i="1" s="1" a="1"/>
  <c r="I1433" i="1"/>
  <c r="AF1433" i="1" s="1" a="1"/>
  <c r="I1434" i="1"/>
  <c r="AF1434" i="1" s="1" a="1"/>
  <c r="I1435" i="1"/>
  <c r="AF1435" i="1" s="1" a="1"/>
  <c r="I1436" i="1"/>
  <c r="AF1436" i="1" s="1" a="1"/>
  <c r="I1437" i="1"/>
  <c r="AF1437" i="1" s="1" a="1"/>
  <c r="I1438" i="1"/>
  <c r="AF1438" i="1" s="1" a="1"/>
  <c r="I1439" i="1"/>
  <c r="AF1439" i="1" s="1" a="1"/>
  <c r="I1440" i="1"/>
  <c r="AF1440" i="1" s="1" a="1"/>
  <c r="I1441" i="1"/>
  <c r="AF1441" i="1" s="1" a="1"/>
  <c r="I1442" i="1"/>
  <c r="AF1442" i="1" s="1" a="1"/>
  <c r="I1443" i="1"/>
  <c r="AF1443" i="1" s="1" a="1"/>
  <c r="I1444" i="1"/>
  <c r="AF1444" i="1" s="1" a="1"/>
  <c r="I1445" i="1"/>
  <c r="AF1445" i="1" s="1" a="1"/>
  <c r="I1446" i="1"/>
  <c r="AF1446" i="1" s="1" a="1"/>
  <c r="I1447" i="1"/>
  <c r="AF1447" i="1" s="1" a="1"/>
  <c r="I1448" i="1"/>
  <c r="AF1448" i="1" s="1" a="1"/>
  <c r="I1449" i="1"/>
  <c r="AF1449" i="1" s="1" a="1"/>
  <c r="I1450" i="1"/>
  <c r="AF1450" i="1" s="1" a="1"/>
  <c r="I1451" i="1"/>
  <c r="AF1451" i="1" s="1" a="1"/>
  <c r="I1452" i="1"/>
  <c r="AF1452" i="1" s="1" a="1"/>
  <c r="I1453" i="1"/>
  <c r="AF1453" i="1" s="1" a="1"/>
  <c r="I1455" i="1"/>
  <c r="AF1455" i="1" s="1" a="1"/>
  <c r="I1456" i="1"/>
  <c r="AF1456" i="1" s="1" a="1"/>
  <c r="I1454" i="1"/>
  <c r="AF1454" i="1" s="1" a="1"/>
  <c r="I1457" i="1"/>
  <c r="AF1457" i="1" s="1" a="1"/>
  <c r="I1458" i="1"/>
  <c r="AF1458" i="1" s="1" a="1"/>
  <c r="I1459" i="1"/>
  <c r="AF1459" i="1" s="1" a="1"/>
  <c r="I1460" i="1"/>
  <c r="AF1460" i="1" s="1" a="1"/>
  <c r="I1461" i="1"/>
  <c r="AF1461" i="1" s="1" a="1"/>
  <c r="I1462" i="1"/>
  <c r="AF1462" i="1" s="1" a="1"/>
  <c r="I1464" i="1"/>
  <c r="AF1464" i="1" s="1" a="1"/>
  <c r="I1465" i="1"/>
  <c r="AF1465" i="1" s="1" a="1"/>
  <c r="I1463" i="1"/>
  <c r="AF1463" i="1" s="1" a="1"/>
  <c r="I1466" i="1"/>
  <c r="AF1466" i="1" s="1" a="1"/>
  <c r="I1467" i="1"/>
  <c r="AF1467" i="1" s="1" a="1"/>
  <c r="I1468" i="1"/>
  <c r="AF1468" i="1" s="1" a="1"/>
  <c r="I1469" i="1"/>
  <c r="AF1469" i="1" s="1" a="1"/>
  <c r="I1470" i="1"/>
  <c r="AF1470" i="1" s="1" a="1"/>
  <c r="I1471" i="1"/>
  <c r="AF1471" i="1" s="1" a="1"/>
  <c r="I1472" i="1"/>
  <c r="AF1472" i="1" s="1" a="1"/>
  <c r="I1473" i="1"/>
  <c r="AF1473" i="1" s="1" a="1"/>
  <c r="I1474" i="1"/>
  <c r="AF1474" i="1" s="1" a="1"/>
  <c r="I1475" i="1"/>
  <c r="AF1475" i="1" s="1" a="1"/>
  <c r="I1477" i="1"/>
  <c r="AF1477" i="1" s="1" a="1"/>
  <c r="I1478" i="1"/>
  <c r="AF1478" i="1" s="1" a="1"/>
  <c r="I1479" i="1"/>
  <c r="AF1479" i="1" s="1" a="1"/>
  <c r="I1476" i="1"/>
  <c r="AF1476" i="1" s="1" a="1"/>
  <c r="I1480" i="1"/>
  <c r="AF1480" i="1" s="1" a="1"/>
  <c r="I1481" i="1"/>
  <c r="AF1481" i="1" s="1" a="1"/>
  <c r="I1482" i="1"/>
  <c r="AF1482" i="1" s="1" a="1"/>
  <c r="I1484" i="1"/>
  <c r="AF1484" i="1" s="1" a="1"/>
  <c r="I1483" i="1"/>
  <c r="AF1483" i="1" s="1" a="1"/>
  <c r="I1485" i="1"/>
  <c r="AF1485" i="1" s="1" a="1"/>
  <c r="I1486" i="1"/>
  <c r="AF1486" i="1" s="1" a="1"/>
  <c r="I1487" i="1"/>
  <c r="AF1487" i="1" s="1" a="1"/>
  <c r="I1488" i="1"/>
  <c r="AF1488" i="1" s="1" a="1"/>
  <c r="I1489" i="1"/>
  <c r="AF1489" i="1" s="1" a="1"/>
  <c r="I1496" i="1"/>
  <c r="AF1496" i="1" s="1" a="1"/>
  <c r="I1490" i="1"/>
  <c r="AF1490" i="1" s="1" a="1"/>
  <c r="I1491" i="1"/>
  <c r="AF1491" i="1" s="1" a="1"/>
  <c r="I1492" i="1"/>
  <c r="AF1492" i="1" s="1" a="1"/>
  <c r="I1493" i="1"/>
  <c r="AF1493" i="1" s="1" a="1"/>
  <c r="I1497" i="1"/>
  <c r="AF1497" i="1" s="1" a="1"/>
  <c r="I1494" i="1"/>
  <c r="AF1494" i="1" s="1" a="1"/>
  <c r="I1495" i="1"/>
  <c r="AF1495" i="1" s="1" a="1"/>
  <c r="I1498" i="1"/>
  <c r="AF1498" i="1" s="1" a="1"/>
  <c r="I1499" i="1"/>
  <c r="AF1499" i="1" s="1" a="1"/>
  <c r="I1500" i="1"/>
  <c r="AF1500" i="1" s="1" a="1"/>
  <c r="I1501" i="1"/>
  <c r="AF1501" i="1" s="1" a="1"/>
  <c r="I1502" i="1"/>
  <c r="AF1502" i="1" s="1" a="1"/>
  <c r="I1503" i="1"/>
  <c r="AF1503" i="1" s="1" a="1"/>
  <c r="I1504" i="1"/>
  <c r="AF1504" i="1" s="1" a="1"/>
  <c r="I1505" i="1"/>
  <c r="AF1505" i="1" s="1" a="1"/>
  <c r="I1506" i="1"/>
  <c r="AF1506" i="1" s="1" a="1"/>
  <c r="I1509" i="1"/>
  <c r="AF1509" i="1" s="1" a="1"/>
  <c r="I1507" i="1"/>
  <c r="AF1507" i="1" s="1" a="1"/>
  <c r="I1508" i="1"/>
  <c r="AF1508" i="1" s="1" a="1"/>
  <c r="I1510" i="1"/>
  <c r="AF1510" i="1" s="1" a="1"/>
  <c r="I1511" i="1"/>
  <c r="AF1511" i="1" s="1" a="1"/>
  <c r="I1512" i="1"/>
  <c r="AF1512" i="1" s="1" a="1"/>
  <c r="I1513" i="1"/>
  <c r="AF1513" i="1" s="1" a="1"/>
  <c r="I1514" i="1"/>
  <c r="AF1514" i="1" s="1" a="1"/>
  <c r="I1515" i="1"/>
  <c r="AF1515" i="1" s="1" a="1"/>
  <c r="I1516" i="1"/>
  <c r="AF1516" i="1" s="1" a="1"/>
  <c r="I1517" i="1"/>
  <c r="AF1517" i="1" s="1" a="1"/>
  <c r="I1518" i="1"/>
  <c r="AF1518" i="1" s="1" a="1"/>
  <c r="I1519" i="1"/>
  <c r="AF1519" i="1" s="1" a="1"/>
  <c r="I1526" i="1"/>
  <c r="AF1526" i="1" s="1" a="1"/>
  <c r="I1527" i="1"/>
  <c r="AF1527" i="1" s="1" a="1"/>
  <c r="I1528" i="1"/>
  <c r="AF1528" i="1" s="1" a="1"/>
  <c r="I1520" i="1"/>
  <c r="AF1520" i="1" s="1" a="1"/>
  <c r="I1521" i="1"/>
  <c r="AF1521" i="1" s="1" a="1"/>
  <c r="I1522" i="1"/>
  <c r="AF1522" i="1" s="1" a="1"/>
  <c r="I1523" i="1"/>
  <c r="AF1523" i="1" s="1" a="1"/>
  <c r="I1524" i="1"/>
  <c r="AF1524" i="1" s="1" a="1"/>
  <c r="I1525" i="1"/>
  <c r="AF1525" i="1" s="1" a="1"/>
  <c r="I1529" i="1"/>
  <c r="AF1529" i="1" s="1" a="1"/>
  <c r="I1530" i="1"/>
  <c r="AF1530" i="1" s="1" a="1"/>
  <c r="I1531" i="1"/>
  <c r="AF1531" i="1" s="1" a="1"/>
  <c r="I1532" i="1"/>
  <c r="AF1532" i="1" s="1" a="1"/>
  <c r="I1533" i="1"/>
  <c r="AF1533" i="1" s="1" a="1"/>
  <c r="I1535" i="1"/>
  <c r="AF1535" i="1" s="1" a="1"/>
  <c r="I1534" i="1"/>
  <c r="AF1534" i="1" s="1" a="1"/>
  <c r="I1536" i="1"/>
  <c r="AF1536" i="1" s="1" a="1"/>
  <c r="I1537" i="1"/>
  <c r="AF1537" i="1" s="1" a="1"/>
  <c r="I1538" i="1"/>
  <c r="AF1538" i="1" s="1" a="1"/>
  <c r="I1539" i="1"/>
  <c r="AF1539" i="1" s="1" a="1"/>
  <c r="I1540" i="1"/>
  <c r="AF1540" i="1" s="1" a="1"/>
  <c r="I1541" i="1"/>
  <c r="AF1541" i="1" s="1" a="1"/>
  <c r="I1542" i="1"/>
  <c r="AF1542" i="1" s="1" a="1"/>
  <c r="I1543" i="1"/>
  <c r="AF1543" i="1" s="1" a="1"/>
  <c r="I1544" i="1"/>
  <c r="AF1544" i="1" s="1" a="1"/>
  <c r="I1545" i="1"/>
  <c r="AF1545" i="1" s="1" a="1"/>
  <c r="I1546" i="1"/>
  <c r="AF1546" i="1" s="1" a="1"/>
  <c r="I1547" i="1"/>
  <c r="AF1547" i="1" s="1" a="1"/>
  <c r="I1548" i="1"/>
  <c r="AF1548" i="1" s="1" a="1"/>
  <c r="I1549" i="1"/>
  <c r="AF1549" i="1" s="1" a="1"/>
  <c r="I1550" i="1"/>
  <c r="AF1550" i="1" s="1" a="1"/>
  <c r="I1553" i="1"/>
  <c r="AF1553" i="1" s="1" a="1"/>
  <c r="I1554" i="1"/>
  <c r="AF1554" i="1" s="1" a="1"/>
  <c r="I1551" i="1"/>
  <c r="AF1551" i="1" s="1" a="1"/>
  <c r="I1555" i="1"/>
  <c r="AF1555" i="1" s="1" a="1"/>
  <c r="I1552" i="1"/>
  <c r="AF1552" i="1" s="1" a="1"/>
  <c r="I1556" i="1"/>
  <c r="AF1556" i="1" s="1" a="1"/>
  <c r="I1557" i="1"/>
  <c r="AF1557" i="1" s="1" a="1"/>
  <c r="I1558" i="1"/>
  <c r="AF1558" i="1" s="1" a="1"/>
  <c r="I1559" i="1"/>
  <c r="AF1559" i="1" s="1" a="1"/>
  <c r="I1560" i="1"/>
  <c r="AF1560" i="1" s="1" a="1"/>
  <c r="I1561" i="1"/>
  <c r="AF1561" i="1" s="1" a="1"/>
  <c r="I1562" i="1"/>
  <c r="AF1562" i="1" s="1" a="1"/>
  <c r="I1563" i="1"/>
  <c r="AF1563" i="1" s="1" a="1"/>
  <c r="I1564" i="1"/>
  <c r="AF1564" i="1" s="1" a="1"/>
  <c r="I1565" i="1"/>
  <c r="AF1565" i="1" s="1" a="1"/>
  <c r="I1566" i="1"/>
  <c r="AF1566" i="1" s="1" a="1"/>
  <c r="I1567" i="1"/>
  <c r="AF1567" i="1" s="1" a="1"/>
  <c r="I1568" i="1"/>
  <c r="AF1568" i="1" s="1" a="1"/>
  <c r="I1572" i="1"/>
  <c r="AF1572" i="1" s="1" a="1"/>
  <c r="I1569" i="1"/>
  <c r="AF1569" i="1" s="1" a="1"/>
  <c r="I1570" i="1"/>
  <c r="AF1570" i="1" s="1" a="1"/>
  <c r="I1571" i="1"/>
  <c r="AF1571" i="1" s="1" a="1"/>
  <c r="I1573" i="1"/>
  <c r="AF1573" i="1" s="1" a="1"/>
  <c r="I1574" i="1"/>
  <c r="AF1574" i="1" s="1" a="1"/>
  <c r="I1576" i="1"/>
  <c r="AF1576" i="1" s="1" a="1"/>
  <c r="I1577" i="1"/>
  <c r="AF1577" i="1" s="1" a="1"/>
  <c r="I1578" i="1"/>
  <c r="AF1578" i="1" s="1" a="1"/>
  <c r="I1579" i="1"/>
  <c r="AF1579" i="1" s="1" a="1"/>
  <c r="I1580" i="1"/>
  <c r="AF1580" i="1" s="1" a="1"/>
  <c r="I1575" i="1"/>
  <c r="AF1575" i="1" s="1" a="1"/>
  <c r="I1581" i="1"/>
  <c r="AF1581" i="1" s="1" a="1"/>
  <c r="I1583" i="1"/>
  <c r="AF1583" i="1" s="1" a="1"/>
  <c r="I1582" i="1"/>
  <c r="AF1582" i="1" s="1" a="1"/>
  <c r="I1584" i="1"/>
  <c r="AF1584" i="1" s="1" a="1"/>
  <c r="I1587" i="1"/>
  <c r="AF1587" i="1" s="1" a="1"/>
  <c r="I1585" i="1"/>
  <c r="AF1585" i="1" s="1" a="1"/>
  <c r="I1586" i="1"/>
  <c r="AF1586" i="1" s="1" a="1"/>
  <c r="I1588" i="1"/>
  <c r="AF1588" i="1" s="1" a="1"/>
  <c r="I1591" i="1"/>
  <c r="AF1591" i="1" s="1" a="1"/>
  <c r="I1589" i="1"/>
  <c r="AF1589" i="1" s="1" a="1"/>
  <c r="I1590" i="1"/>
  <c r="AF1590" i="1" s="1" a="1"/>
  <c r="I1592" i="1"/>
  <c r="AF1592" i="1" s="1" a="1"/>
  <c r="I1593" i="1"/>
  <c r="AF1593" i="1" s="1" a="1"/>
  <c r="I1594" i="1"/>
  <c r="AF1594" i="1" s="1" a="1"/>
  <c r="I1595" i="1"/>
  <c r="AF1595" i="1" s="1" a="1"/>
  <c r="I1596" i="1"/>
  <c r="AF1596" i="1" s="1" a="1"/>
  <c r="I1597" i="1"/>
  <c r="AF1597" i="1" s="1" a="1"/>
  <c r="I1598" i="1"/>
  <c r="AF1598" i="1" s="1" a="1"/>
  <c r="I1599" i="1"/>
  <c r="AF1599" i="1" s="1" a="1"/>
  <c r="I1600" i="1"/>
  <c r="AF1600" i="1" s="1" a="1"/>
  <c r="I1601" i="1"/>
  <c r="AF1601" i="1" s="1" a="1"/>
  <c r="I1602" i="1"/>
  <c r="AF1602" i="1" s="1" a="1"/>
  <c r="I1603" i="1"/>
  <c r="AF1603" i="1" s="1" a="1"/>
  <c r="I1604" i="1"/>
  <c r="AF1604" i="1" s="1" a="1"/>
  <c r="I1605" i="1"/>
  <c r="AF1605" i="1" s="1" a="1"/>
  <c r="I1606" i="1"/>
  <c r="AF1606" i="1" s="1" a="1"/>
  <c r="I1607" i="1"/>
  <c r="AF1607" i="1" s="1" a="1"/>
  <c r="I1608" i="1"/>
  <c r="AF1608" i="1" s="1" a="1"/>
  <c r="I1609" i="1"/>
  <c r="AF1609" i="1" s="1" a="1"/>
  <c r="I1610" i="1"/>
  <c r="AF1610" i="1" s="1" a="1"/>
  <c r="I1611" i="1"/>
  <c r="AF1611" i="1" s="1" a="1"/>
  <c r="I1612" i="1"/>
  <c r="AF1612" i="1" s="1" a="1"/>
  <c r="I1613" i="1"/>
  <c r="AF1613" i="1" s="1" a="1"/>
  <c r="I1614" i="1"/>
  <c r="AF1614" i="1" s="1" a="1"/>
  <c r="I1615" i="1"/>
  <c r="AF1615" i="1" s="1" a="1"/>
  <c r="I1616" i="1"/>
  <c r="AF1616" i="1" s="1" a="1"/>
  <c r="I1617" i="1"/>
  <c r="AF1617" i="1" s="1" a="1"/>
  <c r="I1618" i="1"/>
  <c r="AF1618" i="1" s="1" a="1"/>
  <c r="I1619" i="1"/>
  <c r="AF1619" i="1" s="1" a="1"/>
  <c r="I1620" i="1"/>
  <c r="AF1620" i="1" s="1" a="1"/>
  <c r="I1621" i="1"/>
  <c r="AF1621" i="1" s="1" a="1"/>
  <c r="I1622" i="1"/>
  <c r="AF1622" i="1" s="1" a="1"/>
  <c r="I1623" i="1"/>
  <c r="AF1623" i="1" s="1" a="1"/>
  <c r="I1624" i="1"/>
  <c r="AF1624" i="1" s="1" a="1"/>
  <c r="I1625" i="1"/>
  <c r="AF1625" i="1" s="1" a="1"/>
  <c r="I1626" i="1"/>
  <c r="AF1626" i="1" s="1" a="1"/>
  <c r="I1627" i="1"/>
  <c r="AF1627" i="1" s="1" a="1"/>
  <c r="I1628" i="1"/>
  <c r="AF1628" i="1" s="1" a="1"/>
  <c r="I1629" i="1"/>
  <c r="AF1629" i="1" s="1" a="1"/>
  <c r="I1630" i="1"/>
  <c r="AF1630" i="1" s="1" a="1"/>
  <c r="I1631" i="1"/>
  <c r="AF1631" i="1" s="1" a="1"/>
  <c r="I1632" i="1"/>
  <c r="AF1632" i="1" s="1" a="1"/>
  <c r="I1633" i="1"/>
  <c r="AF1633" i="1" s="1" a="1"/>
  <c r="I1634" i="1"/>
  <c r="AF1634" i="1" s="1" a="1"/>
  <c r="I1635" i="1"/>
  <c r="AF1635" i="1" s="1" a="1"/>
  <c r="I1636" i="1"/>
  <c r="AF1636" i="1" s="1" a="1"/>
  <c r="I1637" i="1"/>
  <c r="AF1637" i="1" s="1" a="1"/>
  <c r="I1638" i="1"/>
  <c r="AF1638" i="1" s="1" a="1"/>
  <c r="I1639" i="1"/>
  <c r="AF1639" i="1" s="1" a="1"/>
  <c r="I1641" i="1"/>
  <c r="AF1641" i="1" s="1" a="1"/>
  <c r="I1640" i="1"/>
  <c r="AF1640" i="1" s="1" a="1"/>
  <c r="I1642" i="1"/>
  <c r="AF1642" i="1" s="1" a="1"/>
  <c r="I1643" i="1"/>
  <c r="AF1643" i="1" s="1" a="1"/>
  <c r="I1644" i="1"/>
  <c r="AF1644" i="1" s="1" a="1"/>
  <c r="I1645" i="1"/>
  <c r="AF1645" i="1" s="1" a="1"/>
  <c r="I1646" i="1"/>
  <c r="AF1646" i="1" s="1" a="1"/>
  <c r="I1647" i="1"/>
  <c r="AF1647" i="1" s="1" a="1"/>
  <c r="I1648" i="1"/>
  <c r="AF1648" i="1" s="1" a="1"/>
  <c r="I1649" i="1"/>
  <c r="AF1649" i="1" s="1" a="1"/>
  <c r="I1651" i="1"/>
  <c r="AF1651" i="1" s="1" a="1"/>
  <c r="I1650" i="1"/>
  <c r="AF1650" i="1" s="1" a="1"/>
  <c r="I1652" i="1"/>
  <c r="AF1652" i="1" s="1" a="1"/>
  <c r="I1653" i="1"/>
  <c r="AF1653" i="1" s="1" a="1"/>
  <c r="I1654" i="1"/>
  <c r="AF1654" i="1" s="1" a="1"/>
  <c r="I1655" i="1"/>
  <c r="AF1655" i="1" s="1" a="1"/>
  <c r="I1656" i="1"/>
  <c r="AF1656" i="1" s="1" a="1"/>
  <c r="I1657" i="1"/>
  <c r="AF1657" i="1" s="1" a="1"/>
  <c r="I1659" i="1"/>
  <c r="AF1659" i="1" s="1" a="1"/>
  <c r="I1660" i="1"/>
  <c r="AF1660" i="1" s="1" a="1"/>
  <c r="I1661" i="1"/>
  <c r="AF1661" i="1" s="1" a="1"/>
  <c r="I1658" i="1"/>
  <c r="AF1658" i="1" s="1" a="1"/>
  <c r="I1662" i="1"/>
  <c r="AF1662" i="1" s="1" a="1"/>
  <c r="I1663" i="1"/>
  <c r="AF1663" i="1" s="1" a="1"/>
  <c r="I1664" i="1"/>
  <c r="AF1664" i="1" s="1" a="1"/>
  <c r="I1665" i="1"/>
  <c r="AF1665" i="1" s="1" a="1"/>
  <c r="I1666" i="1"/>
  <c r="AF1666" i="1" s="1" a="1"/>
  <c r="I1667" i="1"/>
  <c r="AF1667" i="1" s="1" a="1"/>
  <c r="I1668" i="1"/>
  <c r="AF1668" i="1" s="1" a="1"/>
  <c r="I1669" i="1"/>
  <c r="AF1669" i="1" s="1" a="1"/>
  <c r="I1670" i="1"/>
  <c r="AF1670" i="1" s="1" a="1"/>
  <c r="I1671" i="1"/>
  <c r="AF1671" i="1" s="1" a="1"/>
  <c r="I1672" i="1"/>
  <c r="AF1672" i="1" s="1" a="1"/>
  <c r="I1673" i="1"/>
  <c r="AF1673" i="1" s="1" a="1"/>
  <c r="I1674" i="1"/>
  <c r="AF1674" i="1" s="1" a="1"/>
  <c r="I1675" i="1"/>
  <c r="AF1675" i="1" s="1" a="1"/>
  <c r="I1676" i="1"/>
  <c r="AF1676" i="1" s="1" a="1"/>
  <c r="I1677" i="1"/>
  <c r="AF1677" i="1" s="1" a="1"/>
  <c r="I1678" i="1"/>
  <c r="AF1678" i="1" s="1" a="1"/>
  <c r="I1679" i="1"/>
  <c r="AF1679" i="1" s="1" a="1"/>
  <c r="I1680" i="1"/>
  <c r="AF1680" i="1" s="1" a="1"/>
  <c r="I1681" i="1"/>
  <c r="AF1681" i="1" s="1" a="1"/>
  <c r="I1682" i="1"/>
  <c r="AF1682" i="1" s="1" a="1"/>
  <c r="I1683" i="1"/>
  <c r="AF1683" i="1" s="1" a="1"/>
  <c r="I1684" i="1"/>
  <c r="AF1684" i="1" s="1" a="1"/>
  <c r="I1687" i="1"/>
  <c r="AF1687" i="1" s="1" a="1"/>
  <c r="I1688" i="1"/>
  <c r="AF1688" i="1" s="1" a="1"/>
  <c r="I1686" i="1"/>
  <c r="AF1686" i="1" s="1" a="1"/>
  <c r="I1689" i="1"/>
  <c r="AF1689" i="1" s="1" a="1"/>
  <c r="I1690" i="1"/>
  <c r="AF1690" i="1" s="1" a="1"/>
  <c r="I1691" i="1"/>
  <c r="AF1691" i="1" s="1" a="1"/>
  <c r="I1685" i="1"/>
  <c r="AF1685" i="1" s="1" a="1"/>
  <c r="I1692" i="1"/>
  <c r="AF1692" i="1" s="1" a="1"/>
  <c r="I1693" i="1"/>
  <c r="AF1693" i="1" s="1" a="1"/>
  <c r="I1694" i="1"/>
  <c r="AF1694" i="1" s="1" a="1"/>
  <c r="I1695" i="1"/>
  <c r="AF1695" i="1" s="1" a="1"/>
  <c r="I1696" i="1"/>
  <c r="AF1696" i="1" s="1" a="1"/>
  <c r="I1697" i="1"/>
  <c r="AF1697" i="1" s="1" a="1"/>
  <c r="I1698" i="1"/>
  <c r="AF1698" i="1" s="1" a="1"/>
  <c r="I1699" i="1"/>
  <c r="AF1699" i="1" s="1" a="1"/>
  <c r="I1700" i="1"/>
  <c r="AF1700" i="1" s="1" a="1"/>
  <c r="I1701" i="1"/>
  <c r="AF1701" i="1" s="1" a="1"/>
  <c r="I1702" i="1"/>
  <c r="AF1702" i="1" s="1" a="1"/>
  <c r="I1703" i="1"/>
  <c r="AF1703" i="1" s="1" a="1"/>
  <c r="I1704" i="1"/>
  <c r="AF1704" i="1" s="1" a="1"/>
  <c r="I1705" i="1"/>
  <c r="AF1705" i="1" s="1" a="1"/>
  <c r="I1706" i="1"/>
  <c r="AF1706" i="1" s="1" a="1"/>
  <c r="I1707" i="1"/>
  <c r="AF1707" i="1" s="1" a="1"/>
  <c r="I1708" i="1"/>
  <c r="AF1708" i="1" s="1" a="1"/>
  <c r="I1709" i="1"/>
  <c r="AF1709" i="1" s="1" a="1"/>
  <c r="I1710" i="1"/>
  <c r="AF1710" i="1" s="1" a="1"/>
  <c r="I1711" i="1"/>
  <c r="AF1711" i="1" s="1" a="1"/>
  <c r="I1712" i="1"/>
  <c r="AF1712" i="1" s="1" a="1"/>
  <c r="I1713" i="1"/>
  <c r="AF1713" i="1" s="1" a="1"/>
  <c r="I1715" i="1"/>
  <c r="AF1715" i="1" s="1" a="1"/>
  <c r="I1714" i="1"/>
  <c r="AF1714" i="1" s="1" a="1"/>
  <c r="I1716" i="1"/>
  <c r="AF1716" i="1" s="1" a="1"/>
  <c r="I1717" i="1"/>
  <c r="AF1717" i="1" s="1" a="1"/>
  <c r="I1718" i="1"/>
  <c r="AF1718" i="1" s="1" a="1"/>
  <c r="I1719" i="1"/>
  <c r="AF1719" i="1" s="1" a="1"/>
  <c r="I1720" i="1"/>
  <c r="AF1720" i="1" s="1" a="1"/>
  <c r="I1721" i="1"/>
  <c r="AF1721" i="1" s="1" a="1"/>
  <c r="I1722" i="1"/>
  <c r="AF1722" i="1" s="1" a="1"/>
  <c r="I1723" i="1"/>
  <c r="AF1723" i="1" s="1" a="1"/>
  <c r="I1724" i="1"/>
  <c r="AF1724" i="1" s="1" a="1"/>
  <c r="I1725" i="1"/>
  <c r="AF1725" i="1" s="1" a="1"/>
  <c r="I1726" i="1"/>
  <c r="AF1726" i="1" s="1" a="1"/>
  <c r="I1727" i="1"/>
  <c r="AF1727" i="1" s="1" a="1"/>
  <c r="I1728" i="1"/>
  <c r="AF1728" i="1" s="1" a="1"/>
  <c r="I1729" i="1"/>
  <c r="AF1729" i="1" s="1" a="1"/>
  <c r="I1730" i="1"/>
  <c r="AF1730" i="1" s="1" a="1"/>
  <c r="I1731" i="1"/>
  <c r="AF1731" i="1" s="1" a="1"/>
  <c r="I1733" i="1"/>
  <c r="AF1733" i="1" s="1" a="1"/>
  <c r="I1732" i="1"/>
  <c r="AF1732" i="1" s="1" a="1"/>
  <c r="I1734" i="1"/>
  <c r="AF1734" i="1" s="1" a="1"/>
  <c r="I1735" i="1"/>
  <c r="AF1735" i="1" s="1" a="1"/>
  <c r="I1736" i="1"/>
  <c r="AF1736" i="1" s="1" a="1"/>
  <c r="I1737" i="1"/>
  <c r="AF1737" i="1" s="1" a="1"/>
  <c r="I1738" i="1"/>
  <c r="AF1738" i="1" s="1" a="1"/>
  <c r="I1739" i="1"/>
  <c r="AF1739" i="1" s="1" a="1"/>
  <c r="I1741" i="1"/>
  <c r="AF1741" i="1" s="1" a="1"/>
  <c r="I1742" i="1"/>
  <c r="AF1742" i="1" s="1" a="1"/>
  <c r="I1740" i="1"/>
  <c r="AF1740" i="1" s="1" a="1"/>
  <c r="I1743" i="1"/>
  <c r="AF1743" i="1" s="1" a="1"/>
  <c r="I1744" i="1"/>
  <c r="AF1744" i="1" s="1" a="1"/>
  <c r="I1745" i="1"/>
  <c r="AF1745" i="1" s="1" a="1"/>
  <c r="I1746" i="1"/>
  <c r="AF1746" i="1" s="1" a="1"/>
  <c r="I1747" i="1"/>
  <c r="AF1747" i="1" s="1" a="1"/>
  <c r="I1748" i="1"/>
  <c r="AF1748" i="1" s="1" a="1"/>
  <c r="I1749" i="1"/>
  <c r="AF1749" i="1" s="1" a="1"/>
  <c r="I1750" i="1"/>
  <c r="AF1750" i="1" s="1" a="1"/>
  <c r="I1752" i="1"/>
  <c r="AF1752" i="1" s="1" a="1"/>
  <c r="I1753" i="1"/>
  <c r="AF1753" i="1" s="1" a="1"/>
  <c r="I1754" i="1"/>
  <c r="AF1754" i="1" s="1" a="1"/>
  <c r="I1751" i="1"/>
  <c r="AF1751" i="1" s="1" a="1"/>
  <c r="I1755" i="1"/>
  <c r="AF1755" i="1" s="1" a="1"/>
  <c r="I1756" i="1"/>
  <c r="AF1756" i="1" s="1" a="1"/>
  <c r="I1757" i="1"/>
  <c r="AF1757" i="1" s="1" a="1"/>
  <c r="I1761" i="1"/>
  <c r="AF1761" i="1" s="1" a="1"/>
  <c r="I1762" i="1"/>
  <c r="AF1762" i="1" s="1" a="1"/>
  <c r="I1759" i="1"/>
  <c r="AF1759" i="1" s="1" a="1"/>
  <c r="I1758" i="1"/>
  <c r="AF1758" i="1" s="1" a="1"/>
  <c r="I1760" i="1"/>
  <c r="AF1760" i="1" s="1" a="1"/>
  <c r="I1763" i="1"/>
  <c r="AF1763" i="1" s="1" a="1"/>
  <c r="I1764" i="1"/>
  <c r="AF1764" i="1" s="1" a="1"/>
  <c r="I1765" i="1"/>
  <c r="AF1765" i="1" s="1" a="1"/>
  <c r="I1766" i="1"/>
  <c r="AF1766" i="1" s="1" a="1"/>
  <c r="I1767" i="1"/>
  <c r="AF1767" i="1" s="1" a="1"/>
  <c r="I1768" i="1"/>
  <c r="AF1768" i="1" s="1" a="1"/>
  <c r="I1769" i="1"/>
  <c r="AF1769" i="1" s="1" a="1"/>
  <c r="I1770" i="1"/>
  <c r="AF1770" i="1" s="1" a="1"/>
  <c r="I1771" i="1"/>
  <c r="AF1771" i="1" s="1" a="1"/>
  <c r="I1772" i="1"/>
  <c r="AF1772" i="1" s="1" a="1"/>
  <c r="I1773" i="1"/>
  <c r="AF1773" i="1" s="1" a="1"/>
  <c r="I1774" i="1"/>
  <c r="AF1774" i="1" s="1" a="1"/>
  <c r="I1775" i="1"/>
  <c r="AF1775" i="1" s="1" a="1"/>
  <c r="I1776" i="1"/>
  <c r="AF1776" i="1" s="1" a="1"/>
  <c r="I1786" i="1"/>
  <c r="AF1786" i="1" s="1" a="1"/>
  <c r="I1777" i="1"/>
  <c r="AF1777" i="1" s="1" a="1"/>
  <c r="I1778" i="1"/>
  <c r="AF1778" i="1" s="1" a="1"/>
  <c r="I1779" i="1"/>
  <c r="AF1779" i="1" s="1" a="1"/>
  <c r="I1780" i="1"/>
  <c r="AF1780" i="1" s="1" a="1"/>
  <c r="I1781" i="1"/>
  <c r="AF1781" i="1" s="1" a="1"/>
  <c r="I1782" i="1"/>
  <c r="AF1782" i="1" s="1" a="1"/>
  <c r="I1783" i="1"/>
  <c r="AF1783" i="1" s="1" a="1"/>
  <c r="I1784" i="1"/>
  <c r="AF1784" i="1" s="1" a="1"/>
  <c r="I1785" i="1"/>
  <c r="AF1785" i="1" s="1" a="1"/>
  <c r="I1788" i="1"/>
  <c r="AF1788" i="1" s="1" a="1"/>
  <c r="I1790" i="1"/>
  <c r="AF1790" i="1" s="1" a="1"/>
  <c r="I1792" i="1"/>
  <c r="AF1792" i="1" s="1" a="1"/>
  <c r="I1793" i="1"/>
  <c r="AF1793" i="1" s="1" a="1"/>
  <c r="I1794" i="1"/>
  <c r="AF1794" i="1" s="1" a="1"/>
  <c r="I1795" i="1"/>
  <c r="AF1795" i="1" s="1" a="1"/>
  <c r="I1796" i="1"/>
  <c r="AF1796" i="1" s="1" a="1"/>
  <c r="I1797" i="1"/>
  <c r="AF1797" i="1" s="1" a="1"/>
  <c r="I1798" i="1"/>
  <c r="AF1798" i="1" s="1" a="1"/>
  <c r="I1799" i="1"/>
  <c r="AF1799" i="1" s="1" a="1"/>
  <c r="I1800" i="1"/>
  <c r="AF1800" i="1" s="1" a="1"/>
  <c r="I1801" i="1"/>
  <c r="AF1801" i="1" s="1" a="1"/>
  <c r="I1802" i="1"/>
  <c r="AF1802" i="1" s="1" a="1"/>
  <c r="I1803" i="1"/>
  <c r="AF1803" i="1" s="1" a="1"/>
  <c r="I1789" i="1"/>
  <c r="AF1789" i="1" s="1" a="1"/>
  <c r="I1804" i="1"/>
  <c r="AF1804" i="1" s="1" a="1"/>
  <c r="I1805" i="1"/>
  <c r="AF1805" i="1" s="1" a="1"/>
  <c r="I1806" i="1"/>
  <c r="AF1806" i="1" s="1" a="1"/>
  <c r="I1791" i="1"/>
  <c r="AF1791" i="1" s="1" a="1"/>
  <c r="I1807" i="1"/>
  <c r="AF1807" i="1" s="1" a="1"/>
  <c r="I1787" i="1"/>
  <c r="AF1787" i="1" s="1" a="1"/>
  <c r="I1808" i="1"/>
  <c r="AF1808" i="1" s="1" a="1"/>
  <c r="I1809" i="1"/>
  <c r="AF1809" i="1" s="1" a="1"/>
  <c r="I1810" i="1"/>
  <c r="AF1810" i="1" s="1" a="1"/>
  <c r="I1812" i="1"/>
  <c r="AF1812" i="1" s="1" a="1"/>
  <c r="I1813" i="1"/>
  <c r="AF1813" i="1" s="1" a="1"/>
  <c r="I1814" i="1"/>
  <c r="AF1814" i="1" s="1" a="1"/>
  <c r="I1815" i="1"/>
  <c r="AF1815" i="1" s="1" a="1"/>
  <c r="I1816" i="1"/>
  <c r="AF1816" i="1" s="1" a="1"/>
  <c r="I1817" i="1"/>
  <c r="AF1817" i="1" s="1" a="1"/>
  <c r="I1818" i="1"/>
  <c r="AF1818" i="1" s="1" a="1"/>
  <c r="I1811" i="1"/>
  <c r="AF1811" i="1" s="1" a="1"/>
  <c r="I1819" i="1"/>
  <c r="AF1819" i="1" s="1" a="1"/>
  <c r="I1820" i="1"/>
  <c r="AF1820" i="1" s="1" a="1"/>
  <c r="I1823" i="1"/>
  <c r="AF1823" i="1" s="1" a="1"/>
  <c r="I1824" i="1"/>
  <c r="AF1824" i="1" s="1" a="1"/>
  <c r="I1821" i="1"/>
  <c r="AF1821" i="1" s="1" a="1"/>
  <c r="I1822" i="1"/>
  <c r="AF1822" i="1" s="1" a="1"/>
  <c r="I1825" i="1"/>
  <c r="AF1825" i="1" s="1" a="1"/>
  <c r="I1826" i="1"/>
  <c r="AF1826" i="1" s="1" a="1"/>
  <c r="I1831" i="1"/>
  <c r="AF1831" i="1" s="1" a="1"/>
  <c r="I1832" i="1"/>
  <c r="AF1832" i="1" s="1" a="1"/>
  <c r="I1827" i="1"/>
  <c r="AF1827" i="1" s="1" a="1"/>
  <c r="I1828" i="1"/>
  <c r="AF1828" i="1" s="1" a="1"/>
  <c r="I1829" i="1"/>
  <c r="AF1829" i="1" s="1" a="1"/>
  <c r="I1830" i="1"/>
  <c r="AF1830" i="1" s="1" a="1"/>
  <c r="I1833" i="1"/>
  <c r="AF1833" i="1" s="1" a="1"/>
  <c r="I1834" i="1"/>
  <c r="AF1834" i="1" s="1" a="1"/>
  <c r="I1835" i="1"/>
  <c r="AF1835" i="1" s="1" a="1"/>
  <c r="I1836" i="1"/>
  <c r="AF1836" i="1" s="1" a="1"/>
  <c r="I1838" i="1"/>
  <c r="AF1838" i="1" s="1" a="1"/>
  <c r="I1837" i="1"/>
  <c r="AF1837" i="1" s="1" a="1"/>
  <c r="I1839" i="1"/>
  <c r="AF1839" i="1" s="1" a="1"/>
  <c r="I1840" i="1"/>
  <c r="AF1840" i="1" s="1" a="1"/>
  <c r="I1841" i="1"/>
  <c r="AF1841" i="1" s="1" a="1"/>
  <c r="I1842" i="1"/>
  <c r="AF1842" i="1" s="1" a="1"/>
  <c r="I1843" i="1"/>
  <c r="AF1843" i="1" s="1" a="1"/>
  <c r="I1844" i="1"/>
  <c r="AF1844" i="1" s="1" a="1"/>
  <c r="I1845" i="1"/>
  <c r="AF1845" i="1" s="1" a="1"/>
  <c r="I1846" i="1"/>
  <c r="AF1846" i="1" s="1" a="1"/>
  <c r="I1847" i="1"/>
  <c r="AF1847" i="1" s="1" a="1"/>
  <c r="I1848" i="1"/>
  <c r="AF1848" i="1" s="1" a="1"/>
  <c r="I1849" i="1"/>
  <c r="AF1849" i="1" s="1" a="1"/>
  <c r="I1850" i="1"/>
  <c r="AF1850" i="1" s="1" a="1"/>
  <c r="I1851" i="1"/>
  <c r="AF1851" i="1" s="1" a="1"/>
  <c r="I1852" i="1"/>
  <c r="AF1852" i="1" s="1" a="1"/>
  <c r="I1853" i="1"/>
  <c r="AF1853" i="1" s="1" a="1"/>
  <c r="I1854" i="1"/>
  <c r="AF1854" i="1" s="1" a="1"/>
  <c r="I1855" i="1"/>
  <c r="AF1855" i="1" s="1" a="1"/>
  <c r="I1857" i="1"/>
  <c r="AF1857" i="1" s="1" a="1"/>
  <c r="I1856" i="1"/>
  <c r="AF1856" i="1" s="1" a="1"/>
  <c r="I1858" i="1"/>
  <c r="AF1858" i="1" s="1" a="1"/>
  <c r="I1860" i="1"/>
  <c r="AF1860" i="1" s="1" a="1"/>
  <c r="I1861" i="1"/>
  <c r="AF1861" i="1" s="1" a="1"/>
  <c r="I1862" i="1"/>
  <c r="AF1862" i="1" s="1" a="1"/>
  <c r="I1859" i="1"/>
  <c r="AF1859" i="1" s="1" a="1"/>
  <c r="I1863" i="1"/>
  <c r="AF1863" i="1" s="1" a="1"/>
  <c r="I1864" i="1"/>
  <c r="AF1864" i="1" s="1" a="1"/>
  <c r="I1865" i="1"/>
  <c r="AF1865" i="1" s="1" a="1"/>
  <c r="I1866" i="1"/>
  <c r="AF1866" i="1" s="1" a="1"/>
  <c r="I1867" i="1"/>
  <c r="AF1867" i="1" s="1" a="1"/>
  <c r="I1868" i="1"/>
  <c r="AF1868" i="1" s="1" a="1"/>
  <c r="I1869" i="1"/>
  <c r="AF1869" i="1" s="1" a="1"/>
  <c r="I1870" i="1"/>
  <c r="AF1870" i="1" s="1" a="1"/>
  <c r="I1871" i="1"/>
  <c r="AF1871" i="1" s="1" a="1"/>
  <c r="I1872" i="1"/>
  <c r="AF1872" i="1" s="1" a="1"/>
  <c r="I1875" i="1"/>
  <c r="AF1875" i="1" s="1" a="1"/>
  <c r="I1873" i="1"/>
  <c r="AF1873" i="1" s="1" a="1"/>
  <c r="I1880" i="1"/>
  <c r="AF1880" i="1" s="1" a="1"/>
  <c r="I1877" i="1"/>
  <c r="AF1877" i="1" s="1" a="1"/>
  <c r="I1874" i="1"/>
  <c r="AF1874" i="1" s="1" a="1"/>
  <c r="I1876" i="1"/>
  <c r="AF1876" i="1" s="1" a="1"/>
  <c r="I1878" i="1"/>
  <c r="AF1878" i="1" s="1" a="1"/>
  <c r="I1879" i="1"/>
  <c r="AF1879" i="1" s="1" a="1"/>
  <c r="I1881" i="1"/>
  <c r="AF1881" i="1" s="1" a="1"/>
  <c r="I1883" i="1"/>
  <c r="AF1883" i="1" s="1" a="1"/>
  <c r="I1884" i="1"/>
  <c r="AF1884" i="1" s="1" a="1"/>
  <c r="I1882" i="1"/>
  <c r="AF1882" i="1" s="1" a="1"/>
  <c r="I1885" i="1"/>
  <c r="AF1885" i="1" s="1" a="1"/>
  <c r="I1886" i="1"/>
  <c r="AF1886" i="1" s="1" a="1"/>
  <c r="I1887" i="1"/>
  <c r="AF1887" i="1" s="1" a="1"/>
  <c r="I1888" i="1"/>
  <c r="AF1888" i="1" s="1" a="1"/>
  <c r="I1889" i="1"/>
  <c r="AF1889" i="1" s="1" a="1"/>
  <c r="I1894" i="1"/>
  <c r="AF1894" i="1" s="1" a="1"/>
  <c r="I1899" i="1"/>
  <c r="AF1899" i="1" s="1" a="1"/>
  <c r="I1893" i="1"/>
  <c r="AF1893" i="1" s="1" a="1"/>
  <c r="I1892" i="1"/>
  <c r="AF1892" i="1" s="1" a="1"/>
  <c r="I1896" i="1"/>
  <c r="AF1896" i="1" s="1" a="1"/>
  <c r="I1895" i="1"/>
  <c r="AF1895" i="1" s="1" a="1"/>
  <c r="I1891" i="1"/>
  <c r="AF1891" i="1" s="1" a="1"/>
  <c r="I1890" i="1"/>
  <c r="AF1890" i="1" s="1" a="1"/>
  <c r="I1898" i="1"/>
  <c r="AF1898" i="1" s="1" a="1"/>
  <c r="I1900" i="1"/>
  <c r="AF1900" i="1" s="1" a="1"/>
  <c r="I1897" i="1"/>
  <c r="AF1897" i="1" s="1" a="1"/>
  <c r="I1903" i="1"/>
  <c r="AF1903" i="1" s="1" a="1"/>
  <c r="I1902" i="1"/>
  <c r="AF1902" i="1" s="1" a="1"/>
  <c r="I1901" i="1"/>
  <c r="AF1901" i="1" s="1" a="1"/>
  <c r="I1910" i="1"/>
  <c r="AF1910" i="1" s="1" a="1"/>
  <c r="I1911" i="1"/>
  <c r="AF1911" i="1" s="1" a="1"/>
  <c r="I1904" i="1"/>
  <c r="AF1904" i="1" s="1" a="1"/>
  <c r="I1906" i="1"/>
  <c r="AF1906" i="1" s="1" a="1"/>
  <c r="I1909" i="1"/>
  <c r="AF1909" i="1" s="1" a="1"/>
  <c r="I1908" i="1"/>
  <c r="AF1908" i="1" s="1" a="1"/>
  <c r="I1907" i="1"/>
  <c r="AF1907" i="1" s="1" a="1"/>
  <c r="I1905" i="1"/>
  <c r="AF1905" i="1" s="1" a="1"/>
  <c r="I1915" i="1"/>
  <c r="AF1915" i="1" s="1" a="1"/>
  <c r="I1919" i="1"/>
  <c r="AF1919" i="1" s="1" a="1"/>
  <c r="I1912" i="1"/>
  <c r="AF1912" i="1" s="1" a="1"/>
  <c r="I1921" i="1"/>
  <c r="AF1921" i="1" s="1" a="1"/>
  <c r="I1913" i="1"/>
  <c r="AF1913" i="1" s="1" a="1"/>
  <c r="I1917" i="1"/>
  <c r="AF1917" i="1" s="1" a="1"/>
  <c r="I1914" i="1"/>
  <c r="AF1914" i="1" s="1" a="1"/>
  <c r="I1918" i="1"/>
  <c r="AF1918" i="1" s="1" a="1"/>
  <c r="I1920" i="1"/>
  <c r="AF1920" i="1" s="1" a="1"/>
  <c r="I1916" i="1"/>
  <c r="AF1916" i="1" s="1" a="1"/>
  <c r="I1922" i="1"/>
  <c r="AF1922" i="1" s="1" a="1"/>
  <c r="I1924" i="1"/>
  <c r="AF1924" i="1" s="1" a="1"/>
  <c r="I1927" i="1"/>
  <c r="AF1927" i="1" s="1" a="1"/>
  <c r="I1928" i="1"/>
  <c r="AF1928" i="1" s="1" a="1"/>
  <c r="I1929" i="1"/>
  <c r="AF1929" i="1" s="1" a="1"/>
  <c r="I1923" i="1"/>
  <c r="AF1923" i="1" s="1" a="1"/>
  <c r="I1926" i="1"/>
  <c r="AF1926" i="1" s="1" a="1"/>
  <c r="I1925" i="1"/>
  <c r="AF1925" i="1" s="1" a="1"/>
  <c r="I1930" i="1"/>
  <c r="AF1930" i="1" s="1" a="1"/>
  <c r="I1931" i="1"/>
  <c r="AF1931" i="1" s="1" a="1"/>
  <c r="I1933" i="1"/>
  <c r="AF1933" i="1" s="1" a="1"/>
  <c r="I1932" i="1"/>
  <c r="AF1932" i="1" s="1" a="1"/>
  <c r="I1934" i="1"/>
  <c r="AF1934" i="1" s="1" a="1"/>
  <c r="I1935" i="1"/>
  <c r="AF1935" i="1" s="1" a="1"/>
  <c r="I1936" i="1"/>
  <c r="AF1936" i="1" s="1" a="1"/>
  <c r="I1937" i="1"/>
  <c r="AF1937" i="1" s="1" a="1"/>
  <c r="I1944" i="1"/>
  <c r="AF1944" i="1" s="1" a="1"/>
  <c r="I1943" i="1"/>
  <c r="AF1943" i="1" s="1" a="1"/>
  <c r="I1940" i="1"/>
  <c r="AF1940" i="1" s="1" a="1"/>
  <c r="I1938" i="1"/>
  <c r="AF1938" i="1" s="1" a="1"/>
  <c r="I1939" i="1"/>
  <c r="AF1939" i="1" s="1" a="1"/>
  <c r="I1942" i="1"/>
  <c r="AF1942" i="1" s="1" a="1"/>
  <c r="I1941" i="1"/>
  <c r="AF1941" i="1" s="1" a="1"/>
  <c r="I1946" i="1"/>
  <c r="AF1946" i="1" s="1" a="1"/>
  <c r="I1945" i="1"/>
  <c r="AF1945" i="1" s="1" a="1"/>
  <c r="I1947" i="1"/>
  <c r="AF1947" i="1" s="1" a="1"/>
  <c r="I1949" i="1"/>
  <c r="AF1949" i="1" s="1" a="1"/>
  <c r="I1948" i="1"/>
  <c r="AF1948" i="1" s="1" a="1"/>
  <c r="I1956" i="1"/>
  <c r="AF1956" i="1" s="1" a="1"/>
  <c r="I1951" i="1"/>
  <c r="AF1951" i="1" s="1" a="1"/>
  <c r="I1952" i="1"/>
  <c r="AF1952" i="1" s="1" a="1"/>
  <c r="I1953" i="1"/>
  <c r="AF1953" i="1" s="1" a="1"/>
  <c r="I1957" i="1"/>
  <c r="AF1957" i="1" s="1" a="1"/>
  <c r="I1958" i="1"/>
  <c r="AF1958" i="1" s="1" a="1"/>
  <c r="I1959" i="1"/>
  <c r="AF1959" i="1" s="1" a="1"/>
  <c r="I1954" i="1"/>
  <c r="AF1954" i="1" s="1" a="1"/>
  <c r="I1955" i="1"/>
  <c r="AF1955" i="1" s="1" a="1"/>
  <c r="I1950" i="1"/>
  <c r="AF1950" i="1" s="1" a="1"/>
  <c r="I1960" i="1"/>
  <c r="AF1960" i="1" s="1" a="1"/>
  <c r="I1961" i="1"/>
  <c r="AF1961" i="1" s="1" a="1"/>
  <c r="I1962" i="1"/>
  <c r="AF1962" i="1" s="1" a="1"/>
  <c r="I1965" i="1"/>
  <c r="AF1965" i="1" s="1" a="1"/>
  <c r="I1964" i="1"/>
  <c r="AF1964" i="1" s="1" a="1"/>
  <c r="I1963" i="1"/>
  <c r="AF1963" i="1" s="1" a="1"/>
  <c r="I1966" i="1"/>
  <c r="AF1966" i="1" s="1" a="1"/>
  <c r="I1967" i="1"/>
  <c r="AF1967" i="1" s="1" a="1"/>
  <c r="I1969" i="1"/>
  <c r="AF1969" i="1" s="1" a="1"/>
  <c r="I1970" i="1"/>
  <c r="AF1970" i="1" s="1" a="1"/>
  <c r="I1968" i="1"/>
  <c r="AF1968" i="1" s="1" a="1"/>
  <c r="I1971" i="1"/>
  <c r="AF1971" i="1" s="1" a="1"/>
  <c r="I1972" i="1"/>
  <c r="AF1972" i="1" s="1" a="1"/>
  <c r="I1973" i="1"/>
  <c r="AF1973" i="1" s="1" a="1"/>
  <c r="I1974" i="1"/>
  <c r="AF1974" i="1" s="1" a="1"/>
  <c r="I1975" i="1"/>
  <c r="AF1975" i="1" s="1" a="1"/>
  <c r="I1976" i="1"/>
  <c r="AF1976" i="1" s="1" a="1"/>
  <c r="I1977" i="1"/>
  <c r="AF1977" i="1" s="1" a="1"/>
  <c r="I1978" i="1"/>
  <c r="AF1978" i="1" s="1" a="1"/>
  <c r="I1980" i="1"/>
  <c r="AF1980" i="1" s="1" a="1"/>
  <c r="I1979" i="1"/>
  <c r="AF1979" i="1" s="1" a="1"/>
  <c r="I1981" i="1"/>
  <c r="AF1981" i="1" s="1" a="1"/>
  <c r="I1982" i="1"/>
  <c r="AF1982" i="1" s="1" a="1"/>
  <c r="I1987" i="1"/>
  <c r="AF1987" i="1" s="1" a="1"/>
  <c r="I1984" i="1"/>
  <c r="AF1984" i="1" s="1" a="1"/>
  <c r="I1988" i="1"/>
  <c r="AF1988" i="1" s="1" a="1"/>
  <c r="I1986" i="1"/>
  <c r="AF1986" i="1" s="1" a="1"/>
  <c r="I1989" i="1"/>
  <c r="AF1989" i="1" s="1" a="1"/>
  <c r="I1983" i="1"/>
  <c r="AF1983" i="1" s="1" a="1"/>
  <c r="I1990" i="1"/>
  <c r="AF1990" i="1" s="1" a="1"/>
  <c r="I1991" i="1"/>
  <c r="AF1991" i="1" s="1" a="1"/>
  <c r="I1994" i="1"/>
  <c r="AF1994" i="1" s="1" a="1"/>
  <c r="I1995" i="1"/>
  <c r="AF1995" i="1" s="1" a="1"/>
  <c r="I1992" i="1"/>
  <c r="AF1992" i="1" s="1" a="1"/>
  <c r="I1993" i="1"/>
  <c r="AF1993" i="1" s="1" a="1"/>
  <c r="I1996" i="1"/>
  <c r="AF1996" i="1" s="1" a="1"/>
  <c r="I1997" i="1"/>
  <c r="AF1997" i="1" s="1" a="1"/>
  <c r="I2001" i="1"/>
  <c r="AF2001" i="1" s="1" a="1"/>
  <c r="I2000" i="1"/>
  <c r="AF2000" i="1" s="1" a="1"/>
  <c r="I1999" i="1"/>
  <c r="AF1999" i="1" s="1" a="1"/>
  <c r="I1998" i="1"/>
  <c r="AF1998" i="1" s="1" a="1"/>
  <c r="I2004" i="1"/>
  <c r="AF2004" i="1" s="1" a="1"/>
  <c r="I2002" i="1"/>
  <c r="AF2002" i="1" s="1" a="1"/>
  <c r="I2003" i="1"/>
  <c r="AF2003" i="1" s="1" a="1"/>
  <c r="I2006" i="1"/>
  <c r="AF2006" i="1" s="1" a="1"/>
  <c r="I2005" i="1"/>
  <c r="AF2005" i="1" s="1" a="1"/>
  <c r="I2008" i="1"/>
  <c r="AF2008" i="1" s="1" a="1"/>
  <c r="I2011" i="1"/>
  <c r="AF2011" i="1" s="1" a="1"/>
  <c r="I2012" i="1"/>
  <c r="AF2012" i="1" s="1" a="1"/>
  <c r="I2014" i="1"/>
  <c r="AF2014" i="1" s="1" a="1"/>
  <c r="I2013" i="1"/>
  <c r="AF2013" i="1" s="1" a="1"/>
  <c r="I2009" i="1"/>
  <c r="AF2009" i="1" s="1" a="1"/>
  <c r="I2010" i="1"/>
  <c r="AF2010" i="1" s="1" a="1"/>
  <c r="I2015" i="1"/>
  <c r="AF2015" i="1" s="1" a="1"/>
  <c r="I2007" i="1"/>
  <c r="AF2007" i="1" s="1" a="1"/>
  <c r="I2016" i="1"/>
  <c r="AF2016" i="1" s="1" a="1"/>
  <c r="I2019" i="1"/>
  <c r="AF2019" i="1" s="1" a="1"/>
  <c r="I2017" i="1"/>
  <c r="AF2017" i="1" s="1" a="1"/>
  <c r="I2018" i="1"/>
  <c r="AF2018" i="1" s="1" a="1"/>
  <c r="I2020" i="1"/>
  <c r="AF2020" i="1" s="1" a="1"/>
  <c r="I2021" i="1"/>
  <c r="AF2021" i="1" s="1" a="1"/>
  <c r="I2022" i="1"/>
  <c r="AF2022" i="1" s="1" a="1"/>
  <c r="I2023" i="1"/>
  <c r="AF2023" i="1" s="1" a="1"/>
  <c r="I2024" i="1"/>
  <c r="AF2024" i="1" s="1" a="1"/>
  <c r="I2025" i="1"/>
  <c r="AF2025" i="1" s="1" a="1"/>
  <c r="I2026" i="1"/>
  <c r="AF2026" i="1" s="1" a="1"/>
  <c r="I2029" i="1"/>
  <c r="AF2029" i="1" s="1" a="1"/>
  <c r="I2028" i="1"/>
  <c r="AF2028" i="1" s="1" a="1"/>
  <c r="I2027" i="1"/>
  <c r="AF2027" i="1" s="1" a="1"/>
  <c r="I2032" i="1"/>
  <c r="AF2032" i="1" s="1" a="1"/>
  <c r="I2030" i="1"/>
  <c r="AF2030" i="1" s="1" a="1"/>
  <c r="I2031" i="1"/>
  <c r="AF2031" i="1" s="1" a="1"/>
  <c r="I2034" i="1"/>
  <c r="AF2034" i="1" s="1" a="1"/>
  <c r="I2035" i="1"/>
  <c r="AF2035" i="1" s="1" a="1"/>
  <c r="I2036" i="1"/>
  <c r="AF2036" i="1" s="1" a="1"/>
  <c r="I2037" i="1"/>
  <c r="AF2037" i="1" s="1" a="1"/>
  <c r="I2038" i="1"/>
  <c r="AF2038" i="1" s="1" a="1"/>
  <c r="I2039" i="1"/>
  <c r="AF2039" i="1" s="1" a="1"/>
  <c r="I2040" i="1"/>
  <c r="AF2040" i="1" s="1" a="1"/>
  <c r="I2041" i="1"/>
  <c r="AF2041" i="1" s="1" a="1"/>
  <c r="I2042" i="1"/>
  <c r="AF2042" i="1" s="1" a="1"/>
  <c r="I2043" i="1"/>
  <c r="AF2043" i="1" s="1" a="1"/>
  <c r="I2048" i="1"/>
  <c r="AF2048" i="1" s="1" a="1"/>
  <c r="I2046" i="1"/>
  <c r="AF2046" i="1" s="1" a="1"/>
  <c r="I2047" i="1"/>
  <c r="AF2047" i="1" s="1" a="1"/>
  <c r="I2049" i="1"/>
  <c r="AF2049" i="1" s="1" a="1"/>
  <c r="I2050" i="1"/>
  <c r="AF2050" i="1" s="1" a="1"/>
  <c r="I2051" i="1"/>
  <c r="AF2051" i="1" s="1" a="1"/>
  <c r="I2044" i="1"/>
  <c r="AF2044" i="1" s="1" a="1"/>
  <c r="I2045" i="1"/>
  <c r="AF2045" i="1" s="1" a="1"/>
  <c r="I2052" i="1"/>
  <c r="AF2052" i="1" s="1" a="1"/>
  <c r="I2053" i="1"/>
  <c r="AF2053" i="1" s="1" a="1"/>
  <c r="I2054" i="1"/>
  <c r="AF2054" i="1" s="1" a="1"/>
  <c r="I2055" i="1"/>
  <c r="AF2055" i="1" s="1" a="1"/>
  <c r="I2056" i="1"/>
  <c r="AF2056" i="1" s="1" a="1"/>
  <c r="I2057" i="1"/>
  <c r="AF2057" i="1" s="1" a="1"/>
  <c r="I2058" i="1"/>
  <c r="AF2058" i="1" s="1" a="1"/>
  <c r="I2059" i="1"/>
  <c r="AF2059" i="1" s="1" a="1"/>
  <c r="I2063" i="1"/>
  <c r="AF2063" i="1" s="1" a="1"/>
  <c r="I2060" i="1"/>
  <c r="AF2060" i="1" s="1" a="1"/>
  <c r="I2064" i="1"/>
  <c r="AF2064" i="1" s="1" a="1"/>
  <c r="I2062" i="1"/>
  <c r="AF2062" i="1" s="1" a="1"/>
  <c r="I2061" i="1"/>
  <c r="AF2061" i="1" s="1" a="1"/>
  <c r="I2065" i="1"/>
  <c r="AF2065" i="1" s="1" a="1"/>
  <c r="I2066" i="1"/>
  <c r="AF2066" i="1" s="1" a="1"/>
  <c r="I2067" i="1"/>
  <c r="AF2067" i="1" s="1" a="1"/>
  <c r="I2068" i="1"/>
  <c r="AF2068" i="1" s="1" a="1"/>
  <c r="I2069" i="1"/>
  <c r="AF2069" i="1" s="1" a="1"/>
  <c r="I2072" i="1"/>
  <c r="AF2072" i="1" s="1" a="1"/>
  <c r="I2073" i="1"/>
  <c r="AF2073" i="1" s="1" a="1"/>
  <c r="I2079" i="1"/>
  <c r="AF2079" i="1" s="1" a="1"/>
  <c r="I2070" i="1"/>
  <c r="AF2070" i="1" s="1" a="1"/>
  <c r="I2071" i="1"/>
  <c r="AF2071" i="1" s="1" a="1"/>
  <c r="I2074" i="1"/>
  <c r="AF2074" i="1" s="1" a="1"/>
  <c r="I2075" i="1"/>
  <c r="AF2075" i="1" s="1" a="1"/>
  <c r="I2076" i="1"/>
  <c r="AF2076" i="1" s="1" a="1"/>
  <c r="I2077" i="1"/>
  <c r="AF2077" i="1" s="1" a="1"/>
  <c r="I2078" i="1"/>
  <c r="AF2078" i="1" s="1" a="1"/>
  <c r="I2080" i="1"/>
  <c r="AF2080" i="1" s="1" a="1"/>
  <c r="I2081" i="1"/>
  <c r="AF2081" i="1" s="1" a="1"/>
  <c r="I2084" i="1"/>
  <c r="AF2084" i="1" s="1" a="1"/>
  <c r="I2082" i="1"/>
  <c r="AF2082" i="1" s="1" a="1"/>
  <c r="I2110" i="1"/>
  <c r="AF2110" i="1" s="1" a="1"/>
  <c r="I2083" i="1"/>
  <c r="AF2083" i="1" s="1" a="1"/>
  <c r="I2089" i="1"/>
  <c r="AF2089" i="1" s="1" a="1"/>
  <c r="I2087" i="1"/>
  <c r="AF2087" i="1" s="1" a="1"/>
  <c r="I2088" i="1"/>
  <c r="AF2088" i="1" s="1" a="1"/>
  <c r="I2085" i="1"/>
  <c r="AF2085" i="1" s="1" a="1"/>
  <c r="I2086" i="1"/>
  <c r="AF2086" i="1" s="1" a="1"/>
  <c r="I2095" i="1"/>
  <c r="AF2095" i="1" s="1" a="1"/>
  <c r="I2096" i="1"/>
  <c r="AF2096" i="1" s="1" a="1"/>
  <c r="I2097" i="1"/>
  <c r="AF2097" i="1" s="1" a="1"/>
  <c r="I2092" i="1"/>
  <c r="AF2092" i="1" s="1" a="1"/>
  <c r="I2093" i="1"/>
  <c r="AF2093" i="1" s="1" a="1"/>
  <c r="I2094" i="1"/>
  <c r="AF2094" i="1" s="1" a="1"/>
  <c r="I2090" i="1"/>
  <c r="AF2090" i="1" s="1" a="1"/>
  <c r="I2091" i="1"/>
  <c r="AF2091" i="1" s="1" a="1"/>
  <c r="I2098" i="1"/>
  <c r="AF2098" i="1" s="1" a="1"/>
  <c r="I2099" i="1"/>
  <c r="AF2099" i="1" s="1" a="1"/>
  <c r="I2105" i="1"/>
  <c r="AF2105" i="1" s="1" a="1"/>
  <c r="I2106" i="1"/>
  <c r="AF2106" i="1" s="1" a="1"/>
  <c r="I2103" i="1"/>
  <c r="AF2103" i="1" s="1" a="1"/>
  <c r="I2101" i="1"/>
  <c r="AF2101" i="1" s="1" a="1"/>
  <c r="I2104" i="1"/>
  <c r="AF2104" i="1" s="1" a="1"/>
  <c r="I2100" i="1"/>
  <c r="AF2100" i="1" s="1" a="1"/>
  <c r="I2102" i="1"/>
  <c r="AF2102" i="1" s="1" a="1"/>
  <c r="I2107" i="1"/>
  <c r="AF2107" i="1" s="1" a="1"/>
  <c r="I2108" i="1"/>
  <c r="AF2108" i="1" s="1" a="1"/>
  <c r="I2109" i="1"/>
  <c r="AF2109" i="1" s="1" a="1"/>
  <c r="I2111" i="1"/>
  <c r="AF2111" i="1" s="1" a="1"/>
  <c r="I2112" i="1"/>
  <c r="AF2112" i="1" s="1" a="1"/>
  <c r="I2113" i="1"/>
  <c r="AF2113" i="1" s="1" a="1"/>
  <c r="I2114" i="1"/>
  <c r="AF2114" i="1" s="1" a="1"/>
  <c r="I2116" i="1"/>
  <c r="AF2116" i="1" s="1" a="1"/>
  <c r="I2117" i="1"/>
  <c r="AF2117" i="1" s="1" a="1"/>
  <c r="I2118" i="1"/>
  <c r="AF2118" i="1" s="1" a="1"/>
  <c r="I2119" i="1"/>
  <c r="AF2119" i="1" s="1" a="1"/>
  <c r="N2119" i="1"/>
  <c r="N2118" i="1"/>
  <c r="N2117" i="1"/>
  <c r="N2116" i="1"/>
  <c r="N2115" i="1"/>
  <c r="N2114" i="1"/>
  <c r="N2113" i="1"/>
  <c r="N2112" i="1"/>
  <c r="N2111" i="1"/>
  <c r="N2109" i="1"/>
  <c r="N2108" i="1"/>
  <c r="N2107" i="1"/>
  <c r="N2102" i="1"/>
  <c r="N2100" i="1"/>
  <c r="N2104" i="1"/>
  <c r="N2101" i="1"/>
  <c r="N2103" i="1"/>
  <c r="N2106" i="1"/>
  <c r="N2105" i="1"/>
  <c r="N2099" i="1"/>
  <c r="N2098" i="1"/>
  <c r="N2091" i="1"/>
  <c r="N2090" i="1"/>
  <c r="N2094" i="1"/>
  <c r="N2093" i="1"/>
  <c r="N2092" i="1"/>
  <c r="N2097" i="1"/>
  <c r="N2096" i="1"/>
  <c r="N2095" i="1"/>
  <c r="N2086" i="1"/>
  <c r="N2085" i="1"/>
  <c r="N2088" i="1"/>
  <c r="N2087" i="1"/>
  <c r="N2089" i="1"/>
  <c r="N2083" i="1"/>
  <c r="N2110" i="1"/>
  <c r="N2082" i="1"/>
  <c r="N2084" i="1"/>
  <c r="N2081" i="1"/>
  <c r="N2080" i="1"/>
  <c r="N2078" i="1"/>
  <c r="N2077" i="1"/>
  <c r="N2076" i="1"/>
  <c r="N2075" i="1"/>
  <c r="N2074" i="1"/>
  <c r="N2071" i="1"/>
  <c r="N2070" i="1"/>
  <c r="N2079" i="1"/>
  <c r="N2073" i="1"/>
  <c r="N2072" i="1"/>
  <c r="N2069" i="1"/>
  <c r="N2068" i="1"/>
  <c r="N2067" i="1"/>
  <c r="N2066" i="1"/>
  <c r="N2065" i="1"/>
  <c r="N2061" i="1"/>
  <c r="N2062" i="1"/>
  <c r="N2064" i="1"/>
  <c r="N2060" i="1"/>
  <c r="N2063" i="1"/>
  <c r="N2059" i="1"/>
  <c r="N2058" i="1"/>
  <c r="N2057" i="1"/>
  <c r="N2056" i="1"/>
  <c r="N2055" i="1"/>
  <c r="N2054" i="1"/>
  <c r="N2053" i="1"/>
  <c r="N2052" i="1"/>
  <c r="N2045" i="1"/>
  <c r="N2044" i="1"/>
  <c r="N2051" i="1"/>
  <c r="N2050" i="1"/>
  <c r="N2049" i="1"/>
  <c r="N2047" i="1"/>
  <c r="N2046" i="1"/>
  <c r="N2048" i="1"/>
  <c r="N2043" i="1"/>
  <c r="N2042" i="1"/>
  <c r="N2041" i="1"/>
  <c r="N2040" i="1"/>
  <c r="N2039" i="1"/>
  <c r="N2038" i="1"/>
  <c r="N2037" i="1"/>
  <c r="N2036" i="1"/>
  <c r="N2035" i="1"/>
  <c r="N2034" i="1"/>
  <c r="N2033" i="1"/>
  <c r="N2031" i="1"/>
  <c r="N2030" i="1"/>
  <c r="N2032" i="1"/>
  <c r="N2027" i="1"/>
  <c r="N2028" i="1"/>
  <c r="N2029" i="1"/>
  <c r="N2026" i="1"/>
  <c r="N2025" i="1"/>
  <c r="N2024" i="1"/>
  <c r="N2023" i="1"/>
  <c r="N2022" i="1"/>
  <c r="N2021" i="1"/>
  <c r="N2020" i="1"/>
  <c r="N2018" i="1"/>
  <c r="N2017" i="1"/>
  <c r="N2019" i="1"/>
  <c r="N2016" i="1"/>
  <c r="N2007" i="1"/>
  <c r="N2015" i="1"/>
  <c r="N2010" i="1"/>
  <c r="N2009" i="1"/>
  <c r="N2013" i="1"/>
  <c r="N2014" i="1"/>
  <c r="N2012" i="1"/>
  <c r="N2011" i="1"/>
  <c r="N2008" i="1"/>
  <c r="N2005" i="1"/>
  <c r="N2006" i="1"/>
  <c r="N2003" i="1"/>
  <c r="N2002" i="1"/>
  <c r="N2004" i="1"/>
  <c r="N1998" i="1"/>
  <c r="N1999" i="1"/>
  <c r="N2000" i="1"/>
  <c r="N2001" i="1"/>
  <c r="N1997" i="1"/>
  <c r="N1996" i="1"/>
  <c r="N1993" i="1"/>
  <c r="N1992" i="1"/>
  <c r="N1995" i="1"/>
  <c r="N1994" i="1"/>
  <c r="N1991" i="1"/>
  <c r="N1990" i="1"/>
  <c r="N1983" i="1"/>
  <c r="N1985" i="1"/>
  <c r="N1989" i="1"/>
  <c r="N1986" i="1"/>
  <c r="N1988" i="1"/>
  <c r="N1984" i="1"/>
  <c r="N1987" i="1"/>
  <c r="N1982" i="1"/>
  <c r="N1981" i="1"/>
  <c r="N1979" i="1"/>
  <c r="N1980" i="1"/>
  <c r="N1978" i="1"/>
  <c r="N1977" i="1"/>
  <c r="N1976" i="1"/>
  <c r="N1975" i="1"/>
  <c r="N1974" i="1"/>
  <c r="N1973" i="1"/>
  <c r="N1972" i="1"/>
  <c r="N1971" i="1"/>
  <c r="N1968" i="1"/>
  <c r="N1970" i="1"/>
  <c r="N1969" i="1"/>
  <c r="N1967" i="1"/>
  <c r="N1966" i="1"/>
  <c r="N1963" i="1"/>
  <c r="N1964" i="1"/>
  <c r="N1965" i="1"/>
  <c r="N1962" i="1"/>
  <c r="N1961" i="1"/>
  <c r="N1960" i="1"/>
  <c r="N1950" i="1"/>
  <c r="N1955" i="1"/>
  <c r="N1954" i="1"/>
  <c r="N1959" i="1"/>
  <c r="N1958" i="1"/>
  <c r="N1957" i="1"/>
  <c r="N1953" i="1"/>
  <c r="N1952" i="1"/>
  <c r="N1951" i="1"/>
  <c r="N1956" i="1"/>
  <c r="N1948" i="1"/>
  <c r="N1949" i="1"/>
  <c r="N1947" i="1"/>
  <c r="N1945" i="1"/>
  <c r="N1946" i="1"/>
  <c r="N1941" i="1"/>
  <c r="N1942" i="1"/>
  <c r="N1939" i="1"/>
  <c r="N1938" i="1"/>
  <c r="N1940" i="1"/>
  <c r="N1943" i="1"/>
  <c r="N1944" i="1"/>
  <c r="N1937" i="1"/>
  <c r="N1936" i="1"/>
  <c r="N1935" i="1"/>
  <c r="N1934" i="1"/>
  <c r="N1932" i="1"/>
  <c r="N1933" i="1"/>
  <c r="N1931" i="1"/>
  <c r="N1930" i="1"/>
  <c r="N1925" i="1"/>
  <c r="N1926" i="1"/>
  <c r="N1923" i="1"/>
  <c r="N1929" i="1"/>
  <c r="N1928" i="1"/>
  <c r="N1927" i="1"/>
  <c r="N1924" i="1"/>
  <c r="N1922" i="1"/>
  <c r="N1916" i="1"/>
  <c r="N1920" i="1"/>
  <c r="N1918" i="1"/>
  <c r="N1914" i="1"/>
  <c r="N1917" i="1"/>
  <c r="N1913" i="1"/>
  <c r="N1921" i="1"/>
  <c r="N1912" i="1"/>
  <c r="N1919" i="1"/>
  <c r="N1915" i="1"/>
  <c r="N1905" i="1"/>
  <c r="N1907" i="1"/>
  <c r="N1908" i="1"/>
  <c r="N1909" i="1"/>
  <c r="N1906" i="1"/>
  <c r="N1904" i="1"/>
  <c r="N1911" i="1"/>
  <c r="N1910" i="1"/>
  <c r="N1901" i="1"/>
  <c r="N1902" i="1"/>
  <c r="N1903" i="1"/>
  <c r="N1897" i="1"/>
  <c r="N1900" i="1"/>
  <c r="N1898" i="1"/>
  <c r="N1890" i="1"/>
  <c r="N1891" i="1"/>
  <c r="N1895" i="1"/>
  <c r="N1896" i="1"/>
  <c r="N1892" i="1"/>
  <c r="N1893" i="1"/>
  <c r="N1899" i="1"/>
  <c r="N1894" i="1"/>
  <c r="N1889" i="1"/>
  <c r="N1888" i="1"/>
  <c r="N1887" i="1"/>
  <c r="N1886" i="1"/>
  <c r="N1885" i="1"/>
  <c r="N1882" i="1"/>
  <c r="N1884" i="1"/>
  <c r="N1883" i="1"/>
  <c r="N1881" i="1"/>
  <c r="N1879" i="1"/>
  <c r="N1878" i="1"/>
  <c r="N1876" i="1"/>
  <c r="N1874" i="1"/>
  <c r="N1877" i="1"/>
  <c r="N1880" i="1"/>
  <c r="N1873" i="1"/>
  <c r="N1875" i="1"/>
  <c r="N1872" i="1"/>
  <c r="N1871" i="1"/>
  <c r="N1870" i="1"/>
  <c r="N1869" i="1"/>
  <c r="N1868" i="1"/>
  <c r="N1867" i="1"/>
  <c r="N1866" i="1"/>
  <c r="N1865" i="1"/>
  <c r="N1864" i="1"/>
  <c r="N1863" i="1"/>
  <c r="N1859" i="1"/>
  <c r="N1862" i="1"/>
  <c r="N1861" i="1"/>
  <c r="N1860" i="1"/>
  <c r="N1858" i="1"/>
  <c r="N1856" i="1"/>
  <c r="N1857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7" i="1"/>
  <c r="N1838" i="1"/>
  <c r="N1836" i="1"/>
  <c r="N1835" i="1"/>
  <c r="N1834" i="1"/>
  <c r="N1833" i="1"/>
  <c r="N1830" i="1"/>
  <c r="N1829" i="1"/>
  <c r="N1828" i="1"/>
  <c r="N1827" i="1"/>
  <c r="N1832" i="1"/>
  <c r="N1831" i="1"/>
  <c r="N1826" i="1"/>
  <c r="N1825" i="1"/>
  <c r="N1822" i="1"/>
  <c r="N1821" i="1"/>
  <c r="N1824" i="1"/>
  <c r="N1823" i="1"/>
  <c r="N1820" i="1"/>
  <c r="N1819" i="1"/>
  <c r="N1811" i="1"/>
  <c r="N1818" i="1"/>
  <c r="N1817" i="1"/>
  <c r="N1816" i="1"/>
  <c r="N1815" i="1"/>
  <c r="N1814" i="1"/>
  <c r="N1813" i="1"/>
  <c r="N1812" i="1"/>
  <c r="N1810" i="1"/>
  <c r="N1809" i="1"/>
  <c r="N1808" i="1"/>
  <c r="N1787" i="1"/>
  <c r="N1807" i="1"/>
  <c r="N1791" i="1"/>
  <c r="N1806" i="1"/>
  <c r="N1805" i="1"/>
  <c r="N1804" i="1"/>
  <c r="N1789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0" i="1"/>
  <c r="N1788" i="1"/>
  <c r="N1785" i="1"/>
  <c r="N1784" i="1"/>
  <c r="N1783" i="1"/>
  <c r="N1782" i="1"/>
  <c r="N1781" i="1"/>
  <c r="N1780" i="1"/>
  <c r="N1779" i="1"/>
  <c r="N1778" i="1"/>
  <c r="N1777" i="1"/>
  <c r="N1786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0" i="1"/>
  <c r="N1758" i="1"/>
  <c r="N1759" i="1"/>
  <c r="N1762" i="1"/>
  <c r="N1761" i="1"/>
  <c r="N1757" i="1"/>
  <c r="N1756" i="1"/>
  <c r="N1755" i="1"/>
  <c r="N1751" i="1"/>
  <c r="N1754" i="1"/>
  <c r="N1753" i="1"/>
  <c r="N1752" i="1"/>
  <c r="N1750" i="1"/>
  <c r="N1749" i="1"/>
  <c r="N1748" i="1"/>
  <c r="N1747" i="1"/>
  <c r="N1746" i="1"/>
  <c r="N1745" i="1"/>
  <c r="N1744" i="1"/>
  <c r="N1743" i="1"/>
  <c r="N1740" i="1"/>
  <c r="N1742" i="1"/>
  <c r="N1741" i="1"/>
  <c r="N1739" i="1"/>
  <c r="N1738" i="1"/>
  <c r="N1737" i="1"/>
  <c r="N1736" i="1"/>
  <c r="N1735" i="1"/>
  <c r="N1734" i="1"/>
  <c r="N1732" i="1"/>
  <c r="N1733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4" i="1"/>
  <c r="N1715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85" i="1"/>
  <c r="N1691" i="1"/>
  <c r="N1690" i="1"/>
  <c r="N1689" i="1"/>
  <c r="N1686" i="1"/>
  <c r="N1688" i="1"/>
  <c r="N1687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58" i="1"/>
  <c r="N1661" i="1"/>
  <c r="N1660" i="1"/>
  <c r="N1659" i="1"/>
  <c r="N1657" i="1"/>
  <c r="N1656" i="1"/>
  <c r="N1655" i="1"/>
  <c r="N1654" i="1"/>
  <c r="N1653" i="1"/>
  <c r="N1652" i="1"/>
  <c r="N1650" i="1"/>
  <c r="N1651" i="1"/>
  <c r="N1649" i="1"/>
  <c r="N1648" i="1"/>
  <c r="N1647" i="1"/>
  <c r="N1646" i="1"/>
  <c r="N1645" i="1"/>
  <c r="N1644" i="1"/>
  <c r="N1643" i="1"/>
  <c r="N1642" i="1"/>
  <c r="N1640" i="1"/>
  <c r="N1641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0" i="1"/>
  <c r="N1589" i="1"/>
  <c r="N1591" i="1"/>
  <c r="N1588" i="1"/>
  <c r="N1586" i="1"/>
  <c r="N1585" i="1"/>
  <c r="N1587" i="1"/>
  <c r="N1584" i="1"/>
  <c r="N1582" i="1"/>
  <c r="N1583" i="1"/>
  <c r="N1581" i="1"/>
  <c r="N1575" i="1"/>
  <c r="N1580" i="1"/>
  <c r="N1579" i="1"/>
  <c r="N1578" i="1"/>
  <c r="N1577" i="1"/>
  <c r="N1576" i="1"/>
  <c r="N1574" i="1"/>
  <c r="N1573" i="1"/>
  <c r="N1571" i="1"/>
  <c r="N1570" i="1"/>
  <c r="N1569" i="1"/>
  <c r="N1572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2" i="1"/>
  <c r="N1555" i="1"/>
  <c r="N1551" i="1"/>
  <c r="N1554" i="1"/>
  <c r="N1553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4" i="1"/>
  <c r="N1535" i="1"/>
  <c r="N1533" i="1"/>
  <c r="N1532" i="1"/>
  <c r="N1531" i="1"/>
  <c r="N1530" i="1"/>
  <c r="N1529" i="1"/>
  <c r="N1525" i="1"/>
  <c r="N1524" i="1"/>
  <c r="N1523" i="1"/>
  <c r="N1522" i="1"/>
  <c r="N1521" i="1"/>
  <c r="N1520" i="1"/>
  <c r="N1528" i="1"/>
  <c r="N1527" i="1"/>
  <c r="N1526" i="1"/>
  <c r="N1519" i="1"/>
  <c r="N1518" i="1"/>
  <c r="N1517" i="1"/>
  <c r="N1516" i="1"/>
  <c r="N1515" i="1"/>
  <c r="N1514" i="1"/>
  <c r="N1513" i="1"/>
  <c r="N1512" i="1"/>
  <c r="N1511" i="1"/>
  <c r="N1510" i="1"/>
  <c r="N1508" i="1"/>
  <c r="N1507" i="1"/>
  <c r="N1509" i="1"/>
  <c r="N1506" i="1"/>
  <c r="N1505" i="1"/>
  <c r="N1504" i="1"/>
  <c r="N1503" i="1"/>
  <c r="N1502" i="1"/>
  <c r="N1501" i="1"/>
  <c r="N1500" i="1"/>
  <c r="N1499" i="1"/>
  <c r="N1498" i="1"/>
  <c r="N1495" i="1"/>
  <c r="N1494" i="1"/>
  <c r="N1497" i="1"/>
  <c r="N1493" i="1"/>
  <c r="N1492" i="1"/>
  <c r="N1491" i="1"/>
  <c r="N1490" i="1"/>
  <c r="N1496" i="1"/>
  <c r="N1489" i="1"/>
  <c r="N1488" i="1"/>
  <c r="N1487" i="1"/>
  <c r="N1486" i="1"/>
  <c r="N1485" i="1"/>
  <c r="N1483" i="1"/>
  <c r="N1484" i="1"/>
  <c r="N1482" i="1"/>
  <c r="N1481" i="1"/>
  <c r="N1480" i="1"/>
  <c r="N1476" i="1"/>
  <c r="N1479" i="1"/>
  <c r="N1478" i="1"/>
  <c r="N1477" i="1"/>
  <c r="N1475" i="1"/>
  <c r="N1474" i="1"/>
  <c r="N1473" i="1"/>
  <c r="N1472" i="1"/>
  <c r="N1471" i="1"/>
  <c r="N1470" i="1"/>
  <c r="N1469" i="1"/>
  <c r="N1468" i="1"/>
  <c r="N1467" i="1"/>
  <c r="N1466" i="1"/>
  <c r="N1463" i="1"/>
  <c r="N1465" i="1"/>
  <c r="N1464" i="1"/>
  <c r="N1462" i="1"/>
  <c r="N1461" i="1"/>
  <c r="N1460" i="1"/>
  <c r="N1459" i="1"/>
  <c r="N1458" i="1"/>
  <c r="N1457" i="1"/>
  <c r="N1454" i="1"/>
  <c r="N1456" i="1"/>
  <c r="N1455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3" i="1"/>
  <c r="N1419" i="1"/>
  <c r="N1422" i="1"/>
  <c r="N1418" i="1"/>
  <c r="N1421" i="1"/>
  <c r="N1417" i="1"/>
  <c r="N1425" i="1"/>
  <c r="N1420" i="1"/>
  <c r="N1424" i="1"/>
  <c r="N1416" i="1"/>
  <c r="N1415" i="1"/>
  <c r="N1414" i="1"/>
  <c r="N1413" i="1"/>
  <c r="N1412" i="1"/>
  <c r="N1411" i="1"/>
  <c r="N1410" i="1"/>
  <c r="N1409" i="1"/>
  <c r="N1408" i="1"/>
  <c r="N1407" i="1"/>
  <c r="N1401" i="1"/>
  <c r="N1406" i="1"/>
  <c r="N1405" i="1"/>
  <c r="N1404" i="1"/>
  <c r="N1403" i="1"/>
  <c r="N1402" i="1"/>
  <c r="N1400" i="1"/>
  <c r="N1399" i="1"/>
  <c r="N1398" i="1"/>
  <c r="N1397" i="1"/>
  <c r="N1396" i="1"/>
  <c r="N1395" i="1"/>
  <c r="N1394" i="1"/>
  <c r="N1393" i="1"/>
  <c r="N1392" i="1"/>
  <c r="N1391" i="1"/>
  <c r="N1390" i="1"/>
  <c r="N1388" i="1"/>
  <c r="N1387" i="1"/>
  <c r="N1389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1" i="1"/>
  <c r="N1372" i="1"/>
  <c r="N1370" i="1"/>
  <c r="N1369" i="1"/>
  <c r="N1367" i="1"/>
  <c r="N1368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28" i="1"/>
  <c r="N1351" i="1"/>
  <c r="N1350" i="1"/>
  <c r="N1349" i="1"/>
  <c r="N1348" i="1"/>
  <c r="N1347" i="1"/>
  <c r="N1346" i="1"/>
  <c r="N1343" i="1"/>
  <c r="N1345" i="1"/>
  <c r="N1342" i="1"/>
  <c r="N1344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3" i="1"/>
  <c r="N1327" i="1"/>
  <c r="N1325" i="1"/>
  <c r="N1324" i="1"/>
  <c r="N1326" i="1"/>
  <c r="N1322" i="1"/>
  <c r="N1321" i="1"/>
  <c r="N1320" i="1"/>
  <c r="N1319" i="1"/>
  <c r="N1318" i="1"/>
  <c r="N1314" i="1"/>
  <c r="N1317" i="1"/>
  <c r="N1316" i="1"/>
  <c r="N1313" i="1"/>
  <c r="N1315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4" i="1"/>
  <c r="N1143" i="1"/>
  <c r="N1145" i="1"/>
  <c r="N1142" i="1"/>
  <c r="N1141" i="1"/>
  <c r="N1140" i="1"/>
  <c r="N1136" i="1"/>
  <c r="N1137" i="1"/>
  <c r="N1139" i="1"/>
  <c r="N1138" i="1"/>
  <c r="N1135" i="1"/>
  <c r="N1134" i="1"/>
  <c r="N1132" i="1"/>
  <c r="N1133" i="1"/>
  <c r="N1131" i="1"/>
  <c r="N1119" i="1"/>
  <c r="N1121" i="1"/>
  <c r="N1123" i="1"/>
  <c r="N1127" i="1"/>
  <c r="N1130" i="1"/>
  <c r="N1125" i="1"/>
  <c r="N1120" i="1"/>
  <c r="N1122" i="1"/>
  <c r="N1126" i="1"/>
  <c r="N1124" i="1"/>
  <c r="N1128" i="1"/>
  <c r="N1129" i="1"/>
  <c r="N1118" i="1"/>
  <c r="N1117" i="1"/>
  <c r="N1116" i="1"/>
  <c r="N1115" i="1"/>
  <c r="N1114" i="1"/>
  <c r="N1113" i="1"/>
  <c r="N1112" i="1"/>
  <c r="N1107" i="1"/>
  <c r="N1111" i="1"/>
  <c r="N1108" i="1"/>
  <c r="N1110" i="1"/>
  <c r="N1109" i="1"/>
  <c r="N1106" i="1"/>
  <c r="N1105" i="1"/>
  <c r="N1104" i="1"/>
  <c r="N1103" i="1"/>
  <c r="N1102" i="1"/>
  <c r="N1099" i="1"/>
  <c r="N1100" i="1"/>
  <c r="N1101" i="1"/>
  <c r="N1098" i="1"/>
  <c r="N1096" i="1"/>
  <c r="N1097" i="1"/>
  <c r="N1095" i="1"/>
  <c r="N1094" i="1"/>
  <c r="N1091" i="1"/>
  <c r="N1092" i="1"/>
  <c r="N1090" i="1"/>
  <c r="N1093" i="1"/>
  <c r="N1089" i="1"/>
  <c r="N1088" i="1"/>
  <c r="N1081" i="1"/>
  <c r="N1083" i="1"/>
  <c r="N1082" i="1"/>
  <c r="N1087" i="1"/>
  <c r="N1086" i="1"/>
  <c r="N1085" i="1"/>
  <c r="N1084" i="1"/>
  <c r="N1077" i="1"/>
  <c r="N1076" i="1"/>
  <c r="N1078" i="1"/>
  <c r="N1080" i="1"/>
  <c r="N1079" i="1"/>
  <c r="N1075" i="1"/>
  <c r="N1074" i="1"/>
  <c r="N1073" i="1"/>
  <c r="N1071" i="1"/>
  <c r="N1072" i="1"/>
  <c r="N1070" i="1"/>
  <c r="N1068" i="1"/>
  <c r="N1067" i="1"/>
  <c r="N1069" i="1"/>
  <c r="N1066" i="1"/>
  <c r="N1064" i="1"/>
  <c r="N1065" i="1"/>
  <c r="N1061" i="1"/>
  <c r="N1063" i="1"/>
  <c r="N1060" i="1"/>
  <c r="N1062" i="1"/>
  <c r="N1056" i="1"/>
  <c r="N1057" i="1"/>
  <c r="N1058" i="1"/>
  <c r="N1059" i="1"/>
  <c r="N1055" i="1"/>
  <c r="N1054" i="1"/>
  <c r="N1053" i="1"/>
  <c r="N1052" i="1"/>
  <c r="N1048" i="1"/>
  <c r="N1047" i="1"/>
  <c r="N1049" i="1"/>
  <c r="N1051" i="1"/>
  <c r="N1050" i="1"/>
  <c r="N1044" i="1"/>
  <c r="N1043" i="1"/>
  <c r="N1041" i="1"/>
  <c r="N1042" i="1"/>
  <c r="N1046" i="1"/>
  <c r="N1045" i="1"/>
  <c r="N1040" i="1"/>
  <c r="N1038" i="1"/>
  <c r="N1039" i="1"/>
  <c r="N1035" i="1"/>
  <c r="N1037" i="1"/>
  <c r="N1034" i="1"/>
  <c r="N1036" i="1"/>
  <c r="N1033" i="1"/>
  <c r="N1032" i="1"/>
  <c r="N1031" i="1"/>
  <c r="N1029" i="1"/>
  <c r="N1030" i="1"/>
  <c r="N1027" i="1"/>
  <c r="N1028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6" i="1"/>
  <c r="N1009" i="1"/>
  <c r="N1007" i="1"/>
  <c r="N1008" i="1"/>
  <c r="N1005" i="1"/>
  <c r="N1002" i="1"/>
  <c r="N1000" i="1"/>
  <c r="N1004" i="1"/>
  <c r="N1003" i="1"/>
  <c r="N1001" i="1"/>
  <c r="N999" i="1"/>
  <c r="N998" i="1"/>
  <c r="N997" i="1"/>
  <c r="N995" i="1"/>
  <c r="N996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0" i="1"/>
  <c r="N981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09" i="1"/>
  <c r="N910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89" i="1"/>
  <c r="N893" i="1"/>
  <c r="N895" i="1"/>
  <c r="N891" i="1"/>
  <c r="N894" i="1"/>
  <c r="N890" i="1"/>
  <c r="N892" i="1"/>
  <c r="N888" i="1"/>
  <c r="N887" i="1"/>
  <c r="N886" i="1"/>
  <c r="N885" i="1"/>
  <c r="N884" i="1"/>
  <c r="N883" i="1"/>
  <c r="N881" i="1"/>
  <c r="N880" i="1"/>
  <c r="N882" i="1"/>
  <c r="N878" i="1"/>
  <c r="N879" i="1"/>
  <c r="N877" i="1"/>
  <c r="N875" i="1"/>
  <c r="N876" i="1"/>
  <c r="N874" i="1"/>
  <c r="N873" i="1"/>
  <c r="N872" i="1"/>
  <c r="N871" i="1"/>
  <c r="N870" i="1"/>
  <c r="N869" i="1"/>
  <c r="N865" i="1"/>
  <c r="N868" i="1"/>
  <c r="N867" i="1"/>
  <c r="N866" i="1"/>
  <c r="N864" i="1"/>
  <c r="N863" i="1"/>
  <c r="N862" i="1"/>
  <c r="N861" i="1"/>
  <c r="N860" i="1"/>
  <c r="N855" i="1"/>
  <c r="N859" i="1"/>
  <c r="N858" i="1"/>
  <c r="N857" i="1"/>
  <c r="N856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1" i="1"/>
  <c r="N842" i="1"/>
  <c r="N840" i="1"/>
  <c r="N839" i="1"/>
  <c r="N838" i="1"/>
  <c r="N837" i="1"/>
  <c r="N836" i="1"/>
  <c r="N835" i="1"/>
  <c r="N834" i="1"/>
  <c r="N832" i="1"/>
  <c r="N833" i="1"/>
  <c r="N831" i="1"/>
  <c r="N829" i="1"/>
  <c r="N830" i="1"/>
  <c r="N828" i="1"/>
  <c r="N827" i="1"/>
  <c r="N825" i="1"/>
  <c r="N826" i="1"/>
  <c r="N824" i="1"/>
  <c r="N823" i="1"/>
  <c r="N822" i="1"/>
  <c r="N821" i="1"/>
  <c r="N819" i="1"/>
  <c r="N820" i="1"/>
  <c r="N818" i="1"/>
  <c r="N816" i="1"/>
  <c r="N817" i="1"/>
  <c r="N815" i="1"/>
  <c r="N814" i="1"/>
  <c r="N813" i="1"/>
  <c r="N812" i="1"/>
  <c r="N811" i="1"/>
  <c r="N809" i="1"/>
  <c r="N810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7" i="1"/>
  <c r="N788" i="1"/>
  <c r="N786" i="1"/>
  <c r="N785" i="1"/>
  <c r="N783" i="1"/>
  <c r="N784" i="1"/>
  <c r="N782" i="1"/>
  <c r="N781" i="1"/>
  <c r="N779" i="1"/>
  <c r="N780" i="1"/>
  <c r="N777" i="1"/>
  <c r="N778" i="1"/>
  <c r="N776" i="1"/>
  <c r="N775" i="1"/>
  <c r="N774" i="1"/>
  <c r="N773" i="1"/>
  <c r="N772" i="1"/>
  <c r="N771" i="1"/>
  <c r="N770" i="1"/>
  <c r="N769" i="1"/>
  <c r="N768" i="1"/>
  <c r="N767" i="1"/>
  <c r="N765" i="1"/>
  <c r="N766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5" i="1"/>
  <c r="N746" i="1"/>
  <c r="N744" i="1"/>
  <c r="N743" i="1"/>
  <c r="N742" i="1"/>
  <c r="N741" i="1"/>
  <c r="N740" i="1"/>
  <c r="N739" i="1"/>
  <c r="N736" i="1"/>
  <c r="N738" i="1"/>
  <c r="N737" i="1"/>
  <c r="N735" i="1"/>
  <c r="N730" i="1"/>
  <c r="N731" i="1"/>
  <c r="N734" i="1"/>
  <c r="N733" i="1"/>
  <c r="N732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2" i="1"/>
  <c r="N704" i="1"/>
  <c r="N705" i="1"/>
  <c r="N703" i="1"/>
  <c r="N698" i="1"/>
  <c r="N701" i="1"/>
  <c r="N699" i="1"/>
  <c r="N700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6" i="1"/>
  <c r="N677" i="1"/>
  <c r="N675" i="1"/>
  <c r="N674" i="1"/>
  <c r="N673" i="1"/>
  <c r="N672" i="1"/>
  <c r="N671" i="1"/>
  <c r="N670" i="1"/>
  <c r="N669" i="1"/>
  <c r="N666" i="1"/>
  <c r="N668" i="1"/>
  <c r="N667" i="1"/>
  <c r="N665" i="1"/>
  <c r="N664" i="1"/>
  <c r="N662" i="1"/>
  <c r="N663" i="1"/>
  <c r="N661" i="1"/>
  <c r="N660" i="1"/>
  <c r="N659" i="1"/>
  <c r="N658" i="1"/>
  <c r="N657" i="1"/>
  <c r="N656" i="1"/>
  <c r="N655" i="1"/>
  <c r="N654" i="1"/>
  <c r="N653" i="1"/>
  <c r="N652" i="1"/>
  <c r="N650" i="1"/>
  <c r="N651" i="1"/>
  <c r="N649" i="1"/>
  <c r="N648" i="1"/>
  <c r="N647" i="1"/>
  <c r="N646" i="1"/>
  <c r="N644" i="1"/>
  <c r="N645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8" i="1"/>
  <c r="N627" i="1"/>
  <c r="N629" i="1"/>
  <c r="N626" i="1"/>
  <c r="N625" i="1"/>
  <c r="N624" i="1"/>
  <c r="N623" i="1"/>
  <c r="N622" i="1"/>
  <c r="N620" i="1"/>
  <c r="N621" i="1"/>
  <c r="N618" i="1"/>
  <c r="N619" i="1"/>
  <c r="N617" i="1"/>
  <c r="N614" i="1"/>
  <c r="N616" i="1"/>
  <c r="N615" i="1"/>
  <c r="N613" i="1"/>
  <c r="N612" i="1"/>
  <c r="N611" i="1"/>
  <c r="N610" i="1"/>
  <c r="N609" i="1"/>
  <c r="N606" i="1"/>
  <c r="N608" i="1"/>
  <c r="N605" i="1"/>
  <c r="N607" i="1"/>
  <c r="N604" i="1"/>
  <c r="N602" i="1"/>
  <c r="N601" i="1"/>
  <c r="N603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2" i="1"/>
  <c r="N573" i="1"/>
  <c r="N581" i="1"/>
  <c r="N580" i="1"/>
  <c r="N579" i="1"/>
  <c r="N578" i="1"/>
  <c r="N577" i="1"/>
  <c r="N576" i="1"/>
  <c r="N583" i="1"/>
  <c r="N575" i="1"/>
  <c r="N574" i="1"/>
  <c r="N572" i="1"/>
  <c r="N571" i="1"/>
  <c r="N570" i="1"/>
  <c r="N569" i="1"/>
  <c r="N568" i="1"/>
  <c r="N567" i="1"/>
  <c r="N566" i="1"/>
  <c r="N565" i="1"/>
  <c r="N564" i="1"/>
  <c r="N563" i="1"/>
  <c r="N561" i="1"/>
  <c r="N562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18" i="1"/>
  <c r="N521" i="1"/>
  <c r="N523" i="1"/>
  <c r="N520" i="1"/>
  <c r="N519" i="1"/>
  <c r="N522" i="1"/>
  <c r="N517" i="1"/>
  <c r="N516" i="1"/>
  <c r="N515" i="1"/>
  <c r="N514" i="1"/>
  <c r="N513" i="1"/>
  <c r="N512" i="1"/>
  <c r="N511" i="1"/>
  <c r="N510" i="1"/>
  <c r="N509" i="1"/>
  <c r="N508" i="1"/>
  <c r="N507" i="1"/>
  <c r="N505" i="1"/>
  <c r="N506" i="1"/>
  <c r="N503" i="1"/>
  <c r="N504" i="1"/>
  <c r="N502" i="1"/>
  <c r="N500" i="1"/>
  <c r="N499" i="1"/>
  <c r="N501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4" i="1"/>
  <c r="N483" i="1"/>
  <c r="N486" i="1"/>
  <c r="N485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1" i="1"/>
  <c r="N462" i="1"/>
  <c r="N460" i="1"/>
  <c r="N459" i="1"/>
  <c r="N458" i="1"/>
  <c r="N456" i="1"/>
  <c r="N455" i="1"/>
  <c r="N457" i="1"/>
  <c r="N454" i="1"/>
  <c r="N453" i="1"/>
  <c r="N452" i="1"/>
  <c r="N450" i="1"/>
  <c r="N449" i="1"/>
  <c r="N448" i="1"/>
  <c r="N447" i="1"/>
  <c r="N451" i="1"/>
  <c r="N446" i="1"/>
  <c r="N445" i="1"/>
  <c r="N444" i="1"/>
  <c r="N442" i="1"/>
  <c r="N441" i="1"/>
  <c r="N440" i="1"/>
  <c r="N439" i="1"/>
  <c r="N438" i="1"/>
  <c r="N443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5" i="1"/>
  <c r="N417" i="1"/>
  <c r="N416" i="1"/>
  <c r="N414" i="1"/>
  <c r="N413" i="1"/>
  <c r="N410" i="1"/>
  <c r="N412" i="1"/>
  <c r="N411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2" i="1"/>
  <c r="N383" i="1"/>
  <c r="N381" i="1"/>
  <c r="N380" i="1"/>
  <c r="N379" i="1"/>
  <c r="N377" i="1"/>
  <c r="N376" i="1"/>
  <c r="N374" i="1"/>
  <c r="N375" i="1"/>
  <c r="N373" i="1"/>
  <c r="N372" i="1"/>
  <c r="N371" i="1"/>
  <c r="N370" i="1"/>
  <c r="N369" i="1"/>
  <c r="N368" i="1"/>
  <c r="N366" i="1"/>
  <c r="N365" i="1"/>
  <c r="N364" i="1"/>
  <c r="N363" i="1"/>
  <c r="N367" i="1"/>
  <c r="N362" i="1"/>
  <c r="N361" i="1"/>
  <c r="N360" i="1"/>
  <c r="N359" i="1"/>
  <c r="N358" i="1"/>
  <c r="N357" i="1"/>
  <c r="N355" i="1"/>
  <c r="N354" i="1"/>
  <c r="N353" i="1"/>
  <c r="N352" i="1"/>
  <c r="N351" i="1"/>
  <c r="N356" i="1"/>
  <c r="N350" i="1"/>
  <c r="N349" i="1"/>
  <c r="N348" i="1"/>
  <c r="N347" i="1"/>
  <c r="N346" i="1"/>
  <c r="N345" i="1"/>
  <c r="N344" i="1"/>
  <c r="N342" i="1"/>
  <c r="N343" i="1"/>
  <c r="N341" i="1"/>
  <c r="N340" i="1"/>
  <c r="N339" i="1"/>
  <c r="N337" i="1"/>
  <c r="N338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5" i="1"/>
  <c r="N314" i="1"/>
  <c r="N313" i="1"/>
  <c r="N312" i="1"/>
  <c r="N316" i="1"/>
  <c r="N311" i="1"/>
  <c r="N309" i="1"/>
  <c r="N310" i="1"/>
  <c r="N308" i="1"/>
  <c r="N307" i="1"/>
  <c r="N306" i="1"/>
  <c r="N305" i="1"/>
  <c r="N303" i="1"/>
  <c r="N302" i="1"/>
  <c r="N301" i="1"/>
  <c r="N304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79" i="1"/>
  <c r="N280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378" i="1"/>
  <c r="N263" i="1"/>
  <c r="N262" i="1"/>
  <c r="N264" i="1"/>
  <c r="N257" i="1"/>
  <c r="N261" i="1"/>
  <c r="N252" i="1"/>
  <c r="N256" i="1"/>
  <c r="N255" i="1"/>
  <c r="N254" i="1"/>
  <c r="N260" i="1"/>
  <c r="N259" i="1"/>
  <c r="N258" i="1"/>
  <c r="N253" i="1"/>
  <c r="N251" i="1"/>
  <c r="N250" i="1"/>
  <c r="N249" i="1"/>
  <c r="N248" i="1"/>
  <c r="N247" i="1"/>
  <c r="N245" i="1"/>
  <c r="N246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9" i="1"/>
  <c r="N224" i="1"/>
  <c r="N223" i="1"/>
  <c r="N222" i="1"/>
  <c r="N221" i="1"/>
  <c r="N220" i="1"/>
  <c r="N219" i="1"/>
  <c r="N217" i="1"/>
  <c r="N218" i="1"/>
  <c r="N216" i="1"/>
  <c r="N215" i="1"/>
  <c r="N214" i="1"/>
  <c r="N213" i="1"/>
  <c r="N211" i="1"/>
  <c r="N212" i="1"/>
  <c r="N210" i="1"/>
  <c r="N207" i="1"/>
  <c r="N206" i="1"/>
  <c r="N205" i="1"/>
  <c r="N204" i="1"/>
  <c r="N209" i="1"/>
  <c r="N208" i="1"/>
  <c r="N203" i="1"/>
  <c r="N200" i="1"/>
  <c r="N202" i="1"/>
  <c r="N201" i="1"/>
  <c r="N198" i="1"/>
  <c r="N197" i="1"/>
  <c r="N199" i="1"/>
  <c r="N196" i="1"/>
  <c r="N195" i="1"/>
  <c r="N194" i="1"/>
  <c r="N193" i="1"/>
  <c r="N192" i="1"/>
  <c r="N191" i="1"/>
  <c r="N190" i="1"/>
  <c r="N139" i="1"/>
  <c r="N189" i="1"/>
  <c r="N188" i="1"/>
  <c r="N186" i="1"/>
  <c r="N187" i="1"/>
  <c r="N185" i="1"/>
  <c r="N184" i="1"/>
  <c r="N183" i="1"/>
  <c r="N182" i="1"/>
  <c r="N181" i="1"/>
  <c r="N180" i="1"/>
  <c r="N179" i="1"/>
  <c r="N178" i="1"/>
  <c r="N177" i="1"/>
  <c r="N176" i="1"/>
  <c r="N173" i="1"/>
  <c r="N172" i="1"/>
  <c r="N171" i="1"/>
  <c r="N174" i="1"/>
  <c r="N175" i="1"/>
  <c r="N170" i="1"/>
  <c r="N167" i="1"/>
  <c r="N168" i="1"/>
  <c r="N166" i="1"/>
  <c r="N165" i="1"/>
  <c r="N164" i="1"/>
  <c r="N169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0" i="1"/>
  <c r="N119" i="1"/>
  <c r="N118" i="1"/>
  <c r="N117" i="1"/>
  <c r="N121" i="1"/>
  <c r="N116" i="1"/>
  <c r="N115" i="1"/>
  <c r="N114" i="1"/>
  <c r="N113" i="1"/>
  <c r="N112" i="1"/>
  <c r="N110" i="1"/>
  <c r="N111" i="1"/>
  <c r="N109" i="1"/>
  <c r="N108" i="1"/>
  <c r="N107" i="1"/>
  <c r="N106" i="1"/>
  <c r="N103" i="1"/>
  <c r="N105" i="1"/>
  <c r="N104" i="1"/>
  <c r="N102" i="1"/>
  <c r="N101" i="1"/>
  <c r="N100" i="1"/>
  <c r="N99" i="1"/>
  <c r="N98" i="1"/>
  <c r="N97" i="1"/>
  <c r="N96" i="1"/>
  <c r="N95" i="1"/>
  <c r="N94" i="1"/>
  <c r="N93" i="1"/>
  <c r="N89" i="1"/>
  <c r="N86" i="1"/>
  <c r="N88" i="1"/>
  <c r="N92" i="1"/>
  <c r="N90" i="1"/>
  <c r="N91" i="1"/>
  <c r="N85" i="1"/>
  <c r="N87" i="1"/>
  <c r="N84" i="1"/>
  <c r="N83" i="1"/>
  <c r="N80" i="1"/>
  <c r="N81" i="1"/>
  <c r="N82" i="1"/>
  <c r="N75" i="1"/>
  <c r="N77" i="1"/>
  <c r="N79" i="1"/>
  <c r="N78" i="1"/>
  <c r="N76" i="1"/>
  <c r="N74" i="1"/>
  <c r="N72" i="1"/>
  <c r="N73" i="1"/>
  <c r="N71" i="1"/>
  <c r="N69" i="1"/>
  <c r="N70" i="1"/>
  <c r="N66" i="1"/>
  <c r="N68" i="1"/>
  <c r="N64" i="1"/>
  <c r="N65" i="1"/>
  <c r="N67" i="1"/>
  <c r="N61" i="1"/>
  <c r="N62" i="1"/>
  <c r="N63" i="1"/>
  <c r="N60" i="1"/>
  <c r="N59" i="1"/>
  <c r="N56" i="1"/>
  <c r="N57" i="1"/>
  <c r="N58" i="1"/>
  <c r="N55" i="1"/>
  <c r="N54" i="1"/>
  <c r="N53" i="1"/>
  <c r="N52" i="1"/>
  <c r="N48" i="1"/>
  <c r="N49" i="1"/>
  <c r="N50" i="1"/>
  <c r="N51" i="1"/>
  <c r="N47" i="1"/>
  <c r="N46" i="1"/>
  <c r="N42" i="1"/>
  <c r="N41" i="1"/>
  <c r="N45" i="1"/>
  <c r="N44" i="1"/>
  <c r="N43" i="1"/>
  <c r="N40" i="1"/>
  <c r="N39" i="1"/>
  <c r="N38" i="1"/>
  <c r="N37" i="1"/>
  <c r="N35" i="1"/>
  <c r="N36" i="1"/>
  <c r="N34" i="1"/>
  <c r="N33" i="1"/>
  <c r="N31" i="1"/>
  <c r="N32" i="1"/>
  <c r="N30" i="1"/>
  <c r="N29" i="1"/>
  <c r="N28" i="1"/>
  <c r="N27" i="1"/>
  <c r="N26" i="1"/>
  <c r="N25" i="1"/>
  <c r="N19" i="1"/>
  <c r="N22" i="1"/>
  <c r="N23" i="1"/>
  <c r="N21" i="1"/>
  <c r="N24" i="1"/>
  <c r="N20" i="1"/>
  <c r="N17" i="1"/>
  <c r="N18" i="1"/>
  <c r="N16" i="1"/>
  <c r="N15" i="1"/>
  <c r="N14" i="1"/>
  <c r="N13" i="1"/>
  <c r="N12" i="1"/>
  <c r="N11" i="1"/>
  <c r="N10" i="1"/>
  <c r="N9" i="1"/>
  <c r="N8" i="1"/>
  <c r="N6" i="1"/>
  <c r="N7" i="1"/>
  <c r="N5" i="1"/>
  <c r="N4" i="1"/>
  <c r="N2" i="1"/>
  <c r="N3" i="1"/>
  <c r="H2115" i="1"/>
  <c r="U2119" i="1"/>
  <c r="H2033" i="1"/>
  <c r="H1985" i="1"/>
  <c r="U2090" i="1"/>
  <c r="U2073" i="1"/>
  <c r="U2062" i="1"/>
  <c r="U2026" i="1"/>
  <c r="U2021" i="1"/>
  <c r="U2057" i="1"/>
  <c r="U2050" i="1"/>
  <c r="U2049" i="1"/>
  <c r="U2047" i="1"/>
  <c r="U1999" i="1"/>
  <c r="U2000" i="1"/>
  <c r="U2001" i="1"/>
  <c r="U1968" i="1"/>
  <c r="U1684" i="1"/>
  <c r="U1707" i="1"/>
  <c r="U1721" i="1"/>
  <c r="U1724" i="1"/>
  <c r="U1725" i="1"/>
  <c r="U1740" i="1"/>
  <c r="U1742" i="1"/>
  <c r="U1751" i="1"/>
  <c r="U1757" i="1"/>
  <c r="U1765" i="1"/>
  <c r="U1768" i="1"/>
  <c r="U1771" i="1"/>
  <c r="U1772" i="1"/>
  <c r="U1774" i="1"/>
  <c r="U1787" i="1"/>
  <c r="U1798" i="1"/>
  <c r="U1799" i="1"/>
  <c r="U1800" i="1"/>
  <c r="U1801" i="1"/>
  <c r="U1802" i="1"/>
  <c r="U1803" i="1"/>
  <c r="U1804" i="1"/>
  <c r="U1789" i="1"/>
  <c r="U1808" i="1"/>
  <c r="U1806" i="1"/>
  <c r="U1807" i="1"/>
  <c r="U1809" i="1"/>
  <c r="U1811" i="1"/>
  <c r="U1814" i="1"/>
  <c r="U1815" i="1"/>
  <c r="U1816" i="1"/>
  <c r="U1822" i="1"/>
  <c r="U1826" i="1"/>
  <c r="U1833" i="1"/>
  <c r="U1828" i="1"/>
  <c r="U1829" i="1"/>
  <c r="U1830" i="1"/>
  <c r="U1827" i="1"/>
  <c r="U1834" i="1"/>
  <c r="U1837" i="1"/>
  <c r="U1839" i="1"/>
  <c r="U1840" i="1"/>
  <c r="U1841" i="1"/>
  <c r="U1847" i="1"/>
  <c r="U1845" i="1"/>
  <c r="U1848" i="1"/>
  <c r="U1843" i="1"/>
  <c r="U1849" i="1"/>
  <c r="U1846" i="1"/>
  <c r="U1851" i="1"/>
  <c r="U1854" i="1"/>
  <c r="U1855" i="1"/>
  <c r="U1853" i="1"/>
  <c r="U1856" i="1"/>
  <c r="U1858" i="1"/>
  <c r="U1859" i="1"/>
  <c r="U1864" i="1"/>
  <c r="U1863" i="1"/>
  <c r="U1866" i="1"/>
  <c r="U1867" i="1"/>
  <c r="U1869" i="1"/>
  <c r="U1871" i="1"/>
  <c r="U1879" i="1"/>
  <c r="U1875" i="1"/>
  <c r="U1873" i="1"/>
  <c r="U1878" i="1"/>
  <c r="U1877" i="1"/>
  <c r="U1874" i="1"/>
  <c r="U1884" i="1"/>
  <c r="U1882" i="1"/>
  <c r="U1883" i="1"/>
  <c r="U1888" i="1"/>
  <c r="U1885" i="1"/>
  <c r="U1887" i="1"/>
  <c r="U1889" i="1"/>
  <c r="U1893" i="1"/>
  <c r="U1892" i="1"/>
  <c r="U1897" i="1"/>
  <c r="U1900" i="1"/>
  <c r="U1894" i="1"/>
  <c r="U1895" i="1"/>
  <c r="U1891" i="1"/>
  <c r="U1899" i="1"/>
  <c r="U1903" i="1"/>
  <c r="U1902" i="1"/>
  <c r="U1901" i="1"/>
  <c r="U1904" i="1"/>
  <c r="U1908" i="1"/>
  <c r="U1909" i="1"/>
  <c r="U1905" i="1"/>
  <c r="U1907" i="1"/>
  <c r="U1906" i="1"/>
  <c r="U1913" i="1"/>
  <c r="U1917" i="1"/>
  <c r="U1912" i="1"/>
  <c r="U1921" i="1"/>
  <c r="U1915" i="1"/>
  <c r="U1914" i="1"/>
  <c r="U1923" i="1"/>
  <c r="U1929" i="1"/>
  <c r="U1928" i="1"/>
  <c r="U1927" i="1"/>
  <c r="U1924" i="1"/>
  <c r="U1926" i="1"/>
  <c r="U1930" i="1"/>
  <c r="U1932" i="1"/>
  <c r="U1931" i="1"/>
  <c r="U1934" i="1"/>
  <c r="U1935" i="1"/>
  <c r="U1936" i="1"/>
  <c r="U1937" i="1"/>
  <c r="U1941" i="1"/>
  <c r="U1944" i="1"/>
  <c r="U1943" i="1"/>
  <c r="U1938" i="1"/>
  <c r="U1942" i="1"/>
  <c r="U1940" i="1"/>
  <c r="U1946" i="1"/>
  <c r="U1945" i="1"/>
  <c r="U1949" i="1"/>
  <c r="U1947" i="1"/>
  <c r="U1952" i="1"/>
  <c r="U1959" i="1"/>
  <c r="U1951" i="1"/>
  <c r="U1950" i="1"/>
  <c r="U1956" i="1"/>
  <c r="U1955" i="1"/>
  <c r="U1963" i="1"/>
  <c r="U1962" i="1"/>
  <c r="U1971" i="1"/>
  <c r="U1998" i="1"/>
  <c r="U1957" i="1"/>
  <c r="U1958" i="1"/>
  <c r="I2115" i="1" l="1"/>
  <c r="AF2115" i="1" s="1" a="1"/>
  <c r="Z2115" i="1"/>
  <c r="I2033" i="1"/>
  <c r="AF2033" i="1" s="1" a="1"/>
  <c r="Z2033" i="1"/>
  <c r="I1985" i="1"/>
  <c r="AF1985" i="1" s="1" a="1"/>
  <c r="Z19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Ruben Jimenez Ayuso</author>
    <author>tc={54F0556C-07D5-49B3-A899-AE7BE6B04826}</author>
    <author>tc={92BD599D-A5F4-41B2-A89D-8F97957009A3}</author>
    <author>tc={E8636DD5-F73C-443A-86C3-73D92D87A042}</author>
    <author>tc={CA1A8BE5-AE7C-4927-88E3-D6BB9015D158}</author>
    <author>tc={D6BFA01F-13E6-412F-8305-1F183DE7FC57}</author>
    <author>tc={D714A88C-E90F-4327-81C7-E036E5AC91A3}</author>
    <author>tc={7B29F6D9-699B-450E-A565-1CABF886C9AF}</author>
    <author>tc={4678C0D6-BC84-4D97-9A5E-5898DCB59B6E}</author>
    <author>tc={3768281E-8563-4437-BF67-A6D9F4EB5B0C}</author>
    <author>tc={F4611114-C254-4C52-B106-F4D8F3E8FD33}</author>
    <author>tc={56632FA7-C55F-4556-B735-E7AD2F0ADA55}</author>
    <author>tc={BE926973-08F8-4FA7-A163-1C3238764BB4}</author>
    <author>tc={437DA3B5-2EAC-44B7-9CAF-F60C5F19CCB3}</author>
    <author>tc={7EA8C329-8992-4BA3-B0DD-AEBA31CC1E86}</author>
    <author>tc={FF88A389-8E6E-464E-89BB-01360CAF718E}</author>
    <author>tc={BF762275-C749-4F61-86BD-AF9643CE1ADA}</author>
    <author>tc={66C717B5-8D26-44AD-967A-16F5B062499A}</author>
    <author>tc={04B70B37-00C0-486F-985C-62B4447569A8}</author>
    <author>tc={B0688CD9-BE08-43DE-B0C9-D1BA2F2914BE}</author>
    <author>tc={43E0007F-BE10-489E-B095-DC29E0FC7ED5}</author>
    <author>tc={E446608A-12EA-403F-89F4-3869C5ABAEB7}</author>
    <author>tc={ABC32DD7-068B-49BA-9B2D-03DD876C2F99}</author>
    <author>tc={743B1C67-3735-4BFA-86F8-CB4FC405D391}</author>
    <author>tc={9DDF0E20-60AD-4137-8E22-EE1412819F62}</author>
    <author>tc={7EA92829-49B0-4D27-BF81-6E994989911D}</author>
    <author>tc={EF3F82D4-BA9F-401C-A033-BC8384656988}</author>
    <author>tc={EAE3891A-9079-426F-A95A-632E99D12DBA}</author>
    <author>tc={570D750C-D768-4454-9E2F-2A2F69305CF4}</author>
    <author>Andrea Gómez López</author>
    <author>tc={F6CB27BD-5CF4-4252-8170-A9F555DC7C00}</author>
    <author>tc={EA26E742-3120-4C77-9AE0-B9F782D48F54}</author>
    <author>tc={7FCBAFCB-1BDB-46C8-8563-E49714CF9A57}</author>
    <author>tc={C8C7CD89-ABE8-452A-8677-0E454597261D}</author>
    <author>tc={BB58313E-70D3-4B9D-952A-3FC9D82F421C}</author>
    <author>tc={03671585-5892-4141-AC55-2312864410B4}</author>
    <author>tc={B56802E1-0A80-4583-AF8E-334A72B1553B}</author>
    <author>tc={F3FBD459-C5B4-43B5-8871-CCE70A94B41B}</author>
    <author>tc={080D0096-68AE-43AB-A429-272F4A82F7EE}</author>
    <author>tc={77398C49-3C2F-4024-959C-AFEB2D95AC6E}</author>
    <author>tc={328043B5-C0A9-4B15-9A9C-ED7363A34E16}</author>
    <author>tc={96006869-862A-45B2-B384-C4AED20E788B}</author>
    <author>tc={D3F15037-FD67-4D6E-8366-6896B6F2BDC5}</author>
    <author>tc={D0EDE3B3-90D3-44A6-A179-0FB1590699D4}</author>
    <author>tc={04FBB183-CA42-42F0-B80A-A09FD72B468F}</author>
    <author>tc={2EBAC3FF-A67E-4B74-94D2-1C6C195CABB1}</author>
    <author>tc={2FEF4779-C863-4259-9B54-EF85BADC7318}</author>
    <author>tc={509AD740-C0C3-4669-A0B9-275522DE0D65}</author>
    <author>tc={DFBEA531-4D9C-4E4A-8131-272312265011}</author>
    <author>tc={05DFDBDB-6F37-4255-80E7-2E456E2BE0EA}</author>
    <author>tc={DF1E7705-577A-402D-924D-A64B23086E8B}</author>
    <author>tc={3FDD6DC3-73C6-4793-96A7-6AC4669B5E52}</author>
    <author>tc={61CD2DB4-CC7B-4912-8C2C-9D37B7DF0BF6}</author>
    <author>tc={E1B0DE8B-D823-4507-8642-3A68A2726A37}</author>
    <author>tc={BB046BAE-4599-45CE-B3E7-381167B2C5E9}</author>
    <author>tc={31DB13D5-FDC0-4C4D-815F-9C7BCB454E75}</author>
    <author>tc={85190326-2884-47DC-9BFF-AEB7A53DC8C5}</author>
    <author>tc={9B0A32FA-7C66-4820-B126-BC7405973E55}</author>
    <author>tc={5FD63D2B-92B9-41F7-9C07-E3FDF9A908B4}</author>
    <author>tc={41E049E6-5130-49C4-B2DC-DFB2BFD63859}</author>
    <author>tc={0FCB5730-5084-4629-8870-7D23668D729D}</author>
    <author>tc={C5EC21A5-4FBE-49E2-95E1-C062666016E9}</author>
    <author>tc={0D88F046-7655-4C22-A3AD-EB13E52A092E}</author>
    <author>tc={8361E7A1-5E6E-4BDE-9BEC-9EAEA02A79D9}</author>
    <author>tc={B65FD5EA-AC32-4842-BCB0-D3E1D97A53FB}</author>
    <author>tc={8603D6F6-6CA4-45E4-8ED3-6319111BB760}</author>
    <author>tc={B9268904-4415-4419-A9C5-E2797A555E23}</author>
    <author>tc={5C6AC19B-C537-4348-BF5E-7A922A9EE05E}</author>
    <author>tc={2C438213-AA78-43A3-9DD3-02A033D7A1CE}</author>
    <author>tc={C6FD1D40-5491-434A-B180-3D3761659549}</author>
    <author>tc={F7637710-B298-4512-A7D8-9EF5EA19E78B}</author>
    <author>tc={9B1EB014-2FFD-465D-9FB9-7230FD4FBFF9}</author>
    <author>tc={D42D6F49-4F7E-4800-B9AE-865D64373B4E}</author>
    <author>tc={1F9D251C-120F-46AD-A48B-ABC476151275}</author>
    <author>tc={E3C875E8-66A9-48E5-A8DD-875398740BB9}</author>
    <author>tc={1B791D47-1839-4F13-BF17-AA51F11B9D34}</author>
    <author>tc={650BACAD-E393-43E3-B362-5FF636B3BA0C}</author>
    <author>tc={604EEA69-2029-4F0F-9B2C-E92CDDA6B488}</author>
    <author>tc={043CD988-D6D6-420A-AB59-B11BEFAE6FFC}</author>
    <author>tc={F5D14981-ABE2-48CA-ADC9-B4374581BBAB}</author>
    <author>tc={4C504A00-A0AD-4497-A83D-0D5409C1BF60}</author>
    <author>tc={C439D5FF-D26D-4458-A94E-534828652536}</author>
    <author>tc={DA57E7CF-DD06-474A-A60B-611D9A7BAF90}</author>
    <author>tc={6F6726F1-04C4-4748-84FC-9BD94279094D}</author>
    <author>tc={EDB7ED9E-7D99-4C14-B0B9-88461B561510}</author>
    <author>tc={30F42BE4-9C26-4064-89E5-7E8CD109D575}</author>
    <author>tc={1A92005A-F1E5-494B-A5CB-761D3832710B}</author>
    <author>tc={38AD83A2-0F7D-4EB8-9CDC-DF4CF01C61AD}</author>
    <author>tc={C05F02F1-598D-4E62-9642-A6D95C8985A2}</author>
    <author>tc={E97D0186-74CF-4EF9-BED6-812ABB69538D}</author>
    <author>tc={4E974FCE-11EB-48B2-8636-9F5CD04C30F7}</author>
    <author>tc={8B3F2CDC-6685-4CF3-9727-AAE90685D4D4}</author>
    <author>tc={25739B77-EB6E-49D4-8F77-3BC75A1DDC1B}</author>
    <author>tc={B95BE5DA-CEB8-43D0-93AF-B952B423498F}</author>
    <author>tc={4C434FA1-14E6-48F3-AA92-21BA83214940}</author>
    <author>tc={3050C9C3-EE64-419A-81BE-997B86C36FD9}</author>
    <author>tc={8F6750F6-BA6E-47F0-A4A5-DA6E8B4616B8}</author>
    <author>tc={6B1C046D-778F-413D-99B8-5BC66FE599BE}</author>
    <author>tc={29EAF0A4-3A80-4A5F-83CB-6FD24B7C625A}</author>
    <author>tc={2D713BFF-FEE7-4D2B-B562-C8FB8E2DD5FC}</author>
    <author>tc={BCE207BA-7AB3-4318-AEE1-4C405D7454BA}</author>
    <author>tc={A174CA0E-8639-4D73-A4D7-5FC950450D39}</author>
    <author>tc={D0222F7D-F113-4525-BBD5-0A2560C6F87B}</author>
    <author>tc={C8BD2771-19D6-491B-8D04-5A64683CEDCB}</author>
    <author>tc={F42BFB70-5171-49DD-948D-86128FD707F9}</author>
    <author>tc={F14F22BB-B5EB-4309-BCC1-5CD515784025}</author>
    <author>tc={5DB9E267-FC1D-4D29-99D4-FE04E67E20D8}</author>
    <author>tc={6AB1A392-EC0A-49D6-B42D-B6A83E79F9EF}</author>
    <author>tc={6E811A0F-0554-46CA-BEE6-885B48371719}</author>
    <author>tc={77D1A7D7-C916-4D0A-A808-213889ED76A2}</author>
    <author>tc={8122531D-6823-4E6E-8B06-F331E3EFD812}</author>
    <author>tc={5DAC91BA-B544-4E3D-82A5-0BFD913432F4}</author>
    <author>tc={439519AD-2527-4290-B2E5-054DBBEF8F0E}</author>
    <author>tc={B9FED77F-E347-43AE-8D2E-218A5F8A7F0D}</author>
    <author>tc={48C0295F-8206-4971-8882-F3EB228E7EEF}</author>
    <author>tc={CA9D5715-BBC5-4DEE-BC63-75930AEFA360}</author>
    <author>tc={C991643B-775E-41A4-8843-63442BC3FBF0}</author>
    <author>tc={A84276DA-602F-42A9-8CFE-1813C4B67C2E}</author>
    <author>tc={792100B5-09A9-4FC7-BB48-4BCAE99E53CD}</author>
    <author>tc={407DA310-A38C-4B29-BDC0-3FB0E40EE5A7}</author>
    <author>tc={327AEB53-E251-4B69-9C00-AD62F3A8E12F}</author>
    <author>tc={E5DF5525-07DD-4CF4-9FB9-28E1AFB06A4C}</author>
    <author>tc={7AD2D06E-024C-4A50-8B90-638458596369}</author>
    <author>tc={9B849A28-D5CE-4870-9DD9-6CD84EE47DFC}</author>
    <author>tc={292E05DB-C308-4EFC-8E04-7BEC5990540C}</author>
    <author>tc={BE38F148-2EF4-4DE8-A481-5A87024F0008}</author>
    <author>tc={DD5C7276-FF5B-47AB-9295-9324232175B3}</author>
    <author>tc={DF8F4B89-DC61-416D-9AF2-DBC0D5E9456F}</author>
    <author>tc={E73433CA-576E-4889-AA04-09D75A4EE4A1}</author>
    <author>tc={B02A26EC-F72B-450E-9340-752964D5BEEA}</author>
    <author>tc={571589BF-5761-4A20-A20A-BE6BDABC014A}</author>
    <author>tc={A89A85D9-C8C7-4EC2-9FD3-427DC3DB3B55}</author>
    <author>tc={C927AF54-6415-469A-AAE9-813981C40D1A}</author>
    <author>tc={863F0458-977D-43F5-8548-BB236F4A809E}</author>
    <author>tc={0DF16708-89DA-45D1-81AB-F57D8AEA419E}</author>
    <author>tc={4A21817F-16E9-4B2B-9FE6-6BAB6E63BC7A}</author>
    <author>tc={30BF01DF-68F3-4E75-8BDD-27EC1461FF08}</author>
    <author>tc={8D34B163-7F2F-4D28-988F-24683BB8EA43}</author>
    <author>tc={3014D263-AB91-44E7-8EFC-1B76A69D9989}</author>
    <author>tc={8DEBBC8D-E392-43C4-A11A-B9415C1177F8}</author>
    <author>tc={190BDA10-C3FD-4103-9A71-CE2CA72020A2}</author>
    <author>tc={8C5DBE97-A655-4114-A8EC-8AB9009F281F}</author>
    <author>tc={17631AE2-78D8-4B43-9211-559C94DD30A4}</author>
    <author>tc={73D2A323-F3A7-4775-8639-064BE33A9F6A}</author>
    <author>tc={D42CA7AE-7F2C-4E2F-A71C-B43E5A4802B7}</author>
    <author>tc={6203B19B-76EA-4344-AEE0-8B4E59CA4CAF}</author>
    <author>tc={B9651C0F-22DD-45E8-BBE2-447E3B27E3D7}</author>
    <author>tc={49D19150-FABB-40A3-BBB0-ACFF545227A0}</author>
    <author>tc={ECEBA758-B977-43D2-8B38-6C630A96F027}</author>
    <author>tc={AD1CA3D6-7933-444B-8B57-E6EF1788E7AC}</author>
    <author>tc={071F8077-022C-4FCA-AED6-E6455E880093}</author>
    <author>tc={33A6D0AD-4BF1-44B1-A19E-C053A9ECCDB3}</author>
    <author>tc={1A36F038-C0CE-4CC6-9C29-514BE557E647}</author>
    <author>tc={35C1D641-A02A-4655-A0B5-22E4D7621D53}</author>
    <author>tc={40C6092D-0AD4-4D8F-B591-F432A230A6CC}</author>
    <author>tc={4DAD16B1-459C-4D87-ADA4-0200879C6DA0}</author>
    <author>tc={8A9E0424-0B4D-489D-BCDE-B0E640E14B5A}</author>
    <author>tc={E0EE3403-BE5D-4940-B938-E91318EAF67E}</author>
    <author>tc={F2289F7F-E773-452E-8785-36BB08E6D16F}</author>
    <author>tc={06D4E924-8E00-4333-AA12-FB2F1A070432}</author>
    <author>tc={C7A1CD49-ABB2-41A0-A88D-888F2D47D984}</author>
    <author>tc={34E3224E-3043-461E-85BA-8BA6F5D22ADC}</author>
    <author>tc={4E0CABF6-C396-4CF9-961C-0ED31905089B}</author>
    <author>tc={692DB08A-FC18-48BB-A07F-2A28F495E9A5}</author>
    <author>tc={B4D650D4-BFE8-4D52-867C-69E5CA3A1030}</author>
    <author>tc={B16B930E-DC59-4315-B756-D0407147A440}</author>
    <author>tc={65926328-2A54-4335-AA46-6EDEDE0B1DD1}</author>
    <author>tc={7425D3D7-B8C3-48DF-A02C-31048F33697B}</author>
    <author>tc={CD480B40-CD71-4D5E-9111-72C59907EB02}</author>
    <author>tc={3C03763D-E116-478F-9E37-904D24B816F9}</author>
    <author>tc={9EDA7154-AAF0-406A-9C6C-3732558DC942}</author>
    <author>tc={5DADA6D3-A37A-4C38-9D69-2065622E183F}</author>
    <author>tc={9069C56D-F22E-4B47-9680-F10446FEA834}</author>
    <author>tc={CD8107C9-F29E-4A04-8C61-98B223D2BF67}</author>
    <author>tc={45BA233F-D06F-451A-945B-E7A4304B5B8B}</author>
    <author>tc={89BC21F4-B5BD-4886-A7A4-6D3E1FC50BC3}</author>
    <author>tc={12DC8A4C-1329-40CA-87D3-43143AB8E29B}</author>
    <author>tc={EAB2A52C-4319-4944-B7C3-C1D7E8C84642}</author>
    <author>tc={1FA1BE8A-7CCA-4FBC-B77A-E269E90518BA}</author>
    <author>tc={E9AA0FF3-B5E8-47A3-87CD-C5A4DCA2B6D0}</author>
    <author>tc={98D5D139-E705-4D3E-8440-31B133E7B48D}</author>
    <author>tc={82B87E3D-B4ED-4509-B254-46D2E07FEA22}</author>
    <author>tc={DBCF34DE-86C7-4B6E-BC2D-C8A19D49C497}</author>
    <author>tc={59A70F6D-7A1A-4665-BD4F-C3932B1C7C6F}</author>
    <author>tc={80F30BA1-9C0C-4B97-A069-273EE84F28BC}</author>
    <author>tc={9C10180C-D78B-4D08-A950-62D499B1DE73}</author>
    <author>tc={13DF757C-99F0-430D-B5D4-6B7B57CED509}</author>
    <author>tc={AD991DF4-92D9-4375-B012-DD616BF75CD1}</author>
    <author>tc={87A4B73C-F58E-4E4B-AC93-3D3524056EC9}</author>
    <author>tc={0B2059FD-5812-446C-9ED9-18038080619C}</author>
    <author>tc={0A298C5A-6A18-40BF-8846-B7CD0FCCC1C8}</author>
    <author>tc={5C9DC854-DE89-474C-A46A-10749E4B4C6B}</author>
    <author>tc={8D825873-3B93-4C5F-8BF0-A5BB994AA718}</author>
    <author>tc={923442CE-5780-4C44-A8A6-84FDAF1E36CD}</author>
    <author>tc={413F78BB-D912-4B1D-9051-674038DF2735}</author>
    <author>tc={C768E4DC-51EF-453D-A7A0-83BCE5043D5C}</author>
    <author>tc={7F8D56E7-3BEE-4EFC-8E47-4CD5BA9FFB07}</author>
    <author>tc={863CE544-30DA-4A70-A086-D46AE3D59662}</author>
    <author>tc={49386712-EA34-462C-8F7D-4E764C8346CA}</author>
    <author>tc={B872DDC2-2783-4BA9-9F5F-5CA8AF09198F}</author>
    <author>tc={8A08C5AB-5137-492F-BD3A-6F4A0EE3BC1E}</author>
    <author>tc={D495CDC8-D5C9-465E-A50E-299A84060E4E}</author>
    <author>tc={2AA0F524-91D5-4E11-AD16-C74D218904F3}</author>
  </authors>
  <commentList>
    <comment ref="H1419" authorId="0" shapeId="0" xr:uid="{FAA9625A-351C-4F9D-9A66-E9A99B0B2A07}">
      <text>
        <r>
          <rPr>
            <sz val="11"/>
            <color theme="1"/>
            <rFont val="Calibri"/>
            <family val="2"/>
            <scheme val="minor"/>
          </rPr>
          <t>Ruben Jimenez Ayuso:
Anexo hasta 30/09 pero causa baja voluntaria</t>
        </r>
      </text>
    </comment>
    <comment ref="AB1429" authorId="0" shapeId="0" xr:uid="{BDB414CD-D11E-4C39-9B14-6110CEB15D41}">
      <text>
        <r>
          <rPr>
            <sz val="11"/>
            <color theme="1"/>
            <rFont val="Calibri"/>
            <family val="2"/>
            <scheme val="minor"/>
          </rPr>
          <t>Ruben Jimenez Ayuso:
Insistido el 22/08/23</t>
        </r>
      </text>
    </comment>
    <comment ref="AB1440" authorId="0" shapeId="0" xr:uid="{88A0802D-754A-4D4A-BBD9-4598A9042E51}">
      <text>
        <r>
          <rPr>
            <sz val="11"/>
            <color theme="1"/>
            <rFont val="Calibri"/>
            <family val="2"/>
            <scheme val="minor"/>
          </rPr>
          <t>Ruben Jimenez Ayuso:
Insistido el 25/08/23</t>
        </r>
      </text>
    </comment>
    <comment ref="AB1444" authorId="0" shapeId="0" xr:uid="{DA1A62F2-C765-40E4-9826-CC79CD080E6A}">
      <text>
        <r>
          <rPr>
            <sz val="11"/>
            <color theme="1"/>
            <rFont val="Calibri"/>
            <family val="2"/>
            <scheme val="minor"/>
          </rPr>
          <t>Ruben Jimenez Ayuso:
Insistido el 25/08/23</t>
        </r>
      </text>
    </comment>
    <comment ref="H1490" authorId="0" shapeId="0" xr:uid="{ABEDA4D7-77BC-490A-8A82-0D9318EF27FA}">
      <text>
        <r>
          <rPr>
            <sz val="11"/>
            <color theme="1"/>
            <rFont val="Calibri"/>
            <family val="2"/>
            <scheme val="minor"/>
          </rPr>
          <t>Ruben Jimenez Ayuso:
Tenía convenio hasta el 31-3-2024 pero causa baja voluntaria</t>
        </r>
      </text>
    </comment>
    <comment ref="H1496" authorId="0" shapeId="0" xr:uid="{F81C691C-3357-49E3-AABD-31A37521338D}">
      <text>
        <r>
          <rPr>
            <sz val="11"/>
            <color theme="1"/>
            <rFont val="Calibri"/>
            <family val="2"/>
            <scheme val="minor"/>
          </rPr>
          <t>Ruben Jimenez Ayuso:
Tenía convenio hasta el 28-2-24 pero causa baja voluntaria</t>
        </r>
      </text>
    </comment>
    <comment ref="J1552" authorId="1" shapeId="0" xr:uid="{54F0556C-07D5-49B3-A899-AE7BE6B0482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del 15/11 al 15/12 jornada 25 horas</t>
        </r>
      </text>
    </comment>
    <comment ref="K1552" authorId="2" shapeId="0" xr:uid="{92BD599D-A5F4-41B2-A89D-8F97957009A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del 15/11 al 15/12 ayuda al estudio 25h de 475€</t>
        </r>
      </text>
    </comment>
    <comment ref="H1557" authorId="3" shapeId="0" xr:uid="{E8636DD5-F73C-443A-86C3-73D92D87A04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renovar hasta completar los 6 meses con cursos</t>
        </r>
      </text>
    </comment>
    <comment ref="H1561" authorId="4" shapeId="0" xr:uid="{CA1A8BE5-AE7C-4927-88E3-D6BB9015D15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 A CONTRATO</t>
        </r>
      </text>
    </comment>
    <comment ref="H1562" authorId="5" shapeId="0" xr:uid="{D6BFA01F-13E6-412F-8305-1F183DE7FC5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 a contrato</t>
        </r>
      </text>
    </comment>
    <comment ref="H1563" authorId="6" shapeId="0" xr:uid="{D714A88C-E90F-4327-81C7-E036E5AC91A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RENOVADA POR 6 MESES MÁS, PASAR A CONTRATO</t>
        </r>
      </text>
    </comment>
    <comment ref="K1570" authorId="7" shapeId="0" xr:uid="{7B29F6D9-699B-450E-A565-1CABF886C9A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1 NOVIEMBRE PORQUE HA FINALIZADO UNO DE LOS 2 GRADOS</t>
        </r>
      </text>
    </comment>
    <comment ref="J1597" authorId="8" shapeId="0" xr:uid="{4678C0D6-BC84-4D97-9A5E-5898DCB59B6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Del 29 enero en adelante jornada de 35h y con curso</t>
        </r>
      </text>
    </comment>
    <comment ref="K1597" authorId="9" shapeId="0" xr:uid="{3768281E-8563-4437-BF67-A6D9F4EB5B0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ha presentado el TFG y está matriculado en Máster</t>
        </r>
      </text>
    </comment>
    <comment ref="H1600" authorId="10" shapeId="0" xr:uid="{F4611114-C254-4C52-B106-F4D8F3E8FD3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firmado 27/01/24 a 22/04/24</t>
        </r>
      </text>
    </comment>
    <comment ref="H1605" authorId="11" shapeId="0" xr:uid="{56632FA7-C55F-4556-B735-E7AD2F0ADA55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 A CONTRATO A LOS 6 MESES. </t>
        </r>
      </text>
    </comment>
    <comment ref="H1607" authorId="12" shapeId="0" xr:uid="{BE926973-08F8-4FA7-A163-1C3238764BB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el anexo firmado</t>
        </r>
      </text>
    </comment>
    <comment ref="H1608" authorId="13" shapeId="0" xr:uid="{437DA3B5-2EAC-44B7-9CAF-F60C5F19CCB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paso a contrato con dpto. Procesos</t>
        </r>
      </text>
    </comment>
    <comment ref="H1611" authorId="14" shapeId="0" xr:uid="{7EA8C329-8992-4BA3-B0DD-AEBA31CC1E8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Dar de baja del 11/05 al 15/05 ambos inclusive por estar en su país. Anexo ECC FDO 35h y ayuda al estudio 800€ desde 1/02-10/02 y desde 16/05 - 30/06</t>
        </r>
      </text>
    </comment>
    <comment ref="H1612" authorId="15" shapeId="0" xr:uid="{FF88A389-8E6E-464E-89BB-01360CAF718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nuevo anexo 23 febrero con jornada 35h</t>
        </r>
      </text>
    </comment>
    <comment ref="H1616" authorId="16" shapeId="0" xr:uid="{BF762275-C749-4F61-86BD-AF9643CE1AD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SIN POSIBILIDAD DE RENOVAR</t>
        </r>
      </text>
    </comment>
    <comment ref="H1618" authorId="17" shapeId="0" xr:uid="{66C717B5-8D26-44AD-967A-16F5B062499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de CC y ECC fdo mismo documento</t>
        </r>
      </text>
    </comment>
    <comment ref="H1619" authorId="18" shapeId="0" xr:uid="{04B70B37-00C0-486F-985C-62B4447569A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 beca comenzó el 20 de junio 2023. causó baja por estudios del 20/12 al 7/01/24</t>
        </r>
      </text>
    </comment>
    <comment ref="H1620" authorId="19" shapeId="0" xr:uid="{B0688CD9-BE08-43DE-B0C9-D1BA2F2914B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7/03-7/07 FIRMADO</t>
        </r>
      </text>
    </comment>
    <comment ref="H1624" authorId="20" shapeId="0" xr:uid="{43E0007F-BE10-489E-B095-DC29E0FC7ED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Hasta el 31 enero jornada 25h y ayuda de 625€.</t>
        </r>
      </text>
    </comment>
    <comment ref="H1628" authorId="21" shapeId="0" xr:uid="{E446608A-12EA-403F-89F4-3869C5ABAEB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a ECC, anexo firmado
Respuesta:
    hay 2 anexos CC fdo y de ECC mismo documento
Respuesta:
    Autorizados a pasar a plantilla en cuanto defienda TFG y presente solicitud del título</t>
        </r>
      </text>
    </comment>
    <comment ref="H1636" authorId="22" shapeId="0" xr:uid="{ABC32DD7-068B-49BA-9B2D-03DD876C2F9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 a contrato cuando finalice el grado, estuvo de beca con jornada de 25h desde enero a octubre 2023, causó baja hasta el 31 enero 2024</t>
        </r>
      </text>
    </comment>
    <comment ref="H1640" authorId="23" shapeId="0" xr:uid="{743B1C67-3735-4BFA-86F8-CB4FC405D391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Llegada la renovación realizar anexo CC con UPM </t>
        </r>
      </text>
    </comment>
    <comment ref="H1641" authorId="24" shapeId="0" xr:uid="{9DDF0E20-60AD-4137-8E22-EE1412819F6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ECC</t>
        </r>
      </text>
    </comment>
    <comment ref="H1649" authorId="25" shapeId="0" xr:uid="{7EA92829-49B0-4D27-BF81-6E994989911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renovado en junio por 6 meses sin consultar al Dpto; con curso + 9 días vacaciones</t>
        </r>
      </text>
    </comment>
    <comment ref="H1651" authorId="26" shapeId="0" xr:uid="{EF3F82D4-BA9F-401C-A033-BC838465698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POSIBILIAD DE ECC</t>
        </r>
      </text>
    </comment>
    <comment ref="H1653" authorId="27" shapeId="0" xr:uid="{EAE3891A-9079-426F-A95A-632E99D12DB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ECC</t>
        </r>
      </text>
    </comment>
    <comment ref="H1658" authorId="28" shapeId="0" xr:uid="{570D750C-D768-4454-9E2F-2A2F69305CF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 UNA BAJA POR ESTUDIOS Y SE INCORPORA EN ENERO</t>
        </r>
      </text>
    </comment>
    <comment ref="H1659" authorId="29" shapeId="0" xr:uid="{51BB8086-F233-4B15-8561-0E868E688184}">
      <text>
        <r>
          <rPr>
            <sz val="11"/>
            <color theme="1"/>
            <rFont val="Calibri"/>
            <family val="2"/>
            <scheme val="minor"/>
          </rPr>
          <t>Andrea Gómez López:
Pendiente de contratación (22-23 de agosto)</t>
        </r>
      </text>
    </comment>
    <comment ref="H1662" authorId="30" shapeId="0" xr:uid="{F6CB27BD-5CF4-4252-8170-A9F555DC7C0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ECC</t>
        </r>
      </text>
    </comment>
    <comment ref="G1675" authorId="31" shapeId="0" xr:uid="{EA26E742-3120-4C77-9AE0-B9F782D48F5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incorporó el día 4 a la oficina porque venía de viaje de Erasmus</t>
        </r>
      </text>
    </comment>
    <comment ref="H1676" authorId="32" shapeId="0" xr:uid="{7FCBAFCB-1BDB-46C8-8563-E49714CF9A5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 a contrato</t>
        </r>
      </text>
    </comment>
    <comment ref="H1677" authorId="33" shapeId="0" xr:uid="{C8C7CD89-ABE8-452A-8677-0E454597261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PASO A CONTRTATO</t>
        </r>
      </text>
    </comment>
    <comment ref="H1679" authorId="34" shapeId="0" xr:uid="{BB58313E-70D3-4B9D-952A-3FC9D82F421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COMPROMETIDOS A CONTRATAR A LOS 6 MESES SI SU DESEMPEÑO ES BUENO</t>
        </r>
      </text>
    </comment>
    <comment ref="K1682" authorId="35" shapeId="0" xr:uid="{03671585-5892-4141-AC55-2312864410B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750€ y jornada 30 horas desde el 01/09/24</t>
        </r>
      </text>
    </comment>
    <comment ref="H1684" authorId="36" shapeId="0" xr:uid="{B56802E1-0A80-4583-AF8E-334A72B1553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renovado a mediados de junio por 6 meses más sin consultar al Dpto; +7 días de descanso</t>
        </r>
      </text>
    </comment>
    <comment ref="J1692" authorId="37" shapeId="0" xr:uid="{F3FBD459-C5B4-43B5-8871-CCE70A94B41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Hasta 31 de agosto jornada de 30 horas y ayuda al estudio de 600€</t>
        </r>
      </text>
    </comment>
    <comment ref="C1700" authorId="0" shapeId="0" xr:uid="{7C8045BD-2AE2-43E1-9456-6A122298E41D}">
      <text>
        <r>
          <rPr>
            <sz val="11"/>
            <color theme="1"/>
            <rFont val="Calibri"/>
            <family val="2"/>
            <scheme val="minor"/>
          </rPr>
          <t>Ruben Jimenez Ayuso:
Necesita intérprete (CM) por sordera</t>
        </r>
      </text>
    </comment>
    <comment ref="H1725" authorId="38" shapeId="0" xr:uid="{080D0096-68AE-43AB-A429-272F4A82F7E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Continua en TR con el nuevo convenio del TFG hasta el 30 de junio, con la misma jornada y ayuda al estudio; con 6 días de vacaciones</t>
        </r>
      </text>
    </comment>
    <comment ref="AC1725" authorId="0" shapeId="0" xr:uid="{2FF795B0-A413-478C-ACE1-6AA1E87D15ED}">
      <text>
        <r>
          <rPr>
            <sz val="11"/>
            <color theme="1"/>
            <rFont val="Calibri"/>
            <family val="2"/>
            <scheme val="minor"/>
          </rPr>
          <t>Ruben Jimenez Ayuso:
Insistido por Teams nuevamente el 16/04/2025</t>
        </r>
      </text>
    </comment>
    <comment ref="H1734" authorId="39" shapeId="0" xr:uid="{77398C49-3C2F-4024-959C-AFEB2D95AC6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ha renovado con la universidad hasta el 14 de noviembre, fecha de los 6 meses. A mediados de sept. obtendrá título y es posible que pase a contrato. Borja Crespo está al tanto. Retomar a primeros de septiembre.</t>
        </r>
      </text>
    </comment>
    <comment ref="H1741" authorId="40" shapeId="0" xr:uid="{328043B5-C0A9-4B15-9A9C-ED7363A34E1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Autorizados a renovar anexo hasta los 6 meses
Respuesta:
    Es posible renovar con su curso actual de INIPED hasta el 28/02/25</t>
        </r>
      </text>
    </comment>
    <comment ref="H1748" authorId="41" shapeId="0" xr:uid="{96006869-862A-45B2-B384-C4AED20E788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 a contrato una vez presente el TFM</t>
        </r>
      </text>
    </comment>
    <comment ref="H1751" authorId="42" shapeId="0" xr:uid="{D3F15037-FD67-4D6E-8366-6896B6F2BDC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Formalizado un 4º Anexo con Structuralia., hasta completar año de beca. Causó baja 1 de septiembre por falta de anexo y se incorporó el 4 de septiembre con CC. Anexo ECC fdo</t>
        </r>
      </text>
    </comment>
    <comment ref="H1752" authorId="43" shapeId="0" xr:uid="{D0EDE3B3-90D3-44A6-A179-0FB1590699D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línea a lo que le dije a Antonio, esperamos hasta el 15/10 y vemos qué hacemos. 
Si ICEX no dice nada, las opciones son:
Contrato en Italia
Ampliar beca en España hasta llegar a 6 meses totales, antes de pasar a PJP</t>
        </r>
      </text>
    </comment>
    <comment ref="H1757" authorId="44" shapeId="0" xr:uid="{04FBB183-CA42-42F0-B80A-A09FD72B468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RENOVAR HASTA 6 MESES CON CURSOS</t>
        </r>
      </text>
    </comment>
    <comment ref="H1758" authorId="45" shapeId="0" xr:uid="{2EBAC3FF-A67E-4B74-94D2-1C6C195CABB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jornada de 35 a 25h a partir 1 septiembre</t>
        </r>
      </text>
    </comment>
    <comment ref="K1758" authorId="29" shapeId="0" xr:uid="{54D14512-1F68-4047-B364-8C9D3370C297}">
      <text>
        <r>
          <rPr>
            <sz val="11"/>
            <color theme="1"/>
            <rFont val="Calibri"/>
            <family val="2"/>
            <scheme val="minor"/>
          </rPr>
          <t>Andrea Gómez López:
CAMBIO 1 SEP
500€
25h</t>
        </r>
      </text>
    </comment>
    <comment ref="H1759" authorId="46" shapeId="0" xr:uid="{2FEF4779-C863-4259-9B54-EF85BADC731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 baja voluntaria por estudios del 24 de junio al 5 de julio. se reincorporó el 8 de julio. Fecha inicio 20.11.2023. Año de beca el 2 de dic.2024</t>
        </r>
      </text>
    </comment>
    <comment ref="H1765" authorId="47" shapeId="0" xr:uid="{509AD740-C0C3-4669-A0B9-275522DE0D6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con cursos. Ya está informado por Andrea
Respuesta:
    Gestionado anexo Iniped 1 septiembre (tendría un mes más para extender el mismo curso)</t>
        </r>
      </text>
    </comment>
    <comment ref="H1773" authorId="0" shapeId="0" xr:uid="{5DD17CD3-F578-4ABE-97D8-DBA7874100F2}">
      <text>
        <r>
          <rPr>
            <sz val="11"/>
            <color theme="1"/>
            <rFont val="Calibri"/>
            <family val="2"/>
            <scheme val="minor"/>
          </rPr>
          <t>Ruben Jimenez Ayuso:
NOS COMPROMETEMOS A OFRECERLE CONTRATACIÓN A LOS 6 MESES DE BECA SI TIENE BUEN DESEMPEÑO</t>
        </r>
      </text>
    </comment>
    <comment ref="H1777" authorId="48" shapeId="0" xr:uid="{DFBEA531-4D9C-4E4A-8131-272312265011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de ECC </t>
        </r>
      </text>
    </comment>
    <comment ref="H1785" authorId="49" shapeId="0" xr:uid="{05DFDBDB-6F37-4255-80E7-2E456E2BE0E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a ICEX 1 de octubre</t>
        </r>
      </text>
    </comment>
    <comment ref="H1787" authorId="50" shapeId="0" xr:uid="{DF1E7705-577A-402D-924D-A64B23086E8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Renovación con TFG, curricular del 10 de marzo a 30 de mayo jornada 25h. luego con cursos</t>
        </r>
      </text>
    </comment>
    <comment ref="H1788" authorId="51" shapeId="0" xr:uid="{3FDD6DC3-73C6-4793-96A7-6AC4669B5E5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causó baja en IMF por finalizar antes de la beca el curso</t>
        </r>
      </text>
    </comment>
    <comment ref="H1789" authorId="52" shapeId="0" xr:uid="{61CD2DB4-CC7B-4912-8C2C-9D37B7DF0BF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causa baja voluntaria por estudios, Máster Internacional. Posible reingreso en TR a partir de diciembre 2026.</t>
        </r>
      </text>
    </comment>
    <comment ref="H1793" authorId="53" shapeId="0" xr:uid="{E1B0DE8B-D823-4507-8642-3A68A2726A3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ACUERDA MÁXIMO DE 6 MESES DE BECA EN LA ENTREVISTA</t>
        </r>
      </text>
    </comment>
    <comment ref="H1795" authorId="54" shapeId="0" xr:uid="{BB046BAE-4599-45CE-B3E7-381167B2C5E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fdo</t>
        </r>
      </text>
    </comment>
    <comment ref="H1798" authorId="55" shapeId="0" xr:uid="{31DB13D5-FDC0-4C4D-815F-9C7BCB454E7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AMPLIAR JORNADA A 40H A PARTIR 24 febrero y ayuda al estudio de 867,30€ desde 1 de enero 2025</t>
        </r>
      </text>
    </comment>
    <comment ref="H1799" authorId="56" shapeId="0" xr:uid="{85190326-2884-47DC-9BFF-AEB7A53DC8C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AMPLIAR JORNADA A 40H A PARTIR 24 febrero y ayuda al estudio de 867,30€ desde 1 de enero 2025</t>
        </r>
      </text>
    </comment>
    <comment ref="H1800" authorId="57" shapeId="0" xr:uid="{9B0A32FA-7C66-4820-B126-BC7405973E5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AMPLIAR JORNADA A 40H A PARTIR 24 febrero y ayuda al estudio de 867,30€ desde 1 de enero 2025</t>
        </r>
      </text>
    </comment>
    <comment ref="H1801" authorId="58" shapeId="0" xr:uid="{5FD63D2B-92B9-41F7-9C07-E3FDF9A908B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AMPLIAR JORNADA A 40H A PARTIR 24 febrero y ayuda al estudio de 867,30€ desde 1 de enero 2025</t>
        </r>
      </text>
    </comment>
    <comment ref="H1802" authorId="59" shapeId="0" xr:uid="{41E049E6-5130-49C4-B2DC-DFB2BFD6385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AMPLIAR JORNADA A 40H A PARTIR 24 febrero y ayuda al estudio de 867,30€ desde 1 de enero 2025</t>
        </r>
      </text>
    </comment>
    <comment ref="H1803" authorId="60" shapeId="0" xr:uid="{0FCB5730-5084-4629-8870-7D23668D729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AMPLIAR JORNADA A 40H A PARTIR 24 febrero y ayuda al estudio de 867,30€ desde 1 de enero 2025</t>
        </r>
      </text>
    </comment>
    <comment ref="H1804" authorId="61" shapeId="0" xr:uid="{C5EC21A5-4FBE-49E2-95E1-C062666016E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un nuevo anexo con curso</t>
        </r>
      </text>
    </comment>
    <comment ref="H1808" authorId="62" shapeId="0" xr:uid="{0D88F046-7655-4C22-A3AD-EB13E52A092E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jornada a 35h a partir de junio
Respuesta:
    ANEXO UC3M EN TRAMITACIÓN </t>
        </r>
      </text>
    </comment>
    <comment ref="H1809" authorId="63" shapeId="0" xr:uid="{8361E7A1-5E6E-4BDE-9BEC-9EAEA02A79D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dispone de horas UPM/ cursos</t>
        </r>
      </text>
    </comment>
    <comment ref="H1811" authorId="64" shapeId="0" xr:uid="{B65FD5EA-AC32-4842-BCB0-D3E1D97A53F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primer Anexo ECC finalizado el 30.09 y nuevo Anexo CC 01.10-15.03 con jornada de 25h</t>
        </r>
      </text>
    </comment>
    <comment ref="H1814" authorId="65" shapeId="0" xr:uid="{8603D6F6-6CA4-45E4-8ED3-6319111BB760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solicitar renovación póliza a Alfonso García Arcas. en febrero cambio jornada completa de lunes a viernes, informar a personal.
</t>
        </r>
      </text>
    </comment>
    <comment ref="J1814" authorId="66" shapeId="0" xr:uid="{B9268904-4415-4419-A9C5-E2797A555E2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jornada 20h lunes, miércoles y viernes. 
Respuesta:
    Alumnos de 4º curso de Mecatrónica (alumnos de la Facultad de Bilbao).
Los de 4º curso suelen tener clases los martes y los jueves (durante todo el día), y los viernes por la tarde (por lo tanto acudirían a la empresa los lunes y los miércoles (jornada completa) y los viernes por la mañana (20 horas / semanales) (hasta finales de enero). A partir de febrero estarían a jornada completa en la empresa (tiene que hacer TFG en la empresa).
A partir de enero los alumnos estarían ya al 100% en la empresa (sin clases ni exámenes).
Serían prácticas de Cooperación Educativa Universidad-Empresa, estarían como becarios (sin contrato).
Coste para la empresa: ayuda a beca de 709 E/mes</t>
        </r>
      </text>
    </comment>
    <comment ref="K1814" authorId="67" shapeId="0" xr:uid="{5C6AC19B-C537-4348-BF5E-7A922A9EE05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 jornada de 40h la ayuda es de 744€</t>
        </r>
      </text>
    </comment>
    <comment ref="H1815" authorId="68" shapeId="0" xr:uid="{2C438213-AA78-43A3-9DD3-02A033D7A1CE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solicitar renovación póliza a Alfonso García Arcas. en febrero cambio jornada completa de lunes a viernes, informar a personal.
</t>
        </r>
      </text>
    </comment>
    <comment ref="J1815" authorId="69" shapeId="0" xr:uid="{C6FD1D40-5491-434A-B180-3D3761659549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jornada 20h lunes, miércoles y viernes. </t>
        </r>
      </text>
    </comment>
    <comment ref="K1815" authorId="70" shapeId="0" xr:uid="{F7637710-B298-4512-A7D8-9EF5EA19E78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 jornada de 40h la ayuda es de 744€</t>
        </r>
      </text>
    </comment>
    <comment ref="H1816" authorId="71" shapeId="0" xr:uid="{9B1EB014-2FFD-465D-9FB9-7230FD4FBFF9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solicitar renovación póliza a Alfonso García Arcas. en febrero cambio jornada completa de lunes a viernes, informar a personal.
</t>
        </r>
      </text>
    </comment>
    <comment ref="J1816" authorId="72" shapeId="0" xr:uid="{D42D6F49-4F7E-4800-B9AE-865D64373B4E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jornada 20h lunes, miércoles y viernes. </t>
        </r>
      </text>
    </comment>
    <comment ref="K1816" authorId="73" shapeId="0" xr:uid="{1F9D251C-120F-46AD-A48B-ABC47615127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 jornada 40h la ayuda es de 744€</t>
        </r>
      </text>
    </comment>
    <comment ref="H1817" authorId="74" shapeId="0" xr:uid="{E3C875E8-66A9-48E5-A8DD-875398740BB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cambiar a ECC; anexo fdo</t>
        </r>
      </text>
    </comment>
    <comment ref="H1818" authorId="75" shapeId="0" xr:uid="{1B791D47-1839-4F13-BF17-AA51F11B9D3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cambiar a ECC; anexo fdo</t>
        </r>
      </text>
    </comment>
    <comment ref="H1820" authorId="76" shapeId="0" xr:uid="{650BACAD-E393-43E3-B362-5FF636B3BA0C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ANEXOS </t>
        </r>
      </text>
    </comment>
    <comment ref="H1823" authorId="77" shapeId="0" xr:uid="{604EEA69-2029-4F0F-9B2C-E92CDDA6B48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ECC  UPM, publicar de nuevo oferta</t>
        </r>
      </text>
    </comment>
    <comment ref="K1824" authorId="78" shapeId="0" xr:uid="{043CD988-D6D6-420A-AB59-B11BEFAE6FF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son prácticas FCT</t>
        </r>
      </text>
    </comment>
    <comment ref="H1825" authorId="79" shapeId="0" xr:uid="{F5D14981-ABE2-48CA-ADC9-B4374581BBA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firmado UPM 29.11-31.03.25</t>
        </r>
      </text>
    </comment>
    <comment ref="H1826" authorId="80" shapeId="0" xr:uid="{4C504A00-A0AD-4497-A83D-0D5409C1BF6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incorpora con beca 10/12/24
Respuesta:
    finalizó sus prácticas 3/12/24</t>
        </r>
      </text>
    </comment>
    <comment ref="H1833" authorId="81" shapeId="0" xr:uid="{C439D5FF-D26D-4458-A94E-53482865253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a ECC, anexo formalizado. Su beca finalizaba el 6 octubre pero pasa a contrato con fecha 1 de agosto</t>
        </r>
      </text>
    </comment>
    <comment ref="H1834" authorId="82" shapeId="0" xr:uid="{DA57E7CF-DD06-474A-A60B-611D9A7BAF90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publicar oferta UPM para ECC 
Respuesta:
    Pasa a contrato laboral </t>
        </r>
      </text>
    </comment>
    <comment ref="H1835" authorId="83" shapeId="0" xr:uid="{6F6726F1-04C4-4748-84FC-9BD94279094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comenzó con beca Inicia 18 de diciembre sus prácticas de FP finalizaron 17 diciembre.</t>
        </r>
      </text>
    </comment>
    <comment ref="H1838" authorId="84" shapeId="0" xr:uid="{EDB7ED9E-7D99-4C14-B0B9-88461B56151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CC formalizado hasta el 13 diciembre 24</t>
        </r>
      </text>
    </comment>
    <comment ref="J1848" authorId="85" shapeId="0" xr:uid="{30F42BE4-9C26-4064-89E5-7E8CD109D57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reducción jornada en la renovación de 35 a 30h por estudios</t>
        </r>
      </text>
    </comment>
    <comment ref="H1853" authorId="86" shapeId="0" xr:uid="{1A92005A-F1E5-494B-A5CB-761D3832710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 Anexo ECC 19.12 UPM. Baja por firma del Anexo del 20 al 27 de enero. Solicitar nuevo Anexo con jornada 35h para comenzar en marzo</t>
        </r>
      </text>
    </comment>
    <comment ref="H1854" authorId="87" shapeId="0" xr:uid="{38AD83A2-0F7D-4EB8-9CDC-DF4CF01C61A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cambiar a ECC 17.12
Respuesta:
    formalizar nuevo anexo con jornada 35h
Respuesta:
    Nuevo Anexo ECC 35h 700€, desde 20/01</t>
        </r>
      </text>
    </comment>
    <comment ref="H1855" authorId="88" shapeId="0" xr:uid="{C05F02F1-598D-4E62-9642-A6D95C8985A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formalizado fdo</t>
        </r>
      </text>
    </comment>
    <comment ref="J1859" authorId="89" shapeId="0" xr:uid="{E97D0186-74CF-4EF9-BED6-812ABB69538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Departamento nos informa de la reducción de jornada a 20h por TFGF</t>
        </r>
      </text>
    </comment>
    <comment ref="H1862" authorId="90" shapeId="0" xr:uid="{4E974FCE-11EB-48B2-8636-9F5CD04C30F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de ECC con UPV hasta 13 mayo (180 días)</t>
        </r>
      </text>
    </comment>
    <comment ref="H1870" authorId="91" shapeId="0" xr:uid="{8B3F2CDC-6685-4CF3-9727-AAE90685D4D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Hasta 28.02 necesita 225h prácticas. ampliar 35h y 1200€</t>
        </r>
      </text>
    </comment>
    <comment ref="H1871" authorId="92" shapeId="0" xr:uid="{25739B77-EB6E-49D4-8F77-3BC75A1DDC1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16/02-15/06 FDO</t>
        </r>
      </text>
    </comment>
    <comment ref="H1874" authorId="93" shapeId="0" xr:uid="{B95BE5DA-CEB8-43D0-93AF-B952B423498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ECC publicando nueva oferta</t>
        </r>
      </text>
    </comment>
    <comment ref="H1875" authorId="94" shapeId="0" xr:uid="{4C434FA1-14E6-48F3-AA92-21BA8321494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ECC publicando oferta</t>
        </r>
      </text>
    </comment>
    <comment ref="H1879" authorId="95" shapeId="0" xr:uid="{3050C9C3-EE64-419A-81BE-997B86C36FD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16.12-12.01.26 FDO</t>
        </r>
      </text>
    </comment>
    <comment ref="H1881" authorId="96" shapeId="0" xr:uid="{8F6750F6-BA6E-47F0-A4A5-DA6E8B4616B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a CC desde 03 feb. hasta 21 abril. Ambos anexos fdos. 2 semanas en Madrid, el resto beca en Italia y a los 6 meses pasará a contrato según desempeño</t>
        </r>
      </text>
    </comment>
    <comment ref="H1882" authorId="97" shapeId="0" xr:uid="{6B1C046D-778F-413D-99B8-5BC66FE599B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RENOVAR HASTA COMPLETAR LOS 6 MESES RENOVACIÓN</t>
        </r>
      </text>
    </comment>
    <comment ref="H1883" authorId="98" shapeId="0" xr:uid="{29EAF0A4-3A80-4A5F-83CB-6FD24B7C625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paso a contratación a los 6 meses, según desempeño</t>
        </r>
      </text>
    </comment>
    <comment ref="H1884" authorId="99" shapeId="0" xr:uid="{2D713BFF-FEE7-4D2B-B562-C8FB8E2DD5F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a ECC, anexo firmado</t>
        </r>
      </text>
    </comment>
    <comment ref="H1885" authorId="100" shapeId="0" xr:uid="{BCE207BA-7AB3-4318-AEE1-4C405D7454B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ECC a 35h</t>
        </r>
      </text>
    </comment>
    <comment ref="H1888" authorId="101" shapeId="0" xr:uid="{A174CA0E-8639-4D73-A4D7-5FC950450D3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firmado ENyD</t>
        </r>
      </text>
    </comment>
    <comment ref="H1889" authorId="102" shapeId="0" xr:uid="{D0222F7D-F113-4525-BBD5-0A2560C6F87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convino con RJ causar baja por estudios a partir del 1 de junio. Reducción jornada a 25h estipulado por la UPM</t>
        </r>
      </text>
    </comment>
    <comment ref="H1890" authorId="103" shapeId="0" xr:uid="{C8BD2771-19D6-491B-8D04-5A64683CEDC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email de Inmaculada 05/05 solicitando NO renovación NI contratación por bajo desempeño</t>
        </r>
      </text>
    </comment>
    <comment ref="H1891" authorId="104" shapeId="0" xr:uid="{F42BFB70-5171-49DD-948D-86128FD707F9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ECC </t>
        </r>
      </text>
    </comment>
    <comment ref="H1892" authorId="105" shapeId="0" xr:uid="{F14F22BB-B5EB-4309-BCC1-5CD51578402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fdo 1503-3107 25h</t>
        </r>
      </text>
    </comment>
    <comment ref="H1893" authorId="106" shapeId="0" xr:uid="{5DB9E267-FC1D-4D29-99D4-FE04E67E20D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causa baja por estudios de máster</t>
        </r>
      </text>
    </comment>
    <comment ref="H1895" authorId="107" shapeId="0" xr:uid="{6AB1A392-EC0A-49D6-B42D-B6A83E79F9E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formalizado
Respuesta:
    Se acuerda que en agosto causará baja y se reincorporará en septiembre con jornada semanal de 20 horas</t>
        </r>
      </text>
    </comment>
    <comment ref="H1896" authorId="108" shapeId="0" xr:uid="{6E811A0F-0554-46CA-BEE6-885B48371719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prórroga </t>
        </r>
      </text>
    </comment>
    <comment ref="H1897" authorId="109" shapeId="0" xr:uid="{77D1A7D7-C916-4D0A-A808-213889ED76A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ECC</t>
        </r>
      </text>
    </comment>
    <comment ref="H1898" authorId="110" shapeId="0" xr:uid="{8122531D-6823-4E6E-8B06-F331E3EFD81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DA ERROR EN LA DESCARGA DEL ANEXO; ESTÁ EN LA UC3M</t>
        </r>
      </text>
    </comment>
    <comment ref="H1899" authorId="111" shapeId="0" xr:uid="{5DAC91BA-B544-4E3D-82A5-0BFD913432F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generado UC3M con jornada 20h; la oferta publicada fue con 35h</t>
        </r>
      </text>
    </comment>
    <comment ref="H1900" authorId="112" shapeId="0" xr:uid="{439519AD-2527-4290-B2E5-054DBBEF8F0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 fecha 4 de agosto cambió a CC hasta 28 agosto. Formalizar nuevo Anexo ECC con curso desde 30 agosto</t>
        </r>
      </text>
    </comment>
    <comment ref="H1901" authorId="113" shapeId="0" xr:uid="{B9FED77F-E347-43AE-8D2E-218A5F8A7F0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FDO</t>
        </r>
      </text>
    </comment>
    <comment ref="H1902" authorId="114" shapeId="0" xr:uid="{48C0295F-8206-4971-8882-F3EB228E7EE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ofertas y anexos gestionado por el propio Dpto.120. Carmen Lodares</t>
        </r>
      </text>
    </comment>
    <comment ref="H1903" authorId="115" shapeId="0" xr:uid="{CA9D5715-BBC5-4DEE-BC63-75930AEFA36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ofertas y anexos gestionado por el propio Dpto.120. Carmen Lodares</t>
        </r>
      </text>
    </comment>
    <comment ref="H1905" authorId="116" shapeId="0" xr:uid="{C991643B-775E-41A4-8843-63442BC3FBF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curso TEP Institute pdte. recibir firmado por el centro. 05/08
Respuesta:
    Baja voluntaria anticipada el 15/01</t>
        </r>
      </text>
    </comment>
    <comment ref="H1906" authorId="117" shapeId="0" xr:uid="{A84276DA-602F-42A9-8CFE-1813C4B67C2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de inicio modificada por la UPM, por eso no coincide con fecha finalización</t>
        </r>
      </text>
    </comment>
    <comment ref="H1907" authorId="118" shapeId="0" xr:uid="{792100B5-09A9-4FC7-BB48-4BCAE99E53C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 fecha 28 mayo se formalizó nuevo anexo CC por el TFE hasta 29 de agosto fecha fijada UPCT</t>
        </r>
      </text>
    </comment>
    <comment ref="H1908" authorId="119" shapeId="0" xr:uid="{407DA310-A38C-4B29-BDC0-3FB0E40EE5A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1º Anexo CC fdo. No es posible descargar de UC3M. Anexo ECC 1 sept. solicitado pero pendiente por la firma convenio por la universidad
Respuesta:
    Prórroga solicitada (31/10/25)</t>
        </r>
      </text>
    </comment>
    <comment ref="H1909" authorId="120" shapeId="0" xr:uid="{327AEB53-E251-4B69-9C00-AD62F3A8E12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FDO 2204-0908 FDO</t>
        </r>
      </text>
    </comment>
    <comment ref="H1912" authorId="121" shapeId="0" xr:uid="{E5DF5525-07DD-4CF4-9FB9-28E1AFB06A4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ECC</t>
        </r>
      </text>
    </comment>
    <comment ref="H1913" authorId="122" shapeId="0" xr:uid="{7AD2D06E-024C-4A50-8B90-63845859636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FDO 2903-1608 25h</t>
        </r>
      </text>
    </comment>
    <comment ref="K1914" authorId="123" shapeId="0" xr:uid="{9B849A28-D5CE-4870-9DD9-6CD84EE47DF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ayuda indicada en el anexo está establecida por la UPM porque es estudiante de máster. Para TR sería de 500€ pq no está titulado de Grado</t>
        </r>
      </text>
    </comment>
    <comment ref="H1915" authorId="124" shapeId="0" xr:uid="{292E05DB-C308-4EFC-8E04-7BEC5990540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ECC, sólo es posible hasta el 15 de julio.</t>
        </r>
      </text>
    </comment>
    <comment ref="H1916" authorId="125" shapeId="0" xr:uid="{BE38F148-2EF4-4DE8-A481-5A87024F000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ECC</t>
        </r>
      </text>
    </comment>
    <comment ref="J1916" authorId="126" shapeId="0" xr:uid="{DD5C7276-FF5B-47AB-9295-9324232175B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jornada de 25 a 35h</t>
        </r>
      </text>
    </comment>
    <comment ref="H1917" authorId="127" shapeId="0" xr:uid="{DF8F4B89-DC61-416D-9AF2-DBC0D5E9456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ECC</t>
        </r>
      </text>
    </comment>
    <comment ref="H1920" authorId="128" shapeId="0" xr:uid="{E73433CA-576E-4889-AA04-09D75A4EE4A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a ECC anexo fdo
Respuesta:
    Anexo ECC UEM Pendiente firma JB</t>
        </r>
      </text>
    </comment>
    <comment ref="H1921" authorId="129" shapeId="0" xr:uid="{B02A26EC-F72B-450E-9340-752964D5BEE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ECC hasta 900h. 11/03 solicitado Anexo ECC total beca. 14/05-16/08</t>
        </r>
      </text>
    </comment>
    <comment ref="H1922" authorId="130" shapeId="0" xr:uid="{571589BF-5761-4A20-A20A-BE6BDABC014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 UNA BAJA POR ESTUDIOS Y SE INCORPORA EN ENERO</t>
        </r>
      </text>
    </comment>
    <comment ref="H1923" authorId="131" shapeId="0" xr:uid="{A89A85D9-C8C7-4EC2-9FD3-427DC3DB3B5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2503-2308 FDO</t>
        </r>
      </text>
    </comment>
    <comment ref="H1925" authorId="132" shapeId="0" xr:uid="{C927AF54-6415-469A-AAE9-813981C40D1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2603-2308 FDO</t>
        </r>
      </text>
    </comment>
    <comment ref="H1926" authorId="133" shapeId="0" xr:uid="{863F0458-977D-43F5-8548-BB236F4A809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ampliar jornada a 35h y ayuda al estudio a 700€  partir del 24 de agosto</t>
        </r>
      </text>
    </comment>
    <comment ref="H1930" authorId="134" shapeId="0" xr:uid="{0DF16708-89DA-45D1-81AB-F57D8AEA419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ECC . Renovar en agosto con cursos hasta cumplir el año, email Enrique mayo 2025</t>
        </r>
      </text>
    </comment>
    <comment ref="J1930" authorId="135" shapeId="0" xr:uid="{4A21817F-16E9-4B2B-9FE6-6BAB6E63BC7A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Confirmado que puede hacer 35h
</t>
        </r>
      </text>
    </comment>
    <comment ref="H1931" authorId="136" shapeId="0" xr:uid="{30BF01DF-68F3-4E75-8BDD-27EC1461FF0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finaliza sus prácticas CC y causa baja.</t>
        </r>
      </text>
    </comment>
    <comment ref="H1932" authorId="137" shapeId="0" xr:uid="{8D34B163-7F2F-4D28-988F-24683BB8EA4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un nuevo anexo con ampliación de jornada a 35h hasta finales de agosto. Consulato por Andrea al ICAI</t>
        </r>
      </text>
    </comment>
    <comment ref="H1938" authorId="138" shapeId="0" xr:uid="{3014D263-AB91-44E7-8EFC-1B76A69D998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causará baja y se reincorporará en febrero 2026</t>
        </r>
      </text>
    </comment>
    <comment ref="H1939" authorId="139" shapeId="0" xr:uid="{8DEBBC8D-E392-43C4-A11A-B9415C1177F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fdo</t>
        </r>
      </text>
    </comment>
    <comment ref="H1940" authorId="140" shapeId="0" xr:uid="{190BDA10-C3FD-4103-9A71-CE2CA72020A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ECC
Respuesta:
    baja voluntaria el 19 de agosto, aunque el anexo dure hasta el 31 de agosto</t>
        </r>
      </text>
    </comment>
    <comment ref="H1942" authorId="141" shapeId="0" xr:uid="{8C5DBE97-A655-4114-A8EC-8AB9009F281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puedo descargar Anexo de la plataforma</t>
        </r>
      </text>
    </comment>
    <comment ref="H1960" authorId="142" shapeId="0" xr:uid="{17631AE2-78D8-4B43-9211-559C94DD30A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defensa del TFM y dejarán de estar en vigor los anexos con la UPCT. 
27/06 email baja voluntaria 9 de julio</t>
        </r>
      </text>
    </comment>
    <comment ref="H1964" authorId="143" shapeId="0" xr:uid="{73D2A323-F3A7-4775-8639-064BE33A9F6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formalizó anexo con curso hasta completar los 6 meses, consultar al departamento por su renovación</t>
        </r>
      </text>
    </comment>
    <comment ref="H1965" authorId="144" shapeId="0" xr:uid="{D42CA7AE-7F2C-4E2F-A71C-B43E5A4802B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Defensa del TFM y dejará de estar en vigor el anexo con la UPCT</t>
        </r>
      </text>
    </comment>
    <comment ref="H1967" authorId="145" shapeId="0" xr:uid="{6203B19B-76EA-4344-AEE0-8B4E59CA4CA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nuevo anexo en junio con jornada de 35h. Las CC son de sep-dic y Feb-Mayo</t>
        </r>
      </text>
    </comment>
    <comment ref="J1967" authorId="146" shapeId="0" xr:uid="{B9651C0F-22DD-45E8-BBE2-447E3B27E3D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el horario con la universidad sólo puede venir de lunes a jueves.</t>
        </r>
      </text>
    </comment>
    <comment ref="J1968" authorId="147" shapeId="0" xr:uid="{49D19150-FABB-40A3-BBB0-ACFF545227A0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1er mes 30h luego puedes hacer 35h </t>
        </r>
      </text>
    </comment>
    <comment ref="H1969" authorId="148" shapeId="0" xr:uid="{ECEBA758-B977-43D2-8B38-6C630A96F02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ECC</t>
        </r>
      </text>
    </comment>
    <comment ref="G1970" authorId="149" shapeId="0" xr:uid="{AD1CA3D6-7933-444B-8B57-E6EF1788E7AC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Tomó vacaciones para incorporarse el 21 de abril. </t>
        </r>
      </text>
    </comment>
    <comment ref="H1970" authorId="150" shapeId="0" xr:uid="{071F8077-022C-4FCA-AED6-E6455E88009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convalidación notas para ampliar a 35h con la universidad. formalizamos con curso nuevo anexo ECC 12 mayo y 35h</t>
        </r>
      </text>
    </comment>
    <comment ref="H1971" authorId="151" shapeId="0" xr:uid="{33A6D0AD-4BF1-44B1-A19E-C053A9ECCDB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 matrícula máster 23 de julio, nuevo anexo con máster.</t>
        </r>
      </text>
    </comment>
    <comment ref="H1981" authorId="152" shapeId="0" xr:uid="{1A36F038-C0CE-4CC6-9C29-514BE557E64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terminó un día más tarde autorizado por Zuriñe porque tuvo un evento el viernes 9 y lo recuperó con el día 22 de mayo.</t>
        </r>
      </text>
    </comment>
    <comment ref="H1985" authorId="153" shapeId="0" xr:uid="{35C1D641-A02A-4655-A0B5-22E4D7621D5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en función a los 180 días GV</t>
        </r>
      </text>
    </comment>
    <comment ref="H1992" authorId="154" shapeId="0" xr:uid="{40C6092D-0AD4-4D8F-B591-F432A230A6C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se puede formalizar el anexo con Universidad hasta esa fecha para la obtención del título</t>
        </r>
      </text>
    </comment>
    <comment ref="H1998" authorId="155" shapeId="0" xr:uid="{4DAD16B1-459C-4D87-ADA4-0200879C6DA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jornada a 25h y ayuda 500€ con fecha 29 de noviembre</t>
        </r>
      </text>
    </comment>
    <comment ref="H1999" authorId="0" shapeId="0" xr:uid="{A27EB25A-54F1-40BA-8022-D93F702A41BD}">
      <text>
        <r>
          <rPr>
            <sz val="11"/>
            <color theme="1"/>
            <rFont val="Calibri"/>
            <family val="2"/>
            <scheme val="minor"/>
          </rPr>
          <t>Ruben Jimenez Ayuso:
Causará baja tras finalizar el 30-nov-25</t>
        </r>
      </text>
    </comment>
    <comment ref="J1999" authorId="156" shapeId="0" xr:uid="{8A9E0424-0B4D-489D-BCDE-B0E640E14B5A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para el periodo de CC 300h, después cambiar a 25h 
</t>
        </r>
      </text>
    </comment>
    <comment ref="K2003" authorId="29" shapeId="0" xr:uid="{EA50F351-D90A-4065-8167-0CDF809D21F1}">
      <text>
        <r>
          <rPr>
            <sz val="11"/>
            <color theme="1"/>
            <rFont val="Calibri"/>
            <family val="2"/>
            <scheme val="minor"/>
          </rPr>
          <t>Andrea Gómez López:
No tiene el título del grado le queda entregar el TFG. En paralelo, está cursando un máster. Sandra: Presentó título de grado el 27/06 por teams.</t>
        </r>
      </text>
    </comment>
    <comment ref="R2003" authorId="29" shapeId="0" xr:uid="{8B2CCA30-765F-46A0-BAAD-B67EC7B39E56}">
      <text>
        <r>
          <rPr>
            <sz val="11"/>
            <color theme="1"/>
            <rFont val="Calibri"/>
            <family val="2"/>
            <scheme val="minor"/>
          </rPr>
          <t>Andrea Gómez López:
No tiene el título del grado</t>
        </r>
      </text>
    </comment>
    <comment ref="H2004" authorId="157" shapeId="0" xr:uid="{E0EE3403-BE5D-4940-B938-E91318EAF67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 cambio a ECC anexo firmado</t>
        </r>
      </text>
    </comment>
    <comment ref="H2011" authorId="158" shapeId="0" xr:uid="{F2289F7F-E773-452E-8785-36BB08E6D16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conversación con Saúl Sep. pq están interesados en contratarle para ir a obra</t>
        </r>
      </text>
    </comment>
    <comment ref="H2014" authorId="159" shapeId="0" xr:uid="{06D4E924-8E00-4333-AA12-FB2F1A07043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ECC</t>
        </r>
      </text>
    </comment>
    <comment ref="H2015" authorId="160" shapeId="0" xr:uid="{C7A1CD49-ABB2-41A0-A88D-888F2D47D98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RENOVAR CON CURSO</t>
        </r>
      </text>
    </comment>
    <comment ref="H2019" authorId="161" shapeId="0" xr:uid="{34E3224E-3043-461E-85BA-8BA6F5D22AD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desde 14.10 está con prácticas de FP NO remuneradas. Anexo CC 1410-09.01.26</t>
        </r>
      </text>
    </comment>
    <comment ref="H2020" authorId="162" shapeId="0" xr:uid="{4E0CABF6-C396-4CF9-961C-0ED31905089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jornada a 25h y ayuda al estudio a 625€ con fecha 1 de septiembre.  Renovado Anexo CC hasta 16 noviembre. Cambio dpto. 135 al 155 en marzo</t>
        </r>
      </text>
    </comment>
    <comment ref="H2024" authorId="163" shapeId="0" xr:uid="{692DB08A-FC18-48BB-A07F-2A28F495E9A5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cambios de jornada con la misma ayuda al estudio: 40h 30.06 a 04.09/ 12,5h 05.09 a 19.02.26 y 40h 23.02.26 a 15.06.26. causó baja del 19 al 23 </t>
        </r>
      </text>
    </comment>
    <comment ref="H2025" authorId="164" shapeId="0" xr:uid="{B4D650D4-BFE8-4D52-867C-69E5CA3A103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curso ENyD solo permite realizar 612h por eso finaliza el anexo en noviembre. Anexo ECC FDO</t>
        </r>
      </text>
    </comment>
    <comment ref="H2028" authorId="165" shapeId="0" xr:uid="{B16B930E-DC59-4315-B756-D0407147A440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Renovar  beca con curso, no dispone de horas con URJC. </t>
        </r>
      </text>
    </comment>
    <comment ref="H2030" authorId="166" shapeId="0" xr:uid="{65926328-2A54-4335-AA46-6EDEDE0B1DD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jornada a 25h y ayuda al estudio a 625€ con fecha 1 de septiembre.  Renovado Anexo CC hasta 14 diciembre</t>
        </r>
      </text>
    </comment>
    <comment ref="H2033" authorId="167" shapeId="0" xr:uid="{7425D3D7-B8C3-48DF-A02C-31048F33697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en función a los 180 días GV</t>
        </r>
      </text>
    </comment>
    <comment ref="H2034" authorId="168" shapeId="0" xr:uid="{CD480B40-CD71-4D5E-9111-72C59907EB0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causó baja del 15/07 al 19/08</t>
        </r>
      </text>
    </comment>
    <comment ref="H2036" authorId="169" shapeId="0" xr:uid="{3C03763D-E116-478F-9E37-904D24B816F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fue baja los meses de julio y agosto, se reincorpora el 1 septiembre hasta diciembre, autorizado por Joaquín.</t>
        </r>
      </text>
    </comment>
    <comment ref="H2039" authorId="170" shapeId="0" xr:uid="{9EDA7154-AAF0-406A-9C6C-3732558DC94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con UEMC formalizado hasta julio. 27.01.26</t>
        </r>
      </text>
    </comment>
    <comment ref="K2042" authorId="171" shapeId="0" xr:uid="{5DADA6D3-A37A-4C38-9D69-2065622E183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 pagamos casa y billetes de i/v
Respuesta:
    importe neto</t>
        </r>
      </text>
    </comment>
    <comment ref="H2043" authorId="0" shapeId="0" xr:uid="{B2F2EC3F-7B78-4EBD-9572-727BCB2D5B1F}">
      <text>
        <r>
          <rPr>
            <sz val="11"/>
            <color theme="1"/>
            <rFont val="Calibri"/>
            <family val="2"/>
            <scheme val="minor"/>
          </rPr>
          <t>Ruben Jimenez Ayuso:
Compromiso de contratación tras 6 meses de beca si hay buen desempeño</t>
        </r>
      </text>
    </comment>
    <comment ref="K2043" authorId="172" shapeId="0" xr:uid="{9069C56D-F22E-4B47-9680-F10446FEA834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 pagamos casa y billetes de i/v</t>
        </r>
      </text>
    </comment>
    <comment ref="K2046" authorId="0" shapeId="0" xr:uid="{4ACECC33-9898-45C0-8F0F-DF968321738A}">
      <text>
        <r>
          <rPr>
            <sz val="11"/>
            <color theme="1"/>
            <rFont val="Calibri"/>
            <family val="2"/>
            <scheme val="minor"/>
          </rPr>
          <t>Ruben Jimenez Ayuso:
deben ser netos para que no le quiten un 24%</t>
        </r>
      </text>
    </comment>
    <comment ref="H2047" authorId="173" shapeId="0" xr:uid="{CD8107C9-F29E-4A04-8C61-98B223D2BF6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en función 180 días GV</t>
        </r>
      </text>
    </comment>
    <comment ref="H2048" authorId="174" shapeId="0" xr:uid="{45BA233F-D06F-451A-945B-E7A4304B5B8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puede continuar, tiene que volver a su país por sus estudios</t>
        </r>
      </text>
    </comment>
    <comment ref="K2048" authorId="0" shapeId="0" xr:uid="{0227D83B-3A24-4E82-8567-E5B40FDEFC7C}">
      <text>
        <r>
          <rPr>
            <sz val="11"/>
            <color theme="1"/>
            <rFont val="Calibri"/>
            <family val="2"/>
            <scheme val="minor"/>
          </rPr>
          <t>Ruben Jimenez Ayuso:
OJO, CANTIDAD NETA. INFORMAR A PERSONAL</t>
        </r>
      </text>
    </comment>
    <comment ref="H2051" authorId="175" shapeId="0" xr:uid="{89BC21F4-B5BD-4886-A7A4-6D3E1FC50BC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última semana de febrero 2026 aumentará a 40 horas, aunque su ayuda económica seguirá siendo la misma</t>
        </r>
      </text>
    </comment>
    <comment ref="J2051" authorId="176" shapeId="0" xr:uid="{12DC8A4C-1329-40CA-87D3-43143AB8E29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 cambio de jornada 13 de abril</t>
        </r>
      </text>
    </comment>
    <comment ref="H2052" authorId="177" shapeId="0" xr:uid="{EAB2A52C-4319-4944-B7C3-C1D7E8C8464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Tenemos convenio hasta el 15/06/26, pero desde el 23/02/2026 aumenta jornada a 40 horas semanales, manteniendo la misma ayuda al estudio</t>
        </r>
      </text>
    </comment>
    <comment ref="H2057" authorId="178" shapeId="0" xr:uid="{1FA1BE8A-7CCA-4FBC-B77A-E269E90518BA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Fecha en función 180 días GV. 
Anexo ECC 16.10 fdo
Respuesta:
    no pudo pasara a contrato a los 180 días porque no había finalizado sus estudios. </t>
        </r>
      </text>
    </comment>
    <comment ref="H2058" authorId="179" shapeId="0" xr:uid="{E9AA0FF3-B5E8-47A3-87CD-C5A4DCA2B6D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Renovación con Anexo de TFM. Entrega de información con Excel en la carpeta de la becaria</t>
        </r>
      </text>
    </comment>
    <comment ref="H2060" authorId="180" shapeId="0" xr:uid="{98D5D139-E705-4D3E-8440-31B133E7B48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15.09 se incorporó con curso Structuralia pendiente UOC; UOC generó anexo CC con jornada 25h y ayuda de 400€ con fecha inicio 25.09</t>
        </r>
      </text>
    </comment>
    <comment ref="G2062" authorId="181" shapeId="0" xr:uid="{82B87E3D-B4ED-4509-B254-46D2E07FEA2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Plazo de publicación cerrado. Publicar en 01/09</t>
        </r>
      </text>
    </comment>
    <comment ref="H2062" authorId="182" shapeId="0" xr:uid="{DBCF34DE-86C7-4B6E-BC2D-C8A19D49C497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PUEDEN DESCARGAR LOS ANEXOS DE CC Y ECC. CC HASTA 05 NOVIEMBRE. ECC 06 NOV. HASTA 14 MARZO
Respuesta:
    Se acuerda que en agosto causará baja y se reincorporará en septiembre con jornada semanal de 20 horas
Respuesta:
    Anexo CC hasta 22/10/25</t>
        </r>
      </text>
    </comment>
    <comment ref="G2063" authorId="183" shapeId="0" xr:uid="{59A70F6D-7A1A-4665-BD4F-C3932B1C7C6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Plazo de publicación cerrado. Publicar en 01/09</t>
        </r>
      </text>
    </comment>
    <comment ref="H2065" authorId="184" shapeId="0" xr:uid="{80F30BA1-9C0C-4B97-A069-273EE84F28B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incorporó en el 120 hasta el 14 de marzo. Se renovó en el 110 hasta finales de mayo, causará baja y se reincorporará una vez finalizado el doble grado. Hablado con el 110 y Marta Trilla.</t>
        </r>
      </text>
    </comment>
    <comment ref="H2067" authorId="185" shapeId="0" xr:uid="{9C10180C-D78B-4D08-A950-62D499B1DE7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a ECC formalizar anexo</t>
        </r>
      </text>
    </comment>
    <comment ref="H2068" authorId="186" shapeId="0" xr:uid="{13DF757C-99F0-430D-B5D4-6B7B57CED50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formalizado anexo ECC y agotadas las horas con URJC; RENOVAR CON CURSO</t>
        </r>
      </text>
    </comment>
    <comment ref="H2069" authorId="187" shapeId="0" xr:uid="{AD991DF4-92D9-4375-B012-DD616BF75CD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CC con TFG</t>
        </r>
      </text>
    </comment>
    <comment ref="H2072" authorId="188" shapeId="0" xr:uid="{87A4B73C-F58E-4E4B-AC93-3D3524056EC9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Prácticas UEMC: 22/9/25-11/11/25 Curriculares 12/11/25-27/1/26 Extracurriculares. Anexos generados y firmados</t>
        </r>
      </text>
    </comment>
    <comment ref="K2075" authorId="0" shapeId="0" xr:uid="{E5A2D5B7-ABC0-46A6-904E-8A54248BFD51}">
      <text>
        <r>
          <rPr>
            <sz val="11"/>
            <color theme="1"/>
            <rFont val="Calibri"/>
            <family val="2"/>
            <scheme val="minor"/>
          </rPr>
          <t>Ruben Jimenez Ayuso:
Le pagamos también el alojamiento y los billetes de avión. IMPORTE NETO</t>
        </r>
      </text>
    </comment>
    <comment ref="K2076" authorId="0" shapeId="0" xr:uid="{33EE89F1-76E4-4B2C-8BC3-4D7FBFCB4604}">
      <text>
        <r>
          <rPr>
            <sz val="11"/>
            <color theme="1"/>
            <rFont val="Calibri"/>
            <family val="2"/>
            <scheme val="minor"/>
          </rPr>
          <t>Ruben Jimenez Ayuso:
IMPORTE NETO</t>
        </r>
      </text>
    </comment>
    <comment ref="H2079" authorId="0" shapeId="0" xr:uid="{84D72FF9-A4B7-4B07-A1FA-FB33BFECEB0F}">
      <text>
        <r>
          <rPr>
            <sz val="11"/>
            <color theme="1"/>
            <rFont val="Calibri"/>
            <family val="2"/>
            <scheme val="minor"/>
          </rPr>
          <t>Ruben Jimenez Ayuso:
Situación irregular en España, no se pueden extender las prácticas ni ofrecerle contrato</t>
        </r>
      </text>
    </comment>
    <comment ref="K2080" authorId="0" shapeId="0" xr:uid="{F6972225-EEC5-47EE-8ED4-ADA0B4753C6B}">
      <text>
        <r>
          <rPr>
            <sz val="11"/>
            <color theme="1"/>
            <rFont val="Calibri"/>
            <family val="2"/>
            <scheme val="minor"/>
          </rPr>
          <t>Ruben Jimenez Ayuso:
Alojamiento incluido por la compañía</t>
        </r>
      </text>
    </comment>
    <comment ref="G2090" authorId="189" shapeId="0" xr:uid="{0B2059FD-5812-446C-9ED9-18038080619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una reincorporación, estuvo de beca 17/02/25 al 16/08/25</t>
        </r>
      </text>
    </comment>
    <comment ref="H2092" authorId="190" shapeId="0" xr:uid="{0A298C5A-6A18-40BF-8846-B7CD0FCCC1C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fdo
Respuesta:
    solicitan su contratación temporal al acabar beca el 05-04-26</t>
        </r>
      </text>
    </comment>
    <comment ref="G2093" authorId="191" shapeId="0" xr:uid="{5C9DC854-DE89-474C-A46A-10749E4B4C6B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puede hacerse el anexo hasta el 29/09 según nos informa la UE (contactar con ellos el día 15 de septiembre)</t>
        </r>
      </text>
    </comment>
    <comment ref="H2093" authorId="192" shapeId="0" xr:uid="{8D825873-3B93-4C5F-8BF0-A5BB994AA71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Anexo ECC fdo en el mismo Anexo CC</t>
        </r>
      </text>
    </comment>
    <comment ref="H2094" authorId="193" shapeId="0" xr:uid="{923442CE-5780-4C44-A8A6-84FDAF1E36CD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 anexo ECC firmado</t>
        </r>
      </text>
    </comment>
    <comment ref="G2098" authorId="194" shapeId="0" xr:uid="{413F78BB-D912-4B1D-9051-674038DF2735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una reincorporación, estuvo de beca 27/02/25 al 26/08/25</t>
        </r>
      </text>
    </comment>
    <comment ref="H2098" authorId="195" shapeId="0" xr:uid="{C768E4DC-51EF-453D-A7A0-83BCE5043D5C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formalizar Anexo ECC . Renovar en agosto con cursos hasta cumplir el año, email Enrique mayo 2025
Respuesta:
    A los 4 meses y medio hacer nuevo anexo de CC para convalidar 180h 
Respuesta:
    Solicitan contratación indefinida cuanto termine su beca el 10-04-26</t>
        </r>
      </text>
    </comment>
    <comment ref="J2098" authorId="196" shapeId="0" xr:uid="{7F8D56E7-3BEE-4EFC-8E47-4CD5BA9FFB07}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Confirmado que puede hacer 35h
</t>
        </r>
      </text>
    </comment>
    <comment ref="H2100" authorId="197" shapeId="0" xr:uid="{863CE544-30DA-4A70-A086-D46AE3D5966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renueva beca en abril sólo 12 días porque disfrutó 2 días por adelantado</t>
        </r>
      </text>
    </comment>
    <comment ref="H2101" authorId="198" shapeId="0" xr:uid="{49386712-EA34-462C-8F7D-4E764C8346CA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a CC mismo anexo fdo</t>
        </r>
      </text>
    </comment>
    <comment ref="H2106" authorId="199" shapeId="0" xr:uid="{B872DDC2-2783-4BA9-9F5F-5CA8AF09198F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causó baja el 23 enero; solicitado por su centro hasta nueva orden para su incorporación.
Respuesta:
    Se reincorpora formalmente el 4 de febrero y termina beca el 12 de febrero. El día 13 firma contrato laboral</t>
        </r>
      </text>
    </comment>
    <comment ref="H2109" authorId="200" shapeId="0" xr:uid="{8A08C5AB-5137-492F-BD3A-6F4A0EE3BC1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causará baja el 6 de diciembre hasta el 8 diciembre ambos inclusive, por el anexo generado por la UPCT.</t>
        </r>
      </text>
    </comment>
    <comment ref="H2113" authorId="201" shapeId="0" xr:uid="{D495CDC8-D5C9-465E-A50E-299A84060E4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Leyre emitió una propuesta de prácticas sin consensuarlo con nosotros a la universidad y por eso son sin remunerar las CC y la universidad ha gestionado su alta SS; confirmado estos detalles por teléfono con la universidad el 24 noviembre.  Del 22 diciembre al 12 de enero no fue a las prácticas por petición de su tutor empresa porque iba a estar sola. Conversación por teams. Está intentando reincorporarse para finalizar CC y regularizar los anexos.</t>
        </r>
      </text>
    </comment>
    <comment ref="H2119" authorId="202" shapeId="0" xr:uid="{2AA0F524-91D5-4E11-AD16-C74D218904F3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marzo formalizar Anexo de CC con la UPM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<sst xmlns="http://schemas.openxmlformats.org/spreadsheetml/2006/main" count="32870" uniqueCount="5406">
  <si>
    <t>DEPARTAMENTO</t>
  </si>
  <si>
    <t>ALTA</t>
  </si>
  <si>
    <t>BAJA</t>
  </si>
  <si>
    <t>JORNADA SEM</t>
  </si>
  <si>
    <t>AYUDA AL ESTUDIO</t>
  </si>
  <si>
    <t>GÉNERO</t>
  </si>
  <si>
    <t>NAC</t>
  </si>
  <si>
    <t>EDAD</t>
  </si>
  <si>
    <t>PAÍS de NACIONALIDAD</t>
  </si>
  <si>
    <t>FORMACIÓN BASE</t>
  </si>
  <si>
    <t>ESTATUS FORMACIÓN BASE</t>
  </si>
  <si>
    <t>FORMACIÓN BASE (agrupado)</t>
  </si>
  <si>
    <t>FORMACIÓN de POSGRADO</t>
  </si>
  <si>
    <t>ESTATUS FORMACIÓN de POSGRADO</t>
  </si>
  <si>
    <t>UNIVERSIDAD (agrupado)</t>
  </si>
  <si>
    <t>CONTINUIDAD</t>
  </si>
  <si>
    <t>PENDIENTE</t>
  </si>
  <si>
    <t>HOMBRE</t>
  </si>
  <si>
    <t>Madrid</t>
  </si>
  <si>
    <t>ESPAÑA</t>
  </si>
  <si>
    <t>ING. CAMINOS, CANALES Y PUERTOS</t>
  </si>
  <si>
    <t>TITULADO/A</t>
  </si>
  <si>
    <t>UPM</t>
  </si>
  <si>
    <t>BAJA (NO RENOVACIÓN)</t>
  </si>
  <si>
    <t>COMPLETADO</t>
  </si>
  <si>
    <t>CFGS Química Industrial</t>
  </si>
  <si>
    <t>FP-2</t>
  </si>
  <si>
    <t>IES</t>
  </si>
  <si>
    <t>CONTRATACIÓN</t>
  </si>
  <si>
    <t>MUJER</t>
  </si>
  <si>
    <t>ESTUDIANTE</t>
  </si>
  <si>
    <t>ING. TÉC. INDUSTRIAL (Química) + ING. SUP. INDUSTRIAL</t>
  </si>
  <si>
    <t>ING. SUP. INDUSTRIAL</t>
  </si>
  <si>
    <t>UNIZAR</t>
  </si>
  <si>
    <t>-</t>
  </si>
  <si>
    <t>ING. TÉC. MINAS + Master PRL</t>
  </si>
  <si>
    <t>ING. MINAS</t>
  </si>
  <si>
    <t>UPCT</t>
  </si>
  <si>
    <t>ING. QUÍMICO + LADE</t>
  </si>
  <si>
    <t>ING. QUÍMICA + ADE</t>
  </si>
  <si>
    <t>URJC</t>
  </si>
  <si>
    <t>ARQ. TÉCNICA (T) GRADO ING. EDIFICACIÓN ING. SUP. IND (ORG.)</t>
  </si>
  <si>
    <t>TITULADO/A Y ESTUDIANTE</t>
  </si>
  <si>
    <t>CFGS Sist. Regul. Control Automát.</t>
  </si>
  <si>
    <t>CFGS Des. Proy. Urbanísticos y Ops. Topográficas</t>
  </si>
  <si>
    <t>CFGS Des. Proy. Mecánicos</t>
  </si>
  <si>
    <t>CFGS Des. Aplic. Informáticas</t>
  </si>
  <si>
    <t>BAJA VOLUNTARIA (OFERTA EXTERNA)</t>
  </si>
  <si>
    <t>ING. QUÍMICO + MASTER I&amp;C</t>
  </si>
  <si>
    <t>ING. QUÍMICA</t>
  </si>
  <si>
    <t>U. MÁLAGA</t>
  </si>
  <si>
    <t>U. OVIEDO</t>
  </si>
  <si>
    <t>CFGS Prod. por mecanizado</t>
  </si>
  <si>
    <t>ENVIADO</t>
  </si>
  <si>
    <t>LADE + DERECHO</t>
  </si>
  <si>
    <t>LIC. DERECHO</t>
  </si>
  <si>
    <t>UCM</t>
  </si>
  <si>
    <t>LADE + MBA</t>
  </si>
  <si>
    <t>LADE</t>
  </si>
  <si>
    <t>U. CÓRDOBA</t>
  </si>
  <si>
    <t>LADE + POSGRADO</t>
  </si>
  <si>
    <t>ING. SUP. INDUSTRIAL (Org. Industrial)</t>
  </si>
  <si>
    <t>Cuenca</t>
  </si>
  <si>
    <t>ING. QUÍMICO</t>
  </si>
  <si>
    <t>Guadalajara</t>
  </si>
  <si>
    <t>Córdoba</t>
  </si>
  <si>
    <t>ING. SUP. INDUSTRIAL (Téc. Energéticas)</t>
  </si>
  <si>
    <t>UC3M</t>
  </si>
  <si>
    <t>León</t>
  </si>
  <si>
    <t>UAX</t>
  </si>
  <si>
    <t>Valladolid</t>
  </si>
  <si>
    <t>ING. TÉC. INDUSTRIAL (Química) + ING. QUIÍMICA</t>
  </si>
  <si>
    <t>ING. TÉC. INDUSTRIAL (Mecánica) + ING. SUP. INDUSTRIAL (Org. Industrial)</t>
  </si>
  <si>
    <t>LIC. QUÍMICA / ING.MATERIALES</t>
  </si>
  <si>
    <t>UEM</t>
  </si>
  <si>
    <t>Granada</t>
  </si>
  <si>
    <t>ING. TÉC. INDUSTRIAL (Eléctrica)</t>
  </si>
  <si>
    <t>U. JAÉN</t>
  </si>
  <si>
    <t>ING. TÉC. INDUSTRIAL (Mecánica) + ING. SUP. INDUSTRIIAL (Téc. Energéticas)</t>
  </si>
  <si>
    <t>U. CANTABRIA</t>
  </si>
  <si>
    <t>Almería</t>
  </si>
  <si>
    <t>U. GRANADA</t>
  </si>
  <si>
    <t>ESPAÑA / ARGENTINA</t>
  </si>
  <si>
    <t>DERECHO + CC. POLÍTICAS</t>
  </si>
  <si>
    <t>UAM</t>
  </si>
  <si>
    <t>ING. SUP. INDUSTRIAL (Mecánica)</t>
  </si>
  <si>
    <t>U. VALLADOLID</t>
  </si>
  <si>
    <t>ING. TÉC. INDUSTRIAL (Química)</t>
  </si>
  <si>
    <t>ING. MATERIALES + MASTER ING. MATERIALES</t>
  </si>
  <si>
    <t>ING. MATERIALES</t>
  </si>
  <si>
    <t>Otras internacionales</t>
  </si>
  <si>
    <t>BAJA VOLUNTARIA (ESTUDIOS)</t>
  </si>
  <si>
    <t>Zaragoza</t>
  </si>
  <si>
    <t>ITOP</t>
  </si>
  <si>
    <t>CFGS ACTS. FÍSICAS Y DEPORTIVAS</t>
  </si>
  <si>
    <t>ARABIA SAUDÍ</t>
  </si>
  <si>
    <t>ING. MECÁNICA</t>
  </si>
  <si>
    <t>CONTRATACIÓN (FILIAL)</t>
  </si>
  <si>
    <t>CFGS DES. PROY. CONSTRUCCIÓN</t>
  </si>
  <si>
    <t>ECUADOR</t>
  </si>
  <si>
    <t>Valencia</t>
  </si>
  <si>
    <t>CFGS Des. Proy. Construcción</t>
  </si>
  <si>
    <t>Estados Unidos</t>
  </si>
  <si>
    <t>EE.UU.</t>
  </si>
  <si>
    <t>ESPAÑA / COLOMBIA</t>
  </si>
  <si>
    <t>Barcelona</t>
  </si>
  <si>
    <t>CFGS Lab. Análisis y Control Calidad</t>
  </si>
  <si>
    <t>UPV</t>
  </si>
  <si>
    <t>ING. TÉC. INDUSTRIAL (Electrónica)</t>
  </si>
  <si>
    <t>ING. MONTES</t>
  </si>
  <si>
    <t>ALEMANIA</t>
  </si>
  <si>
    <t>ING. TÉC. INDUSTRIAL + MASTER ORGANIZACIÓN INDUSTRIAL</t>
  </si>
  <si>
    <t>U. CIUDAD REAL</t>
  </si>
  <si>
    <t>"ING. TÉC. INDUSTRIAL ING. INDUSTRIAL"</t>
  </si>
  <si>
    <t>Univ. Nebrija</t>
  </si>
  <si>
    <t>ING. INDUSTRIAL</t>
  </si>
  <si>
    <t>BIOLOGÍA</t>
  </si>
  <si>
    <t>ING. GEÓLOGO</t>
  </si>
  <si>
    <t>Murcia</t>
  </si>
  <si>
    <t>U. MURCIA</t>
  </si>
  <si>
    <t>CIENCIAS QUÍMICAS</t>
  </si>
  <si>
    <t>Salamanca</t>
  </si>
  <si>
    <t>U. SALAMANCA</t>
  </si>
  <si>
    <t>DERECHO + MASTER BOLSA</t>
  </si>
  <si>
    <t>IEB</t>
  </si>
  <si>
    <t>ING. TÉC. AGRÍCOLA</t>
  </si>
  <si>
    <t>U. Almería</t>
  </si>
  <si>
    <t>SUBCONTRATACIÓN</t>
  </si>
  <si>
    <t>ING. TÉC. INDUSTRIAL (Química) + MASTER MATERIALES</t>
  </si>
  <si>
    <t>ING. TÉC. INDUSTRIAL (Mecánica)</t>
  </si>
  <si>
    <t>ING. TÉC. MINAS</t>
  </si>
  <si>
    <t>U. LEÓN</t>
  </si>
  <si>
    <t>ING. TÉC. INDUSTRIAL (Electrónica) + GRADO ING. ELECTRÓNICA INDUSTRIAL Y AUTOMÁTICA</t>
  </si>
  <si>
    <t>ING. ELECTRÓNICA</t>
  </si>
  <si>
    <t>ING. AMBIENTAL + MASTER RESIDUOS</t>
  </si>
  <si>
    <t>VENEZUELA / PORTUGAL</t>
  </si>
  <si>
    <t>GRADO ING. MECÁNICA</t>
  </si>
  <si>
    <t>ICAI / ICADE</t>
  </si>
  <si>
    <t>TURQUÍA</t>
  </si>
  <si>
    <t>GRAN BRETAÑA</t>
  </si>
  <si>
    <t>ITOP + ING. CAMINOS, CANALES Y PUERTOS</t>
  </si>
  <si>
    <t>ING. TÉC. INDUSTRIAL (Químico) + ING. INDUSTRIAL</t>
  </si>
  <si>
    <t>UCLM</t>
  </si>
  <si>
    <t>Pontevedra</t>
  </si>
  <si>
    <t>I.T.Informática Sistemas</t>
  </si>
  <si>
    <t>ING. SUP. INFORMÁTICA</t>
  </si>
  <si>
    <t>Burgos</t>
  </si>
  <si>
    <t>ING. SUP. INDUSTRIAL (Eléctrico)</t>
  </si>
  <si>
    <t>ING. TÉC. INDUSTRIAL (Estructuras) + ING. SUP. INDUSTRIAL (Construcciones)</t>
  </si>
  <si>
    <t>HUNGRÍA</t>
  </si>
  <si>
    <t>ING. CIVIL</t>
  </si>
  <si>
    <t>GRADO ING. CIVIL</t>
  </si>
  <si>
    <t>CHINA</t>
  </si>
  <si>
    <t>VENEZUELA</t>
  </si>
  <si>
    <t>ING. QUÍMICO + MASTER PROCESOS</t>
  </si>
  <si>
    <t>Teruel</t>
  </si>
  <si>
    <t>"ING. TÉC. INDUSTRIAL (Mecánica) Grado Mecánica"</t>
  </si>
  <si>
    <t>ING. INDUSTRIAL (Automática y Electrónica) + MASTER AUTOMÁTICA</t>
  </si>
  <si>
    <t>UAH</t>
  </si>
  <si>
    <t>BÉLGICA</t>
  </si>
  <si>
    <t>"ARQ. TÉCNICA CFGS Des. Proy. Construcción"</t>
  </si>
  <si>
    <t>LADE + MASTER ICEX</t>
  </si>
  <si>
    <t>ING. TÉC. DISEÑO INDUSTRIAL</t>
  </si>
  <si>
    <t>Otras nacionales</t>
  </si>
  <si>
    <t>NO</t>
  </si>
  <si>
    <t>CROACIA</t>
  </si>
  <si>
    <t>ING. ELÉCTRICA + MASTER</t>
  </si>
  <si>
    <t>OK</t>
  </si>
  <si>
    <t>Enviado 19/11</t>
  </si>
  <si>
    <t>ING. SUP. INDUSTRIAL (Instalaciones y Construccion)</t>
  </si>
  <si>
    <t>U. Vigo</t>
  </si>
  <si>
    <t>CFGS Equipos Electrotécnicos</t>
  </si>
  <si>
    <t>ING. SUP. ORG. INDUSTRIAL</t>
  </si>
  <si>
    <t>SÍ</t>
  </si>
  <si>
    <t>UPC</t>
  </si>
  <si>
    <t>ING. TÉC. INDUSTRIAL (Electricidad) + ING. SUP. INDUSTRIAL (Org. Industrial)</t>
  </si>
  <si>
    <t>Zamora</t>
  </si>
  <si>
    <t>ARQUITECTURA</t>
  </si>
  <si>
    <t>LIC. ARQUITECTURA</t>
  </si>
  <si>
    <t>UPSAM</t>
  </si>
  <si>
    <t>USC</t>
  </si>
  <si>
    <t>BAJA VOLUNTARIA</t>
  </si>
  <si>
    <t>UFV</t>
  </si>
  <si>
    <t>BAJA (DESPIDO)</t>
  </si>
  <si>
    <t>ING. MECÁNICA + DOCTORADO ING. MECÁNICA</t>
  </si>
  <si>
    <t>Albacete</t>
  </si>
  <si>
    <t>"ING. TÉC. INDUSTRIAL (MECÁNICA) GRADO ING. MECÁNICA ING. SUP. INDUSTRIAL"</t>
  </si>
  <si>
    <t>ING. SUP. INDUSTRIAL (Electrónica)</t>
  </si>
  <si>
    <t>U. Valladolid</t>
  </si>
  <si>
    <t>LIC. DOCUMENTACIÓN</t>
  </si>
  <si>
    <t>ING. SUP. INFORMÁTICA + ING. ORG. INDUSTRIAL</t>
  </si>
  <si>
    <t>COLOMBIA</t>
  </si>
  <si>
    <t>ING. SUP. INDUSTRIAL (Construcción)</t>
  </si>
  <si>
    <t>U. ALICANTE</t>
  </si>
  <si>
    <t>ING.QUÍMICO+LADE</t>
  </si>
  <si>
    <t>BIBLIOTECONOMÍA</t>
  </si>
  <si>
    <t>FP2 - Mecánica</t>
  </si>
  <si>
    <t>BOLIVIA</t>
  </si>
  <si>
    <t>CFGS Des. Productos Mecánicos</t>
  </si>
  <si>
    <t>FP2 - Química Industrial</t>
  </si>
  <si>
    <t>FP2 - Técnico Laboratorio de Análisis</t>
  </si>
  <si>
    <t>ING. TÉC. INDUSTRIAL (Mecánica) + Grado Ing. Mecánica</t>
  </si>
  <si>
    <t>Segovia</t>
  </si>
  <si>
    <t>HISTORIA DEL ARTE + INFORMACIÓN Y DOCUMENTACIÓN</t>
  </si>
  <si>
    <t>LIC. HISTORIA DEL ARTE + LIC. INFORMACIÓN Y DOCUMENTACIÓN</t>
  </si>
  <si>
    <t>Sevilla</t>
  </si>
  <si>
    <t>GRADO ING. EDIFICACIÓN</t>
  </si>
  <si>
    <t>U. SEVILLA</t>
  </si>
  <si>
    <t>ING. TÉC. OBRAS PÚBLICAS</t>
  </si>
  <si>
    <t>ARQ. TÉCNICO</t>
  </si>
  <si>
    <t>ING. SUP. MINAS + MASTER MANAGEMENT</t>
  </si>
  <si>
    <t>Málaga</t>
  </si>
  <si>
    <t>LIC. QUÍMICAS</t>
  </si>
  <si>
    <t>LIC. ECONOMÍA + MASTER COMERCIO EXTERIOR</t>
  </si>
  <si>
    <t>ING. QUÍMICO + ADE</t>
  </si>
  <si>
    <t>GRADO ING. INDUSTRIAL</t>
  </si>
  <si>
    <t>UEX</t>
  </si>
  <si>
    <t>Alicante</t>
  </si>
  <si>
    <t>LIC. DERECHO + LIC. ADE</t>
  </si>
  <si>
    <t>INTERNATIONAL BUSINESS</t>
  </si>
  <si>
    <t>GRADO INTERNATIONAL BUSINESS</t>
  </si>
  <si>
    <t>MALASIA</t>
  </si>
  <si>
    <t>ING. SUP. INDUSTRIAL + MBA</t>
  </si>
  <si>
    <t>MBS</t>
  </si>
  <si>
    <t>GRADO EN FÍSICA</t>
  </si>
  <si>
    <t>Enviado (30/09)</t>
  </si>
  <si>
    <t>Cáceres</t>
  </si>
  <si>
    <t>"ING. TÉC. Informática Gestión ING. SUP. INDUSTRIAL (Org. Industrial)"</t>
  </si>
  <si>
    <t>GRADO CC DOCUMENTACION</t>
  </si>
  <si>
    <t>GRADO ADE</t>
  </si>
  <si>
    <t>"Archivado"</t>
  </si>
  <si>
    <t>LIC. DERECHO + LIC. CC. POLÍTICAS</t>
  </si>
  <si>
    <t>Enviado (24/10)</t>
  </si>
  <si>
    <t>Badajoz</t>
  </si>
  <si>
    <t>U. Cádiz</t>
  </si>
  <si>
    <t>CFGS DISEÑO FAB. MECÁNICA</t>
  </si>
  <si>
    <t>Tutor es baja</t>
  </si>
  <si>
    <t>ING. SUP. INDUSTRIAL (Electricidad)</t>
  </si>
  <si>
    <t>RELLENO</t>
  </si>
  <si>
    <t>Univ. Navarra</t>
  </si>
  <si>
    <t>GRADO ING. QUÍMICO</t>
  </si>
  <si>
    <t>FP2 - Des. Aplicación Proy. Construcción</t>
  </si>
  <si>
    <t>FP2 - Diseño Industrial</t>
  </si>
  <si>
    <t>DERECHO + MASTER MEDIO AMBIENTE</t>
  </si>
  <si>
    <t>Enviado (17/02)</t>
  </si>
  <si>
    <t>DIP. COMERCIO INTERNACIONAL</t>
  </si>
  <si>
    <t>CECO</t>
  </si>
  <si>
    <t>Palencia</t>
  </si>
  <si>
    <t>ING. SUP. MATERIALES</t>
  </si>
  <si>
    <t>Soria</t>
  </si>
  <si>
    <t>"ING. TÉC. INDUSTRIAL (Electricidad) + GRADO ING. ELÉCTRICA"</t>
  </si>
  <si>
    <t>ING. NAVAL Y OCEANICO</t>
  </si>
  <si>
    <t>ING. NAVAL</t>
  </si>
  <si>
    <t>ING.QUÍMICA</t>
  </si>
  <si>
    <t>ING. SUP. INDUSTRIAL (Técnicas Energéticas)</t>
  </si>
  <si>
    <t>Jaén</t>
  </si>
  <si>
    <t>ING. SUP. INDUSTRIAL (Automática)</t>
  </si>
  <si>
    <t>Toledo</t>
  </si>
  <si>
    <t>U. BURGOS</t>
  </si>
  <si>
    <t>LIC. CC AMBIENTALES</t>
  </si>
  <si>
    <t>LIC. CC. AMBIENTALES</t>
  </si>
  <si>
    <t>FP-2. Sistemas de Regulación y Control Automáticos</t>
  </si>
  <si>
    <t>ING. SUP. INDUSTRAL (Automática)</t>
  </si>
  <si>
    <t>FP2 - Des. Aplicaciones Multiplataforma</t>
  </si>
  <si>
    <t>FP2 - Edif. Y Obra Civil</t>
  </si>
  <si>
    <t>FRANCIA</t>
  </si>
  <si>
    <t>FP-2. Electrónica</t>
  </si>
  <si>
    <t>FP2 - Des. Proyectos de Construccion</t>
  </si>
  <si>
    <t>FP2 - Sist. Regulación y Control</t>
  </si>
  <si>
    <t>FP-2. Des. Proyectos Urbanisticos</t>
  </si>
  <si>
    <t>ING. SUP. INDUSTRIAL (Tec. Energéticas)</t>
  </si>
  <si>
    <t>Tarragona</t>
  </si>
  <si>
    <t>ING. SUP. INDUSTRIAL (Electricidad) + ING. INFORMÁTICA (Gestión)</t>
  </si>
  <si>
    <t>ITALIA</t>
  </si>
  <si>
    <t>GRADO ECONOMÍA</t>
  </si>
  <si>
    <t>UNED</t>
  </si>
  <si>
    <t>GRADO ING. INDUSTRIAL (Automática y Electrónica)</t>
  </si>
  <si>
    <t>GRADO ING. ELÉCTRICA</t>
  </si>
  <si>
    <t>ING. TÉC. INDUSTRIAL (Electricidad)</t>
  </si>
  <si>
    <t>GRADO ING. TELEMÁTICA</t>
  </si>
  <si>
    <t>GRADO ING. TELECOMUNICACIONES</t>
  </si>
  <si>
    <t>ING. EDIFICACIÓN</t>
  </si>
  <si>
    <t>PORTUGAL</t>
  </si>
  <si>
    <t>ING. AERONÁUTICA</t>
  </si>
  <si>
    <t>INGENIERO DE MINAS</t>
  </si>
  <si>
    <t>ING. SUP. INDUSTRIAL (MATERIALES)</t>
  </si>
  <si>
    <t>CC POLÍTICAS + ECONOMÍA</t>
  </si>
  <si>
    <t>LIC. CC. POLÍTICAS + ECONOMÍA</t>
  </si>
  <si>
    <t>ENVIADO (02/07)</t>
  </si>
  <si>
    <t>ENVIADO (04/02)</t>
  </si>
  <si>
    <t>U. Deusto</t>
  </si>
  <si>
    <t>GRADO DERECHO</t>
  </si>
  <si>
    <t>FP2 - DISEÑO EN FABRICACIÓN MECÁNICA</t>
  </si>
  <si>
    <t>A Coruña</t>
  </si>
  <si>
    <t>FP-2. Diseño en Fabricación Mecánica</t>
  </si>
  <si>
    <t>GRADO CC QUÍMICAS</t>
  </si>
  <si>
    <t>GRADO CC. QUÍMICAS</t>
  </si>
  <si>
    <t>GRADO ING. QUÍMICA</t>
  </si>
  <si>
    <t>CFGS Des. Proy. Construcción + Ing. Edificación</t>
  </si>
  <si>
    <t>FP2 - ADM. SISTEMAS INFORMÁTICOS</t>
  </si>
  <si>
    <t>DISEÑO DE TUBERÍAS INDUSTRIALES</t>
  </si>
  <si>
    <t>FP-1</t>
  </si>
  <si>
    <t>PERÚ</t>
  </si>
  <si>
    <t>Enviado</t>
  </si>
  <si>
    <t>Huelva</t>
  </si>
  <si>
    <t>GRADO INGENIERÍA EN ORGANIZACIÓN INDUSTRIAL</t>
  </si>
  <si>
    <t>GRADO ING. ENERGÍA</t>
  </si>
  <si>
    <t>GRADO ING. MINAS Y ENERGÍA</t>
  </si>
  <si>
    <t>GRADO ING. TECNOLOGÍAS INDUSTRIALES (ORG. INDUSTRIAL)</t>
  </si>
  <si>
    <t>ING. INDUSTRIAL (MECÁNICA)</t>
  </si>
  <si>
    <t>UPV / EHU</t>
  </si>
  <si>
    <t>U. LA LAGUNA</t>
  </si>
  <si>
    <t>U. La Laguna</t>
  </si>
  <si>
    <t>ING. TÉC. INDUSTRIAL (ELECTRÓNICA)</t>
  </si>
  <si>
    <t>ARGELIA</t>
  </si>
  <si>
    <t>ING. SUP. MINAS</t>
  </si>
  <si>
    <t>GRADO RELACIONES INTERNACIONALES</t>
  </si>
  <si>
    <t>FP-2. Des. Proyectos Construcción</t>
  </si>
  <si>
    <t>FP-2. ADMÓN Y FINANZAS</t>
  </si>
  <si>
    <t>ING. SUP. INDUSTRIAL (AUTOMÁTICA Y ELECTRÓNICA)</t>
  </si>
  <si>
    <t>U. Cantabria</t>
  </si>
  <si>
    <t>GRADO ING. ELECTRÓNICA</t>
  </si>
  <si>
    <t>GRADO ING. TECNOLOGÍAS INDUSTRIALES</t>
  </si>
  <si>
    <t>Ávila</t>
  </si>
  <si>
    <t>ING. ELECTRÓNICA INDUSTRIAL Y AUTOMÁTICA</t>
  </si>
  <si>
    <t>ING. TÉC. INDUSTRIAL (QUÍMICA INDUSTRIAL)</t>
  </si>
  <si>
    <t>GRADO ING. ORG. INDUSTRIAL</t>
  </si>
  <si>
    <t>ING. SUP. INDUSTRIAL (ELECTRICIDAD)</t>
  </si>
  <si>
    <t>Enviado (17/12)</t>
  </si>
  <si>
    <t>ING. AGRÓNOMO</t>
  </si>
  <si>
    <t>GRADO ING. MINAS</t>
  </si>
  <si>
    <t>LIC. GEOLOGÍA</t>
  </si>
  <si>
    <t>ING. TÉC. INDUSTRIAL (ELECTRICIDAD)</t>
  </si>
  <si>
    <t>ING. TÉC. DISEÑO INDUSTRIAL + MÁSTER</t>
  </si>
  <si>
    <t>DERECHO</t>
  </si>
  <si>
    <t>CC QUÍMICAS</t>
  </si>
  <si>
    <t>ING. SUP. INDUSTRIAL (MECÁNICA)</t>
  </si>
  <si>
    <t>GRADO RELACIONES LABORALES</t>
  </si>
  <si>
    <t>GRADO RRLL Y RRHH</t>
  </si>
  <si>
    <t>U. León</t>
  </si>
  <si>
    <t>UDC</t>
  </si>
  <si>
    <t>ING. TEC. INDUSTRIAL (ELECTRÓNICA) + MASTER</t>
  </si>
  <si>
    <t>FP-2 SECRETARIADO</t>
  </si>
  <si>
    <t>FP2 - DESARROLLO DE APLICACIONES MULTIPLATAFORMA Y WEB</t>
  </si>
  <si>
    <t>FP2 - REGULACIÓN Y CONTROL AUTOMÁTICOS</t>
  </si>
  <si>
    <t>GRADO PSICOLOGÍA</t>
  </si>
  <si>
    <t>UMH</t>
  </si>
  <si>
    <t>N/A</t>
  </si>
  <si>
    <t>ING. TEC. OBRAS PÚBLICAS</t>
  </si>
  <si>
    <t>GRADO BIOLOGÍA</t>
  </si>
  <si>
    <t>Islas Baleares</t>
  </si>
  <si>
    <t>LIC. ECONOMÍA</t>
  </si>
  <si>
    <t>Iniped (30/11)</t>
  </si>
  <si>
    <t>ING. SUP. INDUSTRIAL (Mecánica-Máquinas)</t>
  </si>
  <si>
    <t>GRADO ING. INFORMÁTICA</t>
  </si>
  <si>
    <t>FP2 - PROYECTOS DE EDIFICACIÓN</t>
  </si>
  <si>
    <t>ING. INDUSTRIAL (ORG. INDUSTRIAL)</t>
  </si>
  <si>
    <t>ING. TÉC. MINAS + Grado + Máster Ing. Energía</t>
  </si>
  <si>
    <t>ING. TÉC. INDUSTRIAL (Eletricidad)</t>
  </si>
  <si>
    <t>FP-2 DISEÑO EN FABRICACIÓN MECÁNICA</t>
  </si>
  <si>
    <t>FP-2 PROYECTOS DE OBRA CIVIL</t>
  </si>
  <si>
    <t>LIC. PUBLICIDAD Y RRPP</t>
  </si>
  <si>
    <t>ING. TÉC. INDUSTRIAL (ELECTRÓNICA) + MÁSTER ING. INDUSTRIAL</t>
  </si>
  <si>
    <t>ING. SUP. INDUSTRIAL (ingeniería ambiental)</t>
  </si>
  <si>
    <t>FP-2 SISTEMAS DE AUTOMATIZACIÓN Y CONTROL</t>
  </si>
  <si>
    <t>ING. TÉC. FORESTAL + MÁSTER ING. MONTES</t>
  </si>
  <si>
    <t>LIC. PSICOLOGÍA</t>
  </si>
  <si>
    <t>GRADO ING. ELECTROMECÁNICA</t>
  </si>
  <si>
    <t>GRADO ADE + DERECHO</t>
  </si>
  <si>
    <t>ING. PRODUCCIÓN</t>
  </si>
  <si>
    <t>BAJA (CARGA DE TRABAJO)</t>
  </si>
  <si>
    <t>ING. TEC. INDUSTRIAL (QUÍMICA INDUSTRIAL)</t>
  </si>
  <si>
    <t>LIC. NAÚTICA Y TRANSPORTE</t>
  </si>
  <si>
    <t>Enviado (16/11)</t>
  </si>
  <si>
    <t>FP2 - AUTOMATIZACIÓN Y ROBÓTICA INDUSTRIAL</t>
  </si>
  <si>
    <t>GRADO + MASTER ING. QUÍMICA</t>
  </si>
  <si>
    <t>Enviado (30/11)</t>
  </si>
  <si>
    <t>FP2 - TELECOMUNICACIONES</t>
  </si>
  <si>
    <t>ING. TEC. INDUSTRIAL (MECÁNICA)</t>
  </si>
  <si>
    <t>CUNEF</t>
  </si>
  <si>
    <t>BAJA (RENOVACIÓN)</t>
  </si>
  <si>
    <t>ING. TEC. INDUSTRIAL (ELECTRICIDAD)</t>
  </si>
  <si>
    <t>GRADO CC POLÍTICAS</t>
  </si>
  <si>
    <t>GRADO ING. INDUSTRIAL (MECÁNICA)</t>
  </si>
  <si>
    <t>GRADO ING. MATERIALES</t>
  </si>
  <si>
    <t>GRADO ING. INDUSTRIAL (ELECTRÓNICA)</t>
  </si>
  <si>
    <t>GRADO ING. CIVIL + MÁSTER</t>
  </si>
  <si>
    <t>Enviado (01/12)</t>
  </si>
  <si>
    <t>U. ALMERÍA</t>
  </si>
  <si>
    <t>GRADO MATEMÁTICAS</t>
  </si>
  <si>
    <t>arbide</t>
  </si>
  <si>
    <t>UCJC</t>
  </si>
  <si>
    <t>FP-1 SISTEMAS MICROINFORMÁTICOS Y REDES</t>
  </si>
  <si>
    <t>INGENIERÍA DEL PETRÓLEO</t>
  </si>
  <si>
    <t>DERECHO + ADE</t>
  </si>
  <si>
    <t>GRADO ING. AGRÍCOLA</t>
  </si>
  <si>
    <t>GRADO ING. INDUSTRIAL (Téc. Energéticas)</t>
  </si>
  <si>
    <t>GRADO ARQUITECTURA</t>
  </si>
  <si>
    <t>FP2 - SECRETARIADO</t>
  </si>
  <si>
    <t>GRADO ING. INDUSTRIAL + MÁSTER ING. INDUSTRIAL</t>
  </si>
  <si>
    <t>HOLANDA</t>
  </si>
  <si>
    <t>GRADO ING. AEROESPACIAL + MÁSTER ING. AEROESPACIAL</t>
  </si>
  <si>
    <t>GRADO ING. AEROESPACIAL</t>
  </si>
  <si>
    <t>GRADO ING. QUÍMICA + GRADO ING. ENERGÍA</t>
  </si>
  <si>
    <t>Enviado (14/12)</t>
  </si>
  <si>
    <t>Enviado (08/06)</t>
  </si>
  <si>
    <t>GRADO ING. QUÍMICA + MÁSTER</t>
  </si>
  <si>
    <t>FP-2 SISTEMAS DE TELECOMUNICACIONES</t>
  </si>
  <si>
    <t>Enviado (05/04)</t>
  </si>
  <si>
    <t>GRADO ING. MECÁNICA + MÁSTER</t>
  </si>
  <si>
    <t>GRADO ING. ENERGÍA + MÁSTER ENERGÍA</t>
  </si>
  <si>
    <t>Ciudad Real</t>
  </si>
  <si>
    <t>GRADO ING. CIVIL + MÁSTER CAMINOS</t>
  </si>
  <si>
    <t>Enviado (12/06)</t>
  </si>
  <si>
    <t>REINO UNIDO</t>
  </si>
  <si>
    <t>U. CÁDIZ</t>
  </si>
  <si>
    <t>Enviado (18/01)</t>
  </si>
  <si>
    <t>Enviado (12/12)</t>
  </si>
  <si>
    <t>GRADO ING. INDUSTRIAL + GRADO ADE</t>
  </si>
  <si>
    <t>GRADO RELACIONES INTERNACIONALES + GRADO TRADUCCIÓN</t>
  </si>
  <si>
    <t>OMÁN</t>
  </si>
  <si>
    <t>GRADO ING. MATERIALES + MÁSTER</t>
  </si>
  <si>
    <t>FP-2. Sistemas Electrotécnicos y Automáticos</t>
  </si>
  <si>
    <t>Enviado (18/12)</t>
  </si>
  <si>
    <t>GRADO ING. QUÍMICA + GRADO ING. AMBIENTAL + MÁSTER ING. QUÍMICA</t>
  </si>
  <si>
    <t>GRADO ING. AGROAMBIENTAL + MÁSTER</t>
  </si>
  <si>
    <t>GRADO ING. QUÍMICA + GRADO ING. ENERGÍA + MÁSTER ING. QUÍMICA</t>
  </si>
  <si>
    <t>Enviado (10/10)</t>
  </si>
  <si>
    <t>GRADO ING. QUÍMICA + MÁSTER ING. QUÍMICA</t>
  </si>
  <si>
    <t>GRADO ING. AMBIENTAL</t>
  </si>
  <si>
    <t>ESTADOS UNIDOS</t>
  </si>
  <si>
    <t>GRADO ING. ELECTRÓNICA + MÁSTER ING. INDUSTRIAL</t>
  </si>
  <si>
    <t>Enviado (30/07)</t>
  </si>
  <si>
    <t>GRADO ING. QUÍMICA + MBA</t>
  </si>
  <si>
    <t>GRADO ING. QUÍMICA + GRADO ING. ORG. INDUSTRIAL</t>
  </si>
  <si>
    <t>GRADO ING. SOFTWARE</t>
  </si>
  <si>
    <t>GRADO ING. INDUSTRIAL (ENERGÍA)</t>
  </si>
  <si>
    <t>FP-2 AUTOMATIZACIÓN Y ROBÓTICA</t>
  </si>
  <si>
    <t>Enviado (11/12)</t>
  </si>
  <si>
    <t>ESPAÑA / ECUADOR</t>
  </si>
  <si>
    <t>IRAN</t>
  </si>
  <si>
    <t>BA EUROPEAN POLITICS</t>
  </si>
  <si>
    <t>GRADO EUROPEAN POLITICS</t>
  </si>
  <si>
    <t>Enviado (03/04)</t>
  </si>
  <si>
    <t>GRADO ING. PETRÓLEO</t>
  </si>
  <si>
    <t>Enviado (09/04)</t>
  </si>
  <si>
    <t>GRADO ING. ELÉCTRICA + MÁSTER</t>
  </si>
  <si>
    <t>GRADO ING. QUÍMICA + MÁSTER ENERGÍA</t>
  </si>
  <si>
    <t>Enviado (06/11)</t>
  </si>
  <si>
    <t>MASTER INGENIERÍA QUÍMICA</t>
  </si>
  <si>
    <t>Enviado (08/11)</t>
  </si>
  <si>
    <t>GRADO ESTUDIOS INTERNACIONALES</t>
  </si>
  <si>
    <t>GRADO ING. CIVIL + GRADO ARQUITECTURA</t>
  </si>
  <si>
    <t>MASTER ING. CAMINOS, CANALES Y PUERTOS</t>
  </si>
  <si>
    <t>GRADO ING. GEOLÓGICA</t>
  </si>
  <si>
    <t>MASTER INGENIERÍA INDUSTRIAL</t>
  </si>
  <si>
    <t>U. VIGO</t>
  </si>
  <si>
    <t>GRADO + MASTER ING. CIVIL</t>
  </si>
  <si>
    <t>GRADO + MASTER ING. INDUSTRIAL</t>
  </si>
  <si>
    <t>FP-2 TÉCNICO DE LABORATORIO CLÍNICO Y MÉDICO</t>
  </si>
  <si>
    <t>FP-2 ANÁLISIS Y CONTROL DE CALIDAD</t>
  </si>
  <si>
    <t>BAJA (COVID-19)</t>
  </si>
  <si>
    <t>GRADO ING. METALÚRGICA</t>
  </si>
  <si>
    <t>POLONIA</t>
  </si>
  <si>
    <t>GRADO RECURSOS MINERALES Y ENERGÍAS</t>
  </si>
  <si>
    <t>MASTER INGENIERÍA DE SISTEMAS Y CONTROL</t>
  </si>
  <si>
    <t>Enviar el 25/05</t>
  </si>
  <si>
    <t>LIC. DIRECCIÓN DE ARTE</t>
  </si>
  <si>
    <t>LIC. GESTIÓN EMPRESARIAL</t>
  </si>
  <si>
    <t>Enviado (26/03)</t>
  </si>
  <si>
    <t>Enviado (05/08)</t>
  </si>
  <si>
    <t>GRADO ING. INDUSTRIAL + MÁSTER</t>
  </si>
  <si>
    <t>MASTER ING. INDUSTRIAL</t>
  </si>
  <si>
    <t>GRADO ING. DISEÑO INDUSTRIAL</t>
  </si>
  <si>
    <t>FP-2 DESARROLLO DE APLICACIONES MULTIPLATAFORMA</t>
  </si>
  <si>
    <t>FP-2 Sistemas Electrotécnicos y Automatizados</t>
  </si>
  <si>
    <t>GRADO MATERIALES Y ENERGÍA</t>
  </si>
  <si>
    <t>ESPAÑA / BRASIL</t>
  </si>
  <si>
    <t>GRADO MATERIALES</t>
  </si>
  <si>
    <t>GRADO ING. CIVIL + MÁSTER ICCP</t>
  </si>
  <si>
    <t>GRADO ING. QUÍMICA + MÁSTER OIL&amp;GAS</t>
  </si>
  <si>
    <t>MASTER EN INSTRUMENTACIÓN</t>
  </si>
  <si>
    <t>GRADO ING. MINAS + MÁSTER</t>
  </si>
  <si>
    <t>MASTER EN ROBÓTICA</t>
  </si>
  <si>
    <t>ESPAÑA / VENEZUELA</t>
  </si>
  <si>
    <t>GRADO ING. MECÁNICA (INDUSTRIAL)</t>
  </si>
  <si>
    <t>Ceuta</t>
  </si>
  <si>
    <t>GRADO ING. ENERGÍA + GRADO ING. ORG. INDUSTRIAL</t>
  </si>
  <si>
    <t>MASTER ING. MATERIALES</t>
  </si>
  <si>
    <t>MASTER ING. CIVIL</t>
  </si>
  <si>
    <t>URUGUAY</t>
  </si>
  <si>
    <t>LIC. NEGOCIOS INTERNACIONALES</t>
  </si>
  <si>
    <t>RELACIONES INTERNACIONALES</t>
  </si>
  <si>
    <t>Enviado (03/09)</t>
  </si>
  <si>
    <t>FP-2 AEROMECÁNICA</t>
  </si>
  <si>
    <t>GRADO ING. SISTEMAS DE LA INFORMACIÓN</t>
  </si>
  <si>
    <t>Enviado (03/03)</t>
  </si>
  <si>
    <t>FP-2 MANTENIMIENTO DE AVIÓNICA</t>
  </si>
  <si>
    <t>MEXICO</t>
  </si>
  <si>
    <t>GRADO CRIMINOLOGÍA + MÁSTER</t>
  </si>
  <si>
    <t>GRADO CRIMINOLOGÍA</t>
  </si>
  <si>
    <t>GRADO ING. INDUSTRIAL (Téc. Energéticas) + MÁSTER</t>
  </si>
  <si>
    <t>LIC. ING. INDUSTRIAL</t>
  </si>
  <si>
    <t>Enviado (08/09)</t>
  </si>
  <si>
    <t>GRADO ADE + GRADO RRII</t>
  </si>
  <si>
    <t>GRADO ING. INDUSTRIAL (Electricidad)</t>
  </si>
  <si>
    <t>GRADO ADE + MÁSTER EN INTERNATIONAL FINANCE AND BANKING</t>
  </si>
  <si>
    <t>Enviado (23/12)</t>
  </si>
  <si>
    <t>GRADO ESTUDIOS INGLESES</t>
  </si>
  <si>
    <t>FP-2. ADMINISTRACIÓN Y FINANZAS</t>
  </si>
  <si>
    <t>San Pablo CEU</t>
  </si>
  <si>
    <t>Cádiz</t>
  </si>
  <si>
    <t>GRADO ING. MATERIALES + MÁSTER ING.INTERNACIONAL DE SOLDADURA</t>
  </si>
  <si>
    <t>FP-2. MANTENIMIENTO AEROMECÁNICO</t>
  </si>
  <si>
    <t>GRADO RELACIONES INTERNACIONALES Y ECONOMÍA</t>
  </si>
  <si>
    <t>GRADO ING.QUÍMICA + MÁSTER ING.QUÍMICA</t>
  </si>
  <si>
    <t>Enviado (04/03)</t>
  </si>
  <si>
    <t>FP-2 DELINEACIÓN EDIFICIOS Y OBRAS</t>
  </si>
  <si>
    <t>GRADO ING.CIVIL</t>
  </si>
  <si>
    <t>GRADO ING. ENERGÍA + MÁSTER INGENIERÍA DE LA ENERGÍA</t>
  </si>
  <si>
    <t>GRADO ING.TECNOLOGÍA MINAS Y ENERGÍA + MÁSTER INGENIERÍA DE MINAS</t>
  </si>
  <si>
    <t>U. HUELVA</t>
  </si>
  <si>
    <t>GEORGIA</t>
  </si>
  <si>
    <t>GRADO ING.RECURSOS MINERALES Y ENERGÍA + MÁSTER ENERGÍA</t>
  </si>
  <si>
    <t>Enviado (26/04)</t>
  </si>
  <si>
    <t>Cantabria</t>
  </si>
  <si>
    <t>GRADO HISTORIA + MÁSTER EN ARCHIVÍSTICA</t>
  </si>
  <si>
    <t>GRADO HISTORIA</t>
  </si>
  <si>
    <t>GRADO ECONOMÍA + RRII</t>
  </si>
  <si>
    <t>Enviado (25/05)</t>
  </si>
  <si>
    <t>GRADO ING. CIVIL + MÁSTER ING. CAMINOS</t>
  </si>
  <si>
    <t>GRADO ING.TECNOLOGÍAS INDUSTRIALES + MÁSTER HABILITANTE INGENIERÍA INDUSTRIAL</t>
  </si>
  <si>
    <t>FP-2 SISTEMAS MICROINFORMÁTICOS Y REDES</t>
  </si>
  <si>
    <t>GRADO ING.QUÍMICA</t>
  </si>
  <si>
    <t>FP-2. OBRA CIVIL</t>
  </si>
  <si>
    <t>FP-2. MECANIZADO</t>
  </si>
  <si>
    <t>GRADO ING.QUIMÍCA + MÁSTER ENERGIAS RENOVABLES</t>
  </si>
  <si>
    <t>GRADO ING.INDUSTRIAL</t>
  </si>
  <si>
    <t>GRADO DERECHO + MÁSTER DE ACCESO A LA ABOGACÍA</t>
  </si>
  <si>
    <t>GRADO ING. CIVIL+FP-2. EDIFICACIÓN Y OBRA CIVIL</t>
  </si>
  <si>
    <t>GRADO ING. MECÁNICA + MÁSTER AUTOMATIZACIÓN INDUSTRIAL Y ROBÓTICA</t>
  </si>
  <si>
    <t>GRADO ING. EN TECNOLOGÍAS INDUSTRIALES</t>
  </si>
  <si>
    <t>GRADO ING. ORGANIZACIÓN INDUSTRIAL + MÁSTER PROJECT MANAGEMENT</t>
  </si>
  <si>
    <t>GRADO ING. TELECOMUNICACIÓN Y ANALÍTICA DE DATOS MASIVOS</t>
  </si>
  <si>
    <t>Enviado (09/08)</t>
  </si>
  <si>
    <t>GRADO ING. ELÉCTRICA + MÁSTER ING. ELÉCTRICA</t>
  </si>
  <si>
    <t>GRADO ING. DISEÑO INDUSTRIAL Y DESARROLLO DEL PRODUCTO</t>
  </si>
  <si>
    <t>GRADO ING.QUÍMICA + MÁSTER (HABILITANTE) EN INGENIERÍA INDUSTRIAL</t>
  </si>
  <si>
    <t>FP-2. Química Industrial</t>
  </si>
  <si>
    <t>GRADO ING. QUÍMICA + MÁSTER ING.QUÍMICA</t>
  </si>
  <si>
    <t>GRADO ING. ORG. INDUSTRIAL + MÁSTER UNIV.ING.INDUSTRIAL</t>
  </si>
  <si>
    <t>Enviado (13/09)</t>
  </si>
  <si>
    <t>ESLOVAQUIA</t>
  </si>
  <si>
    <t>GRADO ING. MATERIALES+ MÁSTER ING. MATERIALES</t>
  </si>
  <si>
    <t>GRADO ING. QUÍMICA + ORG. INDUSTRIAL</t>
  </si>
  <si>
    <t>FP-2 ADMINISTRACIÓN DE SISTEMAS INFORMÁTICOS EN RED</t>
  </si>
  <si>
    <t>GRADO ING.MECÁNICA + MÁSTER ING.MECÁNICA</t>
  </si>
  <si>
    <t>Enviado (27/09)</t>
  </si>
  <si>
    <t>Vizcaya</t>
  </si>
  <si>
    <t>GRADO CC FÍSICAS</t>
  </si>
  <si>
    <t>RUMANIA</t>
  </si>
  <si>
    <t>GRADO DERECHO + VARIOS MÁSTERES</t>
  </si>
  <si>
    <t>GRADO ING.MATERIALES</t>
  </si>
  <si>
    <t>ARGENTINA</t>
  </si>
  <si>
    <t>GRADO ADE+MÁSTER EN DIRECCIÓN Y GESTION FINANCIERA-MINOR EN BIG DATA &amp; ANALYTICS</t>
  </si>
  <si>
    <t>GRADO ING. AERONÁUTICA + MÁSTER ENERGÍAS RENOVABLES Y EFICENCIA ENERGÉTICA</t>
  </si>
  <si>
    <t>Enviado (26/09)</t>
  </si>
  <si>
    <t>UCRANIA</t>
  </si>
  <si>
    <t>GRADO ECONOMÍA FINANCIERA Y ACTUARIAL + MÁSTER ANÁLISIS DE LAS RELACIONES ECONÓMICAS INTERNACIONALES</t>
  </si>
  <si>
    <t>GRADO ING.CIVIL+MÁSTER ING.CAMINOS,CANALES Y PUERTOS</t>
  </si>
  <si>
    <t>GRADO ING.MECÁNICA+ MBA+MÁSTER EN SUPPLY CHAIN MANAGEMENT</t>
  </si>
  <si>
    <t>GRADO ING.INDUSTRIAL Y DESARROLLO PRODUCTO</t>
  </si>
  <si>
    <t>UNIR</t>
  </si>
  <si>
    <t>GRADO ING.MECÁNICA + MÁSTER DISEÑO INDUSTRIAL Y DESARROLLO PRODUCTO</t>
  </si>
  <si>
    <t>GRADO ING.ELÉCTRICA</t>
  </si>
  <si>
    <t>MARRUECOS</t>
  </si>
  <si>
    <t>GRADO ING.CIVIL + MÁSTER ING.CAMINOS CANALES Y PUERTOS</t>
  </si>
  <si>
    <t>GRADO ING. ENERGÍA + ORGANIZACIÓN INDUSTRIAL</t>
  </si>
  <si>
    <t>GRADO ING. MECÁNICA + MÁSTER ING. INDUSTRIAL</t>
  </si>
  <si>
    <t>GRADO ING. MATERIALES + GRADO ING.QUIMÍCA</t>
  </si>
  <si>
    <t>GRADO DERECHO + GRADO RRII</t>
  </si>
  <si>
    <t>GRADO ING.MINAS</t>
  </si>
  <si>
    <t>FP-2 SOLDADURA Y CALDERERÍA</t>
  </si>
  <si>
    <t>GRADO FÍSICA + MÁSTER BIBLIOTECAS, ARCHIVOS Y CONTINUIDAD DIGITAL</t>
  </si>
  <si>
    <t>FP-2. SISTEMAS TELECOMUNICACIONES E INFORMÁTICOS</t>
  </si>
  <si>
    <t>Enviado (14/10)</t>
  </si>
  <si>
    <t>GRADO ING. QUÍMICA + MÁSTER ING. INDUSTRIAL</t>
  </si>
  <si>
    <t>GRADO DIRECCIÓN Y GESTIÓN DE EMPRESA EN EL ÁMBITO DIGITAL</t>
  </si>
  <si>
    <t>Enviado (28/12)</t>
  </si>
  <si>
    <t>GRADO ING. QUIMÍCA + ING.AMBIENTAL</t>
  </si>
  <si>
    <t>GRADO EN GEOLOGÍA + MÁSTER ING.GEOLÓGICA</t>
  </si>
  <si>
    <t>GRADO GEOLOGÍA</t>
  </si>
  <si>
    <t>UPB</t>
  </si>
  <si>
    <t>ITALIANA</t>
  </si>
  <si>
    <t>FP-2 ADMINISTRACIÓN DE SISTEMAS INFORMÁTICOS EN RED + FP-2 DESARROLLO APLICACIONES WEB</t>
  </si>
  <si>
    <t>GRADO ING. TECNOLOGÍAS INDUSTRIALES + MÁSTER ING.INDUSTRIAL</t>
  </si>
  <si>
    <t>GRADO ING.QUÍMICA + MÁSTER QUÍMICA PARA SOSTENIBILIDAD Y ENERGÍA</t>
  </si>
  <si>
    <t>GRADO ING. QUÍMICA + MÁSTER ING.INDUSTRIAL</t>
  </si>
  <si>
    <t>GRADO ING.GEOLÓGICA + MÁSTER ING.MINAS E ING.DEL TERRRENO</t>
  </si>
  <si>
    <t>GRADO ING. QUÍMICA + MÁSTER QUÍMICA PARA LA SOSTENIBILIDAD</t>
  </si>
  <si>
    <t>GRADO ING. MECÁNICA + MÁSTER INGENIERÍA INDUSTRIAL Y MOVILIDAD &amp; SEGURIDAD</t>
  </si>
  <si>
    <t>GRADO ING. MECÁNICA + MÁSTER ING. MÁQUINAS</t>
  </si>
  <si>
    <t>Enviado (08/03)</t>
  </si>
  <si>
    <t>GRADO ING.QUÍMICA INDUSTRIAL +MÁSTER PRL</t>
  </si>
  <si>
    <t>GRADO ING.QUÍMICA + ING.AMBIENTAL</t>
  </si>
  <si>
    <t>GRADO ING. DE MATERIALES + ORGANIZACIÓN INDUSTRIAL</t>
  </si>
  <si>
    <t>Licenciado en Ciencias de la Información + FP2 - Edificación y Obra Civil</t>
  </si>
  <si>
    <t>LIC. CC INFORMACIÓN</t>
  </si>
  <si>
    <t>GRADO PUBLICIDAD Y RELACIONES PÚBLICAS + MÁSTER GESTIÓN PUBLICITARIA</t>
  </si>
  <si>
    <t>GRADO PUBLICIDAD</t>
  </si>
  <si>
    <t>Enviado (07/03)</t>
  </si>
  <si>
    <t>GRADO ING. QUÍMICA + ING.INDUSTRIAL</t>
  </si>
  <si>
    <t>GRADO ING.ORGANIZACIÓN INDUSTRIAL</t>
  </si>
  <si>
    <t>GRADO ING.INFORMÁTICA</t>
  </si>
  <si>
    <t>GRADO ING. MECÁNICA ESPECIALIDAD DISEÑO INDUSTRIAL</t>
  </si>
  <si>
    <t>GRADO ING.CIVIL + MÁSTER PLANIFICACIÓN Y GESTIÓN DE INFRAESTRUCTURAS</t>
  </si>
  <si>
    <t>Enviado (15/11)</t>
  </si>
  <si>
    <t>FP2 - Sistemas Electrotécnicos y Automatizados</t>
  </si>
  <si>
    <t>MÉXICO</t>
  </si>
  <si>
    <t>GRADO ING. MINAS RECURSOS ENERGÉTICOS, COMBUSTIBLES Y EXPLOSIVOS</t>
  </si>
  <si>
    <t>GRADO ING.QUÍMICA +MÁSTER ING.QUÍMICA</t>
  </si>
  <si>
    <t>GRADO ING.DE MATERIALES</t>
  </si>
  <si>
    <t>Enviado (23/03)</t>
  </si>
  <si>
    <t>Girona</t>
  </si>
  <si>
    <t>Enviado (26/05)</t>
  </si>
  <si>
    <t>GRADO ING. QUIMÍCA + MÁSTER ING.QUIMÍCA</t>
  </si>
  <si>
    <t>GRADO ING. TECNOLOGÍAS INDUSTRIALES + MÁSTER ING. INDUSTRIAL</t>
  </si>
  <si>
    <t>GRADO ING. SISTEMAS INDUSTRIALES</t>
  </si>
  <si>
    <t>Enviado (23/05)</t>
  </si>
  <si>
    <t>FP-1 MECANIZADO</t>
  </si>
  <si>
    <t>GRADO ING.MECÁNICA</t>
  </si>
  <si>
    <t>FP-2. AUTOMATIZACIÓN Y ROBÓTICA</t>
  </si>
  <si>
    <t>VIU</t>
  </si>
  <si>
    <t>GRADO EN DERECHO+ MÁSTER UNIV. ABOGACÍA Y PRÁCTICA JURÍDICA</t>
  </si>
  <si>
    <t>GRADO EN RELACIONES INTERNACIONALES + MÁSTER ADMINISTRACIÓN Y DIRECCIÓN DE EMPRESAS</t>
  </si>
  <si>
    <t>GRADO DE DERECHO Y ESTUDIOS INTERNACIONALES</t>
  </si>
  <si>
    <t>GRADO ING. CIVIL + MÁSTER ING. CAMINOS, CANALES Y PUERTOS</t>
  </si>
  <si>
    <t>GRADO BUSINESS MANAGEMENT</t>
  </si>
  <si>
    <t>GRADO ING. QUÍMICA + MÁSTER HABILITANTE ING.INDUSTRIAL</t>
  </si>
  <si>
    <t>Enviado (13/07)</t>
  </si>
  <si>
    <t>GRADO ING.QUÍMICA + MÁSTER ING.PROCESOS</t>
  </si>
  <si>
    <t>GRADO ING. INDUSTRIAL + MÁSTER ING.CIVIL</t>
  </si>
  <si>
    <t>GRADO ING. INDUSTRIAL + MÁSTER INGENIERÍA MATERIALES</t>
  </si>
  <si>
    <t>GRADO ING. TECNOLOGÍAS INDUSTRIALES (ESP.MATERIALES)</t>
  </si>
  <si>
    <t>GRADO ING. ELECTRÓNICA INDUSTRIAL Y AUTOMÁTICA</t>
  </si>
  <si>
    <t>GRADO ING. MINAS Y ENERGÍA + MÁSTER ING. MINAS</t>
  </si>
  <si>
    <t>GRADO ING.MATEMÁTICA E INTELIGENCIA ARTIFICIAL</t>
  </si>
  <si>
    <t>GRADO ING. MATEMÁTICA</t>
  </si>
  <si>
    <t>Bachelor of Science in Engineering, Industrial and Operation</t>
  </si>
  <si>
    <t>GRADO ING. TECNOLOGIAS AMBIENTALES</t>
  </si>
  <si>
    <t>GRADO ING.INDUSTRIAL + MÁSTER ING.INDUSTRIAL</t>
  </si>
  <si>
    <t>GRADO FUNDAMENTOS ARQUITECTURA Y BELLAS ARTES + MÁSTER  ARQUITECTURA</t>
  </si>
  <si>
    <t>GRADO DERECHO + GRADO ECONOMÍA</t>
  </si>
  <si>
    <t>MARROQUÍ</t>
  </si>
  <si>
    <t>Asturias</t>
  </si>
  <si>
    <t>GRADO. ING DE LA ENERGÍA</t>
  </si>
  <si>
    <t>GRADO EDIFICACIÓN</t>
  </si>
  <si>
    <t>DOBLE GRADO DERECHO Y FILOSOFÍA + MÁSTER ABOGACÍA</t>
  </si>
  <si>
    <t>Enviado (18/08)</t>
  </si>
  <si>
    <t>IRLANDA</t>
  </si>
  <si>
    <t>GRADO ING. ELECTRÓNICA INDUSTRIAL Y AUTOMÁTICA + MÁSTER ING.INDUSTRIAL</t>
  </si>
  <si>
    <t>Enviado (22/08)</t>
  </si>
  <si>
    <t>GRADO ING. SONIDO E IMAGEN</t>
  </si>
  <si>
    <t>ANDORRA</t>
  </si>
  <si>
    <t>GRADO EN MATEMÁTICAS + MÁSTER EN DATA SCIENCE &amp; ANALYTICS</t>
  </si>
  <si>
    <t>GRADO ING.CIVIL Y TERRITORIAL</t>
  </si>
  <si>
    <t>GRADO EN PSICOLOGÍA + MÁSTER PSICOLOGÍA GENERAL SANITARIA</t>
  </si>
  <si>
    <t>GRADO DE PSICOLOGÍA Y PSICOPEDAGOGÍA</t>
  </si>
  <si>
    <t>GRADO ING. QUÍMICA INDUSTRIAL</t>
  </si>
  <si>
    <t>FP2 - Automatización y Robótica Industrial</t>
  </si>
  <si>
    <t>GRADO EN RELACIONES LABORALES</t>
  </si>
  <si>
    <t>GRADO ING. MECÁNICA + GRADO ING.PRODUCCIÓN</t>
  </si>
  <si>
    <t>GRADO ING.QUIMICA + MÁSTER IND.QUÍMICA</t>
  </si>
  <si>
    <t>GRADO ADE + GRADO MARKETING</t>
  </si>
  <si>
    <t>FP2 - Administración de Sistemas Informáticos</t>
  </si>
  <si>
    <t>FP-2 QUÍMICA INDUSTRIAL</t>
  </si>
  <si>
    <t>GRADO ING. QUÍMICA + GRADO ING. AMBIENTAL</t>
  </si>
  <si>
    <t>GRADO EN DERECHO + MÁSTER DERECHOS HUMANOS</t>
  </si>
  <si>
    <t>GRADO ING. INDUSTRIAL (ESP. MECÁNICA) + MÁSTER ING.INDUSTRIAL</t>
  </si>
  <si>
    <t>U. Jaume I</t>
  </si>
  <si>
    <t>Enviado (14/12)(27/12)</t>
  </si>
  <si>
    <t>GRADO ING. MINAS. ESP. RECURSOS ENERGÉTICOS, COMBUSTIBLES Y EXPLOSIVOS</t>
  </si>
  <si>
    <t>Enviado (19/12/23)</t>
  </si>
  <si>
    <t>GRADO ING. INDUSTRIAL + MÁSTER UNIV. ING. INDUSTRIAL</t>
  </si>
  <si>
    <t>ARQUITECTURA NAVAL</t>
  </si>
  <si>
    <t>GRADO ARQUITECTURA NAVAL</t>
  </si>
  <si>
    <t>GRADO ING. DISEÑO IND.Y DESARROLLO PRODUCTO</t>
  </si>
  <si>
    <t>GRADO ING.INDUSTRIAL + MÁSTER UNIV. LOGÍSTICA Y DIRECCIÓN DE OPERACIONES</t>
  </si>
  <si>
    <t>GRADO ING. QUÍMICA + MÁSTER BIOTECNOLOGÍA</t>
  </si>
  <si>
    <t>GRADO ING.QUÍMICA + GRADO ING.DE LA ENERGÍA</t>
  </si>
  <si>
    <t>DOBLE GRADO ADE + DERECHO</t>
  </si>
  <si>
    <t>enviado 19/2/2024</t>
  </si>
  <si>
    <t>GRADO ING. QUÍMICA + MÁSTER ING. PROCESOS</t>
  </si>
  <si>
    <t>Último envío (26/12/24)</t>
  </si>
  <si>
    <t>Enviado (13/12)(27/12)</t>
  </si>
  <si>
    <t>DOBLE GRADO ING. QUÍMICA + ING. ORG. INDUSTRIAL</t>
  </si>
  <si>
    <t>DOBLE GRADO EN DERECHO, CIENCIAS POLÍTICAS Y ADMINISTRACIÓN PÚBLICA</t>
  </si>
  <si>
    <t>FP-2 AUTOMATIZACIÓN Y ROBÓTICA INDUSTRIAL</t>
  </si>
  <si>
    <t>GRADO DERECHO + MÁSTER ACCESO ABOGACÍA</t>
  </si>
  <si>
    <t>GRADO ING. COMPUTADORES + GRADO DISEÑO VIDEOJUEGOS</t>
  </si>
  <si>
    <t>FP-2 DESARROLLO DE APLICACIONES WEB Y MULTIPLATAFORMA</t>
  </si>
  <si>
    <t>GRADO ING.QUÍMICA INDUSTRIAL + MÁSTER ING.INDUSTRIAL</t>
  </si>
  <si>
    <t>GRADO ING. TECNOLOGÍAS INDUSTRIALES + MÁSTER TECNOLOGÍAS INDUSTRIALES</t>
  </si>
  <si>
    <t>GRADO ING. DE MATERIALES + MÁSTER EN CIENCIA E INGENIERÍA DE MATERIALES</t>
  </si>
  <si>
    <t>GRADO ING. QUIMICA + ING. ORGANIZACIÓN INDUSTRIAL</t>
  </si>
  <si>
    <t>GRADO ING. TECNOLOGIAS INDUSTRIALES</t>
  </si>
  <si>
    <t>Enviado (18/12)(27/12)</t>
  </si>
  <si>
    <t>ING. QUÍMICA + ING. ENERGÍA</t>
  </si>
  <si>
    <t>GRADO ING. QUÍMICA + ING. ENERGÍA</t>
  </si>
  <si>
    <t>GRADO ING. DE LAS ENERGÍAS</t>
  </si>
  <si>
    <t>GRADO TRANSPORTE Y LOGÍSTICA</t>
  </si>
  <si>
    <t>GRADO ING. TEC. INDUSTRIAL (ESP. ING. PETRÓLEO Y MANTENIMIENTO MECÁNICO)</t>
  </si>
  <si>
    <t>Enviado (12/03/24)</t>
  </si>
  <si>
    <t>GRADO ING.NAVAL Y OCEANÍA</t>
  </si>
  <si>
    <t>GRADO ING. NAVAL</t>
  </si>
  <si>
    <t>Enviado (18/12/23)(19/09)</t>
  </si>
  <si>
    <t>GRADO ING. DE MINAS</t>
  </si>
  <si>
    <t>Enviado (18/06/2024)(19/09)</t>
  </si>
  <si>
    <t>GRADO ING. DE LA ENERGÍA + MÁSTER ING.ENERGÍA</t>
  </si>
  <si>
    <t>Enviado (17/06/2024)</t>
  </si>
  <si>
    <t>DOBLE GRADO ING.ORGANIZACIÓN INDUSTRIAL Y AMBIENTAL</t>
  </si>
  <si>
    <t>DOBLE GRADO ING. ORG. INDUSTRIAL + ING. AMBIENTAL</t>
  </si>
  <si>
    <t>GRADO EN PSICOLOGÍA ORGANIZACIONAL + MÁSTER DIRECCIÓN Y GESTIÓN DE RRHH</t>
  </si>
  <si>
    <t>Enviado (18/06/2024)</t>
  </si>
  <si>
    <t>DOBLE GRADO ING.INFORMÁTICA Y ADE</t>
  </si>
  <si>
    <t>DOBLE GRADO ING. INFORMÁTICA + ADE</t>
  </si>
  <si>
    <t>GRADO ING. ENERGÍA + GRADO ING. AMBIENTAL</t>
  </si>
  <si>
    <t>DOBLE GRADO ING. ENERGÍA + ING.AMBIENTAL</t>
  </si>
  <si>
    <t>FP-2 CONSTRUCCIONES METÁLICAS</t>
  </si>
  <si>
    <t>FP-2 SISTEMAS ELECTROTÉCNICOS Y AUTOMATIZADOS</t>
  </si>
  <si>
    <t>Enviado (19/09)(17/12)</t>
  </si>
  <si>
    <t>FP-2 SISTEMAS DE TELECOMUNICACIÓN E INFORMÁTICA</t>
  </si>
  <si>
    <t>GRADO ING. INFORMÁTICA + MÁSTER UNIV. ING.TELECOMUNICACIONES</t>
  </si>
  <si>
    <t>GRADO ING.QUIMÍCA + MÁSTER ING. QUIMÍCA</t>
  </si>
  <si>
    <t>FP-2 ADMINISTRACIÓN Y FINANZAS</t>
  </si>
  <si>
    <t>FP-2 DESARROLLO APLICACIONES MULTIPLATAFORMA</t>
  </si>
  <si>
    <t>FP-2 ANIMACIONES 3D, JUEGOS Y ENTORNOS INTERACTIVOS</t>
  </si>
  <si>
    <t>FP-1 INFORMÁTICA</t>
  </si>
  <si>
    <t>GRADO ING. TECNOLOGÍA DE TELECOMUNICACIÓN</t>
  </si>
  <si>
    <t>GRADO ING. OBRAS PÚBLICAS</t>
  </si>
  <si>
    <t>GRADO ING. TECNOLOGÍAS INDUSTRIALES+MÁSTER ING. INDUSTRIAL</t>
  </si>
  <si>
    <t>Enviado (27/06)</t>
  </si>
  <si>
    <t>GRADO ADMINISTRACIÓN</t>
  </si>
  <si>
    <t>FP-2 IMAGEN Y SONIDO</t>
  </si>
  <si>
    <t>ING. ORGANIZACIÓN INDUSTRIAL</t>
  </si>
  <si>
    <t>GRADO ING. CIVIL + MÁSTER ING.CIVIL</t>
  </si>
  <si>
    <t>GRADO ING.QUÍMICA + GRADO ING.AMBIENTAL</t>
  </si>
  <si>
    <t>DOBLE GRADO ING. QUÍMICA + ING. AMBIENTAL</t>
  </si>
  <si>
    <t>Enviado (18/06) (26/06)(10/07)</t>
  </si>
  <si>
    <t>FP-2 ANIMACIÓN 3D, JUEGOS Y ENTORNOS INTERACTIVOS</t>
  </si>
  <si>
    <t>GRADO ING. MECÁNICA + MÁSTER ING. MECÁNICA</t>
  </si>
  <si>
    <t>GRADO EN INGENIERÍA QUÍMICA</t>
  </si>
  <si>
    <t>Enviado (18/06/2024)(17/12/24</t>
  </si>
  <si>
    <t>GRADO ECONOMÍA + MÁSTER DATA SCIENCE Y ANALYTICS</t>
  </si>
  <si>
    <t>GRADO ING. ELECTRÓNICA, INDUSTRIAL Y AUTOMÁTICA</t>
  </si>
  <si>
    <t>PAKISTÁN</t>
  </si>
  <si>
    <t>GRADO ING.INDUSTRIAL + MÁSTER ING. INDUSTRIAL</t>
  </si>
  <si>
    <t>GRADO ING. ELÉCTRICA + MÁSTER ING. INDUSTRIAL</t>
  </si>
  <si>
    <t>GRADO ING. DE LA ENERGÍA + MÁSTER ING. INDUSTRIAL</t>
  </si>
  <si>
    <t>Enviado (09/08)(19/09)(17/12)</t>
  </si>
  <si>
    <t>GRADO ING. MECÁNICA + GRADO ING. AUTOMÓVIL</t>
  </si>
  <si>
    <t>DOBLE GRADO ING. MECÁNICA + ING. AUTOMÓVIL</t>
  </si>
  <si>
    <t>GRADO ING. DISEÑO INDUSTRIAL + MÁSTER ING. DE PRODUCCIÓN</t>
  </si>
  <si>
    <t>DOBLE GRADO EN RELACIONES INT. &amp; GLOBAL COMUNICATION</t>
  </si>
  <si>
    <t>GRADO RECURSOS ENERGÉTICOS, COMBUSTIBLES Y EXPLOSIVOS</t>
  </si>
  <si>
    <t>GRADO ING. TECNOLOGÍA INDUSTRIAL + MÁSTER ING. INDUSTRIAL</t>
  </si>
  <si>
    <t>GRADO ING. TECNOLOGÍA INDUSTRIAL</t>
  </si>
  <si>
    <t>Enviado (19/09)</t>
  </si>
  <si>
    <t>GRADO ING. ORG. INDUSTRIAL + GRADO ING. SERVICIOS</t>
  </si>
  <si>
    <t>GRADO MARKETING</t>
  </si>
  <si>
    <t>GRADO ING. QUIMÍCA + MÁSTER ING. PROCESOS</t>
  </si>
  <si>
    <t>MÁSTER ING. ESTRUCTURAL DE CONSTRUCCIONES INDUSTRIALES</t>
  </si>
  <si>
    <t>Enviado (09/08)(17/12)</t>
  </si>
  <si>
    <t>DOBLE GRADO ING. TECNOLOGÍAS INDUSTRIALES + ADE</t>
  </si>
  <si>
    <t>GRADO ADE + MÁSTER COMERCIO EXT., IMPORTACIONES Y EXPORTACIONES</t>
  </si>
  <si>
    <t>GRADO COMPUTER SCIENCE</t>
  </si>
  <si>
    <t>Enviado (01/09)</t>
  </si>
  <si>
    <t>DOBLE GRADO ING. MECÁNICA E ING. DEL AUTOMÓVIL</t>
  </si>
  <si>
    <t>Enviado (18/09)</t>
  </si>
  <si>
    <t>GRADO ING. ELECTRÓNICA Y AUTOMÁTICA</t>
  </si>
  <si>
    <t>Universidad de Bath</t>
  </si>
  <si>
    <t>GRADO ING.QUÍMICA + MÁSTER PROCESOS INGENIERÍA</t>
  </si>
  <si>
    <t>UVA</t>
  </si>
  <si>
    <t>GRADO COMERCIO</t>
  </si>
  <si>
    <t xml:space="preserve">GRADO COMERCIO </t>
  </si>
  <si>
    <t>GRADO ADE + DERECHO + MÁSTER EN INTERNACIONAL</t>
  </si>
  <si>
    <t>GRADO ING. ELECTRÓNICA, ROBÓTICA Y MECATRÓNICA</t>
  </si>
  <si>
    <t>FILIPINAS</t>
  </si>
  <si>
    <t>GRADO ING. QUIMÍCA + MÁSTER  ING. QUÍMICA</t>
  </si>
  <si>
    <t>FP-2 EDIFICACIÓN Y DISEÑO</t>
  </si>
  <si>
    <t>EGIPTO</t>
  </si>
  <si>
    <t>GRADO ING. QUÍMICA + MÁSTER ING. ENERGÍA</t>
  </si>
  <si>
    <t>GRADO ING.QUIMÍCA</t>
  </si>
  <si>
    <t>GRADO iNG. QUÍMICA + MÁSTER ING. QUÍMICA</t>
  </si>
  <si>
    <t>GRADO ING. QUÍMICA + MÁSTER DATA SCIENCE</t>
  </si>
  <si>
    <t>FP-2 ADMON. Y FINANZAS</t>
  </si>
  <si>
    <t>GRADO ING. MATERIALES + MÁSTER UNIVERSITARIO INTELIGENCIA ARTIFICIAL</t>
  </si>
  <si>
    <t>Último envío (28/01/25)</t>
  </si>
  <si>
    <t xml:space="preserve">GRADO EN INGENIERÍA QUÍMICA </t>
  </si>
  <si>
    <t>GRADO ING. QUÍMICA+MÁSTER ING. QUÍMICA</t>
  </si>
  <si>
    <t>GRADO EN ECONOMÍA (INGLÉS)</t>
  </si>
  <si>
    <t>GRADO ING. ENERGÍA + MÁSTER ING. ORGANIZACIÓN INDUSTRIAL</t>
  </si>
  <si>
    <t>FP-2 Administración y Finanzas</t>
  </si>
  <si>
    <t>PAÍSES BAJOS</t>
  </si>
  <si>
    <t>GRADO BUILD ENVIRONMENT</t>
  </si>
  <si>
    <t>FP-2 OBRA CIVIL</t>
  </si>
  <si>
    <t>NINGUNA</t>
  </si>
  <si>
    <t>GRADO ESTADÍSTICA</t>
  </si>
  <si>
    <t>IRÁN</t>
  </si>
  <si>
    <t>GRADO ING. TECNOLOGÍAS INDUSTRIALES + MÁSTER ORGANIZACIÓN INDUSTRIAL</t>
  </si>
  <si>
    <t xml:space="preserve">GRADO ING. ORG. INDUSTRIAL + MÁSTER ING. ORGANIZACIÓN </t>
  </si>
  <si>
    <t>GRADO ING. TECNOLOGÍAS INDUSTRIALES + MÁSTER ING. ENERGÍA</t>
  </si>
  <si>
    <t>CUBA</t>
  </si>
  <si>
    <t>GRADO ING. QUÍMICA + MÁSTER ING. AMBIENTAL</t>
  </si>
  <si>
    <t>DOBLE GRADO ING. MATERIALES + FÍSICA</t>
  </si>
  <si>
    <t>MÁSTER CIENCIA E ING. MATERIALES</t>
  </si>
  <si>
    <t>DOBLE GRADO ING.MECÁNICA + ING.DISEÑO INDUSTRIAL Y DESARROLLO DEL PRODUCTO + MÁSTER ING. INDUSTRIAL</t>
  </si>
  <si>
    <t>DOBLE GRADO ING. MECÁNICA + ING. DISEÑO INDUSTRIAL Y DESARROLLO DEL PRODUCTO</t>
  </si>
  <si>
    <t>GRADO ADE + GRADO COMUNICACIÓN AUDIOVISUAL</t>
  </si>
  <si>
    <t>MÁSTER MARKETING DIGITAL</t>
  </si>
  <si>
    <t>MÁSTER ING. QUÍMICA</t>
  </si>
  <si>
    <t>GRADO PERIODISMO</t>
  </si>
  <si>
    <t>MÁSTER ING. MATERIALES</t>
  </si>
  <si>
    <t>MÁSTER ING. INDUSTRIAL</t>
  </si>
  <si>
    <t>MÁSTER BIM PARA EL DESARROLLO DE PROYECTOS INFRAESTRUCTURA</t>
  </si>
  <si>
    <t xml:space="preserve">GRADO ING. SISTEMAS INDUSTRIALES AUTOMOCIÓN </t>
  </si>
  <si>
    <t>GRADO ING. MECÁNICA Y AUTOMOCIÓN</t>
  </si>
  <si>
    <t xml:space="preserve">GRADO ING. DISEÑO INDUSTRIAL Y DESARROLLO DEL PRODUCTO </t>
  </si>
  <si>
    <t>Enviado (10/04/25)</t>
  </si>
  <si>
    <t>GRADO ING. TEC. INDUSTRIALES</t>
  </si>
  <si>
    <t>FP-2 CENTRALES ELÉCTRICAS</t>
  </si>
  <si>
    <t>Enviado (20/02/25)(06/03)</t>
  </si>
  <si>
    <t>GRADO ING. ELECTRÓNICA INDUSTRIAL</t>
  </si>
  <si>
    <t>Enviado (11/04/25)</t>
  </si>
  <si>
    <t>MÁSTER ING. ENERGÍA</t>
  </si>
  <si>
    <t>MÁSTER ING. CONSTRUCCIÓN</t>
  </si>
  <si>
    <t>FP-2 PROGRAMACIÓN DE LA PRODUCCIÓN EN FABRICACIÓN MECÁNICA</t>
  </si>
  <si>
    <t>RUMANÍA</t>
  </si>
  <si>
    <t>FP-2 DESARROLLO DE APLICACIONES WEB</t>
  </si>
  <si>
    <t>FP-2  SISTEMAS DE TELECOMUNICACIONES E INFORMÁTICA</t>
  </si>
  <si>
    <t>FP-2 ESTRUCTURAS METÁLICAS</t>
  </si>
  <si>
    <t>GRADO ENERGÍAS RENOVABLES</t>
  </si>
  <si>
    <t>MÁSTER INTEGRACION EN ENERGÍAS RENOVABLES EN SIST. ELÉCTRICOS</t>
  </si>
  <si>
    <t>IAE Tours</t>
  </si>
  <si>
    <t>GRADO GESTIÓN INTERNACIONAL</t>
  </si>
  <si>
    <t>NICARAGUA</t>
  </si>
  <si>
    <t>MÁSTER GESTIÓN DE RESIDUOS Y AGUAS RESIDUALES</t>
  </si>
  <si>
    <t>FP-2 PROYECTOS EDIFICACIÓN</t>
  </si>
  <si>
    <t>GRADO ING. TEC. INDUSTRIAL</t>
  </si>
  <si>
    <t xml:space="preserve">GRADO ING. SISTEMAS INDUSTRIALES </t>
  </si>
  <si>
    <t>GRADO ECONOMÍA Y NEGOCIOS INTERNACIONALES</t>
  </si>
  <si>
    <t>FP-2 ASIR</t>
  </si>
  <si>
    <t>GRADO TELECOMUNICACIONES</t>
  </si>
  <si>
    <t>Enviado (18/06/2024)(19/9)(17/12)</t>
  </si>
  <si>
    <t>GRADO ING. MECATRÓNICA INDUSTRIAL</t>
  </si>
  <si>
    <t>DOBLE GRADO RELACIONES INTERNACIONALES &amp; ANÁLISIS DE NEGOCIO</t>
  </si>
  <si>
    <t>CHILE</t>
  </si>
  <si>
    <t>MBA</t>
  </si>
  <si>
    <t>ESIC</t>
  </si>
  <si>
    <t>GRADO COMERCIO INTERNACIONAL</t>
  </si>
  <si>
    <t>MÁSTER ING. INDUSTRIAL + MBA</t>
  </si>
  <si>
    <t>MÁSTER ING. ORG. INDUSTRIAL</t>
  </si>
  <si>
    <t>FP-1 GESTIÓN ADMINISTRATIVA</t>
  </si>
  <si>
    <t>GRADO ING. ELÉCTRICA INDUSTRIAL Y AUTOMÁTICA</t>
  </si>
  <si>
    <t>Enviado (17/12) (20/05)</t>
  </si>
  <si>
    <t>GRADO INGENIERÍA INFORMÁTICA</t>
  </si>
  <si>
    <t>MÁSTER ENERGÍAS RENOVABLES</t>
  </si>
  <si>
    <t>GRADO BUSINESS AND MANAGEMENT</t>
  </si>
  <si>
    <t>1º BACHILLERATO</t>
  </si>
  <si>
    <t>GRADO EN ING. CIVIL</t>
  </si>
  <si>
    <t>MÁSTER ING. CAMINOS, CANALES Y PUERTOS</t>
  </si>
  <si>
    <t>DOBLE GRADO ECONOMÍA + RELACIONES INTERNACIONALES</t>
  </si>
  <si>
    <t xml:space="preserve">GRADO ING. SISTEMAS TELECOMUNICACIONES </t>
  </si>
  <si>
    <t xml:space="preserve">GRADO ING. ORG. INDUSTRIAL </t>
  </si>
  <si>
    <t xml:space="preserve">GRADO ING. INDUSTRIAL </t>
  </si>
  <si>
    <t>U-TAD</t>
  </si>
  <si>
    <t>GRADO ING. ELECTRÓNICA DE COMUNICACIONES</t>
  </si>
  <si>
    <t>Melilla</t>
  </si>
  <si>
    <t>GRADO ING. MATEMÁTICA E INTELIGENCIA ARTIFICIAL</t>
  </si>
  <si>
    <t>DOBLE MÁSTER EN PROFESORADO + MATEMÁTICAS</t>
  </si>
  <si>
    <t>DOBLE GRADO ING. MECÁNICA + ING. DISEÑO INDUSTRIAL</t>
  </si>
  <si>
    <t>DOBLE GRADO ING. QUÍMICA E ING. ORGANIZACIÓN INDUSTRIAL</t>
  </si>
  <si>
    <t>GRADO MATEMÁTICAS Y ESTADÍSTICA</t>
  </si>
  <si>
    <t>MÁSTER ACCESO A LA ABOGACÍA</t>
  </si>
  <si>
    <t>GRADO FÍSICA</t>
  </si>
  <si>
    <t>GRADO ING. TECNOLOGÍAS DE TELECOMUNICACIÓN</t>
  </si>
  <si>
    <t>ACTIVO/A</t>
  </si>
  <si>
    <t xml:space="preserve">MÁSTER ING. INDUSTRIAL </t>
  </si>
  <si>
    <t>MÁSTER ING. CAMINOS</t>
  </si>
  <si>
    <t>GRADO EN ARQUITECTURA</t>
  </si>
  <si>
    <t>DOBLE MÁSTER ING. INDUSTRIAL E INNOVACIÓN TECNOLÓGICA</t>
  </si>
  <si>
    <t>GRADO BUILT ENVIRONMENT</t>
  </si>
  <si>
    <t>MÁSTER FÍSICA TEÓRICA</t>
  </si>
  <si>
    <t>GRADO ING. DISEÑO INDUSTRIAL Y DESARROLLO DE PRODUCTO</t>
  </si>
  <si>
    <t>DOBLE GRADO ADE + MARKETING</t>
  </si>
  <si>
    <t>GRADO ESTUDIOS ASIA Y ÁFRICA: CHINA</t>
  </si>
  <si>
    <t>GRADO ESTUDIOS ASIA Y ÁFRICA</t>
  </si>
  <si>
    <t>DOBLE GRADO PSICOLOGIA + ADE</t>
  </si>
  <si>
    <t>DOBLE GRADO PSICOLOGÍA + ADE</t>
  </si>
  <si>
    <t>DOBLE GRADO ING. MECÁNICA + ING. ELÉCTRICA</t>
  </si>
  <si>
    <t>MÁSTER ING. MECÁNICA</t>
  </si>
  <si>
    <t>MÁSTER DATA SCIENCE</t>
  </si>
  <si>
    <t>GRADO EN DERECHO+MÁSTER ACCESO ABOGACÍA</t>
  </si>
  <si>
    <t>MÁSTER ACCESO ABOGACÍA</t>
  </si>
  <si>
    <t>GRADO EN FUNDAMENTOS DE LA ARQUITECTURA</t>
  </si>
  <si>
    <t>Máster en Instrumentación y Control de Procesos</t>
  </si>
  <si>
    <t>GRADO EN PUBLICIDAD Y RELACIONES PÚBLICAS</t>
  </si>
  <si>
    <t>MÁSTER EN MARKETING DIGITAL Y WORDPRESS</t>
  </si>
  <si>
    <t>GRADO DISEÑO DIGITAL</t>
  </si>
  <si>
    <t>MBA &amp; MASTER PROJECT MANAGEMENT</t>
  </si>
  <si>
    <t>GRADO ING. ELECTRÓNICA INDUSTRIAL Y AUTOMATIZACIÓN</t>
  </si>
  <si>
    <t xml:space="preserve">MÁSTER EN ING. INDUSTRIAL </t>
  </si>
  <si>
    <t>MÁSTER EN DESARROLLO ECONÓMICO Y POLÍTICAS PÚBLICAS</t>
  </si>
  <si>
    <t>RUSIA</t>
  </si>
  <si>
    <t>GRADO EN CIENCIA DE DATOS E IA</t>
  </si>
  <si>
    <t>ING. DE LA ENERGÍA</t>
  </si>
  <si>
    <t>MÁSTER SISTEMAS, CONTROL Y MECATRÓNICA</t>
  </si>
  <si>
    <t>FP-2- CONSTRUCCIONES METÁLICAS</t>
  </si>
  <si>
    <t>BRASIL</t>
  </si>
  <si>
    <t>FP-1 ADMINISTRACIÓN Y FINANZAS</t>
  </si>
  <si>
    <t>DOBLE GRADO ING. MECÁNICA + ING. AUTOMOCIÓN</t>
  </si>
  <si>
    <t>GRADO ING. INDUSTRIAL + ADE</t>
  </si>
  <si>
    <t>MÁSTER EN ENERGÍAS RENOVABLES Y EFICIENCIA ENERGÉTICA</t>
  </si>
  <si>
    <t>GRADO ING. SISTEMA DE TELECOMUNICACIONES</t>
  </si>
  <si>
    <t>MASTER EN INGENIERÍA DE TELECOMUNICACIÓN</t>
  </si>
  <si>
    <t>MÁSTER PREVENCIÓN DE RIESGOS</t>
  </si>
  <si>
    <t>University of Surrey</t>
  </si>
  <si>
    <t>MÁSTER EN ENERGÍA TÉRMICA Y PROPULSIÓN</t>
  </si>
  <si>
    <t>PARAGUAY</t>
  </si>
  <si>
    <t>DOBLE GRADO DERECHO + FILOSOFÍA</t>
  </si>
  <si>
    <t>NUM. PERSONA</t>
  </si>
  <si>
    <t>Madrid - Oficina</t>
  </si>
  <si>
    <t>Valencia - Oficina</t>
  </si>
  <si>
    <t>Madrid - Centro tecnológico</t>
  </si>
  <si>
    <t>Ciudad Real - Laboratorio</t>
  </si>
  <si>
    <t>Bilbao - Oficina</t>
  </si>
  <si>
    <t>Cartagena - Oficina</t>
  </si>
  <si>
    <t>Qatar - Oficina</t>
  </si>
  <si>
    <t>PROVINCIA NACIMIENTO</t>
  </si>
  <si>
    <t>Álava</t>
  </si>
  <si>
    <t>ARMENIA</t>
  </si>
  <si>
    <t>Islas Canarias</t>
  </si>
  <si>
    <t>Ourense</t>
  </si>
  <si>
    <t>Lleida</t>
  </si>
  <si>
    <t>SIRIA</t>
  </si>
  <si>
    <t>Navarra</t>
  </si>
  <si>
    <t>HONG KONG</t>
  </si>
  <si>
    <t>GUATEMALA</t>
  </si>
  <si>
    <t>Guipúzcoa</t>
  </si>
  <si>
    <t>HONDURAS</t>
  </si>
  <si>
    <t>Lugo</t>
  </si>
  <si>
    <t>KUWAIT</t>
  </si>
  <si>
    <t>LIBIA</t>
  </si>
  <si>
    <t>La Rioja</t>
  </si>
  <si>
    <t>LUXEMBURGO</t>
  </si>
  <si>
    <t>IRAQ</t>
  </si>
  <si>
    <t>SUIZA</t>
  </si>
  <si>
    <t>PUERTO RICO</t>
  </si>
  <si>
    <t>REPÚBLICA DOMINICANA</t>
  </si>
  <si>
    <t>Castellón</t>
  </si>
  <si>
    <t>DOBLE GRADO ING. QUÍMICA + ADE</t>
  </si>
  <si>
    <t>DOBLE GRADO ING. MATERIALES + GRADO ING. ENERGÍA</t>
  </si>
  <si>
    <t>GRADO INFORMACIÓN Y DOCUMENTACIÓN</t>
  </si>
  <si>
    <t>DOBLE GRADO ADE + COMUNICACIÓN AUDIOVISUAL</t>
  </si>
  <si>
    <t>Mov. Interna</t>
  </si>
  <si>
    <t>Desplazamiento</t>
  </si>
  <si>
    <t>Duración</t>
  </si>
  <si>
    <t>SATISFACCIÓN</t>
  </si>
  <si>
    <t>DESEMPEÑO</t>
  </si>
  <si>
    <t>NOMBRE</t>
  </si>
  <si>
    <t>APELLIDOS</t>
  </si>
  <si>
    <t>ACTIVO A 31.12.25</t>
  </si>
  <si>
    <t>Baja Contratación</t>
  </si>
  <si>
    <t>Años contratado/a</t>
  </si>
  <si>
    <t>BECA</t>
  </si>
  <si>
    <t>Vacante Interna</t>
  </si>
  <si>
    <t>INDIA</t>
  </si>
  <si>
    <t>EMIRATOS ÁRABES</t>
  </si>
  <si>
    <t>QATAR</t>
  </si>
  <si>
    <t>NOMBRE 1</t>
  </si>
  <si>
    <t>APELLIDO 1</t>
  </si>
  <si>
    <t>NOMBRE 2</t>
  </si>
  <si>
    <t>NOMBRE 3</t>
  </si>
  <si>
    <t>NOMBRE 4</t>
  </si>
  <si>
    <t>NOMBRE 5</t>
  </si>
  <si>
    <t>NOMBRE 6</t>
  </si>
  <si>
    <t>NOMBRE 7</t>
  </si>
  <si>
    <t>NOMBRE 8</t>
  </si>
  <si>
    <t>NOMBRE 9</t>
  </si>
  <si>
    <t>NOMBRE 10</t>
  </si>
  <si>
    <t>NOMBRE 11</t>
  </si>
  <si>
    <t>NOMBRE 12</t>
  </si>
  <si>
    <t>NOMBRE 13</t>
  </si>
  <si>
    <t>NOMBRE 14</t>
  </si>
  <si>
    <t>NOMBRE 15</t>
  </si>
  <si>
    <t>NOMBRE 16</t>
  </si>
  <si>
    <t>NOMBRE 17</t>
  </si>
  <si>
    <t>NOMBRE 18</t>
  </si>
  <si>
    <t>NOMBRE 19</t>
  </si>
  <si>
    <t>NOMBRE 20</t>
  </si>
  <si>
    <t>NOMBRE 21</t>
  </si>
  <si>
    <t>NOMBRE 22</t>
  </si>
  <si>
    <t>NOMBRE 23</t>
  </si>
  <si>
    <t>NOMBRE 24</t>
  </si>
  <si>
    <t>NOMBRE 25</t>
  </si>
  <si>
    <t>NOMBRE 26</t>
  </si>
  <si>
    <t>NOMBRE 27</t>
  </si>
  <si>
    <t>NOMBRE 28</t>
  </si>
  <si>
    <t>NOMBRE 29</t>
  </si>
  <si>
    <t>NOMBRE 30</t>
  </si>
  <si>
    <t>NOMBRE 31</t>
  </si>
  <si>
    <t>NOMBRE 32</t>
  </si>
  <si>
    <t>NOMBRE 33</t>
  </si>
  <si>
    <t>NOMBRE 34</t>
  </si>
  <si>
    <t>NOMBRE 35</t>
  </si>
  <si>
    <t>NOMBRE 36</t>
  </si>
  <si>
    <t>NOMBRE 37</t>
  </si>
  <si>
    <t>NOMBRE 38</t>
  </si>
  <si>
    <t>NOMBRE 39</t>
  </si>
  <si>
    <t>NOMBRE 40</t>
  </si>
  <si>
    <t>NOMBRE 41</t>
  </si>
  <si>
    <t>NOMBRE 42</t>
  </si>
  <si>
    <t>NOMBRE 43</t>
  </si>
  <si>
    <t>NOMBRE 44</t>
  </si>
  <si>
    <t>NOMBRE 45</t>
  </si>
  <si>
    <t>NOMBRE 46</t>
  </si>
  <si>
    <t>NOMBRE 47</t>
  </si>
  <si>
    <t>NOMBRE 48</t>
  </si>
  <si>
    <t>NOMBRE 49</t>
  </si>
  <si>
    <t>NOMBRE 50</t>
  </si>
  <si>
    <t>NOMBRE 51</t>
  </si>
  <si>
    <t>NOMBRE 52</t>
  </si>
  <si>
    <t>NOMBRE 53</t>
  </si>
  <si>
    <t>NOMBRE 54</t>
  </si>
  <si>
    <t>NOMBRE 55</t>
  </si>
  <si>
    <t>NOMBRE 56</t>
  </si>
  <si>
    <t>NOMBRE 57</t>
  </si>
  <si>
    <t>NOMBRE 58</t>
  </si>
  <si>
    <t>NOMBRE 59</t>
  </si>
  <si>
    <t>NOMBRE 60</t>
  </si>
  <si>
    <t>NOMBRE 61</t>
  </si>
  <si>
    <t>NOMBRE 62</t>
  </si>
  <si>
    <t>NOMBRE 63</t>
  </si>
  <si>
    <t>NOMBRE 64</t>
  </si>
  <si>
    <t>NOMBRE 65</t>
  </si>
  <si>
    <t>NOMBRE 66</t>
  </si>
  <si>
    <t>NOMBRE 67</t>
  </si>
  <si>
    <t>NOMBRE 68</t>
  </si>
  <si>
    <t>NOMBRE 69</t>
  </si>
  <si>
    <t>NOMBRE 70</t>
  </si>
  <si>
    <t>NOMBRE 71</t>
  </si>
  <si>
    <t>NOMBRE 72</t>
  </si>
  <si>
    <t>NOMBRE 73</t>
  </si>
  <si>
    <t>NOMBRE 74</t>
  </si>
  <si>
    <t>NOMBRE 75</t>
  </si>
  <si>
    <t>NOMBRE 76</t>
  </si>
  <si>
    <t>NOMBRE 77</t>
  </si>
  <si>
    <t>NOMBRE 78</t>
  </si>
  <si>
    <t>NOMBRE 79</t>
  </si>
  <si>
    <t>NOMBRE 80</t>
  </si>
  <si>
    <t>NOMBRE 81</t>
  </si>
  <si>
    <t>NOMBRE 82</t>
  </si>
  <si>
    <t>NOMBRE 83</t>
  </si>
  <si>
    <t>NOMBRE 84</t>
  </si>
  <si>
    <t>NOMBRE 85</t>
  </si>
  <si>
    <t>NOMBRE 86</t>
  </si>
  <si>
    <t>NOMBRE 87</t>
  </si>
  <si>
    <t>NOMBRE 88</t>
  </si>
  <si>
    <t>NOMBRE 89</t>
  </si>
  <si>
    <t>NOMBRE 90</t>
  </si>
  <si>
    <t>NOMBRE 91</t>
  </si>
  <si>
    <t>NOMBRE 92</t>
  </si>
  <si>
    <t>NOMBRE 93</t>
  </si>
  <si>
    <t>NOMBRE 94</t>
  </si>
  <si>
    <t>NOMBRE 95</t>
  </si>
  <si>
    <t>NOMBRE 96</t>
  </si>
  <si>
    <t>NOMBRE 97</t>
  </si>
  <si>
    <t>NOMBRE 98</t>
  </si>
  <si>
    <t>NOMBRE 99</t>
  </si>
  <si>
    <t>NOMBRE 100</t>
  </si>
  <si>
    <t>NOMBRE 101</t>
  </si>
  <si>
    <t>NOMBRE 102</t>
  </si>
  <si>
    <t>NOMBRE 103</t>
  </si>
  <si>
    <t>NOMBRE 104</t>
  </si>
  <si>
    <t>NOMBRE 105</t>
  </si>
  <si>
    <t>NOMBRE 106</t>
  </si>
  <si>
    <t>NOMBRE 107</t>
  </si>
  <si>
    <t>NOMBRE 108</t>
  </si>
  <si>
    <t>NOMBRE 109</t>
  </si>
  <si>
    <t>NOMBRE 110</t>
  </si>
  <si>
    <t>NOMBRE 111</t>
  </si>
  <si>
    <t>NOMBRE 112</t>
  </si>
  <si>
    <t>NOMBRE 113</t>
  </si>
  <si>
    <t>NOMBRE 114</t>
  </si>
  <si>
    <t>NOMBRE 115</t>
  </si>
  <si>
    <t>NOMBRE 116</t>
  </si>
  <si>
    <t>NOMBRE 117</t>
  </si>
  <si>
    <t>NOMBRE 118</t>
  </si>
  <si>
    <t>NOMBRE 119</t>
  </si>
  <si>
    <t>NOMBRE 120</t>
  </si>
  <si>
    <t>NOMBRE 121</t>
  </si>
  <si>
    <t>NOMBRE 122</t>
  </si>
  <si>
    <t>NOMBRE 123</t>
  </si>
  <si>
    <t>NOMBRE 124</t>
  </si>
  <si>
    <t>NOMBRE 125</t>
  </si>
  <si>
    <t>NOMBRE 126</t>
  </si>
  <si>
    <t>NOMBRE 127</t>
  </si>
  <si>
    <t>NOMBRE 128</t>
  </si>
  <si>
    <t>NOMBRE 129</t>
  </si>
  <si>
    <t>NOMBRE 130</t>
  </si>
  <si>
    <t>NOMBRE 131</t>
  </si>
  <si>
    <t>NOMBRE 132</t>
  </si>
  <si>
    <t>NOMBRE 133</t>
  </si>
  <si>
    <t>NOMBRE 134</t>
  </si>
  <si>
    <t>NOMBRE 135</t>
  </si>
  <si>
    <t>NOMBRE 136</t>
  </si>
  <si>
    <t>NOMBRE 137</t>
  </si>
  <si>
    <t>NOMBRE 138</t>
  </si>
  <si>
    <t>NOMBRE 139</t>
  </si>
  <si>
    <t>NOMBRE 140</t>
  </si>
  <si>
    <t>NOMBRE 141</t>
  </si>
  <si>
    <t>NOMBRE 142</t>
  </si>
  <si>
    <t>NOMBRE 143</t>
  </si>
  <si>
    <t>NOMBRE 144</t>
  </si>
  <si>
    <t>NOMBRE 145</t>
  </si>
  <si>
    <t>NOMBRE 146</t>
  </si>
  <si>
    <t>NOMBRE 147</t>
  </si>
  <si>
    <t>NOMBRE 148</t>
  </si>
  <si>
    <t>NOMBRE 149</t>
  </si>
  <si>
    <t>NOMBRE 150</t>
  </si>
  <si>
    <t>NOMBRE 151</t>
  </si>
  <si>
    <t>NOMBRE 152</t>
  </si>
  <si>
    <t>NOMBRE 153</t>
  </si>
  <si>
    <t>NOMBRE 154</t>
  </si>
  <si>
    <t>NOMBRE 155</t>
  </si>
  <si>
    <t>NOMBRE 156</t>
  </si>
  <si>
    <t>NOMBRE 157</t>
  </si>
  <si>
    <t>NOMBRE 158</t>
  </si>
  <si>
    <t>NOMBRE 159</t>
  </si>
  <si>
    <t>NOMBRE 160</t>
  </si>
  <si>
    <t>NOMBRE 161</t>
  </si>
  <si>
    <t>NOMBRE 162</t>
  </si>
  <si>
    <t>NOMBRE 163</t>
  </si>
  <si>
    <t>NOMBRE 164</t>
  </si>
  <si>
    <t>NOMBRE 165</t>
  </si>
  <si>
    <t>NOMBRE 166</t>
  </si>
  <si>
    <t>NOMBRE 167</t>
  </si>
  <si>
    <t>NOMBRE 168</t>
  </si>
  <si>
    <t>NOMBRE 169</t>
  </si>
  <si>
    <t>NOMBRE 170</t>
  </si>
  <si>
    <t>NOMBRE 171</t>
  </si>
  <si>
    <t>NOMBRE 172</t>
  </si>
  <si>
    <t>NOMBRE 173</t>
  </si>
  <si>
    <t>NOMBRE 174</t>
  </si>
  <si>
    <t>NOMBRE 175</t>
  </si>
  <si>
    <t>NOMBRE 176</t>
  </si>
  <si>
    <t>NOMBRE 177</t>
  </si>
  <si>
    <t>NOMBRE 178</t>
  </si>
  <si>
    <t>NOMBRE 179</t>
  </si>
  <si>
    <t>NOMBRE 180</t>
  </si>
  <si>
    <t>NOMBRE 181</t>
  </si>
  <si>
    <t>NOMBRE 182</t>
  </si>
  <si>
    <t>NOMBRE 183</t>
  </si>
  <si>
    <t>NOMBRE 184</t>
  </si>
  <si>
    <t>NOMBRE 185</t>
  </si>
  <si>
    <t>NOMBRE 186</t>
  </si>
  <si>
    <t>NOMBRE 187</t>
  </si>
  <si>
    <t>NOMBRE 188</t>
  </si>
  <si>
    <t>NOMBRE 189</t>
  </si>
  <si>
    <t>NOMBRE 190</t>
  </si>
  <si>
    <t>NOMBRE 191</t>
  </si>
  <si>
    <t>NOMBRE 192</t>
  </si>
  <si>
    <t>NOMBRE 193</t>
  </si>
  <si>
    <t>NOMBRE 194</t>
  </si>
  <si>
    <t>NOMBRE 195</t>
  </si>
  <si>
    <t>NOMBRE 196</t>
  </si>
  <si>
    <t>NOMBRE 197</t>
  </si>
  <si>
    <t>NOMBRE 198</t>
  </si>
  <si>
    <t>NOMBRE 199</t>
  </si>
  <si>
    <t>NOMBRE 200</t>
  </si>
  <si>
    <t>NOMBRE 201</t>
  </si>
  <si>
    <t>NOMBRE 202</t>
  </si>
  <si>
    <t>NOMBRE 203</t>
  </si>
  <si>
    <t>NOMBRE 204</t>
  </si>
  <si>
    <t>NOMBRE 205</t>
  </si>
  <si>
    <t>NOMBRE 206</t>
  </si>
  <si>
    <t>NOMBRE 207</t>
  </si>
  <si>
    <t>NOMBRE 208</t>
  </si>
  <si>
    <t>NOMBRE 209</t>
  </si>
  <si>
    <t>NOMBRE 210</t>
  </si>
  <si>
    <t>NOMBRE 211</t>
  </si>
  <si>
    <t>NOMBRE 212</t>
  </si>
  <si>
    <t>NOMBRE 213</t>
  </si>
  <si>
    <t>NOMBRE 214</t>
  </si>
  <si>
    <t>NOMBRE 215</t>
  </si>
  <si>
    <t>NOMBRE 216</t>
  </si>
  <si>
    <t>NOMBRE 217</t>
  </si>
  <si>
    <t>NOMBRE 218</t>
  </si>
  <si>
    <t>NOMBRE 219</t>
  </si>
  <si>
    <t>NOMBRE 220</t>
  </si>
  <si>
    <t>NOMBRE 221</t>
  </si>
  <si>
    <t>NOMBRE 222</t>
  </si>
  <si>
    <t>NOMBRE 223</t>
  </si>
  <si>
    <t>NOMBRE 224</t>
  </si>
  <si>
    <t>NOMBRE 225</t>
  </si>
  <si>
    <t>NOMBRE 226</t>
  </si>
  <si>
    <t>NOMBRE 227</t>
  </si>
  <si>
    <t>NOMBRE 228</t>
  </si>
  <si>
    <t>NOMBRE 229</t>
  </si>
  <si>
    <t>NOMBRE 230</t>
  </si>
  <si>
    <t>NOMBRE 231</t>
  </si>
  <si>
    <t>NOMBRE 232</t>
  </si>
  <si>
    <t>NOMBRE 233</t>
  </si>
  <si>
    <t>NOMBRE 234</t>
  </si>
  <si>
    <t>NOMBRE 235</t>
  </si>
  <si>
    <t>NOMBRE 236</t>
  </si>
  <si>
    <t>NOMBRE 237</t>
  </si>
  <si>
    <t>NOMBRE 238</t>
  </si>
  <si>
    <t>NOMBRE 239</t>
  </si>
  <si>
    <t>NOMBRE 240</t>
  </si>
  <si>
    <t>NOMBRE 241</t>
  </si>
  <si>
    <t>NOMBRE 242</t>
  </si>
  <si>
    <t>NOMBRE 243</t>
  </si>
  <si>
    <t>NOMBRE 244</t>
  </si>
  <si>
    <t>NOMBRE 245</t>
  </si>
  <si>
    <t>NOMBRE 246</t>
  </si>
  <si>
    <t>NOMBRE 247</t>
  </si>
  <si>
    <t>NOMBRE 248</t>
  </si>
  <si>
    <t>NOMBRE 249</t>
  </si>
  <si>
    <t>NOMBRE 250</t>
  </si>
  <si>
    <t>NOMBRE 251</t>
  </si>
  <si>
    <t>NOMBRE 252</t>
  </si>
  <si>
    <t>NOMBRE 253</t>
  </si>
  <si>
    <t>NOMBRE 254</t>
  </si>
  <si>
    <t>NOMBRE 255</t>
  </si>
  <si>
    <t>NOMBRE 256</t>
  </si>
  <si>
    <t>NOMBRE 257</t>
  </si>
  <si>
    <t>NOMBRE 258</t>
  </si>
  <si>
    <t>NOMBRE 259</t>
  </si>
  <si>
    <t>NOMBRE 260</t>
  </si>
  <si>
    <t>NOMBRE 261</t>
  </si>
  <si>
    <t>NOMBRE 262</t>
  </si>
  <si>
    <t>NOMBRE 263</t>
  </si>
  <si>
    <t>NOMBRE 264</t>
  </si>
  <si>
    <t>NOMBRE 265</t>
  </si>
  <si>
    <t>NOMBRE 266</t>
  </si>
  <si>
    <t>NOMBRE 267</t>
  </si>
  <si>
    <t>NOMBRE 268</t>
  </si>
  <si>
    <t>NOMBRE 269</t>
  </si>
  <si>
    <t>NOMBRE 270</t>
  </si>
  <si>
    <t>NOMBRE 271</t>
  </si>
  <si>
    <t>NOMBRE 272</t>
  </si>
  <si>
    <t>NOMBRE 273</t>
  </si>
  <si>
    <t>NOMBRE 274</t>
  </si>
  <si>
    <t>NOMBRE 275</t>
  </si>
  <si>
    <t>NOMBRE 276</t>
  </si>
  <si>
    <t>NOMBRE 277</t>
  </si>
  <si>
    <t>NOMBRE 278</t>
  </si>
  <si>
    <t>NOMBRE 279</t>
  </si>
  <si>
    <t>NOMBRE 280</t>
  </si>
  <si>
    <t>NOMBRE 281</t>
  </si>
  <si>
    <t>NOMBRE 282</t>
  </si>
  <si>
    <t>NOMBRE 283</t>
  </si>
  <si>
    <t>NOMBRE 284</t>
  </si>
  <si>
    <t>NOMBRE 285</t>
  </si>
  <si>
    <t>NOMBRE 286</t>
  </si>
  <si>
    <t>NOMBRE 287</t>
  </si>
  <si>
    <t>NOMBRE 288</t>
  </si>
  <si>
    <t>NOMBRE 289</t>
  </si>
  <si>
    <t>NOMBRE 290</t>
  </si>
  <si>
    <t>NOMBRE 291</t>
  </si>
  <si>
    <t>NOMBRE 292</t>
  </si>
  <si>
    <t>NOMBRE 293</t>
  </si>
  <si>
    <t>NOMBRE 294</t>
  </si>
  <si>
    <t>NOMBRE 295</t>
  </si>
  <si>
    <t>NOMBRE 296</t>
  </si>
  <si>
    <t>NOMBRE 297</t>
  </si>
  <si>
    <t>NOMBRE 298</t>
  </si>
  <si>
    <t>NOMBRE 299</t>
  </si>
  <si>
    <t>NOMBRE 300</t>
  </si>
  <si>
    <t>NOMBRE 301</t>
  </si>
  <si>
    <t>NOMBRE 302</t>
  </si>
  <si>
    <t>NOMBRE 303</t>
  </si>
  <si>
    <t>NOMBRE 304</t>
  </si>
  <si>
    <t>NOMBRE 305</t>
  </si>
  <si>
    <t>NOMBRE 306</t>
  </si>
  <si>
    <t>NOMBRE 307</t>
  </si>
  <si>
    <t>NOMBRE 308</t>
  </si>
  <si>
    <t>NOMBRE 309</t>
  </si>
  <si>
    <t>NOMBRE 310</t>
  </si>
  <si>
    <t>NOMBRE 311</t>
  </si>
  <si>
    <t>NOMBRE 312</t>
  </si>
  <si>
    <t>NOMBRE 313</t>
  </si>
  <si>
    <t>NOMBRE 314</t>
  </si>
  <si>
    <t>NOMBRE 315</t>
  </si>
  <si>
    <t>NOMBRE 316</t>
  </si>
  <si>
    <t>NOMBRE 317</t>
  </si>
  <si>
    <t>NOMBRE 318</t>
  </si>
  <si>
    <t>NOMBRE 319</t>
  </si>
  <si>
    <t>NOMBRE 320</t>
  </si>
  <si>
    <t>NOMBRE 321</t>
  </si>
  <si>
    <t>NOMBRE 322</t>
  </si>
  <si>
    <t>NOMBRE 323</t>
  </si>
  <si>
    <t>NOMBRE 324</t>
  </si>
  <si>
    <t>NOMBRE 325</t>
  </si>
  <si>
    <t>NOMBRE 326</t>
  </si>
  <si>
    <t>NOMBRE 327</t>
  </si>
  <si>
    <t>NOMBRE 328</t>
  </si>
  <si>
    <t>NOMBRE 329</t>
  </si>
  <si>
    <t>NOMBRE 330</t>
  </si>
  <si>
    <t>NOMBRE 331</t>
  </si>
  <si>
    <t>NOMBRE 332</t>
  </si>
  <si>
    <t>NOMBRE 333</t>
  </si>
  <si>
    <t>NOMBRE 334</t>
  </si>
  <si>
    <t>NOMBRE 335</t>
  </si>
  <si>
    <t>NOMBRE 336</t>
  </si>
  <si>
    <t>NOMBRE 337</t>
  </si>
  <si>
    <t>NOMBRE 338</t>
  </si>
  <si>
    <t>NOMBRE 339</t>
  </si>
  <si>
    <t>NOMBRE 340</t>
  </si>
  <si>
    <t>NOMBRE 341</t>
  </si>
  <si>
    <t>NOMBRE 342</t>
  </si>
  <si>
    <t>NOMBRE 343</t>
  </si>
  <si>
    <t>NOMBRE 344</t>
  </si>
  <si>
    <t>NOMBRE 345</t>
  </si>
  <si>
    <t>NOMBRE 346</t>
  </si>
  <si>
    <t>NOMBRE 347</t>
  </si>
  <si>
    <t>NOMBRE 348</t>
  </si>
  <si>
    <t>NOMBRE 349</t>
  </si>
  <si>
    <t>NOMBRE 350</t>
  </si>
  <si>
    <t>NOMBRE 351</t>
  </si>
  <si>
    <t>NOMBRE 352</t>
  </si>
  <si>
    <t>NOMBRE 353</t>
  </si>
  <si>
    <t>NOMBRE 354</t>
  </si>
  <si>
    <t>NOMBRE 355</t>
  </si>
  <si>
    <t>NOMBRE 356</t>
  </si>
  <si>
    <t>NOMBRE 357</t>
  </si>
  <si>
    <t>NOMBRE 358</t>
  </si>
  <si>
    <t>NOMBRE 359</t>
  </si>
  <si>
    <t>NOMBRE 360</t>
  </si>
  <si>
    <t>NOMBRE 361</t>
  </si>
  <si>
    <t>NOMBRE 362</t>
  </si>
  <si>
    <t>NOMBRE 363</t>
  </si>
  <si>
    <t>NOMBRE 364</t>
  </si>
  <si>
    <t>NOMBRE 365</t>
  </si>
  <si>
    <t>NOMBRE 366</t>
  </si>
  <si>
    <t>NOMBRE 367</t>
  </si>
  <si>
    <t>NOMBRE 368</t>
  </si>
  <si>
    <t>NOMBRE 369</t>
  </si>
  <si>
    <t>NOMBRE 370</t>
  </si>
  <si>
    <t>NOMBRE 371</t>
  </si>
  <si>
    <t>NOMBRE 372</t>
  </si>
  <si>
    <t>NOMBRE 373</t>
  </si>
  <si>
    <t>NOMBRE 374</t>
  </si>
  <si>
    <t>NOMBRE 375</t>
  </si>
  <si>
    <t>NOMBRE 376</t>
  </si>
  <si>
    <t>NOMBRE 377</t>
  </si>
  <si>
    <t>NOMBRE 378</t>
  </si>
  <si>
    <t>NOMBRE 379</t>
  </si>
  <si>
    <t>NOMBRE 380</t>
  </si>
  <si>
    <t>NOMBRE 381</t>
  </si>
  <si>
    <t>NOMBRE 382</t>
  </si>
  <si>
    <t>NOMBRE 383</t>
  </si>
  <si>
    <t>NOMBRE 384</t>
  </si>
  <si>
    <t>NOMBRE 385</t>
  </si>
  <si>
    <t>NOMBRE 386</t>
  </si>
  <si>
    <t>NOMBRE 387</t>
  </si>
  <si>
    <t>NOMBRE 388</t>
  </si>
  <si>
    <t>NOMBRE 389</t>
  </si>
  <si>
    <t>NOMBRE 390</t>
  </si>
  <si>
    <t>NOMBRE 391</t>
  </si>
  <si>
    <t>NOMBRE 392</t>
  </si>
  <si>
    <t>NOMBRE 393</t>
  </si>
  <si>
    <t>NOMBRE 394</t>
  </si>
  <si>
    <t>NOMBRE 395</t>
  </si>
  <si>
    <t>NOMBRE 396</t>
  </si>
  <si>
    <t>NOMBRE 397</t>
  </si>
  <si>
    <t>NOMBRE 398</t>
  </si>
  <si>
    <t>NOMBRE 399</t>
  </si>
  <si>
    <t>NOMBRE 400</t>
  </si>
  <si>
    <t>NOMBRE 401</t>
  </si>
  <si>
    <t>NOMBRE 402</t>
  </si>
  <si>
    <t>NOMBRE 403</t>
  </si>
  <si>
    <t>NOMBRE 404</t>
  </si>
  <si>
    <t>NOMBRE 405</t>
  </si>
  <si>
    <t>NOMBRE 406</t>
  </si>
  <si>
    <t>NOMBRE 407</t>
  </si>
  <si>
    <t>NOMBRE 408</t>
  </si>
  <si>
    <t>NOMBRE 409</t>
  </si>
  <si>
    <t>NOMBRE 410</t>
  </si>
  <si>
    <t>NOMBRE 411</t>
  </si>
  <si>
    <t>NOMBRE 412</t>
  </si>
  <si>
    <t>NOMBRE 413</t>
  </si>
  <si>
    <t>NOMBRE 414</t>
  </si>
  <si>
    <t>NOMBRE 415</t>
  </si>
  <si>
    <t>NOMBRE 416</t>
  </si>
  <si>
    <t>NOMBRE 417</t>
  </si>
  <si>
    <t>NOMBRE 418</t>
  </si>
  <si>
    <t>NOMBRE 419</t>
  </si>
  <si>
    <t>NOMBRE 420</t>
  </si>
  <si>
    <t>NOMBRE 421</t>
  </si>
  <si>
    <t>NOMBRE 422</t>
  </si>
  <si>
    <t>NOMBRE 423</t>
  </si>
  <si>
    <t>NOMBRE 424</t>
  </si>
  <si>
    <t>NOMBRE 425</t>
  </si>
  <si>
    <t>NOMBRE 426</t>
  </si>
  <si>
    <t>NOMBRE 427</t>
  </si>
  <si>
    <t>NOMBRE 428</t>
  </si>
  <si>
    <t>NOMBRE 429</t>
  </si>
  <si>
    <t>NOMBRE 430</t>
  </si>
  <si>
    <t>NOMBRE 431</t>
  </si>
  <si>
    <t>NOMBRE 432</t>
  </si>
  <si>
    <t>NOMBRE 433</t>
  </si>
  <si>
    <t>NOMBRE 434</t>
  </si>
  <si>
    <t>NOMBRE 435</t>
  </si>
  <si>
    <t>NOMBRE 436</t>
  </si>
  <si>
    <t>NOMBRE 437</t>
  </si>
  <si>
    <t>NOMBRE 438</t>
  </si>
  <si>
    <t>NOMBRE 439</t>
  </si>
  <si>
    <t>NOMBRE 440</t>
  </si>
  <si>
    <t>NOMBRE 441</t>
  </si>
  <si>
    <t>NOMBRE 442</t>
  </si>
  <si>
    <t>NOMBRE 443</t>
  </si>
  <si>
    <t>NOMBRE 444</t>
  </si>
  <si>
    <t>NOMBRE 445</t>
  </si>
  <si>
    <t>NOMBRE 446</t>
  </si>
  <si>
    <t>NOMBRE 447</t>
  </si>
  <si>
    <t>NOMBRE 448</t>
  </si>
  <si>
    <t>NOMBRE 449</t>
  </si>
  <si>
    <t>NOMBRE 450</t>
  </si>
  <si>
    <t>NOMBRE 451</t>
  </si>
  <si>
    <t>NOMBRE 452</t>
  </si>
  <si>
    <t>NOMBRE 453</t>
  </si>
  <si>
    <t>NOMBRE 454</t>
  </si>
  <si>
    <t>NOMBRE 455</t>
  </si>
  <si>
    <t>NOMBRE 456</t>
  </si>
  <si>
    <t>NOMBRE 457</t>
  </si>
  <si>
    <t>NOMBRE 458</t>
  </si>
  <si>
    <t>NOMBRE 459</t>
  </si>
  <si>
    <t>NOMBRE 460</t>
  </si>
  <si>
    <t>NOMBRE 461</t>
  </si>
  <si>
    <t>NOMBRE 462</t>
  </si>
  <si>
    <t>NOMBRE 463</t>
  </si>
  <si>
    <t>NOMBRE 464</t>
  </si>
  <si>
    <t>NOMBRE 465</t>
  </si>
  <si>
    <t>NOMBRE 466</t>
  </si>
  <si>
    <t>NOMBRE 467</t>
  </si>
  <si>
    <t>NOMBRE 468</t>
  </si>
  <si>
    <t>NOMBRE 469</t>
  </si>
  <si>
    <t>NOMBRE 470</t>
  </si>
  <si>
    <t>NOMBRE 471</t>
  </si>
  <si>
    <t>NOMBRE 472</t>
  </si>
  <si>
    <t>NOMBRE 473</t>
  </si>
  <si>
    <t>NOMBRE 474</t>
  </si>
  <si>
    <t>NOMBRE 475</t>
  </si>
  <si>
    <t>NOMBRE 476</t>
  </si>
  <si>
    <t>NOMBRE 477</t>
  </si>
  <si>
    <t>NOMBRE 478</t>
  </si>
  <si>
    <t>NOMBRE 479</t>
  </si>
  <si>
    <t>NOMBRE 480</t>
  </si>
  <si>
    <t>NOMBRE 481</t>
  </si>
  <si>
    <t>NOMBRE 482</t>
  </si>
  <si>
    <t>NOMBRE 483</t>
  </si>
  <si>
    <t>NOMBRE 484</t>
  </si>
  <si>
    <t>NOMBRE 485</t>
  </si>
  <si>
    <t>NOMBRE 486</t>
  </si>
  <si>
    <t>NOMBRE 487</t>
  </si>
  <si>
    <t>NOMBRE 488</t>
  </si>
  <si>
    <t>NOMBRE 489</t>
  </si>
  <si>
    <t>NOMBRE 490</t>
  </si>
  <si>
    <t>NOMBRE 491</t>
  </si>
  <si>
    <t>NOMBRE 492</t>
  </si>
  <si>
    <t>NOMBRE 493</t>
  </si>
  <si>
    <t>NOMBRE 494</t>
  </si>
  <si>
    <t>NOMBRE 495</t>
  </si>
  <si>
    <t>NOMBRE 496</t>
  </si>
  <si>
    <t>NOMBRE 497</t>
  </si>
  <si>
    <t>NOMBRE 498</t>
  </si>
  <si>
    <t>NOMBRE 499</t>
  </si>
  <si>
    <t>NOMBRE 500</t>
  </si>
  <si>
    <t>NOMBRE 501</t>
  </si>
  <si>
    <t>NOMBRE 502</t>
  </si>
  <si>
    <t>NOMBRE 503</t>
  </si>
  <si>
    <t>NOMBRE 504</t>
  </si>
  <si>
    <t>NOMBRE 505</t>
  </si>
  <si>
    <t>NOMBRE 506</t>
  </si>
  <si>
    <t>NOMBRE 507</t>
  </si>
  <si>
    <t>NOMBRE 508</t>
  </si>
  <si>
    <t>NOMBRE 509</t>
  </si>
  <si>
    <t>NOMBRE 510</t>
  </si>
  <si>
    <t>NOMBRE 511</t>
  </si>
  <si>
    <t>NOMBRE 512</t>
  </si>
  <si>
    <t>NOMBRE 513</t>
  </si>
  <si>
    <t>NOMBRE 514</t>
  </si>
  <si>
    <t>NOMBRE 515</t>
  </si>
  <si>
    <t>NOMBRE 516</t>
  </si>
  <si>
    <t>NOMBRE 517</t>
  </si>
  <si>
    <t>NOMBRE 518</t>
  </si>
  <si>
    <t>NOMBRE 519</t>
  </si>
  <si>
    <t>NOMBRE 520</t>
  </si>
  <si>
    <t>NOMBRE 521</t>
  </si>
  <si>
    <t>NOMBRE 522</t>
  </si>
  <si>
    <t>NOMBRE 523</t>
  </si>
  <si>
    <t>NOMBRE 524</t>
  </si>
  <si>
    <t>NOMBRE 525</t>
  </si>
  <si>
    <t>NOMBRE 526</t>
  </si>
  <si>
    <t>NOMBRE 527</t>
  </si>
  <si>
    <t>NOMBRE 528</t>
  </si>
  <si>
    <t>NOMBRE 529</t>
  </si>
  <si>
    <t>NOMBRE 530</t>
  </si>
  <si>
    <t>NOMBRE 531</t>
  </si>
  <si>
    <t>NOMBRE 532</t>
  </si>
  <si>
    <t>NOMBRE 533</t>
  </si>
  <si>
    <t>NOMBRE 534</t>
  </si>
  <si>
    <t>NOMBRE 535</t>
  </si>
  <si>
    <t>NOMBRE 536</t>
  </si>
  <si>
    <t>NOMBRE 537</t>
  </si>
  <si>
    <t>NOMBRE 538</t>
  </si>
  <si>
    <t>NOMBRE 539</t>
  </si>
  <si>
    <t>NOMBRE 540</t>
  </si>
  <si>
    <t>NOMBRE 541</t>
  </si>
  <si>
    <t>NOMBRE 542</t>
  </si>
  <si>
    <t>NOMBRE 543</t>
  </si>
  <si>
    <t>NOMBRE 544</t>
  </si>
  <si>
    <t>NOMBRE 545</t>
  </si>
  <si>
    <t>NOMBRE 546</t>
  </si>
  <si>
    <t>NOMBRE 547</t>
  </si>
  <si>
    <t>NOMBRE 548</t>
  </si>
  <si>
    <t>NOMBRE 549</t>
  </si>
  <si>
    <t>NOMBRE 550</t>
  </si>
  <si>
    <t>NOMBRE 551</t>
  </si>
  <si>
    <t>NOMBRE 552</t>
  </si>
  <si>
    <t>NOMBRE 553</t>
  </si>
  <si>
    <t>NOMBRE 554</t>
  </si>
  <si>
    <t>NOMBRE 555</t>
  </si>
  <si>
    <t>NOMBRE 556</t>
  </si>
  <si>
    <t>NOMBRE 557</t>
  </si>
  <si>
    <t>NOMBRE 558</t>
  </si>
  <si>
    <t>NOMBRE 559</t>
  </si>
  <si>
    <t>NOMBRE 560</t>
  </si>
  <si>
    <t>NOMBRE 561</t>
  </si>
  <si>
    <t>NOMBRE 562</t>
  </si>
  <si>
    <t>NOMBRE 563</t>
  </si>
  <si>
    <t>NOMBRE 564</t>
  </si>
  <si>
    <t>NOMBRE 565</t>
  </si>
  <si>
    <t>NOMBRE 566</t>
  </si>
  <si>
    <t>NOMBRE 567</t>
  </si>
  <si>
    <t>NOMBRE 568</t>
  </si>
  <si>
    <t>NOMBRE 569</t>
  </si>
  <si>
    <t>NOMBRE 570</t>
  </si>
  <si>
    <t>NOMBRE 571</t>
  </si>
  <si>
    <t>NOMBRE 572</t>
  </si>
  <si>
    <t>NOMBRE 573</t>
  </si>
  <si>
    <t>NOMBRE 574</t>
  </si>
  <si>
    <t>NOMBRE 575</t>
  </si>
  <si>
    <t>NOMBRE 576</t>
  </si>
  <si>
    <t>NOMBRE 577</t>
  </si>
  <si>
    <t>NOMBRE 578</t>
  </si>
  <si>
    <t>NOMBRE 579</t>
  </si>
  <si>
    <t>NOMBRE 580</t>
  </si>
  <si>
    <t>NOMBRE 581</t>
  </si>
  <si>
    <t>NOMBRE 582</t>
  </si>
  <si>
    <t>NOMBRE 583</t>
  </si>
  <si>
    <t>NOMBRE 584</t>
  </si>
  <si>
    <t>NOMBRE 585</t>
  </si>
  <si>
    <t>NOMBRE 586</t>
  </si>
  <si>
    <t>NOMBRE 587</t>
  </si>
  <si>
    <t>NOMBRE 588</t>
  </si>
  <si>
    <t>NOMBRE 589</t>
  </si>
  <si>
    <t>NOMBRE 590</t>
  </si>
  <si>
    <t>NOMBRE 591</t>
  </si>
  <si>
    <t>NOMBRE 592</t>
  </si>
  <si>
    <t>NOMBRE 593</t>
  </si>
  <si>
    <t>NOMBRE 594</t>
  </si>
  <si>
    <t>NOMBRE 595</t>
  </si>
  <si>
    <t>NOMBRE 596</t>
  </si>
  <si>
    <t>NOMBRE 597</t>
  </si>
  <si>
    <t>NOMBRE 598</t>
  </si>
  <si>
    <t>NOMBRE 599</t>
  </si>
  <si>
    <t>NOMBRE 600</t>
  </si>
  <si>
    <t>NOMBRE 601</t>
  </si>
  <si>
    <t>NOMBRE 602</t>
  </si>
  <si>
    <t>NOMBRE 603</t>
  </si>
  <si>
    <t>NOMBRE 604</t>
  </si>
  <si>
    <t>NOMBRE 605</t>
  </si>
  <si>
    <t>NOMBRE 606</t>
  </si>
  <si>
    <t>NOMBRE 607</t>
  </si>
  <si>
    <t>NOMBRE 608</t>
  </si>
  <si>
    <t>NOMBRE 609</t>
  </si>
  <si>
    <t>NOMBRE 610</t>
  </si>
  <si>
    <t>NOMBRE 611</t>
  </si>
  <si>
    <t>NOMBRE 612</t>
  </si>
  <si>
    <t>NOMBRE 613</t>
  </si>
  <si>
    <t>NOMBRE 614</t>
  </si>
  <si>
    <t>NOMBRE 615</t>
  </si>
  <si>
    <t>NOMBRE 616</t>
  </si>
  <si>
    <t>NOMBRE 617</t>
  </si>
  <si>
    <t>NOMBRE 618</t>
  </si>
  <si>
    <t>NOMBRE 619</t>
  </si>
  <si>
    <t>NOMBRE 620</t>
  </si>
  <si>
    <t>NOMBRE 621</t>
  </si>
  <si>
    <t>NOMBRE 622</t>
  </si>
  <si>
    <t>NOMBRE 623</t>
  </si>
  <si>
    <t>NOMBRE 624</t>
  </si>
  <si>
    <t>NOMBRE 625</t>
  </si>
  <si>
    <t>NOMBRE 626</t>
  </si>
  <si>
    <t>NOMBRE 627</t>
  </si>
  <si>
    <t>NOMBRE 628</t>
  </si>
  <si>
    <t>NOMBRE 629</t>
  </si>
  <si>
    <t>NOMBRE 630</t>
  </si>
  <si>
    <t>NOMBRE 631</t>
  </si>
  <si>
    <t>NOMBRE 632</t>
  </si>
  <si>
    <t>NOMBRE 633</t>
  </si>
  <si>
    <t>NOMBRE 634</t>
  </si>
  <si>
    <t>NOMBRE 635</t>
  </si>
  <si>
    <t>NOMBRE 636</t>
  </si>
  <si>
    <t>NOMBRE 637</t>
  </si>
  <si>
    <t>NOMBRE 638</t>
  </si>
  <si>
    <t>NOMBRE 639</t>
  </si>
  <si>
    <t>NOMBRE 640</t>
  </si>
  <si>
    <t>NOMBRE 641</t>
  </si>
  <si>
    <t>NOMBRE 642</t>
  </si>
  <si>
    <t>NOMBRE 643</t>
  </si>
  <si>
    <t>NOMBRE 644</t>
  </si>
  <si>
    <t>NOMBRE 645</t>
  </si>
  <si>
    <t>NOMBRE 646</t>
  </si>
  <si>
    <t>NOMBRE 647</t>
  </si>
  <si>
    <t>NOMBRE 648</t>
  </si>
  <si>
    <t>NOMBRE 649</t>
  </si>
  <si>
    <t>NOMBRE 650</t>
  </si>
  <si>
    <t>NOMBRE 651</t>
  </si>
  <si>
    <t>NOMBRE 652</t>
  </si>
  <si>
    <t>NOMBRE 653</t>
  </si>
  <si>
    <t>NOMBRE 654</t>
  </si>
  <si>
    <t>NOMBRE 655</t>
  </si>
  <si>
    <t>NOMBRE 656</t>
  </si>
  <si>
    <t>NOMBRE 657</t>
  </si>
  <si>
    <t>NOMBRE 658</t>
  </si>
  <si>
    <t>NOMBRE 659</t>
  </si>
  <si>
    <t>NOMBRE 660</t>
  </si>
  <si>
    <t>NOMBRE 661</t>
  </si>
  <si>
    <t>NOMBRE 662</t>
  </si>
  <si>
    <t>NOMBRE 663</t>
  </si>
  <si>
    <t>NOMBRE 664</t>
  </si>
  <si>
    <t>NOMBRE 665</t>
  </si>
  <si>
    <t>NOMBRE 666</t>
  </si>
  <si>
    <t>NOMBRE 667</t>
  </si>
  <si>
    <t>NOMBRE 668</t>
  </si>
  <si>
    <t>NOMBRE 669</t>
  </si>
  <si>
    <t>NOMBRE 670</t>
  </si>
  <si>
    <t>NOMBRE 671</t>
  </si>
  <si>
    <t>NOMBRE 672</t>
  </si>
  <si>
    <t>NOMBRE 673</t>
  </si>
  <si>
    <t>NOMBRE 674</t>
  </si>
  <si>
    <t>NOMBRE 675</t>
  </si>
  <si>
    <t>NOMBRE 676</t>
  </si>
  <si>
    <t>NOMBRE 677</t>
  </si>
  <si>
    <t>NOMBRE 678</t>
  </si>
  <si>
    <t>NOMBRE 679</t>
  </si>
  <si>
    <t>NOMBRE 680</t>
  </si>
  <si>
    <t>NOMBRE 681</t>
  </si>
  <si>
    <t>NOMBRE 682</t>
  </si>
  <si>
    <t>NOMBRE 683</t>
  </si>
  <si>
    <t>NOMBRE 684</t>
  </si>
  <si>
    <t>NOMBRE 685</t>
  </si>
  <si>
    <t>NOMBRE 686</t>
  </si>
  <si>
    <t>NOMBRE 687</t>
  </si>
  <si>
    <t>NOMBRE 688</t>
  </si>
  <si>
    <t>NOMBRE 689</t>
  </si>
  <si>
    <t>NOMBRE 690</t>
  </si>
  <si>
    <t>NOMBRE 691</t>
  </si>
  <si>
    <t>NOMBRE 692</t>
  </si>
  <si>
    <t>NOMBRE 693</t>
  </si>
  <si>
    <t>NOMBRE 694</t>
  </si>
  <si>
    <t>NOMBRE 695</t>
  </si>
  <si>
    <t>NOMBRE 696</t>
  </si>
  <si>
    <t>NOMBRE 697</t>
  </si>
  <si>
    <t>NOMBRE 698</t>
  </si>
  <si>
    <t>NOMBRE 699</t>
  </si>
  <si>
    <t>NOMBRE 700</t>
  </si>
  <si>
    <t>NOMBRE 701</t>
  </si>
  <si>
    <t>NOMBRE 702</t>
  </si>
  <si>
    <t>NOMBRE 703</t>
  </si>
  <si>
    <t>NOMBRE 704</t>
  </si>
  <si>
    <t>NOMBRE 705</t>
  </si>
  <si>
    <t>NOMBRE 706</t>
  </si>
  <si>
    <t>NOMBRE 707</t>
  </si>
  <si>
    <t>NOMBRE 708</t>
  </si>
  <si>
    <t>NOMBRE 709</t>
  </si>
  <si>
    <t>NOMBRE 710</t>
  </si>
  <si>
    <t>NOMBRE 711</t>
  </si>
  <si>
    <t>NOMBRE 712</t>
  </si>
  <si>
    <t>NOMBRE 713</t>
  </si>
  <si>
    <t>NOMBRE 714</t>
  </si>
  <si>
    <t>NOMBRE 715</t>
  </si>
  <si>
    <t>NOMBRE 716</t>
  </si>
  <si>
    <t>NOMBRE 717</t>
  </si>
  <si>
    <t>NOMBRE 718</t>
  </si>
  <si>
    <t>NOMBRE 719</t>
  </si>
  <si>
    <t>NOMBRE 720</t>
  </si>
  <si>
    <t>NOMBRE 721</t>
  </si>
  <si>
    <t>NOMBRE 722</t>
  </si>
  <si>
    <t>NOMBRE 723</t>
  </si>
  <si>
    <t>NOMBRE 724</t>
  </si>
  <si>
    <t>NOMBRE 725</t>
  </si>
  <si>
    <t>NOMBRE 726</t>
  </si>
  <si>
    <t>NOMBRE 727</t>
  </si>
  <si>
    <t>NOMBRE 728</t>
  </si>
  <si>
    <t>NOMBRE 729</t>
  </si>
  <si>
    <t>NOMBRE 730</t>
  </si>
  <si>
    <t>NOMBRE 731</t>
  </si>
  <si>
    <t>NOMBRE 732</t>
  </si>
  <si>
    <t>NOMBRE 733</t>
  </si>
  <si>
    <t>NOMBRE 734</t>
  </si>
  <si>
    <t>NOMBRE 735</t>
  </si>
  <si>
    <t>NOMBRE 736</t>
  </si>
  <si>
    <t>NOMBRE 737</t>
  </si>
  <si>
    <t>NOMBRE 738</t>
  </si>
  <si>
    <t>NOMBRE 739</t>
  </si>
  <si>
    <t>NOMBRE 740</t>
  </si>
  <si>
    <t>NOMBRE 741</t>
  </si>
  <si>
    <t>NOMBRE 742</t>
  </si>
  <si>
    <t>NOMBRE 743</t>
  </si>
  <si>
    <t>NOMBRE 744</t>
  </si>
  <si>
    <t>NOMBRE 745</t>
  </si>
  <si>
    <t>NOMBRE 746</t>
  </si>
  <si>
    <t>NOMBRE 747</t>
  </si>
  <si>
    <t>NOMBRE 748</t>
  </si>
  <si>
    <t>NOMBRE 749</t>
  </si>
  <si>
    <t>NOMBRE 750</t>
  </si>
  <si>
    <t>NOMBRE 751</t>
  </si>
  <si>
    <t>NOMBRE 752</t>
  </si>
  <si>
    <t>NOMBRE 753</t>
  </si>
  <si>
    <t>NOMBRE 754</t>
  </si>
  <si>
    <t>NOMBRE 755</t>
  </si>
  <si>
    <t>NOMBRE 756</t>
  </si>
  <si>
    <t>NOMBRE 757</t>
  </si>
  <si>
    <t>NOMBRE 758</t>
  </si>
  <si>
    <t>NOMBRE 759</t>
  </si>
  <si>
    <t>NOMBRE 760</t>
  </si>
  <si>
    <t>NOMBRE 761</t>
  </si>
  <si>
    <t>NOMBRE 762</t>
  </si>
  <si>
    <t>NOMBRE 763</t>
  </si>
  <si>
    <t>NOMBRE 764</t>
  </si>
  <si>
    <t>NOMBRE 765</t>
  </si>
  <si>
    <t>NOMBRE 766</t>
  </si>
  <si>
    <t>NOMBRE 767</t>
  </si>
  <si>
    <t>NOMBRE 768</t>
  </si>
  <si>
    <t>NOMBRE 769</t>
  </si>
  <si>
    <t>NOMBRE 770</t>
  </si>
  <si>
    <t>NOMBRE 771</t>
  </si>
  <si>
    <t>NOMBRE 772</t>
  </si>
  <si>
    <t>NOMBRE 773</t>
  </si>
  <si>
    <t>NOMBRE 774</t>
  </si>
  <si>
    <t>NOMBRE 775</t>
  </si>
  <si>
    <t>NOMBRE 776</t>
  </si>
  <si>
    <t>NOMBRE 777</t>
  </si>
  <si>
    <t>NOMBRE 778</t>
  </si>
  <si>
    <t>NOMBRE 779</t>
  </si>
  <si>
    <t>NOMBRE 780</t>
  </si>
  <si>
    <t>NOMBRE 781</t>
  </si>
  <si>
    <t>NOMBRE 782</t>
  </si>
  <si>
    <t>NOMBRE 783</t>
  </si>
  <si>
    <t>NOMBRE 784</t>
  </si>
  <si>
    <t>NOMBRE 785</t>
  </si>
  <si>
    <t>NOMBRE 786</t>
  </si>
  <si>
    <t>NOMBRE 787</t>
  </si>
  <si>
    <t>NOMBRE 788</t>
  </si>
  <si>
    <t>NOMBRE 789</t>
  </si>
  <si>
    <t>NOMBRE 790</t>
  </si>
  <si>
    <t>NOMBRE 791</t>
  </si>
  <si>
    <t>NOMBRE 792</t>
  </si>
  <si>
    <t>NOMBRE 793</t>
  </si>
  <si>
    <t>NOMBRE 794</t>
  </si>
  <si>
    <t>NOMBRE 795</t>
  </si>
  <si>
    <t>NOMBRE 796</t>
  </si>
  <si>
    <t>NOMBRE 797</t>
  </si>
  <si>
    <t>NOMBRE 798</t>
  </si>
  <si>
    <t>NOMBRE 799</t>
  </si>
  <si>
    <t>NOMBRE 800</t>
  </si>
  <si>
    <t>NOMBRE 801</t>
  </si>
  <si>
    <t>NOMBRE 802</t>
  </si>
  <si>
    <t>NOMBRE 803</t>
  </si>
  <si>
    <t>NOMBRE 804</t>
  </si>
  <si>
    <t>NOMBRE 805</t>
  </si>
  <si>
    <t>NOMBRE 806</t>
  </si>
  <si>
    <t>NOMBRE 807</t>
  </si>
  <si>
    <t>NOMBRE 808</t>
  </si>
  <si>
    <t>NOMBRE 809</t>
  </si>
  <si>
    <t>NOMBRE 810</t>
  </si>
  <si>
    <t>NOMBRE 811</t>
  </si>
  <si>
    <t>NOMBRE 812</t>
  </si>
  <si>
    <t>NOMBRE 813</t>
  </si>
  <si>
    <t>NOMBRE 814</t>
  </si>
  <si>
    <t>NOMBRE 815</t>
  </si>
  <si>
    <t>NOMBRE 816</t>
  </si>
  <si>
    <t>NOMBRE 817</t>
  </si>
  <si>
    <t>NOMBRE 818</t>
  </si>
  <si>
    <t>NOMBRE 819</t>
  </si>
  <si>
    <t>NOMBRE 820</t>
  </si>
  <si>
    <t>NOMBRE 821</t>
  </si>
  <si>
    <t>NOMBRE 822</t>
  </si>
  <si>
    <t>NOMBRE 823</t>
  </si>
  <si>
    <t>NOMBRE 824</t>
  </si>
  <si>
    <t>NOMBRE 825</t>
  </si>
  <si>
    <t>NOMBRE 826</t>
  </si>
  <si>
    <t>NOMBRE 827</t>
  </si>
  <si>
    <t>NOMBRE 828</t>
  </si>
  <si>
    <t>NOMBRE 829</t>
  </si>
  <si>
    <t>NOMBRE 830</t>
  </si>
  <si>
    <t>NOMBRE 831</t>
  </si>
  <si>
    <t>NOMBRE 832</t>
  </si>
  <si>
    <t>NOMBRE 833</t>
  </si>
  <si>
    <t>NOMBRE 834</t>
  </si>
  <si>
    <t>NOMBRE 835</t>
  </si>
  <si>
    <t>NOMBRE 836</t>
  </si>
  <si>
    <t>NOMBRE 837</t>
  </si>
  <si>
    <t>NOMBRE 838</t>
  </si>
  <si>
    <t>NOMBRE 839</t>
  </si>
  <si>
    <t>NOMBRE 840</t>
  </si>
  <si>
    <t>NOMBRE 841</t>
  </si>
  <si>
    <t>NOMBRE 842</t>
  </si>
  <si>
    <t>NOMBRE 843</t>
  </si>
  <si>
    <t>NOMBRE 844</t>
  </si>
  <si>
    <t>NOMBRE 845</t>
  </si>
  <si>
    <t>NOMBRE 846</t>
  </si>
  <si>
    <t>NOMBRE 847</t>
  </si>
  <si>
    <t>NOMBRE 848</t>
  </si>
  <si>
    <t>NOMBRE 849</t>
  </si>
  <si>
    <t>NOMBRE 850</t>
  </si>
  <si>
    <t>NOMBRE 851</t>
  </si>
  <si>
    <t>NOMBRE 852</t>
  </si>
  <si>
    <t>NOMBRE 853</t>
  </si>
  <si>
    <t>NOMBRE 854</t>
  </si>
  <si>
    <t>NOMBRE 855</t>
  </si>
  <si>
    <t>NOMBRE 856</t>
  </si>
  <si>
    <t>NOMBRE 857</t>
  </si>
  <si>
    <t>NOMBRE 858</t>
  </si>
  <si>
    <t>NOMBRE 859</t>
  </si>
  <si>
    <t>NOMBRE 860</t>
  </si>
  <si>
    <t>NOMBRE 861</t>
  </si>
  <si>
    <t>NOMBRE 862</t>
  </si>
  <si>
    <t>NOMBRE 863</t>
  </si>
  <si>
    <t>NOMBRE 864</t>
  </si>
  <si>
    <t>NOMBRE 865</t>
  </si>
  <si>
    <t>NOMBRE 866</t>
  </si>
  <si>
    <t>NOMBRE 867</t>
  </si>
  <si>
    <t>NOMBRE 868</t>
  </si>
  <si>
    <t>NOMBRE 869</t>
  </si>
  <si>
    <t>NOMBRE 870</t>
  </si>
  <si>
    <t>NOMBRE 871</t>
  </si>
  <si>
    <t>NOMBRE 872</t>
  </si>
  <si>
    <t>NOMBRE 873</t>
  </si>
  <si>
    <t>NOMBRE 874</t>
  </si>
  <si>
    <t>NOMBRE 875</t>
  </si>
  <si>
    <t>NOMBRE 876</t>
  </si>
  <si>
    <t>NOMBRE 877</t>
  </si>
  <si>
    <t>NOMBRE 878</t>
  </si>
  <si>
    <t>NOMBRE 879</t>
  </si>
  <si>
    <t>NOMBRE 880</t>
  </si>
  <si>
    <t>NOMBRE 881</t>
  </si>
  <si>
    <t>NOMBRE 882</t>
  </si>
  <si>
    <t>NOMBRE 883</t>
  </si>
  <si>
    <t>NOMBRE 884</t>
  </si>
  <si>
    <t>NOMBRE 885</t>
  </si>
  <si>
    <t>NOMBRE 886</t>
  </si>
  <si>
    <t>NOMBRE 887</t>
  </si>
  <si>
    <t>NOMBRE 888</t>
  </si>
  <si>
    <t>NOMBRE 889</t>
  </si>
  <si>
    <t>NOMBRE 890</t>
  </si>
  <si>
    <t>NOMBRE 891</t>
  </si>
  <si>
    <t>NOMBRE 892</t>
  </si>
  <si>
    <t>NOMBRE 893</t>
  </si>
  <si>
    <t>NOMBRE 894</t>
  </si>
  <si>
    <t>NOMBRE 895</t>
  </si>
  <si>
    <t>NOMBRE 896</t>
  </si>
  <si>
    <t>NOMBRE 897</t>
  </si>
  <si>
    <t>NOMBRE 898</t>
  </si>
  <si>
    <t>NOMBRE 899</t>
  </si>
  <si>
    <t>NOMBRE 900</t>
  </si>
  <si>
    <t>NOMBRE 901</t>
  </si>
  <si>
    <t>NOMBRE 902</t>
  </si>
  <si>
    <t>NOMBRE 903</t>
  </si>
  <si>
    <t>NOMBRE 904</t>
  </si>
  <si>
    <t>NOMBRE 905</t>
  </si>
  <si>
    <t>NOMBRE 906</t>
  </si>
  <si>
    <t>NOMBRE 907</t>
  </si>
  <si>
    <t>NOMBRE 908</t>
  </si>
  <si>
    <t>NOMBRE 909</t>
  </si>
  <si>
    <t>NOMBRE 910</t>
  </si>
  <si>
    <t>NOMBRE 911</t>
  </si>
  <si>
    <t>NOMBRE 912</t>
  </si>
  <si>
    <t>NOMBRE 913</t>
  </si>
  <si>
    <t>NOMBRE 914</t>
  </si>
  <si>
    <t>NOMBRE 915</t>
  </si>
  <si>
    <t>NOMBRE 916</t>
  </si>
  <si>
    <t>NOMBRE 917</t>
  </si>
  <si>
    <t>NOMBRE 918</t>
  </si>
  <si>
    <t>NOMBRE 919</t>
  </si>
  <si>
    <t>NOMBRE 920</t>
  </si>
  <si>
    <t>NOMBRE 921</t>
  </si>
  <si>
    <t>NOMBRE 922</t>
  </si>
  <si>
    <t>NOMBRE 923</t>
  </si>
  <si>
    <t>NOMBRE 924</t>
  </si>
  <si>
    <t>NOMBRE 925</t>
  </si>
  <si>
    <t>NOMBRE 926</t>
  </si>
  <si>
    <t>NOMBRE 927</t>
  </si>
  <si>
    <t>NOMBRE 928</t>
  </si>
  <si>
    <t>NOMBRE 929</t>
  </si>
  <si>
    <t>NOMBRE 930</t>
  </si>
  <si>
    <t>NOMBRE 931</t>
  </si>
  <si>
    <t>NOMBRE 932</t>
  </si>
  <si>
    <t>NOMBRE 933</t>
  </si>
  <si>
    <t>NOMBRE 934</t>
  </si>
  <si>
    <t>NOMBRE 935</t>
  </si>
  <si>
    <t>NOMBRE 936</t>
  </si>
  <si>
    <t>NOMBRE 937</t>
  </si>
  <si>
    <t>NOMBRE 938</t>
  </si>
  <si>
    <t>NOMBRE 939</t>
  </si>
  <si>
    <t>NOMBRE 940</t>
  </si>
  <si>
    <t>NOMBRE 941</t>
  </si>
  <si>
    <t>NOMBRE 942</t>
  </si>
  <si>
    <t>NOMBRE 943</t>
  </si>
  <si>
    <t>NOMBRE 944</t>
  </si>
  <si>
    <t>NOMBRE 945</t>
  </si>
  <si>
    <t>NOMBRE 946</t>
  </si>
  <si>
    <t>NOMBRE 947</t>
  </si>
  <si>
    <t>NOMBRE 948</t>
  </si>
  <si>
    <t>NOMBRE 949</t>
  </si>
  <si>
    <t>NOMBRE 950</t>
  </si>
  <si>
    <t>NOMBRE 951</t>
  </si>
  <si>
    <t>NOMBRE 952</t>
  </si>
  <si>
    <t>NOMBRE 953</t>
  </si>
  <si>
    <t>NOMBRE 954</t>
  </si>
  <si>
    <t>NOMBRE 955</t>
  </si>
  <si>
    <t>NOMBRE 956</t>
  </si>
  <si>
    <t>NOMBRE 957</t>
  </si>
  <si>
    <t>NOMBRE 958</t>
  </si>
  <si>
    <t>NOMBRE 959</t>
  </si>
  <si>
    <t>NOMBRE 960</t>
  </si>
  <si>
    <t>NOMBRE 961</t>
  </si>
  <si>
    <t>NOMBRE 962</t>
  </si>
  <si>
    <t>NOMBRE 963</t>
  </si>
  <si>
    <t>NOMBRE 964</t>
  </si>
  <si>
    <t>NOMBRE 965</t>
  </si>
  <si>
    <t>NOMBRE 966</t>
  </si>
  <si>
    <t>NOMBRE 967</t>
  </si>
  <si>
    <t>NOMBRE 968</t>
  </si>
  <si>
    <t>NOMBRE 969</t>
  </si>
  <si>
    <t>NOMBRE 970</t>
  </si>
  <si>
    <t>NOMBRE 971</t>
  </si>
  <si>
    <t>NOMBRE 972</t>
  </si>
  <si>
    <t>NOMBRE 973</t>
  </si>
  <si>
    <t>NOMBRE 974</t>
  </si>
  <si>
    <t>NOMBRE 975</t>
  </si>
  <si>
    <t>NOMBRE 976</t>
  </si>
  <si>
    <t>NOMBRE 977</t>
  </si>
  <si>
    <t>NOMBRE 978</t>
  </si>
  <si>
    <t>NOMBRE 979</t>
  </si>
  <si>
    <t>NOMBRE 980</t>
  </si>
  <si>
    <t>NOMBRE 981</t>
  </si>
  <si>
    <t>NOMBRE 982</t>
  </si>
  <si>
    <t>NOMBRE 983</t>
  </si>
  <si>
    <t>NOMBRE 984</t>
  </si>
  <si>
    <t>NOMBRE 985</t>
  </si>
  <si>
    <t>NOMBRE 986</t>
  </si>
  <si>
    <t>NOMBRE 987</t>
  </si>
  <si>
    <t>NOMBRE 988</t>
  </si>
  <si>
    <t>NOMBRE 989</t>
  </si>
  <si>
    <t>NOMBRE 990</t>
  </si>
  <si>
    <t>NOMBRE 991</t>
  </si>
  <si>
    <t>NOMBRE 992</t>
  </si>
  <si>
    <t>NOMBRE 993</t>
  </si>
  <si>
    <t>NOMBRE 994</t>
  </si>
  <si>
    <t>NOMBRE 995</t>
  </si>
  <si>
    <t>NOMBRE 996</t>
  </si>
  <si>
    <t>NOMBRE 997</t>
  </si>
  <si>
    <t>NOMBRE 998</t>
  </si>
  <si>
    <t>NOMBRE 999</t>
  </si>
  <si>
    <t>NOMBRE 1000</t>
  </si>
  <si>
    <t>NOMBRE 1001</t>
  </si>
  <si>
    <t>NOMBRE 1002</t>
  </si>
  <si>
    <t>NOMBRE 1003</t>
  </si>
  <si>
    <t>NOMBRE 1004</t>
  </si>
  <si>
    <t>NOMBRE 1005</t>
  </si>
  <si>
    <t>NOMBRE 1006</t>
  </si>
  <si>
    <t>NOMBRE 1007</t>
  </si>
  <si>
    <t>NOMBRE 1008</t>
  </si>
  <si>
    <t>NOMBRE 1009</t>
  </si>
  <si>
    <t>NOMBRE 1010</t>
  </si>
  <si>
    <t>NOMBRE 1011</t>
  </si>
  <si>
    <t>NOMBRE 1012</t>
  </si>
  <si>
    <t>NOMBRE 1013</t>
  </si>
  <si>
    <t>NOMBRE 1014</t>
  </si>
  <si>
    <t>NOMBRE 1015</t>
  </si>
  <si>
    <t>NOMBRE 1016</t>
  </si>
  <si>
    <t>NOMBRE 1017</t>
  </si>
  <si>
    <t>NOMBRE 1018</t>
  </si>
  <si>
    <t>NOMBRE 1019</t>
  </si>
  <si>
    <t>NOMBRE 1020</t>
  </si>
  <si>
    <t>NOMBRE 1021</t>
  </si>
  <si>
    <t>NOMBRE 1022</t>
  </si>
  <si>
    <t>NOMBRE 1023</t>
  </si>
  <si>
    <t>NOMBRE 1024</t>
  </si>
  <si>
    <t>NOMBRE 1025</t>
  </si>
  <si>
    <t>NOMBRE 1026</t>
  </si>
  <si>
    <t>NOMBRE 1027</t>
  </si>
  <si>
    <t>NOMBRE 1028</t>
  </si>
  <si>
    <t>NOMBRE 1029</t>
  </si>
  <si>
    <t>NOMBRE 1030</t>
  </si>
  <si>
    <t>NOMBRE 1031</t>
  </si>
  <si>
    <t>NOMBRE 1032</t>
  </si>
  <si>
    <t>NOMBRE 1033</t>
  </si>
  <si>
    <t>NOMBRE 1034</t>
  </si>
  <si>
    <t>NOMBRE 1035</t>
  </si>
  <si>
    <t>NOMBRE 1036</t>
  </si>
  <si>
    <t>NOMBRE 1037</t>
  </si>
  <si>
    <t>NOMBRE 1038</t>
  </si>
  <si>
    <t>NOMBRE 1039</t>
  </si>
  <si>
    <t>NOMBRE 1040</t>
  </si>
  <si>
    <t>NOMBRE 1041</t>
  </si>
  <si>
    <t>NOMBRE 1042</t>
  </si>
  <si>
    <t>NOMBRE 1043</t>
  </si>
  <si>
    <t>NOMBRE 1044</t>
  </si>
  <si>
    <t>NOMBRE 1045</t>
  </si>
  <si>
    <t>NOMBRE 1046</t>
  </si>
  <si>
    <t>NOMBRE 1047</t>
  </si>
  <si>
    <t>NOMBRE 1048</t>
  </si>
  <si>
    <t>NOMBRE 1049</t>
  </si>
  <si>
    <t>NOMBRE 1050</t>
  </si>
  <si>
    <t>NOMBRE 1051</t>
  </si>
  <si>
    <t>NOMBRE 1052</t>
  </si>
  <si>
    <t>NOMBRE 1053</t>
  </si>
  <si>
    <t>NOMBRE 1054</t>
  </si>
  <si>
    <t>NOMBRE 1055</t>
  </si>
  <si>
    <t>NOMBRE 1056</t>
  </si>
  <si>
    <t>NOMBRE 1057</t>
  </si>
  <si>
    <t>NOMBRE 1058</t>
  </si>
  <si>
    <t>NOMBRE 1059</t>
  </si>
  <si>
    <t>NOMBRE 1060</t>
  </si>
  <si>
    <t>NOMBRE 1061</t>
  </si>
  <si>
    <t>NOMBRE 1062</t>
  </si>
  <si>
    <t>NOMBRE 1063</t>
  </si>
  <si>
    <t>NOMBRE 1064</t>
  </si>
  <si>
    <t>NOMBRE 1065</t>
  </si>
  <si>
    <t>NOMBRE 1066</t>
  </si>
  <si>
    <t>NOMBRE 1067</t>
  </si>
  <si>
    <t>NOMBRE 1068</t>
  </si>
  <si>
    <t>NOMBRE 1069</t>
  </si>
  <si>
    <t>NOMBRE 1070</t>
  </si>
  <si>
    <t>NOMBRE 1071</t>
  </si>
  <si>
    <t>NOMBRE 1072</t>
  </si>
  <si>
    <t>NOMBRE 1073</t>
  </si>
  <si>
    <t>NOMBRE 1074</t>
  </si>
  <si>
    <t>NOMBRE 1075</t>
  </si>
  <si>
    <t>NOMBRE 1076</t>
  </si>
  <si>
    <t>NOMBRE 1077</t>
  </si>
  <si>
    <t>NOMBRE 1078</t>
  </si>
  <si>
    <t>NOMBRE 1079</t>
  </si>
  <si>
    <t>NOMBRE 1080</t>
  </si>
  <si>
    <t>NOMBRE 1081</t>
  </si>
  <si>
    <t>NOMBRE 1082</t>
  </si>
  <si>
    <t>NOMBRE 1083</t>
  </si>
  <si>
    <t>NOMBRE 1084</t>
  </si>
  <si>
    <t>NOMBRE 1085</t>
  </si>
  <si>
    <t>NOMBRE 1086</t>
  </si>
  <si>
    <t>NOMBRE 1087</t>
  </si>
  <si>
    <t>NOMBRE 1088</t>
  </si>
  <si>
    <t>NOMBRE 1089</t>
  </si>
  <si>
    <t>NOMBRE 1090</t>
  </si>
  <si>
    <t>NOMBRE 1091</t>
  </si>
  <si>
    <t>NOMBRE 1092</t>
  </si>
  <si>
    <t>NOMBRE 1093</t>
  </si>
  <si>
    <t>NOMBRE 1094</t>
  </si>
  <si>
    <t>NOMBRE 1095</t>
  </si>
  <si>
    <t>NOMBRE 1096</t>
  </si>
  <si>
    <t>NOMBRE 1097</t>
  </si>
  <si>
    <t>NOMBRE 1098</t>
  </si>
  <si>
    <t>NOMBRE 1099</t>
  </si>
  <si>
    <t>NOMBRE 1100</t>
  </si>
  <si>
    <t>NOMBRE 1101</t>
  </si>
  <si>
    <t>NOMBRE 1102</t>
  </si>
  <si>
    <t>NOMBRE 1103</t>
  </si>
  <si>
    <t>NOMBRE 1104</t>
  </si>
  <si>
    <t>NOMBRE 1105</t>
  </si>
  <si>
    <t>NOMBRE 1106</t>
  </si>
  <si>
    <t>NOMBRE 1107</t>
  </si>
  <si>
    <t>NOMBRE 1108</t>
  </si>
  <si>
    <t>NOMBRE 1109</t>
  </si>
  <si>
    <t>NOMBRE 1110</t>
  </si>
  <si>
    <t>NOMBRE 1111</t>
  </si>
  <si>
    <t>NOMBRE 1112</t>
  </si>
  <si>
    <t>NOMBRE 1113</t>
  </si>
  <si>
    <t>NOMBRE 1114</t>
  </si>
  <si>
    <t>NOMBRE 1115</t>
  </si>
  <si>
    <t>NOMBRE 1116</t>
  </si>
  <si>
    <t>NOMBRE 1117</t>
  </si>
  <si>
    <t>NOMBRE 1118</t>
  </si>
  <si>
    <t>NOMBRE 1119</t>
  </si>
  <si>
    <t>NOMBRE 1120</t>
  </si>
  <si>
    <t>NOMBRE 1121</t>
  </si>
  <si>
    <t>NOMBRE 1122</t>
  </si>
  <si>
    <t>NOMBRE 1123</t>
  </si>
  <si>
    <t>NOMBRE 1124</t>
  </si>
  <si>
    <t>NOMBRE 1125</t>
  </si>
  <si>
    <t>NOMBRE 1126</t>
  </si>
  <si>
    <t>NOMBRE 1127</t>
  </si>
  <si>
    <t>NOMBRE 1128</t>
  </si>
  <si>
    <t>NOMBRE 1129</t>
  </si>
  <si>
    <t>NOMBRE 1130</t>
  </si>
  <si>
    <t>NOMBRE 1131</t>
  </si>
  <si>
    <t>NOMBRE 1132</t>
  </si>
  <si>
    <t>NOMBRE 1133</t>
  </si>
  <si>
    <t>NOMBRE 1134</t>
  </si>
  <si>
    <t>NOMBRE 1135</t>
  </si>
  <si>
    <t>NOMBRE 1136</t>
  </si>
  <si>
    <t>NOMBRE 1137</t>
  </si>
  <si>
    <t>NOMBRE 1138</t>
  </si>
  <si>
    <t>NOMBRE 1139</t>
  </si>
  <si>
    <t>NOMBRE 1140</t>
  </si>
  <si>
    <t>NOMBRE 1141</t>
  </si>
  <si>
    <t>NOMBRE 1142</t>
  </si>
  <si>
    <t>NOMBRE 1143</t>
  </si>
  <si>
    <t>NOMBRE 1144</t>
  </si>
  <si>
    <t>NOMBRE 1145</t>
  </si>
  <si>
    <t>NOMBRE 1146</t>
  </si>
  <si>
    <t>NOMBRE 1147</t>
  </si>
  <si>
    <t>NOMBRE 1148</t>
  </si>
  <si>
    <t>NOMBRE 1149</t>
  </si>
  <si>
    <t>NOMBRE 1150</t>
  </si>
  <si>
    <t>NOMBRE 1151</t>
  </si>
  <si>
    <t>NOMBRE 1152</t>
  </si>
  <si>
    <t>NOMBRE 1153</t>
  </si>
  <si>
    <t>NOMBRE 1154</t>
  </si>
  <si>
    <t>NOMBRE 1155</t>
  </si>
  <si>
    <t>NOMBRE 1156</t>
  </si>
  <si>
    <t>NOMBRE 1157</t>
  </si>
  <si>
    <t>NOMBRE 1158</t>
  </si>
  <si>
    <t>NOMBRE 1159</t>
  </si>
  <si>
    <t>NOMBRE 1160</t>
  </si>
  <si>
    <t>NOMBRE 1161</t>
  </si>
  <si>
    <t>NOMBRE 1162</t>
  </si>
  <si>
    <t>NOMBRE 1163</t>
  </si>
  <si>
    <t>NOMBRE 1164</t>
  </si>
  <si>
    <t>NOMBRE 1165</t>
  </si>
  <si>
    <t>NOMBRE 1166</t>
  </si>
  <si>
    <t>NOMBRE 1167</t>
  </si>
  <si>
    <t>NOMBRE 1168</t>
  </si>
  <si>
    <t>NOMBRE 1169</t>
  </si>
  <si>
    <t>NOMBRE 1170</t>
  </si>
  <si>
    <t>NOMBRE 1171</t>
  </si>
  <si>
    <t>NOMBRE 1172</t>
  </si>
  <si>
    <t>NOMBRE 1173</t>
  </si>
  <si>
    <t>NOMBRE 1174</t>
  </si>
  <si>
    <t>NOMBRE 1175</t>
  </si>
  <si>
    <t>NOMBRE 1176</t>
  </si>
  <si>
    <t>NOMBRE 1177</t>
  </si>
  <si>
    <t>NOMBRE 1178</t>
  </si>
  <si>
    <t>NOMBRE 1179</t>
  </si>
  <si>
    <t>NOMBRE 1180</t>
  </si>
  <si>
    <t>NOMBRE 1181</t>
  </si>
  <si>
    <t>NOMBRE 1182</t>
  </si>
  <si>
    <t>NOMBRE 1183</t>
  </si>
  <si>
    <t>NOMBRE 1184</t>
  </si>
  <si>
    <t>NOMBRE 1185</t>
  </si>
  <si>
    <t>NOMBRE 1186</t>
  </si>
  <si>
    <t>NOMBRE 1187</t>
  </si>
  <si>
    <t>NOMBRE 1188</t>
  </si>
  <si>
    <t>NOMBRE 1189</t>
  </si>
  <si>
    <t>NOMBRE 1190</t>
  </si>
  <si>
    <t>NOMBRE 1191</t>
  </si>
  <si>
    <t>NOMBRE 1192</t>
  </si>
  <si>
    <t>NOMBRE 1193</t>
  </si>
  <si>
    <t>NOMBRE 1194</t>
  </si>
  <si>
    <t>NOMBRE 1195</t>
  </si>
  <si>
    <t>NOMBRE 1196</t>
  </si>
  <si>
    <t>NOMBRE 1197</t>
  </si>
  <si>
    <t>NOMBRE 1198</t>
  </si>
  <si>
    <t>NOMBRE 1199</t>
  </si>
  <si>
    <t>NOMBRE 1200</t>
  </si>
  <si>
    <t>NOMBRE 1201</t>
  </si>
  <si>
    <t>NOMBRE 1202</t>
  </si>
  <si>
    <t>NOMBRE 1203</t>
  </si>
  <si>
    <t>NOMBRE 1204</t>
  </si>
  <si>
    <t>NOMBRE 1205</t>
  </si>
  <si>
    <t>NOMBRE 1206</t>
  </si>
  <si>
    <t>NOMBRE 1207</t>
  </si>
  <si>
    <t>NOMBRE 1208</t>
  </si>
  <si>
    <t>NOMBRE 1209</t>
  </si>
  <si>
    <t>NOMBRE 1210</t>
  </si>
  <si>
    <t>NOMBRE 1211</t>
  </si>
  <si>
    <t>NOMBRE 1212</t>
  </si>
  <si>
    <t>NOMBRE 1213</t>
  </si>
  <si>
    <t>NOMBRE 1214</t>
  </si>
  <si>
    <t>NOMBRE 1215</t>
  </si>
  <si>
    <t>NOMBRE 1216</t>
  </si>
  <si>
    <t>NOMBRE 1217</t>
  </si>
  <si>
    <t>NOMBRE 1218</t>
  </si>
  <si>
    <t>NOMBRE 1219</t>
  </si>
  <si>
    <t>NOMBRE 1220</t>
  </si>
  <si>
    <t>NOMBRE 1221</t>
  </si>
  <si>
    <t>NOMBRE 1222</t>
  </si>
  <si>
    <t>NOMBRE 1223</t>
  </si>
  <si>
    <t>NOMBRE 1224</t>
  </si>
  <si>
    <t>NOMBRE 1225</t>
  </si>
  <si>
    <t>NOMBRE 1226</t>
  </si>
  <si>
    <t>NOMBRE 1227</t>
  </si>
  <si>
    <t>NOMBRE 1228</t>
  </si>
  <si>
    <t>NOMBRE 1229</t>
  </si>
  <si>
    <t>NOMBRE 1230</t>
  </si>
  <si>
    <t>NOMBRE 1231</t>
  </si>
  <si>
    <t>NOMBRE 1232</t>
  </si>
  <si>
    <t>NOMBRE 1233</t>
  </si>
  <si>
    <t>NOMBRE 1234</t>
  </si>
  <si>
    <t>NOMBRE 1235</t>
  </si>
  <si>
    <t>NOMBRE 1236</t>
  </si>
  <si>
    <t>NOMBRE 1237</t>
  </si>
  <si>
    <t>NOMBRE 1238</t>
  </si>
  <si>
    <t>NOMBRE 1239</t>
  </si>
  <si>
    <t>NOMBRE 1240</t>
  </si>
  <si>
    <t>NOMBRE 1241</t>
  </si>
  <si>
    <t>NOMBRE 1242</t>
  </si>
  <si>
    <t>NOMBRE 1243</t>
  </si>
  <si>
    <t>NOMBRE 1244</t>
  </si>
  <si>
    <t>NOMBRE 1245</t>
  </si>
  <si>
    <t>NOMBRE 1246</t>
  </si>
  <si>
    <t>NOMBRE 1247</t>
  </si>
  <si>
    <t>NOMBRE 1248</t>
  </si>
  <si>
    <t>NOMBRE 1249</t>
  </si>
  <si>
    <t>NOMBRE 1250</t>
  </si>
  <si>
    <t>NOMBRE 1251</t>
  </si>
  <si>
    <t>NOMBRE 1252</t>
  </si>
  <si>
    <t>NOMBRE 1253</t>
  </si>
  <si>
    <t>NOMBRE 1254</t>
  </si>
  <si>
    <t>NOMBRE 1255</t>
  </si>
  <si>
    <t>NOMBRE 1256</t>
  </si>
  <si>
    <t>NOMBRE 1257</t>
  </si>
  <si>
    <t>NOMBRE 1258</t>
  </si>
  <si>
    <t>NOMBRE 1259</t>
  </si>
  <si>
    <t>NOMBRE 1260</t>
  </si>
  <si>
    <t>NOMBRE 1261</t>
  </si>
  <si>
    <t>NOMBRE 1262</t>
  </si>
  <si>
    <t>NOMBRE 1263</t>
  </si>
  <si>
    <t>NOMBRE 1264</t>
  </si>
  <si>
    <t>NOMBRE 1265</t>
  </si>
  <si>
    <t>NOMBRE 1266</t>
  </si>
  <si>
    <t>NOMBRE 1267</t>
  </si>
  <si>
    <t>NOMBRE 1268</t>
  </si>
  <si>
    <t>NOMBRE 1269</t>
  </si>
  <si>
    <t>NOMBRE 1270</t>
  </si>
  <si>
    <t>NOMBRE 1271</t>
  </si>
  <si>
    <t>NOMBRE 1272</t>
  </si>
  <si>
    <t>NOMBRE 1273</t>
  </si>
  <si>
    <t>NOMBRE 1274</t>
  </si>
  <si>
    <t>NOMBRE 1275</t>
  </si>
  <si>
    <t>NOMBRE 1276</t>
  </si>
  <si>
    <t>NOMBRE 1277</t>
  </si>
  <si>
    <t>NOMBRE 1278</t>
  </si>
  <si>
    <t>NOMBRE 1279</t>
  </si>
  <si>
    <t>NOMBRE 1280</t>
  </si>
  <si>
    <t>NOMBRE 1281</t>
  </si>
  <si>
    <t>NOMBRE 1282</t>
  </si>
  <si>
    <t>NOMBRE 1283</t>
  </si>
  <si>
    <t>NOMBRE 1284</t>
  </si>
  <si>
    <t>NOMBRE 1285</t>
  </si>
  <si>
    <t>NOMBRE 1286</t>
  </si>
  <si>
    <t>NOMBRE 1287</t>
  </si>
  <si>
    <t>NOMBRE 1288</t>
  </si>
  <si>
    <t>NOMBRE 1289</t>
  </si>
  <si>
    <t>NOMBRE 1290</t>
  </si>
  <si>
    <t>NOMBRE 1291</t>
  </si>
  <si>
    <t>NOMBRE 1292</t>
  </si>
  <si>
    <t>NOMBRE 1293</t>
  </si>
  <si>
    <t>NOMBRE 1294</t>
  </si>
  <si>
    <t>NOMBRE 1295</t>
  </si>
  <si>
    <t>NOMBRE 1296</t>
  </si>
  <si>
    <t>NOMBRE 1297</t>
  </si>
  <si>
    <t>NOMBRE 1298</t>
  </si>
  <si>
    <t>NOMBRE 1299</t>
  </si>
  <si>
    <t>NOMBRE 1300</t>
  </si>
  <si>
    <t>NOMBRE 1301</t>
  </si>
  <si>
    <t>NOMBRE 1302</t>
  </si>
  <si>
    <t>NOMBRE 1303</t>
  </si>
  <si>
    <t>NOMBRE 1304</t>
  </si>
  <si>
    <t>NOMBRE 1305</t>
  </si>
  <si>
    <t>NOMBRE 1306</t>
  </si>
  <si>
    <t>NOMBRE 1307</t>
  </si>
  <si>
    <t>NOMBRE 1308</t>
  </si>
  <si>
    <t>NOMBRE 1309</t>
  </si>
  <si>
    <t>NOMBRE 1310</t>
  </si>
  <si>
    <t>NOMBRE 1311</t>
  </si>
  <si>
    <t>NOMBRE 1312</t>
  </si>
  <si>
    <t>NOMBRE 1313</t>
  </si>
  <si>
    <t>NOMBRE 1314</t>
  </si>
  <si>
    <t>NOMBRE 1315</t>
  </si>
  <si>
    <t>NOMBRE 1316</t>
  </si>
  <si>
    <t>NOMBRE 1317</t>
  </si>
  <si>
    <t>NOMBRE 1318</t>
  </si>
  <si>
    <t>NOMBRE 1319</t>
  </si>
  <si>
    <t>NOMBRE 1320</t>
  </si>
  <si>
    <t>NOMBRE 1321</t>
  </si>
  <si>
    <t>NOMBRE 1322</t>
  </si>
  <si>
    <t>NOMBRE 1323</t>
  </si>
  <si>
    <t>NOMBRE 1324</t>
  </si>
  <si>
    <t>NOMBRE 1325</t>
  </si>
  <si>
    <t>NOMBRE 1326</t>
  </si>
  <si>
    <t>NOMBRE 1327</t>
  </si>
  <si>
    <t>NOMBRE 1328</t>
  </si>
  <si>
    <t>NOMBRE 1329</t>
  </si>
  <si>
    <t>NOMBRE 1330</t>
  </si>
  <si>
    <t>NOMBRE 1331</t>
  </si>
  <si>
    <t>NOMBRE 1332</t>
  </si>
  <si>
    <t>NOMBRE 1333</t>
  </si>
  <si>
    <t>NOMBRE 1334</t>
  </si>
  <si>
    <t>NOMBRE 1335</t>
  </si>
  <si>
    <t>NOMBRE 1336</t>
  </si>
  <si>
    <t>NOMBRE 1337</t>
  </si>
  <si>
    <t>NOMBRE 1338</t>
  </si>
  <si>
    <t>NOMBRE 1339</t>
  </si>
  <si>
    <t>NOMBRE 1340</t>
  </si>
  <si>
    <t>NOMBRE 1341</t>
  </si>
  <si>
    <t>NOMBRE 1342</t>
  </si>
  <si>
    <t>NOMBRE 1343</t>
  </si>
  <si>
    <t>NOMBRE 1344</t>
  </si>
  <si>
    <t>NOMBRE 1345</t>
  </si>
  <si>
    <t>NOMBRE 1346</t>
  </si>
  <si>
    <t>NOMBRE 1347</t>
  </si>
  <si>
    <t>NOMBRE 1348</t>
  </si>
  <si>
    <t>NOMBRE 1349</t>
  </si>
  <si>
    <t>NOMBRE 1350</t>
  </si>
  <si>
    <t>NOMBRE 1351</t>
  </si>
  <si>
    <t>NOMBRE 1352</t>
  </si>
  <si>
    <t>NOMBRE 1353</t>
  </si>
  <si>
    <t>NOMBRE 1354</t>
  </si>
  <si>
    <t>NOMBRE 1355</t>
  </si>
  <si>
    <t>NOMBRE 1356</t>
  </si>
  <si>
    <t>NOMBRE 1357</t>
  </si>
  <si>
    <t>NOMBRE 1358</t>
  </si>
  <si>
    <t>NOMBRE 1359</t>
  </si>
  <si>
    <t>NOMBRE 1360</t>
  </si>
  <si>
    <t>NOMBRE 1361</t>
  </si>
  <si>
    <t>NOMBRE 1362</t>
  </si>
  <si>
    <t>NOMBRE 1363</t>
  </si>
  <si>
    <t>NOMBRE 1364</t>
  </si>
  <si>
    <t>NOMBRE 1365</t>
  </si>
  <si>
    <t>NOMBRE 1366</t>
  </si>
  <si>
    <t>NOMBRE 1367</t>
  </si>
  <si>
    <t>NOMBRE 1368</t>
  </si>
  <si>
    <t>NOMBRE 1369</t>
  </si>
  <si>
    <t>NOMBRE 1370</t>
  </si>
  <si>
    <t>NOMBRE 1371</t>
  </si>
  <si>
    <t>NOMBRE 1372</t>
  </si>
  <si>
    <t>NOMBRE 1373</t>
  </si>
  <si>
    <t>NOMBRE 1374</t>
  </si>
  <si>
    <t>NOMBRE 1375</t>
  </si>
  <si>
    <t>NOMBRE 1376</t>
  </si>
  <si>
    <t>NOMBRE 1377</t>
  </si>
  <si>
    <t>NOMBRE 1378</t>
  </si>
  <si>
    <t>NOMBRE 1379</t>
  </si>
  <si>
    <t>NOMBRE 1380</t>
  </si>
  <si>
    <t>NOMBRE 1381</t>
  </si>
  <si>
    <t>NOMBRE 1382</t>
  </si>
  <si>
    <t>NOMBRE 1383</t>
  </si>
  <si>
    <t>NOMBRE 1384</t>
  </si>
  <si>
    <t>NOMBRE 1385</t>
  </si>
  <si>
    <t>NOMBRE 1386</t>
  </si>
  <si>
    <t>NOMBRE 1387</t>
  </si>
  <si>
    <t>NOMBRE 1388</t>
  </si>
  <si>
    <t>NOMBRE 1389</t>
  </si>
  <si>
    <t>NOMBRE 1390</t>
  </si>
  <si>
    <t>NOMBRE 1391</t>
  </si>
  <si>
    <t>NOMBRE 1392</t>
  </si>
  <si>
    <t>NOMBRE 1393</t>
  </si>
  <si>
    <t>NOMBRE 1394</t>
  </si>
  <si>
    <t>NOMBRE 1395</t>
  </si>
  <si>
    <t>NOMBRE 1396</t>
  </si>
  <si>
    <t>NOMBRE 1397</t>
  </si>
  <si>
    <t>NOMBRE 1398</t>
  </si>
  <si>
    <t>NOMBRE 1399</t>
  </si>
  <si>
    <t>NOMBRE 1400</t>
  </si>
  <si>
    <t>NOMBRE 1401</t>
  </si>
  <si>
    <t>NOMBRE 1402</t>
  </si>
  <si>
    <t>NOMBRE 1403</t>
  </si>
  <si>
    <t>NOMBRE 1404</t>
  </si>
  <si>
    <t>NOMBRE 1405</t>
  </si>
  <si>
    <t>NOMBRE 1406</t>
  </si>
  <si>
    <t>NOMBRE 1407</t>
  </si>
  <si>
    <t>NOMBRE 1408</t>
  </si>
  <si>
    <t>NOMBRE 1409</t>
  </si>
  <si>
    <t>NOMBRE 1410</t>
  </si>
  <si>
    <t>NOMBRE 1411</t>
  </si>
  <si>
    <t>NOMBRE 1412</t>
  </si>
  <si>
    <t>NOMBRE 1413</t>
  </si>
  <si>
    <t>NOMBRE 1414</t>
  </si>
  <si>
    <t>NOMBRE 1415</t>
  </si>
  <si>
    <t>NOMBRE 1416</t>
  </si>
  <si>
    <t>NOMBRE 1417</t>
  </si>
  <si>
    <t>NOMBRE 1418</t>
  </si>
  <si>
    <t>NOMBRE 1419</t>
  </si>
  <si>
    <t>NOMBRE 1420</t>
  </si>
  <si>
    <t>NOMBRE 1421</t>
  </si>
  <si>
    <t>NOMBRE 1422</t>
  </si>
  <si>
    <t>NOMBRE 1423</t>
  </si>
  <si>
    <t>NOMBRE 1424</t>
  </si>
  <si>
    <t>NOMBRE 1425</t>
  </si>
  <si>
    <t>NOMBRE 1426</t>
  </si>
  <si>
    <t>NOMBRE 1427</t>
  </si>
  <si>
    <t>NOMBRE 1428</t>
  </si>
  <si>
    <t>NOMBRE 1429</t>
  </si>
  <si>
    <t>NOMBRE 1430</t>
  </si>
  <si>
    <t>NOMBRE 1431</t>
  </si>
  <si>
    <t>NOMBRE 1432</t>
  </si>
  <si>
    <t>NOMBRE 1433</t>
  </si>
  <si>
    <t>NOMBRE 1434</t>
  </si>
  <si>
    <t>NOMBRE 1435</t>
  </si>
  <si>
    <t>NOMBRE 1436</t>
  </si>
  <si>
    <t>NOMBRE 1437</t>
  </si>
  <si>
    <t>NOMBRE 1438</t>
  </si>
  <si>
    <t>NOMBRE 1439</t>
  </si>
  <si>
    <t>NOMBRE 1440</t>
  </si>
  <si>
    <t>NOMBRE 1441</t>
  </si>
  <si>
    <t>NOMBRE 1442</t>
  </si>
  <si>
    <t>NOMBRE 1443</t>
  </si>
  <si>
    <t>NOMBRE 1444</t>
  </si>
  <si>
    <t>NOMBRE 1445</t>
  </si>
  <si>
    <t>NOMBRE 1446</t>
  </si>
  <si>
    <t>NOMBRE 1447</t>
  </si>
  <si>
    <t>NOMBRE 1448</t>
  </si>
  <si>
    <t>NOMBRE 1449</t>
  </si>
  <si>
    <t>NOMBRE 1450</t>
  </si>
  <si>
    <t>NOMBRE 1451</t>
  </si>
  <si>
    <t>NOMBRE 1452</t>
  </si>
  <si>
    <t>NOMBRE 1453</t>
  </si>
  <si>
    <t>NOMBRE 1454</t>
  </si>
  <si>
    <t>NOMBRE 1455</t>
  </si>
  <si>
    <t>NOMBRE 1456</t>
  </si>
  <si>
    <t>NOMBRE 1457</t>
  </si>
  <si>
    <t>NOMBRE 1458</t>
  </si>
  <si>
    <t>NOMBRE 1459</t>
  </si>
  <si>
    <t>NOMBRE 1460</t>
  </si>
  <si>
    <t>NOMBRE 1461</t>
  </si>
  <si>
    <t>NOMBRE 1462</t>
  </si>
  <si>
    <t>NOMBRE 1463</t>
  </si>
  <si>
    <t>NOMBRE 1464</t>
  </si>
  <si>
    <t>NOMBRE 1465</t>
  </si>
  <si>
    <t>NOMBRE 1466</t>
  </si>
  <si>
    <t>NOMBRE 1467</t>
  </si>
  <si>
    <t>NOMBRE 1468</t>
  </si>
  <si>
    <t>NOMBRE 1469</t>
  </si>
  <si>
    <t>NOMBRE 1470</t>
  </si>
  <si>
    <t>NOMBRE 1471</t>
  </si>
  <si>
    <t>NOMBRE 1472</t>
  </si>
  <si>
    <t>NOMBRE 1473</t>
  </si>
  <si>
    <t>NOMBRE 1474</t>
  </si>
  <si>
    <t>NOMBRE 1475</t>
  </si>
  <si>
    <t>NOMBRE 1476</t>
  </si>
  <si>
    <t>NOMBRE 1477</t>
  </si>
  <si>
    <t>NOMBRE 1478</t>
  </si>
  <si>
    <t>NOMBRE 1479</t>
  </si>
  <si>
    <t>NOMBRE 1480</t>
  </si>
  <si>
    <t>NOMBRE 1481</t>
  </si>
  <si>
    <t>NOMBRE 1482</t>
  </si>
  <si>
    <t>NOMBRE 1483</t>
  </si>
  <si>
    <t>NOMBRE 1484</t>
  </si>
  <si>
    <t>NOMBRE 1485</t>
  </si>
  <si>
    <t>NOMBRE 1486</t>
  </si>
  <si>
    <t>NOMBRE 1487</t>
  </si>
  <si>
    <t>NOMBRE 1488</t>
  </si>
  <si>
    <t>NOMBRE 1489</t>
  </si>
  <si>
    <t>NOMBRE 1490</t>
  </si>
  <si>
    <t>NOMBRE 1491</t>
  </si>
  <si>
    <t>NOMBRE 1492</t>
  </si>
  <si>
    <t>NOMBRE 1493</t>
  </si>
  <si>
    <t>NOMBRE 1494</t>
  </si>
  <si>
    <t>NOMBRE 1495</t>
  </si>
  <si>
    <t>NOMBRE 1496</t>
  </si>
  <si>
    <t>NOMBRE 1497</t>
  </si>
  <si>
    <t>NOMBRE 1498</t>
  </si>
  <si>
    <t>NOMBRE 1499</t>
  </si>
  <si>
    <t>NOMBRE 1500</t>
  </si>
  <si>
    <t>NOMBRE 1501</t>
  </si>
  <si>
    <t>NOMBRE 1502</t>
  </si>
  <si>
    <t>NOMBRE 1503</t>
  </si>
  <si>
    <t>NOMBRE 1504</t>
  </si>
  <si>
    <t>NOMBRE 1505</t>
  </si>
  <si>
    <t>NOMBRE 1506</t>
  </si>
  <si>
    <t>NOMBRE 1507</t>
  </si>
  <si>
    <t>NOMBRE 1508</t>
  </si>
  <si>
    <t>NOMBRE 1509</t>
  </si>
  <si>
    <t>NOMBRE 1510</t>
  </si>
  <si>
    <t>NOMBRE 1511</t>
  </si>
  <si>
    <t>NOMBRE 1512</t>
  </si>
  <si>
    <t>NOMBRE 1513</t>
  </si>
  <si>
    <t>NOMBRE 1514</t>
  </si>
  <si>
    <t>NOMBRE 1515</t>
  </si>
  <si>
    <t>NOMBRE 1516</t>
  </si>
  <si>
    <t>NOMBRE 1517</t>
  </si>
  <si>
    <t>NOMBRE 1518</t>
  </si>
  <si>
    <t>NOMBRE 1519</t>
  </si>
  <si>
    <t>NOMBRE 1520</t>
  </si>
  <si>
    <t>NOMBRE 1521</t>
  </si>
  <si>
    <t>NOMBRE 1522</t>
  </si>
  <si>
    <t>NOMBRE 1523</t>
  </si>
  <si>
    <t>NOMBRE 1524</t>
  </si>
  <si>
    <t>NOMBRE 1525</t>
  </si>
  <si>
    <t>NOMBRE 1526</t>
  </si>
  <si>
    <t>NOMBRE 1527</t>
  </si>
  <si>
    <t>NOMBRE 1528</t>
  </si>
  <si>
    <t>NOMBRE 1529</t>
  </si>
  <si>
    <t>NOMBRE 1530</t>
  </si>
  <si>
    <t>NOMBRE 1531</t>
  </si>
  <si>
    <t>NOMBRE 1532</t>
  </si>
  <si>
    <t>NOMBRE 1533</t>
  </si>
  <si>
    <t>NOMBRE 1534</t>
  </si>
  <si>
    <t>NOMBRE 1535</t>
  </si>
  <si>
    <t>NOMBRE 1536</t>
  </si>
  <si>
    <t>NOMBRE 1537</t>
  </si>
  <si>
    <t>NOMBRE 1538</t>
  </si>
  <si>
    <t>NOMBRE 1539</t>
  </si>
  <si>
    <t>NOMBRE 1540</t>
  </si>
  <si>
    <t>NOMBRE 1541</t>
  </si>
  <si>
    <t>NOMBRE 1542</t>
  </si>
  <si>
    <t>NOMBRE 1543</t>
  </si>
  <si>
    <t>NOMBRE 1544</t>
  </si>
  <si>
    <t>NOMBRE 1545</t>
  </si>
  <si>
    <t>NOMBRE 1546</t>
  </si>
  <si>
    <t>NOMBRE 1547</t>
  </si>
  <si>
    <t>NOMBRE 1548</t>
  </si>
  <si>
    <t>NOMBRE 1549</t>
  </si>
  <si>
    <t>NOMBRE 1550</t>
  </si>
  <si>
    <t>NOMBRE 1551</t>
  </si>
  <si>
    <t>NOMBRE 1552</t>
  </si>
  <si>
    <t>NOMBRE 1553</t>
  </si>
  <si>
    <t>NOMBRE 1554</t>
  </si>
  <si>
    <t>NOMBRE 1555</t>
  </si>
  <si>
    <t>NOMBRE 1556</t>
  </si>
  <si>
    <t>NOMBRE 1557</t>
  </si>
  <si>
    <t>NOMBRE 1558</t>
  </si>
  <si>
    <t>NOMBRE 1559</t>
  </si>
  <si>
    <t>NOMBRE 1560</t>
  </si>
  <si>
    <t>NOMBRE 1561</t>
  </si>
  <si>
    <t>NOMBRE 1562</t>
  </si>
  <si>
    <t>NOMBRE 1563</t>
  </si>
  <si>
    <t>NOMBRE 1564</t>
  </si>
  <si>
    <t>NOMBRE 1565</t>
  </si>
  <si>
    <t>NOMBRE 1566</t>
  </si>
  <si>
    <t>NOMBRE 1567</t>
  </si>
  <si>
    <t>NOMBRE 1568</t>
  </si>
  <si>
    <t>NOMBRE 1569</t>
  </si>
  <si>
    <t>NOMBRE 1570</t>
  </si>
  <si>
    <t>NOMBRE 1571</t>
  </si>
  <si>
    <t>NOMBRE 1572</t>
  </si>
  <si>
    <t>NOMBRE 1573</t>
  </si>
  <si>
    <t>NOMBRE 1574</t>
  </si>
  <si>
    <t>NOMBRE 1575</t>
  </si>
  <si>
    <t>NOMBRE 1576</t>
  </si>
  <si>
    <t>NOMBRE 1577</t>
  </si>
  <si>
    <t>NOMBRE 1578</t>
  </si>
  <si>
    <t>NOMBRE 1579</t>
  </si>
  <si>
    <t>NOMBRE 1580</t>
  </si>
  <si>
    <t>NOMBRE 1581</t>
  </si>
  <si>
    <t>NOMBRE 1582</t>
  </si>
  <si>
    <t>NOMBRE 1583</t>
  </si>
  <si>
    <t>NOMBRE 1584</t>
  </si>
  <si>
    <t>NOMBRE 1585</t>
  </si>
  <si>
    <t>NOMBRE 1586</t>
  </si>
  <si>
    <t>NOMBRE 1587</t>
  </si>
  <si>
    <t>NOMBRE 1588</t>
  </si>
  <si>
    <t>NOMBRE 1589</t>
  </si>
  <si>
    <t>NOMBRE 1590</t>
  </si>
  <si>
    <t>NOMBRE 1591</t>
  </si>
  <si>
    <t>NOMBRE 1592</t>
  </si>
  <si>
    <t>NOMBRE 1593</t>
  </si>
  <si>
    <t>NOMBRE 1594</t>
  </si>
  <si>
    <t>NOMBRE 1595</t>
  </si>
  <si>
    <t>NOMBRE 1596</t>
  </si>
  <si>
    <t>NOMBRE 1597</t>
  </si>
  <si>
    <t>NOMBRE 1598</t>
  </si>
  <si>
    <t>NOMBRE 1599</t>
  </si>
  <si>
    <t>NOMBRE 1600</t>
  </si>
  <si>
    <t>NOMBRE 1601</t>
  </si>
  <si>
    <t>NOMBRE 1602</t>
  </si>
  <si>
    <t>NOMBRE 1603</t>
  </si>
  <si>
    <t>NOMBRE 1604</t>
  </si>
  <si>
    <t>NOMBRE 1605</t>
  </si>
  <si>
    <t>NOMBRE 1606</t>
  </si>
  <si>
    <t>NOMBRE 1607</t>
  </si>
  <si>
    <t>NOMBRE 1608</t>
  </si>
  <si>
    <t>NOMBRE 1609</t>
  </si>
  <si>
    <t>NOMBRE 1610</t>
  </si>
  <si>
    <t>NOMBRE 1611</t>
  </si>
  <si>
    <t>NOMBRE 1612</t>
  </si>
  <si>
    <t>NOMBRE 1613</t>
  </si>
  <si>
    <t>NOMBRE 1614</t>
  </si>
  <si>
    <t>NOMBRE 1615</t>
  </si>
  <si>
    <t>NOMBRE 1616</t>
  </si>
  <si>
    <t>NOMBRE 1617</t>
  </si>
  <si>
    <t>NOMBRE 1618</t>
  </si>
  <si>
    <t>NOMBRE 1619</t>
  </si>
  <si>
    <t>NOMBRE 1620</t>
  </si>
  <si>
    <t>NOMBRE 1621</t>
  </si>
  <si>
    <t>NOMBRE 1622</t>
  </si>
  <si>
    <t>NOMBRE 1623</t>
  </si>
  <si>
    <t>NOMBRE 1624</t>
  </si>
  <si>
    <t>NOMBRE 1625</t>
  </si>
  <si>
    <t>NOMBRE 1626</t>
  </si>
  <si>
    <t>NOMBRE 1627</t>
  </si>
  <si>
    <t>NOMBRE 1628</t>
  </si>
  <si>
    <t>NOMBRE 1629</t>
  </si>
  <si>
    <t>NOMBRE 1630</t>
  </si>
  <si>
    <t>NOMBRE 1631</t>
  </si>
  <si>
    <t>NOMBRE 1632</t>
  </si>
  <si>
    <t>NOMBRE 1633</t>
  </si>
  <si>
    <t>NOMBRE 1634</t>
  </si>
  <si>
    <t>NOMBRE 1635</t>
  </si>
  <si>
    <t>NOMBRE 1636</t>
  </si>
  <si>
    <t>NOMBRE 1637</t>
  </si>
  <si>
    <t>NOMBRE 1638</t>
  </si>
  <si>
    <t>NOMBRE 1639</t>
  </si>
  <si>
    <t>NOMBRE 1640</t>
  </si>
  <si>
    <t>NOMBRE 1641</t>
  </si>
  <si>
    <t>NOMBRE 1642</t>
  </si>
  <si>
    <t>NOMBRE 1643</t>
  </si>
  <si>
    <t>NOMBRE 1644</t>
  </si>
  <si>
    <t>NOMBRE 1645</t>
  </si>
  <si>
    <t>NOMBRE 1646</t>
  </si>
  <si>
    <t>NOMBRE 1647</t>
  </si>
  <si>
    <t>NOMBRE 1648</t>
  </si>
  <si>
    <t>NOMBRE 1649</t>
  </si>
  <si>
    <t>NOMBRE 1650</t>
  </si>
  <si>
    <t>NOMBRE 1651</t>
  </si>
  <si>
    <t>NOMBRE 1652</t>
  </si>
  <si>
    <t>NOMBRE 1653</t>
  </si>
  <si>
    <t>NOMBRE 1654</t>
  </si>
  <si>
    <t>NOMBRE 1655</t>
  </si>
  <si>
    <t>NOMBRE 1656</t>
  </si>
  <si>
    <t>NOMBRE 1657</t>
  </si>
  <si>
    <t>NOMBRE 1658</t>
  </si>
  <si>
    <t>NOMBRE 1659</t>
  </si>
  <si>
    <t>NOMBRE 1660</t>
  </si>
  <si>
    <t>NOMBRE 1661</t>
  </si>
  <si>
    <t>NOMBRE 1662</t>
  </si>
  <si>
    <t>NOMBRE 1663</t>
  </si>
  <si>
    <t>NOMBRE 1664</t>
  </si>
  <si>
    <t>NOMBRE 1665</t>
  </si>
  <si>
    <t>NOMBRE 1666</t>
  </si>
  <si>
    <t>NOMBRE 1667</t>
  </si>
  <si>
    <t>NOMBRE 1668</t>
  </si>
  <si>
    <t>NOMBRE 1669</t>
  </si>
  <si>
    <t>NOMBRE 1670</t>
  </si>
  <si>
    <t>NOMBRE 1671</t>
  </si>
  <si>
    <t>NOMBRE 1672</t>
  </si>
  <si>
    <t>NOMBRE 1673</t>
  </si>
  <si>
    <t>NOMBRE 1674</t>
  </si>
  <si>
    <t>NOMBRE 1675</t>
  </si>
  <si>
    <t>NOMBRE 1676</t>
  </si>
  <si>
    <t>NOMBRE 1677</t>
  </si>
  <si>
    <t>NOMBRE 1678</t>
  </si>
  <si>
    <t>NOMBRE 1679</t>
  </si>
  <si>
    <t>NOMBRE 1680</t>
  </si>
  <si>
    <t>NOMBRE 1681</t>
  </si>
  <si>
    <t>NOMBRE 1682</t>
  </si>
  <si>
    <t>NOMBRE 1683</t>
  </si>
  <si>
    <t>NOMBRE 1684</t>
  </si>
  <si>
    <t>NOMBRE 1685</t>
  </si>
  <si>
    <t>NOMBRE 1686</t>
  </si>
  <si>
    <t>NOMBRE 1687</t>
  </si>
  <si>
    <t>NOMBRE 1688</t>
  </si>
  <si>
    <t>NOMBRE 1689</t>
  </si>
  <si>
    <t>NOMBRE 1690</t>
  </si>
  <si>
    <t>NOMBRE 1691</t>
  </si>
  <si>
    <t>NOMBRE 1692</t>
  </si>
  <si>
    <t>NOMBRE 1693</t>
  </si>
  <si>
    <t>NOMBRE 1694</t>
  </si>
  <si>
    <t>NOMBRE 1695</t>
  </si>
  <si>
    <t>NOMBRE 1696</t>
  </si>
  <si>
    <t>NOMBRE 1697</t>
  </si>
  <si>
    <t>NOMBRE 1698</t>
  </si>
  <si>
    <t>NOMBRE 1699</t>
  </si>
  <si>
    <t>NOMBRE 1700</t>
  </si>
  <si>
    <t>NOMBRE 1701</t>
  </si>
  <si>
    <t>NOMBRE 1702</t>
  </si>
  <si>
    <t>NOMBRE 1703</t>
  </si>
  <si>
    <t>NOMBRE 1704</t>
  </si>
  <si>
    <t>NOMBRE 1705</t>
  </si>
  <si>
    <t>NOMBRE 1706</t>
  </si>
  <si>
    <t>NOMBRE 1707</t>
  </si>
  <si>
    <t>NOMBRE 1708</t>
  </si>
  <si>
    <t>NOMBRE 1709</t>
  </si>
  <si>
    <t>NOMBRE 1710</t>
  </si>
  <si>
    <t>NOMBRE 1711</t>
  </si>
  <si>
    <t>NOMBRE 1712</t>
  </si>
  <si>
    <t>NOMBRE 1713</t>
  </si>
  <si>
    <t>NOMBRE 1714</t>
  </si>
  <si>
    <t>NOMBRE 1715</t>
  </si>
  <si>
    <t>NOMBRE 1716</t>
  </si>
  <si>
    <t>NOMBRE 1717</t>
  </si>
  <si>
    <t>NOMBRE 1718</t>
  </si>
  <si>
    <t>NOMBRE 1719</t>
  </si>
  <si>
    <t>NOMBRE 1720</t>
  </si>
  <si>
    <t>NOMBRE 1721</t>
  </si>
  <si>
    <t>NOMBRE 1722</t>
  </si>
  <si>
    <t>NOMBRE 1723</t>
  </si>
  <si>
    <t>NOMBRE 1724</t>
  </si>
  <si>
    <t>NOMBRE 1725</t>
  </si>
  <si>
    <t>NOMBRE 1726</t>
  </si>
  <si>
    <t>NOMBRE 1727</t>
  </si>
  <si>
    <t>NOMBRE 1728</t>
  </si>
  <si>
    <t>NOMBRE 1729</t>
  </si>
  <si>
    <t>NOMBRE 1730</t>
  </si>
  <si>
    <t>NOMBRE 1731</t>
  </si>
  <si>
    <t>NOMBRE 1732</t>
  </si>
  <si>
    <t>NOMBRE 1733</t>
  </si>
  <si>
    <t>NOMBRE 1734</t>
  </si>
  <si>
    <t>NOMBRE 1735</t>
  </si>
  <si>
    <t>NOMBRE 1736</t>
  </si>
  <si>
    <t>NOMBRE 1737</t>
  </si>
  <si>
    <t>NOMBRE 1738</t>
  </si>
  <si>
    <t>NOMBRE 1739</t>
  </si>
  <si>
    <t>NOMBRE 1740</t>
  </si>
  <si>
    <t>NOMBRE 1741</t>
  </si>
  <si>
    <t>NOMBRE 1742</t>
  </si>
  <si>
    <t>NOMBRE 1743</t>
  </si>
  <si>
    <t>NOMBRE 1744</t>
  </si>
  <si>
    <t>NOMBRE 1745</t>
  </si>
  <si>
    <t>NOMBRE 1746</t>
  </si>
  <si>
    <t>NOMBRE 1747</t>
  </si>
  <si>
    <t>NOMBRE 1748</t>
  </si>
  <si>
    <t>NOMBRE 1749</t>
  </si>
  <si>
    <t>NOMBRE 1750</t>
  </si>
  <si>
    <t>NOMBRE 1751</t>
  </si>
  <si>
    <t>NOMBRE 1752</t>
  </si>
  <si>
    <t>NOMBRE 1753</t>
  </si>
  <si>
    <t>NOMBRE 1754</t>
  </si>
  <si>
    <t>NOMBRE 1755</t>
  </si>
  <si>
    <t>NOMBRE 1756</t>
  </si>
  <si>
    <t>NOMBRE 1757</t>
  </si>
  <si>
    <t>NOMBRE 1758</t>
  </si>
  <si>
    <t>NOMBRE 1759</t>
  </si>
  <si>
    <t>NOMBRE 1760</t>
  </si>
  <si>
    <t>NOMBRE 1761</t>
  </si>
  <si>
    <t>NOMBRE 1762</t>
  </si>
  <si>
    <t>NOMBRE 1763</t>
  </si>
  <si>
    <t>NOMBRE 1764</t>
  </si>
  <si>
    <t>NOMBRE 1765</t>
  </si>
  <si>
    <t>NOMBRE 1766</t>
  </si>
  <si>
    <t>NOMBRE 1767</t>
  </si>
  <si>
    <t>NOMBRE 1768</t>
  </si>
  <si>
    <t>NOMBRE 1769</t>
  </si>
  <si>
    <t>NOMBRE 1770</t>
  </si>
  <si>
    <t>NOMBRE 1771</t>
  </si>
  <si>
    <t>NOMBRE 1772</t>
  </si>
  <si>
    <t>NOMBRE 1773</t>
  </si>
  <si>
    <t>NOMBRE 1774</t>
  </si>
  <si>
    <t>NOMBRE 1775</t>
  </si>
  <si>
    <t>NOMBRE 1776</t>
  </si>
  <si>
    <t>NOMBRE 1777</t>
  </si>
  <si>
    <t>NOMBRE 1778</t>
  </si>
  <si>
    <t>NOMBRE 1779</t>
  </si>
  <si>
    <t>NOMBRE 1780</t>
  </si>
  <si>
    <t>NOMBRE 1781</t>
  </si>
  <si>
    <t>NOMBRE 1782</t>
  </si>
  <si>
    <t>NOMBRE 1783</t>
  </si>
  <si>
    <t>NOMBRE 1784</t>
  </si>
  <si>
    <t>NOMBRE 1785</t>
  </si>
  <si>
    <t>NOMBRE 1786</t>
  </si>
  <si>
    <t>NOMBRE 1787</t>
  </si>
  <si>
    <t>NOMBRE 1788</t>
  </si>
  <si>
    <t>NOMBRE 1789</t>
  </si>
  <si>
    <t>NOMBRE 1790</t>
  </si>
  <si>
    <t>NOMBRE 1791</t>
  </si>
  <si>
    <t>NOMBRE 1792</t>
  </si>
  <si>
    <t>NOMBRE 1793</t>
  </si>
  <si>
    <t>NOMBRE 1794</t>
  </si>
  <si>
    <t>NOMBRE 1795</t>
  </si>
  <si>
    <t>NOMBRE 1796</t>
  </si>
  <si>
    <t>NOMBRE 1797</t>
  </si>
  <si>
    <t>NOMBRE 1798</t>
  </si>
  <si>
    <t>NOMBRE 1799</t>
  </si>
  <si>
    <t>NOMBRE 1800</t>
  </si>
  <si>
    <t>NOMBRE 1801</t>
  </si>
  <si>
    <t>NOMBRE 1802</t>
  </si>
  <si>
    <t>NOMBRE 1803</t>
  </si>
  <si>
    <t>NOMBRE 1804</t>
  </si>
  <si>
    <t>NOMBRE 1805</t>
  </si>
  <si>
    <t>NOMBRE 1806</t>
  </si>
  <si>
    <t>NOMBRE 1807</t>
  </si>
  <si>
    <t>NOMBRE 1808</t>
  </si>
  <si>
    <t>NOMBRE 1809</t>
  </si>
  <si>
    <t>NOMBRE 1810</t>
  </si>
  <si>
    <t>NOMBRE 1811</t>
  </si>
  <si>
    <t>NOMBRE 1812</t>
  </si>
  <si>
    <t>NOMBRE 1813</t>
  </si>
  <si>
    <t>NOMBRE 1814</t>
  </si>
  <si>
    <t>NOMBRE 1815</t>
  </si>
  <si>
    <t>NOMBRE 1816</t>
  </si>
  <si>
    <t>NOMBRE 1817</t>
  </si>
  <si>
    <t>NOMBRE 1818</t>
  </si>
  <si>
    <t>NOMBRE 1819</t>
  </si>
  <si>
    <t>NOMBRE 1820</t>
  </si>
  <si>
    <t>NOMBRE 1821</t>
  </si>
  <si>
    <t>NOMBRE 1822</t>
  </si>
  <si>
    <t>NOMBRE 1823</t>
  </si>
  <si>
    <t>NOMBRE 1824</t>
  </si>
  <si>
    <t>NOMBRE 1825</t>
  </si>
  <si>
    <t>NOMBRE 1826</t>
  </si>
  <si>
    <t>NOMBRE 1827</t>
  </si>
  <si>
    <t>NOMBRE 1828</t>
  </si>
  <si>
    <t>NOMBRE 1829</t>
  </si>
  <si>
    <t>NOMBRE 1830</t>
  </si>
  <si>
    <t>NOMBRE 1831</t>
  </si>
  <si>
    <t>NOMBRE 1832</t>
  </si>
  <si>
    <t>NOMBRE 1833</t>
  </si>
  <si>
    <t>NOMBRE 1834</t>
  </si>
  <si>
    <t>NOMBRE 1835</t>
  </si>
  <si>
    <t>NOMBRE 1836</t>
  </si>
  <si>
    <t>NOMBRE 1837</t>
  </si>
  <si>
    <t>NOMBRE 1838</t>
  </si>
  <si>
    <t>NOMBRE 1839</t>
  </si>
  <si>
    <t>NOMBRE 1840</t>
  </si>
  <si>
    <t>NOMBRE 1841</t>
  </si>
  <si>
    <t>NOMBRE 1842</t>
  </si>
  <si>
    <t>NOMBRE 1843</t>
  </si>
  <si>
    <t>NOMBRE 1844</t>
  </si>
  <si>
    <t>NOMBRE 1845</t>
  </si>
  <si>
    <t>NOMBRE 1846</t>
  </si>
  <si>
    <t>NOMBRE 1847</t>
  </si>
  <si>
    <t>NOMBRE 1848</t>
  </si>
  <si>
    <t>NOMBRE 1849</t>
  </si>
  <si>
    <t>NOMBRE 1850</t>
  </si>
  <si>
    <t>NOMBRE 1851</t>
  </si>
  <si>
    <t>NOMBRE 1852</t>
  </si>
  <si>
    <t>NOMBRE 1853</t>
  </si>
  <si>
    <t>NOMBRE 1854</t>
  </si>
  <si>
    <t>NOMBRE 1855</t>
  </si>
  <si>
    <t>NOMBRE 1856</t>
  </si>
  <si>
    <t>NOMBRE 1857</t>
  </si>
  <si>
    <t>NOMBRE 1858</t>
  </si>
  <si>
    <t>NOMBRE 1859</t>
  </si>
  <si>
    <t>NOMBRE 1860</t>
  </si>
  <si>
    <t>NOMBRE 1861</t>
  </si>
  <si>
    <t>NOMBRE 1862</t>
  </si>
  <si>
    <t>NOMBRE 1863</t>
  </si>
  <si>
    <t>NOMBRE 1864</t>
  </si>
  <si>
    <t>NOMBRE 1865</t>
  </si>
  <si>
    <t>NOMBRE 1866</t>
  </si>
  <si>
    <t>NOMBRE 1867</t>
  </si>
  <si>
    <t>NOMBRE 1868</t>
  </si>
  <si>
    <t>NOMBRE 1869</t>
  </si>
  <si>
    <t>NOMBRE 1870</t>
  </si>
  <si>
    <t>NOMBRE 1871</t>
  </si>
  <si>
    <t>NOMBRE 1872</t>
  </si>
  <si>
    <t>NOMBRE 1873</t>
  </si>
  <si>
    <t>NOMBRE 1874</t>
  </si>
  <si>
    <t>NOMBRE 1875</t>
  </si>
  <si>
    <t>NOMBRE 1876</t>
  </si>
  <si>
    <t>NOMBRE 1877</t>
  </si>
  <si>
    <t>NOMBRE 1878</t>
  </si>
  <si>
    <t>NOMBRE 1879</t>
  </si>
  <si>
    <t>NOMBRE 1880</t>
  </si>
  <si>
    <t>NOMBRE 1881</t>
  </si>
  <si>
    <t>NOMBRE 1882</t>
  </si>
  <si>
    <t>NOMBRE 1883</t>
  </si>
  <si>
    <t>NOMBRE 1884</t>
  </si>
  <si>
    <t>NOMBRE 1885</t>
  </si>
  <si>
    <t>NOMBRE 1886</t>
  </si>
  <si>
    <t>NOMBRE 1887</t>
  </si>
  <si>
    <t>NOMBRE 1888</t>
  </si>
  <si>
    <t>NOMBRE 1889</t>
  </si>
  <si>
    <t>NOMBRE 1890</t>
  </si>
  <si>
    <t>NOMBRE 1891</t>
  </si>
  <si>
    <t>NOMBRE 1892</t>
  </si>
  <si>
    <t>NOMBRE 1893</t>
  </si>
  <si>
    <t>NOMBRE 1894</t>
  </si>
  <si>
    <t>NOMBRE 1895</t>
  </si>
  <si>
    <t>NOMBRE 1896</t>
  </si>
  <si>
    <t>NOMBRE 1897</t>
  </si>
  <si>
    <t>NOMBRE 1898</t>
  </si>
  <si>
    <t>NOMBRE 1899</t>
  </si>
  <si>
    <t>NOMBRE 1900</t>
  </si>
  <si>
    <t>NOMBRE 1901</t>
  </si>
  <si>
    <t>NOMBRE 1902</t>
  </si>
  <si>
    <t>NOMBRE 1903</t>
  </si>
  <si>
    <t>NOMBRE 1904</t>
  </si>
  <si>
    <t>NOMBRE 1905</t>
  </si>
  <si>
    <t>NOMBRE 1906</t>
  </si>
  <si>
    <t>NOMBRE 1907</t>
  </si>
  <si>
    <t>NOMBRE 1908</t>
  </si>
  <si>
    <t>NOMBRE 1909</t>
  </si>
  <si>
    <t>NOMBRE 1910</t>
  </si>
  <si>
    <t>NOMBRE 1911</t>
  </si>
  <si>
    <t>NOMBRE 1912</t>
  </si>
  <si>
    <t>NOMBRE 1913</t>
  </si>
  <si>
    <t>NOMBRE 1914</t>
  </si>
  <si>
    <t>NOMBRE 1915</t>
  </si>
  <si>
    <t>NOMBRE 1916</t>
  </si>
  <si>
    <t>NOMBRE 1917</t>
  </si>
  <si>
    <t>NOMBRE 1918</t>
  </si>
  <si>
    <t>NOMBRE 1919</t>
  </si>
  <si>
    <t>NOMBRE 1920</t>
  </si>
  <si>
    <t>NOMBRE 1921</t>
  </si>
  <si>
    <t>NOMBRE 1922</t>
  </si>
  <si>
    <t>NOMBRE 1923</t>
  </si>
  <si>
    <t>NOMBRE 1924</t>
  </si>
  <si>
    <t>NOMBRE 1925</t>
  </si>
  <si>
    <t>NOMBRE 1926</t>
  </si>
  <si>
    <t>NOMBRE 1927</t>
  </si>
  <si>
    <t>NOMBRE 1928</t>
  </si>
  <si>
    <t>NOMBRE 1929</t>
  </si>
  <si>
    <t>NOMBRE 1930</t>
  </si>
  <si>
    <t>NOMBRE 1931</t>
  </si>
  <si>
    <t>NOMBRE 1932</t>
  </si>
  <si>
    <t>NOMBRE 1933</t>
  </si>
  <si>
    <t>NOMBRE 1934</t>
  </si>
  <si>
    <t>NOMBRE 1935</t>
  </si>
  <si>
    <t>NOMBRE 1936</t>
  </si>
  <si>
    <t>NOMBRE 1937</t>
  </si>
  <si>
    <t>NOMBRE 1938</t>
  </si>
  <si>
    <t>NOMBRE 1939</t>
  </si>
  <si>
    <t>NOMBRE 1940</t>
  </si>
  <si>
    <t>NOMBRE 1941</t>
  </si>
  <si>
    <t>NOMBRE 1942</t>
  </si>
  <si>
    <t>NOMBRE 1943</t>
  </si>
  <si>
    <t>NOMBRE 1944</t>
  </si>
  <si>
    <t>NOMBRE 1945</t>
  </si>
  <si>
    <t>NOMBRE 1946</t>
  </si>
  <si>
    <t>NOMBRE 1947</t>
  </si>
  <si>
    <t>NOMBRE 1948</t>
  </si>
  <si>
    <t>NOMBRE 1949</t>
  </si>
  <si>
    <t>NOMBRE 1950</t>
  </si>
  <si>
    <t>NOMBRE 1951</t>
  </si>
  <si>
    <t>NOMBRE 1952</t>
  </si>
  <si>
    <t>NOMBRE 1953</t>
  </si>
  <si>
    <t>NOMBRE 1954</t>
  </si>
  <si>
    <t>NOMBRE 1955</t>
  </si>
  <si>
    <t>NOMBRE 1956</t>
  </si>
  <si>
    <t>NOMBRE 1957</t>
  </si>
  <si>
    <t>NOMBRE 1958</t>
  </si>
  <si>
    <t>NOMBRE 1959</t>
  </si>
  <si>
    <t>NOMBRE 1960</t>
  </si>
  <si>
    <t>NOMBRE 1961</t>
  </si>
  <si>
    <t>NOMBRE 1962</t>
  </si>
  <si>
    <t>NOMBRE 1963</t>
  </si>
  <si>
    <t>NOMBRE 1964</t>
  </si>
  <si>
    <t>NOMBRE 1965</t>
  </si>
  <si>
    <t>NOMBRE 1966</t>
  </si>
  <si>
    <t>NOMBRE 1967</t>
  </si>
  <si>
    <t>NOMBRE 1968</t>
  </si>
  <si>
    <t>NOMBRE 1969</t>
  </si>
  <si>
    <t>NOMBRE 1970</t>
  </si>
  <si>
    <t>NOMBRE 1971</t>
  </si>
  <si>
    <t>NOMBRE 1972</t>
  </si>
  <si>
    <t>NOMBRE 1973</t>
  </si>
  <si>
    <t>NOMBRE 1974</t>
  </si>
  <si>
    <t>NOMBRE 1975</t>
  </si>
  <si>
    <t>NOMBRE 1976</t>
  </si>
  <si>
    <t>NOMBRE 1977</t>
  </si>
  <si>
    <t>NOMBRE 1978</t>
  </si>
  <si>
    <t>NOMBRE 1979</t>
  </si>
  <si>
    <t>NOMBRE 1980</t>
  </si>
  <si>
    <t>NOMBRE 1981</t>
  </si>
  <si>
    <t>NOMBRE 1982</t>
  </si>
  <si>
    <t>NOMBRE 1983</t>
  </si>
  <si>
    <t>NOMBRE 1984</t>
  </si>
  <si>
    <t>NOMBRE 1985</t>
  </si>
  <si>
    <t>NOMBRE 1986</t>
  </si>
  <si>
    <t>NOMBRE 1987</t>
  </si>
  <si>
    <t>NOMBRE 1988</t>
  </si>
  <si>
    <t>NOMBRE 1989</t>
  </si>
  <si>
    <t>NOMBRE 1990</t>
  </si>
  <si>
    <t>NOMBRE 1991</t>
  </si>
  <si>
    <t>NOMBRE 1992</t>
  </si>
  <si>
    <t>NOMBRE 1993</t>
  </si>
  <si>
    <t>NOMBRE 1994</t>
  </si>
  <si>
    <t>NOMBRE 1995</t>
  </si>
  <si>
    <t>NOMBRE 1996</t>
  </si>
  <si>
    <t>NOMBRE 1997</t>
  </si>
  <si>
    <t>NOMBRE 1998</t>
  </si>
  <si>
    <t>NOMBRE 1999</t>
  </si>
  <si>
    <t>NOMBRE 2000</t>
  </si>
  <si>
    <t>NOMBRE 2001</t>
  </si>
  <si>
    <t>NOMBRE 2002</t>
  </si>
  <si>
    <t>NOMBRE 2003</t>
  </si>
  <si>
    <t>NOMBRE 2004</t>
  </si>
  <si>
    <t>NOMBRE 2005</t>
  </si>
  <si>
    <t>NOMBRE 2006</t>
  </si>
  <si>
    <t>NOMBRE 2007</t>
  </si>
  <si>
    <t>NOMBRE 2008</t>
  </si>
  <si>
    <t>NOMBRE 2009</t>
  </si>
  <si>
    <t>NOMBRE 2010</t>
  </si>
  <si>
    <t>NOMBRE 2011</t>
  </si>
  <si>
    <t>NOMBRE 2012</t>
  </si>
  <si>
    <t>NOMBRE 2013</t>
  </si>
  <si>
    <t>NOMBRE 2014</t>
  </si>
  <si>
    <t>NOMBRE 2015</t>
  </si>
  <si>
    <t>NOMBRE 2016</t>
  </si>
  <si>
    <t>NOMBRE 2017</t>
  </si>
  <si>
    <t>NOMBRE 2018</t>
  </si>
  <si>
    <t>NOMBRE 2019</t>
  </si>
  <si>
    <t>NOMBRE 2020</t>
  </si>
  <si>
    <t>NOMBRE 2021</t>
  </si>
  <si>
    <t>NOMBRE 2022</t>
  </si>
  <si>
    <t>NOMBRE 2023</t>
  </si>
  <si>
    <t>NOMBRE 2024</t>
  </si>
  <si>
    <t>NOMBRE 2025</t>
  </si>
  <si>
    <t>NOMBRE 2026</t>
  </si>
  <si>
    <t>NOMBRE 2027</t>
  </si>
  <si>
    <t>NOMBRE 2028</t>
  </si>
  <si>
    <t>NOMBRE 2029</t>
  </si>
  <si>
    <t>NOMBRE 2030</t>
  </si>
  <si>
    <t>NOMBRE 2031</t>
  </si>
  <si>
    <t>NOMBRE 2032</t>
  </si>
  <si>
    <t>NOMBRE 2033</t>
  </si>
  <si>
    <t>NOMBRE 2034</t>
  </si>
  <si>
    <t>NOMBRE 2035</t>
  </si>
  <si>
    <t>NOMBRE 2036</t>
  </si>
  <si>
    <t>NOMBRE 2037</t>
  </si>
  <si>
    <t>NOMBRE 2038</t>
  </si>
  <si>
    <t>NOMBRE 2039</t>
  </si>
  <si>
    <t>NOMBRE 2040</t>
  </si>
  <si>
    <t>NOMBRE 2041</t>
  </si>
  <si>
    <t>NOMBRE 2042</t>
  </si>
  <si>
    <t>NOMBRE 2043</t>
  </si>
  <si>
    <t>NOMBRE 2044</t>
  </si>
  <si>
    <t>NOMBRE 2045</t>
  </si>
  <si>
    <t>NOMBRE 2046</t>
  </si>
  <si>
    <t>NOMBRE 2047</t>
  </si>
  <si>
    <t>NOMBRE 2048</t>
  </si>
  <si>
    <t>NOMBRE 2049</t>
  </si>
  <si>
    <t>NOMBRE 2050</t>
  </si>
  <si>
    <t>NOMBRE 2051</t>
  </si>
  <si>
    <t>NOMBRE 2052</t>
  </si>
  <si>
    <t>NOMBRE 2053</t>
  </si>
  <si>
    <t>NOMBRE 2054</t>
  </si>
  <si>
    <t>NOMBRE 2055</t>
  </si>
  <si>
    <t>NOMBRE 2056</t>
  </si>
  <si>
    <t>NOMBRE 2057</t>
  </si>
  <si>
    <t>NOMBRE 2058</t>
  </si>
  <si>
    <t>NOMBRE 2059</t>
  </si>
  <si>
    <t>NOMBRE 2060</t>
  </si>
  <si>
    <t>NOMBRE 2061</t>
  </si>
  <si>
    <t>NOMBRE 2062</t>
  </si>
  <si>
    <t>NOMBRE 2063</t>
  </si>
  <si>
    <t>NOMBRE 2064</t>
  </si>
  <si>
    <t>NOMBRE 2065</t>
  </si>
  <si>
    <t>NOMBRE 2066</t>
  </si>
  <si>
    <t>NOMBRE 2067</t>
  </si>
  <si>
    <t>NOMBRE 2068</t>
  </si>
  <si>
    <t>NOMBRE 2069</t>
  </si>
  <si>
    <t>NOMBRE 2070</t>
  </si>
  <si>
    <t>NOMBRE 2071</t>
  </si>
  <si>
    <t>NOMBRE 2072</t>
  </si>
  <si>
    <t>NOMBRE 2073</t>
  </si>
  <si>
    <t>NOMBRE 2074</t>
  </si>
  <si>
    <t>NOMBRE 2075</t>
  </si>
  <si>
    <t>NOMBRE 2076</t>
  </si>
  <si>
    <t>NOMBRE 2077</t>
  </si>
  <si>
    <t>NOMBRE 2078</t>
  </si>
  <si>
    <t>NOMBRE 2079</t>
  </si>
  <si>
    <t>NOMBRE 2080</t>
  </si>
  <si>
    <t>NOMBRE 2081</t>
  </si>
  <si>
    <t>NOMBRE 2082</t>
  </si>
  <si>
    <t>NOMBRE 2083</t>
  </si>
  <si>
    <t>NOMBRE 2084</t>
  </si>
  <si>
    <t>NOMBRE 2085</t>
  </si>
  <si>
    <t>NOMBRE 2086</t>
  </si>
  <si>
    <t>NOMBRE 2087</t>
  </si>
  <si>
    <t>NOMBRE 2088</t>
  </si>
  <si>
    <t>NOMBRE 2089</t>
  </si>
  <si>
    <t>NOMBRE 2090</t>
  </si>
  <si>
    <t>NOMBRE 2091</t>
  </si>
  <si>
    <t>NOMBRE 2092</t>
  </si>
  <si>
    <t>NOMBRE 2093</t>
  </si>
  <si>
    <t>NOMBRE 2094</t>
  </si>
  <si>
    <t>NOMBRE 2095</t>
  </si>
  <si>
    <t>NOMBRE 2096</t>
  </si>
  <si>
    <t>NOMBRE 2097</t>
  </si>
  <si>
    <t>NOMBRE 2098</t>
  </si>
  <si>
    <t>NOMBRE 2099</t>
  </si>
  <si>
    <t>NOMBRE 2100</t>
  </si>
  <si>
    <t>NOMBRE 2101</t>
  </si>
  <si>
    <t>NOMBRE 2102</t>
  </si>
  <si>
    <t>NOMBRE 2103</t>
  </si>
  <si>
    <t>NOMBRE 2104</t>
  </si>
  <si>
    <t>NOMBRE 2105</t>
  </si>
  <si>
    <t>NOMBRE 2106</t>
  </si>
  <si>
    <t>NOMBRE 2107</t>
  </si>
  <si>
    <t>NOMBRE 2108</t>
  </si>
  <si>
    <t>NOMBRE 2109</t>
  </si>
  <si>
    <t>NOMBRE 2110</t>
  </si>
  <si>
    <t>NOMBRE 2111</t>
  </si>
  <si>
    <t>NOMBRE 2112</t>
  </si>
  <si>
    <t>NOMBRE 2113</t>
  </si>
  <si>
    <t>NOMBRE 2114</t>
  </si>
  <si>
    <t>NOMBRE 2115</t>
  </si>
  <si>
    <t>NOMBRE 2116</t>
  </si>
  <si>
    <t>NOMBRE 2117</t>
  </si>
  <si>
    <t>NOMBRE 2118</t>
  </si>
  <si>
    <t>APELLIDO 2</t>
  </si>
  <si>
    <t>APELLIDO 3</t>
  </si>
  <si>
    <t>APELLIDO 4</t>
  </si>
  <si>
    <t>APELLIDO 5</t>
  </si>
  <si>
    <t>APELLIDO 6</t>
  </si>
  <si>
    <t>APELLIDO 7</t>
  </si>
  <si>
    <t>APELLIDO 8</t>
  </si>
  <si>
    <t>APELLIDO 9</t>
  </si>
  <si>
    <t>APELLIDO 10</t>
  </si>
  <si>
    <t>APELLIDO 11</t>
  </si>
  <si>
    <t>APELLIDO 12</t>
  </si>
  <si>
    <t>APELLIDO 13</t>
  </si>
  <si>
    <t>APELLIDO 14</t>
  </si>
  <si>
    <t>APELLIDO 15</t>
  </si>
  <si>
    <t>APELLIDO 16</t>
  </si>
  <si>
    <t>APELLIDO 17</t>
  </si>
  <si>
    <t>APELLIDO 18</t>
  </si>
  <si>
    <t>APELLIDO 19</t>
  </si>
  <si>
    <t>APELLIDO 20</t>
  </si>
  <si>
    <t>APELLIDO 21</t>
  </si>
  <si>
    <t>APELLIDO 22</t>
  </si>
  <si>
    <t>APELLIDO 23</t>
  </si>
  <si>
    <t>APELLIDO 24</t>
  </si>
  <si>
    <t>APELLIDO 25</t>
  </si>
  <si>
    <t>APELLIDO 26</t>
  </si>
  <si>
    <t>APELLIDO 27</t>
  </si>
  <si>
    <t>APELLIDO 28</t>
  </si>
  <si>
    <t>APELLIDO 29</t>
  </si>
  <si>
    <t>APELLIDO 30</t>
  </si>
  <si>
    <t>APELLIDO 31</t>
  </si>
  <si>
    <t>APELLIDO 32</t>
  </si>
  <si>
    <t>APELLIDO 33</t>
  </si>
  <si>
    <t>APELLIDO 34</t>
  </si>
  <si>
    <t>APELLIDO 35</t>
  </si>
  <si>
    <t>APELLIDO 36</t>
  </si>
  <si>
    <t>APELLIDO 37</t>
  </si>
  <si>
    <t>APELLIDO 38</t>
  </si>
  <si>
    <t>APELLIDO 39</t>
  </si>
  <si>
    <t>APELLIDO 40</t>
  </si>
  <si>
    <t>APELLIDO 41</t>
  </si>
  <si>
    <t>APELLIDO 42</t>
  </si>
  <si>
    <t>APELLIDO 43</t>
  </si>
  <si>
    <t>APELLIDO 44</t>
  </si>
  <si>
    <t>APELLIDO 45</t>
  </si>
  <si>
    <t>APELLIDO 46</t>
  </si>
  <si>
    <t>APELLIDO 47</t>
  </si>
  <si>
    <t>APELLIDO 48</t>
  </si>
  <si>
    <t>APELLIDO 49</t>
  </si>
  <si>
    <t>APELLIDO 50</t>
  </si>
  <si>
    <t>APELLIDO 51</t>
  </si>
  <si>
    <t>APELLIDO 52</t>
  </si>
  <si>
    <t>APELLIDO 53</t>
  </si>
  <si>
    <t>APELLIDO 54</t>
  </si>
  <si>
    <t>APELLIDO 55</t>
  </si>
  <si>
    <t>APELLIDO 56</t>
  </si>
  <si>
    <t>APELLIDO 57</t>
  </si>
  <si>
    <t>APELLIDO 58</t>
  </si>
  <si>
    <t>APELLIDO 59</t>
  </si>
  <si>
    <t>APELLIDO 60</t>
  </si>
  <si>
    <t>APELLIDO 61</t>
  </si>
  <si>
    <t>APELLIDO 62</t>
  </si>
  <si>
    <t>APELLIDO 63</t>
  </si>
  <si>
    <t>APELLIDO 64</t>
  </si>
  <si>
    <t>APELLIDO 65</t>
  </si>
  <si>
    <t>APELLIDO 66</t>
  </si>
  <si>
    <t>APELLIDO 67</t>
  </si>
  <si>
    <t>APELLIDO 68</t>
  </si>
  <si>
    <t>APELLIDO 69</t>
  </si>
  <si>
    <t>APELLIDO 70</t>
  </si>
  <si>
    <t>APELLIDO 71</t>
  </si>
  <si>
    <t>APELLIDO 72</t>
  </si>
  <si>
    <t>APELLIDO 73</t>
  </si>
  <si>
    <t>APELLIDO 74</t>
  </si>
  <si>
    <t>APELLIDO 75</t>
  </si>
  <si>
    <t>APELLIDO 76</t>
  </si>
  <si>
    <t>APELLIDO 77</t>
  </si>
  <si>
    <t>APELLIDO 78</t>
  </si>
  <si>
    <t>APELLIDO 79</t>
  </si>
  <si>
    <t>APELLIDO 80</t>
  </si>
  <si>
    <t>APELLIDO 81</t>
  </si>
  <si>
    <t>APELLIDO 82</t>
  </si>
  <si>
    <t>APELLIDO 83</t>
  </si>
  <si>
    <t>APELLIDO 84</t>
  </si>
  <si>
    <t>APELLIDO 85</t>
  </si>
  <si>
    <t>APELLIDO 86</t>
  </si>
  <si>
    <t>APELLIDO 87</t>
  </si>
  <si>
    <t>APELLIDO 88</t>
  </si>
  <si>
    <t>APELLIDO 89</t>
  </si>
  <si>
    <t>APELLIDO 90</t>
  </si>
  <si>
    <t>APELLIDO 91</t>
  </si>
  <si>
    <t>APELLIDO 92</t>
  </si>
  <si>
    <t>APELLIDO 93</t>
  </si>
  <si>
    <t>APELLIDO 94</t>
  </si>
  <si>
    <t>APELLIDO 95</t>
  </si>
  <si>
    <t>APELLIDO 96</t>
  </si>
  <si>
    <t>APELLIDO 97</t>
  </si>
  <si>
    <t>APELLIDO 98</t>
  </si>
  <si>
    <t>APELLIDO 99</t>
  </si>
  <si>
    <t>APELLIDO 100</t>
  </si>
  <si>
    <t>APELLIDO 101</t>
  </si>
  <si>
    <t>APELLIDO 102</t>
  </si>
  <si>
    <t>APELLIDO 103</t>
  </si>
  <si>
    <t>APELLIDO 104</t>
  </si>
  <si>
    <t>APELLIDO 105</t>
  </si>
  <si>
    <t>APELLIDO 106</t>
  </si>
  <si>
    <t>APELLIDO 107</t>
  </si>
  <si>
    <t>APELLIDO 108</t>
  </si>
  <si>
    <t>APELLIDO 109</t>
  </si>
  <si>
    <t>APELLIDO 110</t>
  </si>
  <si>
    <t>APELLIDO 111</t>
  </si>
  <si>
    <t>APELLIDO 112</t>
  </si>
  <si>
    <t>APELLIDO 113</t>
  </si>
  <si>
    <t>APELLIDO 114</t>
  </si>
  <si>
    <t>APELLIDO 115</t>
  </si>
  <si>
    <t>APELLIDO 116</t>
  </si>
  <si>
    <t>APELLIDO 117</t>
  </si>
  <si>
    <t>APELLIDO 118</t>
  </si>
  <si>
    <t>APELLIDO 119</t>
  </si>
  <si>
    <t>APELLIDO 120</t>
  </si>
  <si>
    <t>APELLIDO 121</t>
  </si>
  <si>
    <t>APELLIDO 122</t>
  </si>
  <si>
    <t>APELLIDO 123</t>
  </si>
  <si>
    <t>APELLIDO 124</t>
  </si>
  <si>
    <t>APELLIDO 125</t>
  </si>
  <si>
    <t>APELLIDO 126</t>
  </si>
  <si>
    <t>APELLIDO 127</t>
  </si>
  <si>
    <t>APELLIDO 128</t>
  </si>
  <si>
    <t>APELLIDO 129</t>
  </si>
  <si>
    <t>APELLIDO 130</t>
  </si>
  <si>
    <t>APELLIDO 131</t>
  </si>
  <si>
    <t>APELLIDO 132</t>
  </si>
  <si>
    <t>APELLIDO 133</t>
  </si>
  <si>
    <t>APELLIDO 134</t>
  </si>
  <si>
    <t>APELLIDO 135</t>
  </si>
  <si>
    <t>APELLIDO 136</t>
  </si>
  <si>
    <t>APELLIDO 137</t>
  </si>
  <si>
    <t>APELLIDO 138</t>
  </si>
  <si>
    <t>APELLIDO 139</t>
  </si>
  <si>
    <t>APELLIDO 140</t>
  </si>
  <si>
    <t>APELLIDO 141</t>
  </si>
  <si>
    <t>APELLIDO 142</t>
  </si>
  <si>
    <t>APELLIDO 143</t>
  </si>
  <si>
    <t>APELLIDO 144</t>
  </si>
  <si>
    <t>APELLIDO 145</t>
  </si>
  <si>
    <t>APELLIDO 146</t>
  </si>
  <si>
    <t>APELLIDO 147</t>
  </si>
  <si>
    <t>APELLIDO 148</t>
  </si>
  <si>
    <t>APELLIDO 149</t>
  </si>
  <si>
    <t>APELLIDO 150</t>
  </si>
  <si>
    <t>APELLIDO 151</t>
  </si>
  <si>
    <t>APELLIDO 152</t>
  </si>
  <si>
    <t>APELLIDO 153</t>
  </si>
  <si>
    <t>APELLIDO 154</t>
  </si>
  <si>
    <t>APELLIDO 155</t>
  </si>
  <si>
    <t>APELLIDO 156</t>
  </si>
  <si>
    <t>APELLIDO 157</t>
  </si>
  <si>
    <t>APELLIDO 158</t>
  </si>
  <si>
    <t>APELLIDO 159</t>
  </si>
  <si>
    <t>APELLIDO 160</t>
  </si>
  <si>
    <t>APELLIDO 161</t>
  </si>
  <si>
    <t>APELLIDO 162</t>
  </si>
  <si>
    <t>APELLIDO 163</t>
  </si>
  <si>
    <t>APELLIDO 164</t>
  </si>
  <si>
    <t>APELLIDO 165</t>
  </si>
  <si>
    <t>APELLIDO 166</t>
  </si>
  <si>
    <t>APELLIDO 167</t>
  </si>
  <si>
    <t>APELLIDO 168</t>
  </si>
  <si>
    <t>APELLIDO 169</t>
  </si>
  <si>
    <t>APELLIDO 170</t>
  </si>
  <si>
    <t>APELLIDO 171</t>
  </si>
  <si>
    <t>APELLIDO 172</t>
  </si>
  <si>
    <t>APELLIDO 173</t>
  </si>
  <si>
    <t>APELLIDO 174</t>
  </si>
  <si>
    <t>APELLIDO 175</t>
  </si>
  <si>
    <t>APELLIDO 176</t>
  </si>
  <si>
    <t>APELLIDO 177</t>
  </si>
  <si>
    <t>APELLIDO 178</t>
  </si>
  <si>
    <t>APELLIDO 179</t>
  </si>
  <si>
    <t>APELLIDO 180</t>
  </si>
  <si>
    <t>APELLIDO 181</t>
  </si>
  <si>
    <t>APELLIDO 182</t>
  </si>
  <si>
    <t>APELLIDO 183</t>
  </si>
  <si>
    <t>APELLIDO 184</t>
  </si>
  <si>
    <t>APELLIDO 185</t>
  </si>
  <si>
    <t>APELLIDO 186</t>
  </si>
  <si>
    <t>APELLIDO 187</t>
  </si>
  <si>
    <t>APELLIDO 188</t>
  </si>
  <si>
    <t>APELLIDO 189</t>
  </si>
  <si>
    <t>APELLIDO 190</t>
  </si>
  <si>
    <t>APELLIDO 191</t>
  </si>
  <si>
    <t>APELLIDO 192</t>
  </si>
  <si>
    <t>APELLIDO 193</t>
  </si>
  <si>
    <t>APELLIDO 194</t>
  </si>
  <si>
    <t>APELLIDO 195</t>
  </si>
  <si>
    <t>APELLIDO 196</t>
  </si>
  <si>
    <t>APELLIDO 197</t>
  </si>
  <si>
    <t>APELLIDO 198</t>
  </si>
  <si>
    <t>APELLIDO 199</t>
  </si>
  <si>
    <t>APELLIDO 200</t>
  </si>
  <si>
    <t>APELLIDO 201</t>
  </si>
  <si>
    <t>APELLIDO 202</t>
  </si>
  <si>
    <t>APELLIDO 203</t>
  </si>
  <si>
    <t>APELLIDO 204</t>
  </si>
  <si>
    <t>APELLIDO 205</t>
  </si>
  <si>
    <t>APELLIDO 206</t>
  </si>
  <si>
    <t>APELLIDO 207</t>
  </si>
  <si>
    <t>APELLIDO 208</t>
  </si>
  <si>
    <t>APELLIDO 209</t>
  </si>
  <si>
    <t>APELLIDO 210</t>
  </si>
  <si>
    <t>APELLIDO 211</t>
  </si>
  <si>
    <t>APELLIDO 212</t>
  </si>
  <si>
    <t>APELLIDO 213</t>
  </si>
  <si>
    <t>APELLIDO 214</t>
  </si>
  <si>
    <t>APELLIDO 215</t>
  </si>
  <si>
    <t>APELLIDO 216</t>
  </si>
  <si>
    <t>APELLIDO 217</t>
  </si>
  <si>
    <t>APELLIDO 218</t>
  </si>
  <si>
    <t>APELLIDO 219</t>
  </si>
  <si>
    <t>APELLIDO 220</t>
  </si>
  <si>
    <t>APELLIDO 221</t>
  </si>
  <si>
    <t>APELLIDO 222</t>
  </si>
  <si>
    <t>APELLIDO 223</t>
  </si>
  <si>
    <t>APELLIDO 224</t>
  </si>
  <si>
    <t>APELLIDO 225</t>
  </si>
  <si>
    <t>APELLIDO 226</t>
  </si>
  <si>
    <t>APELLIDO 227</t>
  </si>
  <si>
    <t>APELLIDO 228</t>
  </si>
  <si>
    <t>APELLIDO 229</t>
  </si>
  <si>
    <t>APELLIDO 230</t>
  </si>
  <si>
    <t>APELLIDO 231</t>
  </si>
  <si>
    <t>APELLIDO 232</t>
  </si>
  <si>
    <t>APELLIDO 233</t>
  </si>
  <si>
    <t>APELLIDO 234</t>
  </si>
  <si>
    <t>APELLIDO 235</t>
  </si>
  <si>
    <t>APELLIDO 236</t>
  </si>
  <si>
    <t>APELLIDO 237</t>
  </si>
  <si>
    <t>APELLIDO 238</t>
  </si>
  <si>
    <t>APELLIDO 239</t>
  </si>
  <si>
    <t>APELLIDO 240</t>
  </si>
  <si>
    <t>APELLIDO 241</t>
  </si>
  <si>
    <t>APELLIDO 242</t>
  </si>
  <si>
    <t>APELLIDO 243</t>
  </si>
  <si>
    <t>APELLIDO 244</t>
  </si>
  <si>
    <t>APELLIDO 245</t>
  </si>
  <si>
    <t>APELLIDO 246</t>
  </si>
  <si>
    <t>APELLIDO 247</t>
  </si>
  <si>
    <t>APELLIDO 248</t>
  </si>
  <si>
    <t>APELLIDO 249</t>
  </si>
  <si>
    <t>APELLIDO 250</t>
  </si>
  <si>
    <t>APELLIDO 251</t>
  </si>
  <si>
    <t>APELLIDO 252</t>
  </si>
  <si>
    <t>APELLIDO 253</t>
  </si>
  <si>
    <t>APELLIDO 254</t>
  </si>
  <si>
    <t>APELLIDO 255</t>
  </si>
  <si>
    <t>APELLIDO 256</t>
  </si>
  <si>
    <t>APELLIDO 257</t>
  </si>
  <si>
    <t>APELLIDO 258</t>
  </si>
  <si>
    <t>APELLIDO 259</t>
  </si>
  <si>
    <t>APELLIDO 260</t>
  </si>
  <si>
    <t>APELLIDO 261</t>
  </si>
  <si>
    <t>APELLIDO 262</t>
  </si>
  <si>
    <t>APELLIDO 263</t>
  </si>
  <si>
    <t>APELLIDO 264</t>
  </si>
  <si>
    <t>APELLIDO 265</t>
  </si>
  <si>
    <t>APELLIDO 266</t>
  </si>
  <si>
    <t>APELLIDO 267</t>
  </si>
  <si>
    <t>APELLIDO 268</t>
  </si>
  <si>
    <t>APELLIDO 269</t>
  </si>
  <si>
    <t>APELLIDO 270</t>
  </si>
  <si>
    <t>APELLIDO 271</t>
  </si>
  <si>
    <t>APELLIDO 272</t>
  </si>
  <si>
    <t>APELLIDO 273</t>
  </si>
  <si>
    <t>APELLIDO 274</t>
  </si>
  <si>
    <t>APELLIDO 275</t>
  </si>
  <si>
    <t>APELLIDO 276</t>
  </si>
  <si>
    <t>APELLIDO 277</t>
  </si>
  <si>
    <t>APELLIDO 278</t>
  </si>
  <si>
    <t>APELLIDO 279</t>
  </si>
  <si>
    <t>APELLIDO 280</t>
  </si>
  <si>
    <t>APELLIDO 281</t>
  </si>
  <si>
    <t>APELLIDO 282</t>
  </si>
  <si>
    <t>APELLIDO 283</t>
  </si>
  <si>
    <t>APELLIDO 284</t>
  </si>
  <si>
    <t>APELLIDO 285</t>
  </si>
  <si>
    <t>APELLIDO 286</t>
  </si>
  <si>
    <t>APELLIDO 287</t>
  </si>
  <si>
    <t>APELLIDO 288</t>
  </si>
  <si>
    <t>APELLIDO 289</t>
  </si>
  <si>
    <t>APELLIDO 290</t>
  </si>
  <si>
    <t>APELLIDO 291</t>
  </si>
  <si>
    <t>APELLIDO 292</t>
  </si>
  <si>
    <t>APELLIDO 293</t>
  </si>
  <si>
    <t>APELLIDO 294</t>
  </si>
  <si>
    <t>APELLIDO 295</t>
  </si>
  <si>
    <t>APELLIDO 296</t>
  </si>
  <si>
    <t>APELLIDO 297</t>
  </si>
  <si>
    <t>APELLIDO 298</t>
  </si>
  <si>
    <t>APELLIDO 299</t>
  </si>
  <si>
    <t>APELLIDO 300</t>
  </si>
  <si>
    <t>APELLIDO 301</t>
  </si>
  <si>
    <t>APELLIDO 302</t>
  </si>
  <si>
    <t>APELLIDO 303</t>
  </si>
  <si>
    <t>APELLIDO 304</t>
  </si>
  <si>
    <t>APELLIDO 305</t>
  </si>
  <si>
    <t>APELLIDO 306</t>
  </si>
  <si>
    <t>APELLIDO 307</t>
  </si>
  <si>
    <t>APELLIDO 308</t>
  </si>
  <si>
    <t>APELLIDO 309</t>
  </si>
  <si>
    <t>APELLIDO 310</t>
  </si>
  <si>
    <t>APELLIDO 311</t>
  </si>
  <si>
    <t>APELLIDO 312</t>
  </si>
  <si>
    <t>APELLIDO 313</t>
  </si>
  <si>
    <t>APELLIDO 314</t>
  </si>
  <si>
    <t>APELLIDO 315</t>
  </si>
  <si>
    <t>APELLIDO 316</t>
  </si>
  <si>
    <t>APELLIDO 317</t>
  </si>
  <si>
    <t>APELLIDO 318</t>
  </si>
  <si>
    <t>APELLIDO 319</t>
  </si>
  <si>
    <t>APELLIDO 320</t>
  </si>
  <si>
    <t>APELLIDO 321</t>
  </si>
  <si>
    <t>APELLIDO 322</t>
  </si>
  <si>
    <t>APELLIDO 323</t>
  </si>
  <si>
    <t>APELLIDO 324</t>
  </si>
  <si>
    <t>APELLIDO 325</t>
  </si>
  <si>
    <t>APELLIDO 326</t>
  </si>
  <si>
    <t>APELLIDO 327</t>
  </si>
  <si>
    <t>APELLIDO 328</t>
  </si>
  <si>
    <t>APELLIDO 329</t>
  </si>
  <si>
    <t>APELLIDO 330</t>
  </si>
  <si>
    <t>APELLIDO 331</t>
  </si>
  <si>
    <t>APELLIDO 332</t>
  </si>
  <si>
    <t>APELLIDO 333</t>
  </si>
  <si>
    <t>APELLIDO 334</t>
  </si>
  <si>
    <t>APELLIDO 335</t>
  </si>
  <si>
    <t>APELLIDO 336</t>
  </si>
  <si>
    <t>APELLIDO 337</t>
  </si>
  <si>
    <t>APELLIDO 338</t>
  </si>
  <si>
    <t>APELLIDO 339</t>
  </si>
  <si>
    <t>APELLIDO 340</t>
  </si>
  <si>
    <t>APELLIDO 341</t>
  </si>
  <si>
    <t>APELLIDO 342</t>
  </si>
  <si>
    <t>APELLIDO 343</t>
  </si>
  <si>
    <t>APELLIDO 344</t>
  </si>
  <si>
    <t>APELLIDO 345</t>
  </si>
  <si>
    <t>APELLIDO 346</t>
  </si>
  <si>
    <t>APELLIDO 347</t>
  </si>
  <si>
    <t>APELLIDO 348</t>
  </si>
  <si>
    <t>APELLIDO 349</t>
  </si>
  <si>
    <t>APELLIDO 350</t>
  </si>
  <si>
    <t>APELLIDO 351</t>
  </si>
  <si>
    <t>APELLIDO 352</t>
  </si>
  <si>
    <t>APELLIDO 353</t>
  </si>
  <si>
    <t>APELLIDO 354</t>
  </si>
  <si>
    <t>APELLIDO 355</t>
  </si>
  <si>
    <t>APELLIDO 356</t>
  </si>
  <si>
    <t>APELLIDO 357</t>
  </si>
  <si>
    <t>APELLIDO 358</t>
  </si>
  <si>
    <t>APELLIDO 359</t>
  </si>
  <si>
    <t>APELLIDO 360</t>
  </si>
  <si>
    <t>APELLIDO 361</t>
  </si>
  <si>
    <t>APELLIDO 362</t>
  </si>
  <si>
    <t>APELLIDO 363</t>
  </si>
  <si>
    <t>APELLIDO 364</t>
  </si>
  <si>
    <t>APELLIDO 365</t>
  </si>
  <si>
    <t>APELLIDO 366</t>
  </si>
  <si>
    <t>APELLIDO 367</t>
  </si>
  <si>
    <t>APELLIDO 368</t>
  </si>
  <si>
    <t>APELLIDO 369</t>
  </si>
  <si>
    <t>APELLIDO 370</t>
  </si>
  <si>
    <t>APELLIDO 371</t>
  </si>
  <si>
    <t>APELLIDO 372</t>
  </si>
  <si>
    <t>APELLIDO 373</t>
  </si>
  <si>
    <t>APELLIDO 374</t>
  </si>
  <si>
    <t>APELLIDO 375</t>
  </si>
  <si>
    <t>APELLIDO 376</t>
  </si>
  <si>
    <t>APELLIDO 377</t>
  </si>
  <si>
    <t>APELLIDO 378</t>
  </si>
  <si>
    <t>APELLIDO 379</t>
  </si>
  <si>
    <t>APELLIDO 380</t>
  </si>
  <si>
    <t>APELLIDO 381</t>
  </si>
  <si>
    <t>APELLIDO 382</t>
  </si>
  <si>
    <t>APELLIDO 383</t>
  </si>
  <si>
    <t>APELLIDO 384</t>
  </si>
  <si>
    <t>APELLIDO 385</t>
  </si>
  <si>
    <t>APELLIDO 386</t>
  </si>
  <si>
    <t>APELLIDO 387</t>
  </si>
  <si>
    <t>APELLIDO 388</t>
  </si>
  <si>
    <t>APELLIDO 389</t>
  </si>
  <si>
    <t>APELLIDO 390</t>
  </si>
  <si>
    <t>APELLIDO 391</t>
  </si>
  <si>
    <t>APELLIDO 392</t>
  </si>
  <si>
    <t>APELLIDO 393</t>
  </si>
  <si>
    <t>APELLIDO 394</t>
  </si>
  <si>
    <t>APELLIDO 395</t>
  </si>
  <si>
    <t>APELLIDO 396</t>
  </si>
  <si>
    <t>APELLIDO 397</t>
  </si>
  <si>
    <t>APELLIDO 398</t>
  </si>
  <si>
    <t>APELLIDO 399</t>
  </si>
  <si>
    <t>APELLIDO 400</t>
  </si>
  <si>
    <t>APELLIDO 401</t>
  </si>
  <si>
    <t>APELLIDO 402</t>
  </si>
  <si>
    <t>APELLIDO 403</t>
  </si>
  <si>
    <t>APELLIDO 404</t>
  </si>
  <si>
    <t>APELLIDO 405</t>
  </si>
  <si>
    <t>APELLIDO 406</t>
  </si>
  <si>
    <t>APELLIDO 407</t>
  </si>
  <si>
    <t>APELLIDO 408</t>
  </si>
  <si>
    <t>APELLIDO 409</t>
  </si>
  <si>
    <t>APELLIDO 410</t>
  </si>
  <si>
    <t>APELLIDO 411</t>
  </si>
  <si>
    <t>APELLIDO 412</t>
  </si>
  <si>
    <t>APELLIDO 413</t>
  </si>
  <si>
    <t>APELLIDO 414</t>
  </si>
  <si>
    <t>APELLIDO 415</t>
  </si>
  <si>
    <t>APELLIDO 416</t>
  </si>
  <si>
    <t>APELLIDO 417</t>
  </si>
  <si>
    <t>APELLIDO 418</t>
  </si>
  <si>
    <t>APELLIDO 419</t>
  </si>
  <si>
    <t>APELLIDO 420</t>
  </si>
  <si>
    <t>APELLIDO 421</t>
  </si>
  <si>
    <t>APELLIDO 422</t>
  </si>
  <si>
    <t>APELLIDO 423</t>
  </si>
  <si>
    <t>APELLIDO 424</t>
  </si>
  <si>
    <t>APELLIDO 425</t>
  </si>
  <si>
    <t>APELLIDO 426</t>
  </si>
  <si>
    <t>APELLIDO 427</t>
  </si>
  <si>
    <t>APELLIDO 428</t>
  </si>
  <si>
    <t>APELLIDO 429</t>
  </si>
  <si>
    <t>APELLIDO 430</t>
  </si>
  <si>
    <t>APELLIDO 431</t>
  </si>
  <si>
    <t>APELLIDO 432</t>
  </si>
  <si>
    <t>APELLIDO 433</t>
  </si>
  <si>
    <t>APELLIDO 434</t>
  </si>
  <si>
    <t>APELLIDO 435</t>
  </si>
  <si>
    <t>APELLIDO 436</t>
  </si>
  <si>
    <t>APELLIDO 437</t>
  </si>
  <si>
    <t>APELLIDO 438</t>
  </si>
  <si>
    <t>APELLIDO 439</t>
  </si>
  <si>
    <t>APELLIDO 440</t>
  </si>
  <si>
    <t>APELLIDO 441</t>
  </si>
  <si>
    <t>APELLIDO 442</t>
  </si>
  <si>
    <t>APELLIDO 443</t>
  </si>
  <si>
    <t>APELLIDO 444</t>
  </si>
  <si>
    <t>APELLIDO 445</t>
  </si>
  <si>
    <t>APELLIDO 446</t>
  </si>
  <si>
    <t>APELLIDO 447</t>
  </si>
  <si>
    <t>APELLIDO 448</t>
  </si>
  <si>
    <t>APELLIDO 449</t>
  </si>
  <si>
    <t>APELLIDO 450</t>
  </si>
  <si>
    <t>APELLIDO 451</t>
  </si>
  <si>
    <t>APELLIDO 452</t>
  </si>
  <si>
    <t>APELLIDO 453</t>
  </si>
  <si>
    <t>APELLIDO 454</t>
  </si>
  <si>
    <t>APELLIDO 455</t>
  </si>
  <si>
    <t>APELLIDO 456</t>
  </si>
  <si>
    <t>APELLIDO 457</t>
  </si>
  <si>
    <t>APELLIDO 458</t>
  </si>
  <si>
    <t>APELLIDO 459</t>
  </si>
  <si>
    <t>APELLIDO 460</t>
  </si>
  <si>
    <t>APELLIDO 461</t>
  </si>
  <si>
    <t>APELLIDO 462</t>
  </si>
  <si>
    <t>APELLIDO 463</t>
  </si>
  <si>
    <t>APELLIDO 464</t>
  </si>
  <si>
    <t>APELLIDO 465</t>
  </si>
  <si>
    <t>APELLIDO 466</t>
  </si>
  <si>
    <t>APELLIDO 467</t>
  </si>
  <si>
    <t>APELLIDO 468</t>
  </si>
  <si>
    <t>APELLIDO 469</t>
  </si>
  <si>
    <t>APELLIDO 470</t>
  </si>
  <si>
    <t>APELLIDO 471</t>
  </si>
  <si>
    <t>APELLIDO 472</t>
  </si>
  <si>
    <t>APELLIDO 473</t>
  </si>
  <si>
    <t>APELLIDO 474</t>
  </si>
  <si>
    <t>APELLIDO 475</t>
  </si>
  <si>
    <t>APELLIDO 476</t>
  </si>
  <si>
    <t>APELLIDO 477</t>
  </si>
  <si>
    <t>APELLIDO 478</t>
  </si>
  <si>
    <t>APELLIDO 479</t>
  </si>
  <si>
    <t>APELLIDO 480</t>
  </si>
  <si>
    <t>APELLIDO 481</t>
  </si>
  <si>
    <t>APELLIDO 482</t>
  </si>
  <si>
    <t>APELLIDO 483</t>
  </si>
  <si>
    <t>APELLIDO 484</t>
  </si>
  <si>
    <t>APELLIDO 485</t>
  </si>
  <si>
    <t>APELLIDO 486</t>
  </si>
  <si>
    <t>APELLIDO 487</t>
  </si>
  <si>
    <t>APELLIDO 488</t>
  </si>
  <si>
    <t>APELLIDO 489</t>
  </si>
  <si>
    <t>APELLIDO 490</t>
  </si>
  <si>
    <t>APELLIDO 491</t>
  </si>
  <si>
    <t>APELLIDO 492</t>
  </si>
  <si>
    <t>APELLIDO 493</t>
  </si>
  <si>
    <t>APELLIDO 494</t>
  </si>
  <si>
    <t>APELLIDO 495</t>
  </si>
  <si>
    <t>APELLIDO 496</t>
  </si>
  <si>
    <t>APELLIDO 497</t>
  </si>
  <si>
    <t>APELLIDO 498</t>
  </si>
  <si>
    <t>APELLIDO 499</t>
  </si>
  <si>
    <t>APELLIDO 500</t>
  </si>
  <si>
    <t>APELLIDO 501</t>
  </si>
  <si>
    <t>APELLIDO 502</t>
  </si>
  <si>
    <t>APELLIDO 503</t>
  </si>
  <si>
    <t>APELLIDO 504</t>
  </si>
  <si>
    <t>APELLIDO 505</t>
  </si>
  <si>
    <t>APELLIDO 506</t>
  </si>
  <si>
    <t>APELLIDO 507</t>
  </si>
  <si>
    <t>APELLIDO 508</t>
  </si>
  <si>
    <t>APELLIDO 509</t>
  </si>
  <si>
    <t>APELLIDO 510</t>
  </si>
  <si>
    <t>APELLIDO 511</t>
  </si>
  <si>
    <t>APELLIDO 512</t>
  </si>
  <si>
    <t>APELLIDO 513</t>
  </si>
  <si>
    <t>APELLIDO 514</t>
  </si>
  <si>
    <t>APELLIDO 515</t>
  </si>
  <si>
    <t>APELLIDO 516</t>
  </si>
  <si>
    <t>APELLIDO 517</t>
  </si>
  <si>
    <t>APELLIDO 518</t>
  </si>
  <si>
    <t>APELLIDO 519</t>
  </si>
  <si>
    <t>APELLIDO 520</t>
  </si>
  <si>
    <t>APELLIDO 521</t>
  </si>
  <si>
    <t>APELLIDO 522</t>
  </si>
  <si>
    <t>APELLIDO 523</t>
  </si>
  <si>
    <t>APELLIDO 524</t>
  </si>
  <si>
    <t>APELLIDO 525</t>
  </si>
  <si>
    <t>APELLIDO 526</t>
  </si>
  <si>
    <t>APELLIDO 527</t>
  </si>
  <si>
    <t>APELLIDO 528</t>
  </si>
  <si>
    <t>APELLIDO 529</t>
  </si>
  <si>
    <t>APELLIDO 530</t>
  </si>
  <si>
    <t>APELLIDO 531</t>
  </si>
  <si>
    <t>APELLIDO 532</t>
  </si>
  <si>
    <t>APELLIDO 533</t>
  </si>
  <si>
    <t>APELLIDO 534</t>
  </si>
  <si>
    <t>APELLIDO 535</t>
  </si>
  <si>
    <t>APELLIDO 536</t>
  </si>
  <si>
    <t>APELLIDO 537</t>
  </si>
  <si>
    <t>APELLIDO 538</t>
  </si>
  <si>
    <t>APELLIDO 539</t>
  </si>
  <si>
    <t>APELLIDO 540</t>
  </si>
  <si>
    <t>APELLIDO 541</t>
  </si>
  <si>
    <t>APELLIDO 542</t>
  </si>
  <si>
    <t>APELLIDO 543</t>
  </si>
  <si>
    <t>APELLIDO 544</t>
  </si>
  <si>
    <t>APELLIDO 545</t>
  </si>
  <si>
    <t>APELLIDO 546</t>
  </si>
  <si>
    <t>APELLIDO 547</t>
  </si>
  <si>
    <t>APELLIDO 548</t>
  </si>
  <si>
    <t>APELLIDO 549</t>
  </si>
  <si>
    <t>APELLIDO 550</t>
  </si>
  <si>
    <t>APELLIDO 551</t>
  </si>
  <si>
    <t>APELLIDO 552</t>
  </si>
  <si>
    <t>APELLIDO 553</t>
  </si>
  <si>
    <t>APELLIDO 554</t>
  </si>
  <si>
    <t>APELLIDO 555</t>
  </si>
  <si>
    <t>APELLIDO 556</t>
  </si>
  <si>
    <t>APELLIDO 557</t>
  </si>
  <si>
    <t>APELLIDO 558</t>
  </si>
  <si>
    <t>APELLIDO 559</t>
  </si>
  <si>
    <t>APELLIDO 560</t>
  </si>
  <si>
    <t>APELLIDO 561</t>
  </si>
  <si>
    <t>APELLIDO 562</t>
  </si>
  <si>
    <t>APELLIDO 563</t>
  </si>
  <si>
    <t>APELLIDO 564</t>
  </si>
  <si>
    <t>APELLIDO 565</t>
  </si>
  <si>
    <t>APELLIDO 566</t>
  </si>
  <si>
    <t>APELLIDO 567</t>
  </si>
  <si>
    <t>APELLIDO 568</t>
  </si>
  <si>
    <t>APELLIDO 569</t>
  </si>
  <si>
    <t>APELLIDO 570</t>
  </si>
  <si>
    <t>APELLIDO 571</t>
  </si>
  <si>
    <t>APELLIDO 572</t>
  </si>
  <si>
    <t>APELLIDO 573</t>
  </si>
  <si>
    <t>APELLIDO 574</t>
  </si>
  <si>
    <t>APELLIDO 575</t>
  </si>
  <si>
    <t>APELLIDO 576</t>
  </si>
  <si>
    <t>APELLIDO 577</t>
  </si>
  <si>
    <t>APELLIDO 578</t>
  </si>
  <si>
    <t>APELLIDO 579</t>
  </si>
  <si>
    <t>APELLIDO 580</t>
  </si>
  <si>
    <t>APELLIDO 581</t>
  </si>
  <si>
    <t>APELLIDO 582</t>
  </si>
  <si>
    <t>APELLIDO 583</t>
  </si>
  <si>
    <t>APELLIDO 584</t>
  </si>
  <si>
    <t>APELLIDO 585</t>
  </si>
  <si>
    <t>APELLIDO 586</t>
  </si>
  <si>
    <t>APELLIDO 587</t>
  </si>
  <si>
    <t>APELLIDO 588</t>
  </si>
  <si>
    <t>APELLIDO 589</t>
  </si>
  <si>
    <t>APELLIDO 590</t>
  </si>
  <si>
    <t>APELLIDO 591</t>
  </si>
  <si>
    <t>APELLIDO 592</t>
  </si>
  <si>
    <t>APELLIDO 593</t>
  </si>
  <si>
    <t>APELLIDO 594</t>
  </si>
  <si>
    <t>APELLIDO 595</t>
  </si>
  <si>
    <t>APELLIDO 596</t>
  </si>
  <si>
    <t>APELLIDO 597</t>
  </si>
  <si>
    <t>APELLIDO 598</t>
  </si>
  <si>
    <t>APELLIDO 599</t>
  </si>
  <si>
    <t>APELLIDO 600</t>
  </si>
  <si>
    <t>APELLIDO 601</t>
  </si>
  <si>
    <t>APELLIDO 602</t>
  </si>
  <si>
    <t>APELLIDO 603</t>
  </si>
  <si>
    <t>APELLIDO 604</t>
  </si>
  <si>
    <t>APELLIDO 605</t>
  </si>
  <si>
    <t>APELLIDO 606</t>
  </si>
  <si>
    <t>APELLIDO 607</t>
  </si>
  <si>
    <t>APELLIDO 608</t>
  </si>
  <si>
    <t>APELLIDO 609</t>
  </si>
  <si>
    <t>APELLIDO 610</t>
  </si>
  <si>
    <t>APELLIDO 611</t>
  </si>
  <si>
    <t>APELLIDO 612</t>
  </si>
  <si>
    <t>APELLIDO 613</t>
  </si>
  <si>
    <t>APELLIDO 614</t>
  </si>
  <si>
    <t>APELLIDO 615</t>
  </si>
  <si>
    <t>APELLIDO 616</t>
  </si>
  <si>
    <t>APELLIDO 617</t>
  </si>
  <si>
    <t>APELLIDO 618</t>
  </si>
  <si>
    <t>APELLIDO 619</t>
  </si>
  <si>
    <t>APELLIDO 620</t>
  </si>
  <si>
    <t>APELLIDO 621</t>
  </si>
  <si>
    <t>APELLIDO 622</t>
  </si>
  <si>
    <t>APELLIDO 623</t>
  </si>
  <si>
    <t>APELLIDO 624</t>
  </si>
  <si>
    <t>APELLIDO 625</t>
  </si>
  <si>
    <t>APELLIDO 626</t>
  </si>
  <si>
    <t>APELLIDO 627</t>
  </si>
  <si>
    <t>APELLIDO 628</t>
  </si>
  <si>
    <t>APELLIDO 629</t>
  </si>
  <si>
    <t>APELLIDO 630</t>
  </si>
  <si>
    <t>APELLIDO 631</t>
  </si>
  <si>
    <t>APELLIDO 632</t>
  </si>
  <si>
    <t>APELLIDO 633</t>
  </si>
  <si>
    <t>APELLIDO 634</t>
  </si>
  <si>
    <t>APELLIDO 635</t>
  </si>
  <si>
    <t>APELLIDO 636</t>
  </si>
  <si>
    <t>APELLIDO 637</t>
  </si>
  <si>
    <t>APELLIDO 638</t>
  </si>
  <si>
    <t>APELLIDO 639</t>
  </si>
  <si>
    <t>APELLIDO 640</t>
  </si>
  <si>
    <t>APELLIDO 641</t>
  </si>
  <si>
    <t>APELLIDO 642</t>
  </si>
  <si>
    <t>APELLIDO 643</t>
  </si>
  <si>
    <t>APELLIDO 644</t>
  </si>
  <si>
    <t>APELLIDO 645</t>
  </si>
  <si>
    <t>APELLIDO 646</t>
  </si>
  <si>
    <t>APELLIDO 647</t>
  </si>
  <si>
    <t>APELLIDO 648</t>
  </si>
  <si>
    <t>APELLIDO 649</t>
  </si>
  <si>
    <t>APELLIDO 650</t>
  </si>
  <si>
    <t>APELLIDO 651</t>
  </si>
  <si>
    <t>APELLIDO 652</t>
  </si>
  <si>
    <t>APELLIDO 653</t>
  </si>
  <si>
    <t>APELLIDO 654</t>
  </si>
  <si>
    <t>APELLIDO 655</t>
  </si>
  <si>
    <t>APELLIDO 656</t>
  </si>
  <si>
    <t>APELLIDO 657</t>
  </si>
  <si>
    <t>APELLIDO 658</t>
  </si>
  <si>
    <t>APELLIDO 659</t>
  </si>
  <si>
    <t>APELLIDO 660</t>
  </si>
  <si>
    <t>APELLIDO 661</t>
  </si>
  <si>
    <t>APELLIDO 662</t>
  </si>
  <si>
    <t>APELLIDO 663</t>
  </si>
  <si>
    <t>APELLIDO 664</t>
  </si>
  <si>
    <t>APELLIDO 665</t>
  </si>
  <si>
    <t>APELLIDO 666</t>
  </si>
  <si>
    <t>APELLIDO 667</t>
  </si>
  <si>
    <t>APELLIDO 668</t>
  </si>
  <si>
    <t>APELLIDO 669</t>
  </si>
  <si>
    <t>APELLIDO 670</t>
  </si>
  <si>
    <t>APELLIDO 671</t>
  </si>
  <si>
    <t>APELLIDO 672</t>
  </si>
  <si>
    <t>APELLIDO 673</t>
  </si>
  <si>
    <t>APELLIDO 674</t>
  </si>
  <si>
    <t>APELLIDO 675</t>
  </si>
  <si>
    <t>APELLIDO 676</t>
  </si>
  <si>
    <t>APELLIDO 677</t>
  </si>
  <si>
    <t>APELLIDO 678</t>
  </si>
  <si>
    <t>APELLIDO 679</t>
  </si>
  <si>
    <t>APELLIDO 680</t>
  </si>
  <si>
    <t>APELLIDO 681</t>
  </si>
  <si>
    <t>APELLIDO 682</t>
  </si>
  <si>
    <t>APELLIDO 683</t>
  </si>
  <si>
    <t>APELLIDO 684</t>
  </si>
  <si>
    <t>APELLIDO 685</t>
  </si>
  <si>
    <t>APELLIDO 686</t>
  </si>
  <si>
    <t>APELLIDO 687</t>
  </si>
  <si>
    <t>APELLIDO 688</t>
  </si>
  <si>
    <t>APELLIDO 689</t>
  </si>
  <si>
    <t>APELLIDO 690</t>
  </si>
  <si>
    <t>APELLIDO 691</t>
  </si>
  <si>
    <t>APELLIDO 692</t>
  </si>
  <si>
    <t>APELLIDO 693</t>
  </si>
  <si>
    <t>APELLIDO 694</t>
  </si>
  <si>
    <t>APELLIDO 695</t>
  </si>
  <si>
    <t>APELLIDO 696</t>
  </si>
  <si>
    <t>APELLIDO 697</t>
  </si>
  <si>
    <t>APELLIDO 698</t>
  </si>
  <si>
    <t>APELLIDO 699</t>
  </si>
  <si>
    <t>APELLIDO 700</t>
  </si>
  <si>
    <t>APELLIDO 701</t>
  </si>
  <si>
    <t>APELLIDO 702</t>
  </si>
  <si>
    <t>APELLIDO 703</t>
  </si>
  <si>
    <t>APELLIDO 704</t>
  </si>
  <si>
    <t>APELLIDO 705</t>
  </si>
  <si>
    <t>APELLIDO 706</t>
  </si>
  <si>
    <t>APELLIDO 707</t>
  </si>
  <si>
    <t>APELLIDO 708</t>
  </si>
  <si>
    <t>APELLIDO 709</t>
  </si>
  <si>
    <t>APELLIDO 710</t>
  </si>
  <si>
    <t>APELLIDO 711</t>
  </si>
  <si>
    <t>APELLIDO 712</t>
  </si>
  <si>
    <t>APELLIDO 713</t>
  </si>
  <si>
    <t>APELLIDO 714</t>
  </si>
  <si>
    <t>APELLIDO 715</t>
  </si>
  <si>
    <t>APELLIDO 716</t>
  </si>
  <si>
    <t>APELLIDO 717</t>
  </si>
  <si>
    <t>APELLIDO 718</t>
  </si>
  <si>
    <t>APELLIDO 719</t>
  </si>
  <si>
    <t>APELLIDO 720</t>
  </si>
  <si>
    <t>APELLIDO 721</t>
  </si>
  <si>
    <t>APELLIDO 722</t>
  </si>
  <si>
    <t>APELLIDO 723</t>
  </si>
  <si>
    <t>APELLIDO 724</t>
  </si>
  <si>
    <t>APELLIDO 725</t>
  </si>
  <si>
    <t>APELLIDO 726</t>
  </si>
  <si>
    <t>APELLIDO 727</t>
  </si>
  <si>
    <t>APELLIDO 728</t>
  </si>
  <si>
    <t>APELLIDO 729</t>
  </si>
  <si>
    <t>APELLIDO 730</t>
  </si>
  <si>
    <t>APELLIDO 731</t>
  </si>
  <si>
    <t>APELLIDO 732</t>
  </si>
  <si>
    <t>APELLIDO 733</t>
  </si>
  <si>
    <t>APELLIDO 734</t>
  </si>
  <si>
    <t>APELLIDO 735</t>
  </si>
  <si>
    <t>APELLIDO 736</t>
  </si>
  <si>
    <t>APELLIDO 737</t>
  </si>
  <si>
    <t>APELLIDO 738</t>
  </si>
  <si>
    <t>APELLIDO 739</t>
  </si>
  <si>
    <t>APELLIDO 740</t>
  </si>
  <si>
    <t>APELLIDO 741</t>
  </si>
  <si>
    <t>APELLIDO 742</t>
  </si>
  <si>
    <t>APELLIDO 743</t>
  </si>
  <si>
    <t>APELLIDO 744</t>
  </si>
  <si>
    <t>APELLIDO 745</t>
  </si>
  <si>
    <t>APELLIDO 746</t>
  </si>
  <si>
    <t>APELLIDO 747</t>
  </si>
  <si>
    <t>APELLIDO 748</t>
  </si>
  <si>
    <t>APELLIDO 749</t>
  </si>
  <si>
    <t>APELLIDO 750</t>
  </si>
  <si>
    <t>APELLIDO 751</t>
  </si>
  <si>
    <t>APELLIDO 752</t>
  </si>
  <si>
    <t>APELLIDO 753</t>
  </si>
  <si>
    <t>APELLIDO 754</t>
  </si>
  <si>
    <t>APELLIDO 755</t>
  </si>
  <si>
    <t>APELLIDO 756</t>
  </si>
  <si>
    <t>APELLIDO 757</t>
  </si>
  <si>
    <t>APELLIDO 758</t>
  </si>
  <si>
    <t>APELLIDO 759</t>
  </si>
  <si>
    <t>APELLIDO 760</t>
  </si>
  <si>
    <t>APELLIDO 761</t>
  </si>
  <si>
    <t>APELLIDO 762</t>
  </si>
  <si>
    <t>APELLIDO 763</t>
  </si>
  <si>
    <t>APELLIDO 764</t>
  </si>
  <si>
    <t>APELLIDO 765</t>
  </si>
  <si>
    <t>APELLIDO 766</t>
  </si>
  <si>
    <t>APELLIDO 767</t>
  </si>
  <si>
    <t>APELLIDO 768</t>
  </si>
  <si>
    <t>APELLIDO 769</t>
  </si>
  <si>
    <t>APELLIDO 770</t>
  </si>
  <si>
    <t>APELLIDO 771</t>
  </si>
  <si>
    <t>APELLIDO 772</t>
  </si>
  <si>
    <t>APELLIDO 773</t>
  </si>
  <si>
    <t>APELLIDO 774</t>
  </si>
  <si>
    <t>APELLIDO 775</t>
  </si>
  <si>
    <t>APELLIDO 776</t>
  </si>
  <si>
    <t>APELLIDO 777</t>
  </si>
  <si>
    <t>APELLIDO 778</t>
  </si>
  <si>
    <t>APELLIDO 779</t>
  </si>
  <si>
    <t>APELLIDO 780</t>
  </si>
  <si>
    <t>APELLIDO 781</t>
  </si>
  <si>
    <t>APELLIDO 782</t>
  </si>
  <si>
    <t>APELLIDO 783</t>
  </si>
  <si>
    <t>APELLIDO 784</t>
  </si>
  <si>
    <t>APELLIDO 785</t>
  </si>
  <si>
    <t>APELLIDO 786</t>
  </si>
  <si>
    <t>APELLIDO 787</t>
  </si>
  <si>
    <t>APELLIDO 788</t>
  </si>
  <si>
    <t>APELLIDO 789</t>
  </si>
  <si>
    <t>APELLIDO 790</t>
  </si>
  <si>
    <t>APELLIDO 791</t>
  </si>
  <si>
    <t>APELLIDO 792</t>
  </si>
  <si>
    <t>APELLIDO 793</t>
  </si>
  <si>
    <t>APELLIDO 794</t>
  </si>
  <si>
    <t>APELLIDO 795</t>
  </si>
  <si>
    <t>APELLIDO 796</t>
  </si>
  <si>
    <t>APELLIDO 797</t>
  </si>
  <si>
    <t>APELLIDO 798</t>
  </si>
  <si>
    <t>APELLIDO 799</t>
  </si>
  <si>
    <t>APELLIDO 800</t>
  </si>
  <si>
    <t>APELLIDO 801</t>
  </si>
  <si>
    <t>APELLIDO 802</t>
  </si>
  <si>
    <t>APELLIDO 803</t>
  </si>
  <si>
    <t>APELLIDO 804</t>
  </si>
  <si>
    <t>APELLIDO 805</t>
  </si>
  <si>
    <t>APELLIDO 806</t>
  </si>
  <si>
    <t>APELLIDO 807</t>
  </si>
  <si>
    <t>APELLIDO 808</t>
  </si>
  <si>
    <t>APELLIDO 809</t>
  </si>
  <si>
    <t>APELLIDO 810</t>
  </si>
  <si>
    <t>APELLIDO 811</t>
  </si>
  <si>
    <t>APELLIDO 812</t>
  </si>
  <si>
    <t>APELLIDO 813</t>
  </si>
  <si>
    <t>APELLIDO 814</t>
  </si>
  <si>
    <t>APELLIDO 815</t>
  </si>
  <si>
    <t>APELLIDO 816</t>
  </si>
  <si>
    <t>APELLIDO 817</t>
  </si>
  <si>
    <t>APELLIDO 818</t>
  </si>
  <si>
    <t>APELLIDO 819</t>
  </si>
  <si>
    <t>APELLIDO 820</t>
  </si>
  <si>
    <t>APELLIDO 821</t>
  </si>
  <si>
    <t>APELLIDO 822</t>
  </si>
  <si>
    <t>APELLIDO 823</t>
  </si>
  <si>
    <t>APELLIDO 824</t>
  </si>
  <si>
    <t>APELLIDO 825</t>
  </si>
  <si>
    <t>APELLIDO 826</t>
  </si>
  <si>
    <t>APELLIDO 827</t>
  </si>
  <si>
    <t>APELLIDO 828</t>
  </si>
  <si>
    <t>APELLIDO 829</t>
  </si>
  <si>
    <t>APELLIDO 830</t>
  </si>
  <si>
    <t>APELLIDO 831</t>
  </si>
  <si>
    <t>APELLIDO 832</t>
  </si>
  <si>
    <t>APELLIDO 833</t>
  </si>
  <si>
    <t>APELLIDO 834</t>
  </si>
  <si>
    <t>APELLIDO 835</t>
  </si>
  <si>
    <t>APELLIDO 836</t>
  </si>
  <si>
    <t>APELLIDO 837</t>
  </si>
  <si>
    <t>APELLIDO 838</t>
  </si>
  <si>
    <t>APELLIDO 839</t>
  </si>
  <si>
    <t>APELLIDO 840</t>
  </si>
  <si>
    <t>APELLIDO 841</t>
  </si>
  <si>
    <t>APELLIDO 842</t>
  </si>
  <si>
    <t>APELLIDO 843</t>
  </si>
  <si>
    <t>APELLIDO 844</t>
  </si>
  <si>
    <t>APELLIDO 845</t>
  </si>
  <si>
    <t>APELLIDO 846</t>
  </si>
  <si>
    <t>APELLIDO 847</t>
  </si>
  <si>
    <t>APELLIDO 848</t>
  </si>
  <si>
    <t>APELLIDO 849</t>
  </si>
  <si>
    <t>APELLIDO 850</t>
  </si>
  <si>
    <t>APELLIDO 851</t>
  </si>
  <si>
    <t>APELLIDO 852</t>
  </si>
  <si>
    <t>APELLIDO 853</t>
  </si>
  <si>
    <t>APELLIDO 854</t>
  </si>
  <si>
    <t>APELLIDO 855</t>
  </si>
  <si>
    <t>APELLIDO 856</t>
  </si>
  <si>
    <t>APELLIDO 857</t>
  </si>
  <si>
    <t>APELLIDO 858</t>
  </si>
  <si>
    <t>APELLIDO 859</t>
  </si>
  <si>
    <t>APELLIDO 860</t>
  </si>
  <si>
    <t>APELLIDO 861</t>
  </si>
  <si>
    <t>APELLIDO 862</t>
  </si>
  <si>
    <t>APELLIDO 863</t>
  </si>
  <si>
    <t>APELLIDO 864</t>
  </si>
  <si>
    <t>APELLIDO 865</t>
  </si>
  <si>
    <t>APELLIDO 866</t>
  </si>
  <si>
    <t>APELLIDO 867</t>
  </si>
  <si>
    <t>APELLIDO 868</t>
  </si>
  <si>
    <t>APELLIDO 869</t>
  </si>
  <si>
    <t>APELLIDO 870</t>
  </si>
  <si>
    <t>APELLIDO 871</t>
  </si>
  <si>
    <t>APELLIDO 872</t>
  </si>
  <si>
    <t>APELLIDO 873</t>
  </si>
  <si>
    <t>APELLIDO 874</t>
  </si>
  <si>
    <t>APELLIDO 875</t>
  </si>
  <si>
    <t>APELLIDO 876</t>
  </si>
  <si>
    <t>APELLIDO 877</t>
  </si>
  <si>
    <t>APELLIDO 878</t>
  </si>
  <si>
    <t>APELLIDO 879</t>
  </si>
  <si>
    <t>APELLIDO 880</t>
  </si>
  <si>
    <t>APELLIDO 881</t>
  </si>
  <si>
    <t>APELLIDO 882</t>
  </si>
  <si>
    <t>APELLIDO 883</t>
  </si>
  <si>
    <t>APELLIDO 884</t>
  </si>
  <si>
    <t>APELLIDO 885</t>
  </si>
  <si>
    <t>APELLIDO 886</t>
  </si>
  <si>
    <t>APELLIDO 887</t>
  </si>
  <si>
    <t>APELLIDO 888</t>
  </si>
  <si>
    <t>APELLIDO 889</t>
  </si>
  <si>
    <t>APELLIDO 890</t>
  </si>
  <si>
    <t>APELLIDO 891</t>
  </si>
  <si>
    <t>APELLIDO 892</t>
  </si>
  <si>
    <t>APELLIDO 893</t>
  </si>
  <si>
    <t>APELLIDO 894</t>
  </si>
  <si>
    <t>APELLIDO 895</t>
  </si>
  <si>
    <t>APELLIDO 896</t>
  </si>
  <si>
    <t>APELLIDO 897</t>
  </si>
  <si>
    <t>APELLIDO 898</t>
  </si>
  <si>
    <t>APELLIDO 899</t>
  </si>
  <si>
    <t>APELLIDO 900</t>
  </si>
  <si>
    <t>APELLIDO 901</t>
  </si>
  <si>
    <t>APELLIDO 902</t>
  </si>
  <si>
    <t>APELLIDO 903</t>
  </si>
  <si>
    <t>APELLIDO 904</t>
  </si>
  <si>
    <t>APELLIDO 905</t>
  </si>
  <si>
    <t>APELLIDO 906</t>
  </si>
  <si>
    <t>APELLIDO 907</t>
  </si>
  <si>
    <t>APELLIDO 908</t>
  </si>
  <si>
    <t>APELLIDO 909</t>
  </si>
  <si>
    <t>APELLIDO 910</t>
  </si>
  <si>
    <t>APELLIDO 911</t>
  </si>
  <si>
    <t>APELLIDO 912</t>
  </si>
  <si>
    <t>APELLIDO 913</t>
  </si>
  <si>
    <t>APELLIDO 914</t>
  </si>
  <si>
    <t>APELLIDO 915</t>
  </si>
  <si>
    <t>APELLIDO 916</t>
  </si>
  <si>
    <t>APELLIDO 917</t>
  </si>
  <si>
    <t>APELLIDO 918</t>
  </si>
  <si>
    <t>APELLIDO 919</t>
  </si>
  <si>
    <t>APELLIDO 920</t>
  </si>
  <si>
    <t>APELLIDO 921</t>
  </si>
  <si>
    <t>APELLIDO 922</t>
  </si>
  <si>
    <t>APELLIDO 923</t>
  </si>
  <si>
    <t>APELLIDO 924</t>
  </si>
  <si>
    <t>APELLIDO 925</t>
  </si>
  <si>
    <t>APELLIDO 926</t>
  </si>
  <si>
    <t>APELLIDO 927</t>
  </si>
  <si>
    <t>APELLIDO 928</t>
  </si>
  <si>
    <t>APELLIDO 929</t>
  </si>
  <si>
    <t>APELLIDO 930</t>
  </si>
  <si>
    <t>APELLIDO 931</t>
  </si>
  <si>
    <t>APELLIDO 932</t>
  </si>
  <si>
    <t>APELLIDO 933</t>
  </si>
  <si>
    <t>APELLIDO 934</t>
  </si>
  <si>
    <t>APELLIDO 935</t>
  </si>
  <si>
    <t>APELLIDO 936</t>
  </si>
  <si>
    <t>APELLIDO 937</t>
  </si>
  <si>
    <t>APELLIDO 938</t>
  </si>
  <si>
    <t>APELLIDO 939</t>
  </si>
  <si>
    <t>APELLIDO 940</t>
  </si>
  <si>
    <t>APELLIDO 941</t>
  </si>
  <si>
    <t>APELLIDO 942</t>
  </si>
  <si>
    <t>APELLIDO 943</t>
  </si>
  <si>
    <t>APELLIDO 944</t>
  </si>
  <si>
    <t>APELLIDO 945</t>
  </si>
  <si>
    <t>APELLIDO 946</t>
  </si>
  <si>
    <t>APELLIDO 947</t>
  </si>
  <si>
    <t>APELLIDO 948</t>
  </si>
  <si>
    <t>APELLIDO 949</t>
  </si>
  <si>
    <t>APELLIDO 950</t>
  </si>
  <si>
    <t>APELLIDO 951</t>
  </si>
  <si>
    <t>APELLIDO 952</t>
  </si>
  <si>
    <t>APELLIDO 953</t>
  </si>
  <si>
    <t>APELLIDO 954</t>
  </si>
  <si>
    <t>APELLIDO 955</t>
  </si>
  <si>
    <t>APELLIDO 956</t>
  </si>
  <si>
    <t>APELLIDO 957</t>
  </si>
  <si>
    <t>APELLIDO 958</t>
  </si>
  <si>
    <t>APELLIDO 959</t>
  </si>
  <si>
    <t>APELLIDO 960</t>
  </si>
  <si>
    <t>APELLIDO 961</t>
  </si>
  <si>
    <t>APELLIDO 962</t>
  </si>
  <si>
    <t>APELLIDO 963</t>
  </si>
  <si>
    <t>APELLIDO 964</t>
  </si>
  <si>
    <t>APELLIDO 965</t>
  </si>
  <si>
    <t>APELLIDO 966</t>
  </si>
  <si>
    <t>APELLIDO 967</t>
  </si>
  <si>
    <t>APELLIDO 968</t>
  </si>
  <si>
    <t>APELLIDO 969</t>
  </si>
  <si>
    <t>APELLIDO 970</t>
  </si>
  <si>
    <t>APELLIDO 971</t>
  </si>
  <si>
    <t>APELLIDO 972</t>
  </si>
  <si>
    <t>APELLIDO 973</t>
  </si>
  <si>
    <t>APELLIDO 974</t>
  </si>
  <si>
    <t>APELLIDO 975</t>
  </si>
  <si>
    <t>APELLIDO 976</t>
  </si>
  <si>
    <t>APELLIDO 977</t>
  </si>
  <si>
    <t>APELLIDO 978</t>
  </si>
  <si>
    <t>APELLIDO 979</t>
  </si>
  <si>
    <t>APELLIDO 980</t>
  </si>
  <si>
    <t>APELLIDO 981</t>
  </si>
  <si>
    <t>APELLIDO 982</t>
  </si>
  <si>
    <t>APELLIDO 983</t>
  </si>
  <si>
    <t>APELLIDO 984</t>
  </si>
  <si>
    <t>APELLIDO 985</t>
  </si>
  <si>
    <t>APELLIDO 986</t>
  </si>
  <si>
    <t>APELLIDO 987</t>
  </si>
  <si>
    <t>APELLIDO 988</t>
  </si>
  <si>
    <t>APELLIDO 989</t>
  </si>
  <si>
    <t>APELLIDO 990</t>
  </si>
  <si>
    <t>APELLIDO 991</t>
  </si>
  <si>
    <t>APELLIDO 992</t>
  </si>
  <si>
    <t>APELLIDO 993</t>
  </si>
  <si>
    <t>APELLIDO 994</t>
  </si>
  <si>
    <t>APELLIDO 995</t>
  </si>
  <si>
    <t>APELLIDO 996</t>
  </si>
  <si>
    <t>APELLIDO 997</t>
  </si>
  <si>
    <t>APELLIDO 998</t>
  </si>
  <si>
    <t>APELLIDO 999</t>
  </si>
  <si>
    <t>APELLIDO 1000</t>
  </si>
  <si>
    <t>APELLIDO 1001</t>
  </si>
  <si>
    <t>APELLIDO 1002</t>
  </si>
  <si>
    <t>APELLIDO 1003</t>
  </si>
  <si>
    <t>APELLIDO 1004</t>
  </si>
  <si>
    <t>APELLIDO 1005</t>
  </si>
  <si>
    <t>APELLIDO 1006</t>
  </si>
  <si>
    <t>APELLIDO 1007</t>
  </si>
  <si>
    <t>APELLIDO 1008</t>
  </si>
  <si>
    <t>APELLIDO 1009</t>
  </si>
  <si>
    <t>APELLIDO 1010</t>
  </si>
  <si>
    <t>APELLIDO 1011</t>
  </si>
  <si>
    <t>APELLIDO 1012</t>
  </si>
  <si>
    <t>APELLIDO 1013</t>
  </si>
  <si>
    <t>APELLIDO 1014</t>
  </si>
  <si>
    <t>APELLIDO 1015</t>
  </si>
  <si>
    <t>APELLIDO 1016</t>
  </si>
  <si>
    <t>APELLIDO 1017</t>
  </si>
  <si>
    <t>APELLIDO 1018</t>
  </si>
  <si>
    <t>APELLIDO 1019</t>
  </si>
  <si>
    <t>APELLIDO 1020</t>
  </si>
  <si>
    <t>APELLIDO 1021</t>
  </si>
  <si>
    <t>APELLIDO 1022</t>
  </si>
  <si>
    <t>APELLIDO 1023</t>
  </si>
  <si>
    <t>APELLIDO 1024</t>
  </si>
  <si>
    <t>APELLIDO 1025</t>
  </si>
  <si>
    <t>APELLIDO 1026</t>
  </si>
  <si>
    <t>APELLIDO 1027</t>
  </si>
  <si>
    <t>APELLIDO 1028</t>
  </si>
  <si>
    <t>APELLIDO 1029</t>
  </si>
  <si>
    <t>APELLIDO 1030</t>
  </si>
  <si>
    <t>APELLIDO 1031</t>
  </si>
  <si>
    <t>APELLIDO 1032</t>
  </si>
  <si>
    <t>APELLIDO 1033</t>
  </si>
  <si>
    <t>APELLIDO 1034</t>
  </si>
  <si>
    <t>APELLIDO 1035</t>
  </si>
  <si>
    <t>APELLIDO 1036</t>
  </si>
  <si>
    <t>APELLIDO 1037</t>
  </si>
  <si>
    <t>APELLIDO 1038</t>
  </si>
  <si>
    <t>APELLIDO 1039</t>
  </si>
  <si>
    <t>APELLIDO 1040</t>
  </si>
  <si>
    <t>APELLIDO 1041</t>
  </si>
  <si>
    <t>APELLIDO 1042</t>
  </si>
  <si>
    <t>APELLIDO 1043</t>
  </si>
  <si>
    <t>APELLIDO 1044</t>
  </si>
  <si>
    <t>APELLIDO 1045</t>
  </si>
  <si>
    <t>APELLIDO 1046</t>
  </si>
  <si>
    <t>APELLIDO 1047</t>
  </si>
  <si>
    <t>APELLIDO 1048</t>
  </si>
  <si>
    <t>APELLIDO 1049</t>
  </si>
  <si>
    <t>APELLIDO 1050</t>
  </si>
  <si>
    <t>APELLIDO 1051</t>
  </si>
  <si>
    <t>APELLIDO 1052</t>
  </si>
  <si>
    <t>APELLIDO 1053</t>
  </si>
  <si>
    <t>APELLIDO 1054</t>
  </si>
  <si>
    <t>APELLIDO 1055</t>
  </si>
  <si>
    <t>APELLIDO 1056</t>
  </si>
  <si>
    <t>APELLIDO 1057</t>
  </si>
  <si>
    <t>APELLIDO 1058</t>
  </si>
  <si>
    <t>APELLIDO 1059</t>
  </si>
  <si>
    <t>APELLIDO 1060</t>
  </si>
  <si>
    <t>APELLIDO 1061</t>
  </si>
  <si>
    <t>APELLIDO 1062</t>
  </si>
  <si>
    <t>APELLIDO 1063</t>
  </si>
  <si>
    <t>APELLIDO 1064</t>
  </si>
  <si>
    <t>APELLIDO 1065</t>
  </si>
  <si>
    <t>APELLIDO 1066</t>
  </si>
  <si>
    <t>APELLIDO 1067</t>
  </si>
  <si>
    <t>APELLIDO 1068</t>
  </si>
  <si>
    <t>APELLIDO 1069</t>
  </si>
  <si>
    <t>APELLIDO 1070</t>
  </si>
  <si>
    <t>APELLIDO 1071</t>
  </si>
  <si>
    <t>APELLIDO 1072</t>
  </si>
  <si>
    <t>APELLIDO 1073</t>
  </si>
  <si>
    <t>APELLIDO 1074</t>
  </si>
  <si>
    <t>APELLIDO 1075</t>
  </si>
  <si>
    <t>APELLIDO 1076</t>
  </si>
  <si>
    <t>APELLIDO 1077</t>
  </si>
  <si>
    <t>APELLIDO 1078</t>
  </si>
  <si>
    <t>APELLIDO 1079</t>
  </si>
  <si>
    <t>APELLIDO 1080</t>
  </si>
  <si>
    <t>APELLIDO 1081</t>
  </si>
  <si>
    <t>APELLIDO 1082</t>
  </si>
  <si>
    <t>APELLIDO 1083</t>
  </si>
  <si>
    <t>APELLIDO 1084</t>
  </si>
  <si>
    <t>APELLIDO 1085</t>
  </si>
  <si>
    <t>APELLIDO 1086</t>
  </si>
  <si>
    <t>APELLIDO 1087</t>
  </si>
  <si>
    <t>APELLIDO 1088</t>
  </si>
  <si>
    <t>APELLIDO 1089</t>
  </si>
  <si>
    <t>APELLIDO 1090</t>
  </si>
  <si>
    <t>APELLIDO 1091</t>
  </si>
  <si>
    <t>APELLIDO 1092</t>
  </si>
  <si>
    <t>APELLIDO 1093</t>
  </si>
  <si>
    <t>APELLIDO 1094</t>
  </si>
  <si>
    <t>APELLIDO 1095</t>
  </si>
  <si>
    <t>APELLIDO 1096</t>
  </si>
  <si>
    <t>APELLIDO 1097</t>
  </si>
  <si>
    <t>APELLIDO 1098</t>
  </si>
  <si>
    <t>APELLIDO 1099</t>
  </si>
  <si>
    <t>APELLIDO 1100</t>
  </si>
  <si>
    <t>APELLIDO 1101</t>
  </si>
  <si>
    <t>APELLIDO 1102</t>
  </si>
  <si>
    <t>APELLIDO 1103</t>
  </si>
  <si>
    <t>APELLIDO 1104</t>
  </si>
  <si>
    <t>APELLIDO 1105</t>
  </si>
  <si>
    <t>APELLIDO 1106</t>
  </si>
  <si>
    <t>APELLIDO 1107</t>
  </si>
  <si>
    <t>APELLIDO 1108</t>
  </si>
  <si>
    <t>APELLIDO 1109</t>
  </si>
  <si>
    <t>APELLIDO 1110</t>
  </si>
  <si>
    <t>APELLIDO 1111</t>
  </si>
  <si>
    <t>APELLIDO 1112</t>
  </si>
  <si>
    <t>APELLIDO 1113</t>
  </si>
  <si>
    <t>APELLIDO 1114</t>
  </si>
  <si>
    <t>APELLIDO 1115</t>
  </si>
  <si>
    <t>APELLIDO 1116</t>
  </si>
  <si>
    <t>APELLIDO 1117</t>
  </si>
  <si>
    <t>APELLIDO 1118</t>
  </si>
  <si>
    <t>APELLIDO 1119</t>
  </si>
  <si>
    <t>APELLIDO 1120</t>
  </si>
  <si>
    <t>APELLIDO 1121</t>
  </si>
  <si>
    <t>APELLIDO 1122</t>
  </si>
  <si>
    <t>APELLIDO 1123</t>
  </si>
  <si>
    <t>APELLIDO 1124</t>
  </si>
  <si>
    <t>APELLIDO 1125</t>
  </si>
  <si>
    <t>APELLIDO 1126</t>
  </si>
  <si>
    <t>APELLIDO 1127</t>
  </si>
  <si>
    <t>APELLIDO 1128</t>
  </si>
  <si>
    <t>APELLIDO 1129</t>
  </si>
  <si>
    <t>APELLIDO 1130</t>
  </si>
  <si>
    <t>APELLIDO 1131</t>
  </si>
  <si>
    <t>APELLIDO 1132</t>
  </si>
  <si>
    <t>APELLIDO 1133</t>
  </si>
  <si>
    <t>APELLIDO 1134</t>
  </si>
  <si>
    <t>APELLIDO 1135</t>
  </si>
  <si>
    <t>APELLIDO 1136</t>
  </si>
  <si>
    <t>APELLIDO 1137</t>
  </si>
  <si>
    <t>APELLIDO 1138</t>
  </si>
  <si>
    <t>APELLIDO 1139</t>
  </si>
  <si>
    <t>APELLIDO 1140</t>
  </si>
  <si>
    <t>APELLIDO 1141</t>
  </si>
  <si>
    <t>APELLIDO 1142</t>
  </si>
  <si>
    <t>APELLIDO 1143</t>
  </si>
  <si>
    <t>APELLIDO 1144</t>
  </si>
  <si>
    <t>APELLIDO 1145</t>
  </si>
  <si>
    <t>APELLIDO 1146</t>
  </si>
  <si>
    <t>APELLIDO 1147</t>
  </si>
  <si>
    <t>APELLIDO 1148</t>
  </si>
  <si>
    <t>APELLIDO 1149</t>
  </si>
  <si>
    <t>APELLIDO 1150</t>
  </si>
  <si>
    <t>APELLIDO 1151</t>
  </si>
  <si>
    <t>APELLIDO 1152</t>
  </si>
  <si>
    <t>APELLIDO 1153</t>
  </si>
  <si>
    <t>APELLIDO 1154</t>
  </si>
  <si>
    <t>APELLIDO 1155</t>
  </si>
  <si>
    <t>APELLIDO 1156</t>
  </si>
  <si>
    <t>APELLIDO 1157</t>
  </si>
  <si>
    <t>APELLIDO 1158</t>
  </si>
  <si>
    <t>APELLIDO 1159</t>
  </si>
  <si>
    <t>APELLIDO 1160</t>
  </si>
  <si>
    <t>APELLIDO 1161</t>
  </si>
  <si>
    <t>APELLIDO 1162</t>
  </si>
  <si>
    <t>APELLIDO 1163</t>
  </si>
  <si>
    <t>APELLIDO 1164</t>
  </si>
  <si>
    <t>APELLIDO 1165</t>
  </si>
  <si>
    <t>APELLIDO 1166</t>
  </si>
  <si>
    <t>APELLIDO 1167</t>
  </si>
  <si>
    <t>APELLIDO 1168</t>
  </si>
  <si>
    <t>APELLIDO 1169</t>
  </si>
  <si>
    <t>APELLIDO 1170</t>
  </si>
  <si>
    <t>APELLIDO 1171</t>
  </si>
  <si>
    <t>APELLIDO 1172</t>
  </si>
  <si>
    <t>APELLIDO 1173</t>
  </si>
  <si>
    <t>APELLIDO 1174</t>
  </si>
  <si>
    <t>APELLIDO 1175</t>
  </si>
  <si>
    <t>APELLIDO 1176</t>
  </si>
  <si>
    <t>APELLIDO 1177</t>
  </si>
  <si>
    <t>APELLIDO 1178</t>
  </si>
  <si>
    <t>APELLIDO 1179</t>
  </si>
  <si>
    <t>APELLIDO 1180</t>
  </si>
  <si>
    <t>APELLIDO 1181</t>
  </si>
  <si>
    <t>APELLIDO 1182</t>
  </si>
  <si>
    <t>APELLIDO 1183</t>
  </si>
  <si>
    <t>APELLIDO 1184</t>
  </si>
  <si>
    <t>APELLIDO 1185</t>
  </si>
  <si>
    <t>APELLIDO 1186</t>
  </si>
  <si>
    <t>APELLIDO 1187</t>
  </si>
  <si>
    <t>APELLIDO 1188</t>
  </si>
  <si>
    <t>APELLIDO 1189</t>
  </si>
  <si>
    <t>APELLIDO 1190</t>
  </si>
  <si>
    <t>APELLIDO 1191</t>
  </si>
  <si>
    <t>APELLIDO 1192</t>
  </si>
  <si>
    <t>APELLIDO 1193</t>
  </si>
  <si>
    <t>APELLIDO 1194</t>
  </si>
  <si>
    <t>APELLIDO 1195</t>
  </si>
  <si>
    <t>APELLIDO 1196</t>
  </si>
  <si>
    <t>APELLIDO 1197</t>
  </si>
  <si>
    <t>APELLIDO 1198</t>
  </si>
  <si>
    <t>APELLIDO 1199</t>
  </si>
  <si>
    <t>APELLIDO 1200</t>
  </si>
  <si>
    <t>APELLIDO 1201</t>
  </si>
  <si>
    <t>APELLIDO 1202</t>
  </si>
  <si>
    <t>APELLIDO 1203</t>
  </si>
  <si>
    <t>APELLIDO 1204</t>
  </si>
  <si>
    <t>APELLIDO 1205</t>
  </si>
  <si>
    <t>APELLIDO 1206</t>
  </si>
  <si>
    <t>APELLIDO 1207</t>
  </si>
  <si>
    <t>APELLIDO 1208</t>
  </si>
  <si>
    <t>APELLIDO 1209</t>
  </si>
  <si>
    <t>APELLIDO 1210</t>
  </si>
  <si>
    <t>APELLIDO 1211</t>
  </si>
  <si>
    <t>APELLIDO 1212</t>
  </si>
  <si>
    <t>APELLIDO 1213</t>
  </si>
  <si>
    <t>APELLIDO 1214</t>
  </si>
  <si>
    <t>APELLIDO 1215</t>
  </si>
  <si>
    <t>APELLIDO 1216</t>
  </si>
  <si>
    <t>APELLIDO 1217</t>
  </si>
  <si>
    <t>APELLIDO 1218</t>
  </si>
  <si>
    <t>APELLIDO 1219</t>
  </si>
  <si>
    <t>APELLIDO 1220</t>
  </si>
  <si>
    <t>APELLIDO 1221</t>
  </si>
  <si>
    <t>APELLIDO 1222</t>
  </si>
  <si>
    <t>APELLIDO 1223</t>
  </si>
  <si>
    <t>APELLIDO 1224</t>
  </si>
  <si>
    <t>APELLIDO 1225</t>
  </si>
  <si>
    <t>APELLIDO 1226</t>
  </si>
  <si>
    <t>APELLIDO 1227</t>
  </si>
  <si>
    <t>APELLIDO 1228</t>
  </si>
  <si>
    <t>APELLIDO 1229</t>
  </si>
  <si>
    <t>APELLIDO 1230</t>
  </si>
  <si>
    <t>APELLIDO 1231</t>
  </si>
  <si>
    <t>APELLIDO 1232</t>
  </si>
  <si>
    <t>APELLIDO 1233</t>
  </si>
  <si>
    <t>APELLIDO 1234</t>
  </si>
  <si>
    <t>APELLIDO 1235</t>
  </si>
  <si>
    <t>APELLIDO 1236</t>
  </si>
  <si>
    <t>APELLIDO 1237</t>
  </si>
  <si>
    <t>APELLIDO 1238</t>
  </si>
  <si>
    <t>APELLIDO 1239</t>
  </si>
  <si>
    <t>APELLIDO 1240</t>
  </si>
  <si>
    <t>APELLIDO 1241</t>
  </si>
  <si>
    <t>APELLIDO 1242</t>
  </si>
  <si>
    <t>APELLIDO 1243</t>
  </si>
  <si>
    <t>APELLIDO 1244</t>
  </si>
  <si>
    <t>APELLIDO 1245</t>
  </si>
  <si>
    <t>APELLIDO 1246</t>
  </si>
  <si>
    <t>APELLIDO 1247</t>
  </si>
  <si>
    <t>APELLIDO 1248</t>
  </si>
  <si>
    <t>APELLIDO 1249</t>
  </si>
  <si>
    <t>APELLIDO 1250</t>
  </si>
  <si>
    <t>APELLIDO 1251</t>
  </si>
  <si>
    <t>APELLIDO 1252</t>
  </si>
  <si>
    <t>APELLIDO 1253</t>
  </si>
  <si>
    <t>APELLIDO 1254</t>
  </si>
  <si>
    <t>APELLIDO 1255</t>
  </si>
  <si>
    <t>APELLIDO 1256</t>
  </si>
  <si>
    <t>APELLIDO 1257</t>
  </si>
  <si>
    <t>APELLIDO 1258</t>
  </si>
  <si>
    <t>APELLIDO 1259</t>
  </si>
  <si>
    <t>APELLIDO 1260</t>
  </si>
  <si>
    <t>APELLIDO 1261</t>
  </si>
  <si>
    <t>APELLIDO 1262</t>
  </si>
  <si>
    <t>APELLIDO 1263</t>
  </si>
  <si>
    <t>APELLIDO 1264</t>
  </si>
  <si>
    <t>APELLIDO 1265</t>
  </si>
  <si>
    <t>APELLIDO 1266</t>
  </si>
  <si>
    <t>APELLIDO 1267</t>
  </si>
  <si>
    <t>APELLIDO 1268</t>
  </si>
  <si>
    <t>APELLIDO 1269</t>
  </si>
  <si>
    <t>APELLIDO 1270</t>
  </si>
  <si>
    <t>APELLIDO 1271</t>
  </si>
  <si>
    <t>APELLIDO 1272</t>
  </si>
  <si>
    <t>APELLIDO 1273</t>
  </si>
  <si>
    <t>APELLIDO 1274</t>
  </si>
  <si>
    <t>APELLIDO 1275</t>
  </si>
  <si>
    <t>APELLIDO 1276</t>
  </si>
  <si>
    <t>APELLIDO 1277</t>
  </si>
  <si>
    <t>APELLIDO 1278</t>
  </si>
  <si>
    <t>APELLIDO 1279</t>
  </si>
  <si>
    <t>APELLIDO 1280</t>
  </si>
  <si>
    <t>APELLIDO 1281</t>
  </si>
  <si>
    <t>APELLIDO 1282</t>
  </si>
  <si>
    <t>APELLIDO 1283</t>
  </si>
  <si>
    <t>APELLIDO 1284</t>
  </si>
  <si>
    <t>APELLIDO 1285</t>
  </si>
  <si>
    <t>APELLIDO 1286</t>
  </si>
  <si>
    <t>APELLIDO 1287</t>
  </si>
  <si>
    <t>APELLIDO 1288</t>
  </si>
  <si>
    <t>APELLIDO 1289</t>
  </si>
  <si>
    <t>APELLIDO 1290</t>
  </si>
  <si>
    <t>APELLIDO 1291</t>
  </si>
  <si>
    <t>APELLIDO 1292</t>
  </si>
  <si>
    <t>APELLIDO 1293</t>
  </si>
  <si>
    <t>APELLIDO 1294</t>
  </si>
  <si>
    <t>APELLIDO 1295</t>
  </si>
  <si>
    <t>APELLIDO 1296</t>
  </si>
  <si>
    <t>APELLIDO 1297</t>
  </si>
  <si>
    <t>APELLIDO 1298</t>
  </si>
  <si>
    <t>APELLIDO 1299</t>
  </si>
  <si>
    <t>APELLIDO 1300</t>
  </si>
  <si>
    <t>APELLIDO 1301</t>
  </si>
  <si>
    <t>APELLIDO 1302</t>
  </si>
  <si>
    <t>APELLIDO 1303</t>
  </si>
  <si>
    <t>APELLIDO 1304</t>
  </si>
  <si>
    <t>APELLIDO 1305</t>
  </si>
  <si>
    <t>APELLIDO 1306</t>
  </si>
  <si>
    <t>APELLIDO 1307</t>
  </si>
  <si>
    <t>APELLIDO 1308</t>
  </si>
  <si>
    <t>APELLIDO 1309</t>
  </si>
  <si>
    <t>APELLIDO 1310</t>
  </si>
  <si>
    <t>APELLIDO 1311</t>
  </si>
  <si>
    <t>APELLIDO 1312</t>
  </si>
  <si>
    <t>APELLIDO 1313</t>
  </si>
  <si>
    <t>APELLIDO 1314</t>
  </si>
  <si>
    <t>APELLIDO 1315</t>
  </si>
  <si>
    <t>APELLIDO 1316</t>
  </si>
  <si>
    <t>APELLIDO 1317</t>
  </si>
  <si>
    <t>APELLIDO 1318</t>
  </si>
  <si>
    <t>APELLIDO 1319</t>
  </si>
  <si>
    <t>APELLIDO 1320</t>
  </si>
  <si>
    <t>APELLIDO 1321</t>
  </si>
  <si>
    <t>APELLIDO 1322</t>
  </si>
  <si>
    <t>APELLIDO 1323</t>
  </si>
  <si>
    <t>APELLIDO 1324</t>
  </si>
  <si>
    <t>APELLIDO 1325</t>
  </si>
  <si>
    <t>APELLIDO 1326</t>
  </si>
  <si>
    <t>APELLIDO 1327</t>
  </si>
  <si>
    <t>APELLIDO 1328</t>
  </si>
  <si>
    <t>APELLIDO 1329</t>
  </si>
  <si>
    <t>APELLIDO 1330</t>
  </si>
  <si>
    <t>APELLIDO 1331</t>
  </si>
  <si>
    <t>APELLIDO 1332</t>
  </si>
  <si>
    <t>APELLIDO 1333</t>
  </si>
  <si>
    <t>APELLIDO 1334</t>
  </si>
  <si>
    <t>APELLIDO 1335</t>
  </si>
  <si>
    <t>APELLIDO 1336</t>
  </si>
  <si>
    <t>APELLIDO 1337</t>
  </si>
  <si>
    <t>APELLIDO 1338</t>
  </si>
  <si>
    <t>APELLIDO 1339</t>
  </si>
  <si>
    <t>APELLIDO 1340</t>
  </si>
  <si>
    <t>APELLIDO 1341</t>
  </si>
  <si>
    <t>APELLIDO 1342</t>
  </si>
  <si>
    <t>APELLIDO 1343</t>
  </si>
  <si>
    <t>APELLIDO 1344</t>
  </si>
  <si>
    <t>APELLIDO 1345</t>
  </si>
  <si>
    <t>APELLIDO 1346</t>
  </si>
  <si>
    <t>APELLIDO 1347</t>
  </si>
  <si>
    <t>APELLIDO 1348</t>
  </si>
  <si>
    <t>APELLIDO 1349</t>
  </si>
  <si>
    <t>APELLIDO 1350</t>
  </si>
  <si>
    <t>APELLIDO 1351</t>
  </si>
  <si>
    <t>APELLIDO 1352</t>
  </si>
  <si>
    <t>APELLIDO 1353</t>
  </si>
  <si>
    <t>APELLIDO 1354</t>
  </si>
  <si>
    <t>APELLIDO 1355</t>
  </si>
  <si>
    <t>APELLIDO 1356</t>
  </si>
  <si>
    <t>APELLIDO 1357</t>
  </si>
  <si>
    <t>APELLIDO 1358</t>
  </si>
  <si>
    <t>APELLIDO 1359</t>
  </si>
  <si>
    <t>APELLIDO 1360</t>
  </si>
  <si>
    <t>APELLIDO 1361</t>
  </si>
  <si>
    <t>APELLIDO 1362</t>
  </si>
  <si>
    <t>APELLIDO 1363</t>
  </si>
  <si>
    <t>APELLIDO 1364</t>
  </si>
  <si>
    <t>APELLIDO 1365</t>
  </si>
  <si>
    <t>APELLIDO 1366</t>
  </si>
  <si>
    <t>APELLIDO 1367</t>
  </si>
  <si>
    <t>APELLIDO 1368</t>
  </si>
  <si>
    <t>APELLIDO 1369</t>
  </si>
  <si>
    <t>APELLIDO 1370</t>
  </si>
  <si>
    <t>APELLIDO 1371</t>
  </si>
  <si>
    <t>APELLIDO 1372</t>
  </si>
  <si>
    <t>APELLIDO 1373</t>
  </si>
  <si>
    <t>APELLIDO 1374</t>
  </si>
  <si>
    <t>APELLIDO 1375</t>
  </si>
  <si>
    <t>APELLIDO 1376</t>
  </si>
  <si>
    <t>APELLIDO 1377</t>
  </si>
  <si>
    <t>APELLIDO 1378</t>
  </si>
  <si>
    <t>APELLIDO 1379</t>
  </si>
  <si>
    <t>APELLIDO 1380</t>
  </si>
  <si>
    <t>APELLIDO 1381</t>
  </si>
  <si>
    <t>APELLIDO 1382</t>
  </si>
  <si>
    <t>APELLIDO 1383</t>
  </si>
  <si>
    <t>APELLIDO 1384</t>
  </si>
  <si>
    <t>APELLIDO 1385</t>
  </si>
  <si>
    <t>APELLIDO 1386</t>
  </si>
  <si>
    <t>APELLIDO 1387</t>
  </si>
  <si>
    <t>APELLIDO 1388</t>
  </si>
  <si>
    <t>APELLIDO 1389</t>
  </si>
  <si>
    <t>APELLIDO 1390</t>
  </si>
  <si>
    <t>APELLIDO 1391</t>
  </si>
  <si>
    <t>APELLIDO 1392</t>
  </si>
  <si>
    <t>APELLIDO 1393</t>
  </si>
  <si>
    <t>APELLIDO 1394</t>
  </si>
  <si>
    <t>APELLIDO 1395</t>
  </si>
  <si>
    <t>APELLIDO 1396</t>
  </si>
  <si>
    <t>APELLIDO 1397</t>
  </si>
  <si>
    <t>APELLIDO 1398</t>
  </si>
  <si>
    <t>APELLIDO 1399</t>
  </si>
  <si>
    <t>APELLIDO 1400</t>
  </si>
  <si>
    <t>APELLIDO 1401</t>
  </si>
  <si>
    <t>APELLIDO 1402</t>
  </si>
  <si>
    <t>APELLIDO 1403</t>
  </si>
  <si>
    <t>APELLIDO 1404</t>
  </si>
  <si>
    <t>APELLIDO 1405</t>
  </si>
  <si>
    <t>APELLIDO 1406</t>
  </si>
  <si>
    <t>APELLIDO 1407</t>
  </si>
  <si>
    <t>APELLIDO 1408</t>
  </si>
  <si>
    <t>APELLIDO 1409</t>
  </si>
  <si>
    <t>APELLIDO 1410</t>
  </si>
  <si>
    <t>APELLIDO 1411</t>
  </si>
  <si>
    <t>APELLIDO 1412</t>
  </si>
  <si>
    <t>APELLIDO 1413</t>
  </si>
  <si>
    <t>APELLIDO 1414</t>
  </si>
  <si>
    <t>APELLIDO 1415</t>
  </si>
  <si>
    <t>APELLIDO 1416</t>
  </si>
  <si>
    <t>APELLIDO 1417</t>
  </si>
  <si>
    <t>APELLIDO 1418</t>
  </si>
  <si>
    <t>APELLIDO 1419</t>
  </si>
  <si>
    <t>APELLIDO 1420</t>
  </si>
  <si>
    <t>APELLIDO 1421</t>
  </si>
  <si>
    <t>APELLIDO 1422</t>
  </si>
  <si>
    <t>APELLIDO 1423</t>
  </si>
  <si>
    <t>APELLIDO 1424</t>
  </si>
  <si>
    <t>APELLIDO 1425</t>
  </si>
  <si>
    <t>APELLIDO 1426</t>
  </si>
  <si>
    <t>APELLIDO 1427</t>
  </si>
  <si>
    <t>APELLIDO 1428</t>
  </si>
  <si>
    <t>APELLIDO 1429</t>
  </si>
  <si>
    <t>APELLIDO 1430</t>
  </si>
  <si>
    <t>APELLIDO 1431</t>
  </si>
  <si>
    <t>APELLIDO 1432</t>
  </si>
  <si>
    <t>APELLIDO 1433</t>
  </si>
  <si>
    <t>APELLIDO 1434</t>
  </si>
  <si>
    <t>APELLIDO 1435</t>
  </si>
  <si>
    <t>APELLIDO 1436</t>
  </si>
  <si>
    <t>APELLIDO 1437</t>
  </si>
  <si>
    <t>APELLIDO 1438</t>
  </si>
  <si>
    <t>APELLIDO 1439</t>
  </si>
  <si>
    <t>APELLIDO 1440</t>
  </si>
  <si>
    <t>APELLIDO 1441</t>
  </si>
  <si>
    <t>APELLIDO 1442</t>
  </si>
  <si>
    <t>APELLIDO 1443</t>
  </si>
  <si>
    <t>APELLIDO 1444</t>
  </si>
  <si>
    <t>APELLIDO 1445</t>
  </si>
  <si>
    <t>APELLIDO 1446</t>
  </si>
  <si>
    <t>APELLIDO 1447</t>
  </si>
  <si>
    <t>APELLIDO 1448</t>
  </si>
  <si>
    <t>APELLIDO 1449</t>
  </si>
  <si>
    <t>APELLIDO 1450</t>
  </si>
  <si>
    <t>APELLIDO 1451</t>
  </si>
  <si>
    <t>APELLIDO 1452</t>
  </si>
  <si>
    <t>APELLIDO 1453</t>
  </si>
  <si>
    <t>APELLIDO 1454</t>
  </si>
  <si>
    <t>APELLIDO 1455</t>
  </si>
  <si>
    <t>APELLIDO 1456</t>
  </si>
  <si>
    <t>APELLIDO 1457</t>
  </si>
  <si>
    <t>APELLIDO 1458</t>
  </si>
  <si>
    <t>APELLIDO 1459</t>
  </si>
  <si>
    <t>APELLIDO 1460</t>
  </si>
  <si>
    <t>APELLIDO 1461</t>
  </si>
  <si>
    <t>APELLIDO 1462</t>
  </si>
  <si>
    <t>APELLIDO 1463</t>
  </si>
  <si>
    <t>APELLIDO 1464</t>
  </si>
  <si>
    <t>APELLIDO 1465</t>
  </si>
  <si>
    <t>APELLIDO 1466</t>
  </si>
  <si>
    <t>APELLIDO 1467</t>
  </si>
  <si>
    <t>APELLIDO 1468</t>
  </si>
  <si>
    <t>APELLIDO 1469</t>
  </si>
  <si>
    <t>APELLIDO 1470</t>
  </si>
  <si>
    <t>APELLIDO 1471</t>
  </si>
  <si>
    <t>APELLIDO 1472</t>
  </si>
  <si>
    <t>APELLIDO 1473</t>
  </si>
  <si>
    <t>APELLIDO 1474</t>
  </si>
  <si>
    <t>APELLIDO 1475</t>
  </si>
  <si>
    <t>APELLIDO 1476</t>
  </si>
  <si>
    <t>APELLIDO 1477</t>
  </si>
  <si>
    <t>APELLIDO 1478</t>
  </si>
  <si>
    <t>APELLIDO 1479</t>
  </si>
  <si>
    <t>APELLIDO 1480</t>
  </si>
  <si>
    <t>APELLIDO 1481</t>
  </si>
  <si>
    <t>APELLIDO 1482</t>
  </si>
  <si>
    <t>APELLIDO 1483</t>
  </si>
  <si>
    <t>APELLIDO 1484</t>
  </si>
  <si>
    <t>APELLIDO 1485</t>
  </si>
  <si>
    <t>APELLIDO 1486</t>
  </si>
  <si>
    <t>APELLIDO 1487</t>
  </si>
  <si>
    <t>APELLIDO 1488</t>
  </si>
  <si>
    <t>APELLIDO 1489</t>
  </si>
  <si>
    <t>APELLIDO 1490</t>
  </si>
  <si>
    <t>APELLIDO 1491</t>
  </si>
  <si>
    <t>APELLIDO 1492</t>
  </si>
  <si>
    <t>APELLIDO 1493</t>
  </si>
  <si>
    <t>APELLIDO 1494</t>
  </si>
  <si>
    <t>APELLIDO 1495</t>
  </si>
  <si>
    <t>APELLIDO 1496</t>
  </si>
  <si>
    <t>APELLIDO 1497</t>
  </si>
  <si>
    <t>APELLIDO 1498</t>
  </si>
  <si>
    <t>APELLIDO 1499</t>
  </si>
  <si>
    <t>APELLIDO 1500</t>
  </si>
  <si>
    <t>APELLIDO 1501</t>
  </si>
  <si>
    <t>APELLIDO 1502</t>
  </si>
  <si>
    <t>APELLIDO 1503</t>
  </si>
  <si>
    <t>APELLIDO 1504</t>
  </si>
  <si>
    <t>APELLIDO 1505</t>
  </si>
  <si>
    <t>APELLIDO 1506</t>
  </si>
  <si>
    <t>APELLIDO 1507</t>
  </si>
  <si>
    <t>APELLIDO 1508</t>
  </si>
  <si>
    <t>APELLIDO 1509</t>
  </si>
  <si>
    <t>APELLIDO 1510</t>
  </si>
  <si>
    <t>APELLIDO 1511</t>
  </si>
  <si>
    <t>APELLIDO 1512</t>
  </si>
  <si>
    <t>APELLIDO 1513</t>
  </si>
  <si>
    <t>APELLIDO 1514</t>
  </si>
  <si>
    <t>APELLIDO 1515</t>
  </si>
  <si>
    <t>APELLIDO 1516</t>
  </si>
  <si>
    <t>APELLIDO 1517</t>
  </si>
  <si>
    <t>APELLIDO 1518</t>
  </si>
  <si>
    <t>APELLIDO 1519</t>
  </si>
  <si>
    <t>APELLIDO 1520</t>
  </si>
  <si>
    <t>APELLIDO 1521</t>
  </si>
  <si>
    <t>APELLIDO 1522</t>
  </si>
  <si>
    <t>APELLIDO 1523</t>
  </si>
  <si>
    <t>APELLIDO 1524</t>
  </si>
  <si>
    <t>APELLIDO 1525</t>
  </si>
  <si>
    <t>APELLIDO 1526</t>
  </si>
  <si>
    <t>APELLIDO 1527</t>
  </si>
  <si>
    <t>APELLIDO 1528</t>
  </si>
  <si>
    <t>APELLIDO 1529</t>
  </si>
  <si>
    <t>APELLIDO 1530</t>
  </si>
  <si>
    <t>APELLIDO 1531</t>
  </si>
  <si>
    <t>APELLIDO 1532</t>
  </si>
  <si>
    <t>APELLIDO 1533</t>
  </si>
  <si>
    <t>APELLIDO 1534</t>
  </si>
  <si>
    <t>APELLIDO 1535</t>
  </si>
  <si>
    <t>APELLIDO 1536</t>
  </si>
  <si>
    <t>APELLIDO 1537</t>
  </si>
  <si>
    <t>APELLIDO 1538</t>
  </si>
  <si>
    <t>APELLIDO 1539</t>
  </si>
  <si>
    <t>APELLIDO 1540</t>
  </si>
  <si>
    <t>APELLIDO 1541</t>
  </si>
  <si>
    <t>APELLIDO 1542</t>
  </si>
  <si>
    <t>APELLIDO 1543</t>
  </si>
  <si>
    <t>APELLIDO 1544</t>
  </si>
  <si>
    <t>APELLIDO 1545</t>
  </si>
  <si>
    <t>APELLIDO 1546</t>
  </si>
  <si>
    <t>APELLIDO 1547</t>
  </si>
  <si>
    <t>APELLIDO 1548</t>
  </si>
  <si>
    <t>APELLIDO 1549</t>
  </si>
  <si>
    <t>APELLIDO 1550</t>
  </si>
  <si>
    <t>APELLIDO 1551</t>
  </si>
  <si>
    <t>APELLIDO 1552</t>
  </si>
  <si>
    <t>APELLIDO 1553</t>
  </si>
  <si>
    <t>APELLIDO 1554</t>
  </si>
  <si>
    <t>APELLIDO 1555</t>
  </si>
  <si>
    <t>APELLIDO 1556</t>
  </si>
  <si>
    <t>APELLIDO 1557</t>
  </si>
  <si>
    <t>APELLIDO 1558</t>
  </si>
  <si>
    <t>APELLIDO 1559</t>
  </si>
  <si>
    <t>APELLIDO 1560</t>
  </si>
  <si>
    <t>APELLIDO 1561</t>
  </si>
  <si>
    <t>APELLIDO 1562</t>
  </si>
  <si>
    <t>APELLIDO 1563</t>
  </si>
  <si>
    <t>APELLIDO 1564</t>
  </si>
  <si>
    <t>APELLIDO 1565</t>
  </si>
  <si>
    <t>APELLIDO 1566</t>
  </si>
  <si>
    <t>APELLIDO 1567</t>
  </si>
  <si>
    <t>APELLIDO 1568</t>
  </si>
  <si>
    <t>APELLIDO 1569</t>
  </si>
  <si>
    <t>APELLIDO 1570</t>
  </si>
  <si>
    <t>APELLIDO 1571</t>
  </si>
  <si>
    <t>APELLIDO 1572</t>
  </si>
  <si>
    <t>APELLIDO 1573</t>
  </si>
  <si>
    <t>APELLIDO 1574</t>
  </si>
  <si>
    <t>APELLIDO 1575</t>
  </si>
  <si>
    <t>APELLIDO 1576</t>
  </si>
  <si>
    <t>APELLIDO 1577</t>
  </si>
  <si>
    <t>APELLIDO 1578</t>
  </si>
  <si>
    <t>APELLIDO 1579</t>
  </si>
  <si>
    <t>APELLIDO 1580</t>
  </si>
  <si>
    <t>APELLIDO 1581</t>
  </si>
  <si>
    <t>APELLIDO 1582</t>
  </si>
  <si>
    <t>APELLIDO 1583</t>
  </si>
  <si>
    <t>APELLIDO 1584</t>
  </si>
  <si>
    <t>APELLIDO 1585</t>
  </si>
  <si>
    <t>APELLIDO 1586</t>
  </si>
  <si>
    <t>APELLIDO 1587</t>
  </si>
  <si>
    <t>APELLIDO 1588</t>
  </si>
  <si>
    <t>APELLIDO 1589</t>
  </si>
  <si>
    <t>APELLIDO 1590</t>
  </si>
  <si>
    <t>APELLIDO 1591</t>
  </si>
  <si>
    <t>APELLIDO 1592</t>
  </si>
  <si>
    <t>APELLIDO 1593</t>
  </si>
  <si>
    <t>APELLIDO 1594</t>
  </si>
  <si>
    <t>APELLIDO 1595</t>
  </si>
  <si>
    <t>APELLIDO 1596</t>
  </si>
  <si>
    <t>APELLIDO 1597</t>
  </si>
  <si>
    <t>APELLIDO 1598</t>
  </si>
  <si>
    <t>APELLIDO 1599</t>
  </si>
  <si>
    <t>APELLIDO 1600</t>
  </si>
  <si>
    <t>APELLIDO 1601</t>
  </si>
  <si>
    <t>APELLIDO 1602</t>
  </si>
  <si>
    <t>APELLIDO 1603</t>
  </si>
  <si>
    <t>APELLIDO 1604</t>
  </si>
  <si>
    <t>APELLIDO 1605</t>
  </si>
  <si>
    <t>APELLIDO 1606</t>
  </si>
  <si>
    <t>APELLIDO 1607</t>
  </si>
  <si>
    <t>APELLIDO 1608</t>
  </si>
  <si>
    <t>APELLIDO 1609</t>
  </si>
  <si>
    <t>APELLIDO 1610</t>
  </si>
  <si>
    <t>APELLIDO 1611</t>
  </si>
  <si>
    <t>APELLIDO 1612</t>
  </si>
  <si>
    <t>APELLIDO 1613</t>
  </si>
  <si>
    <t>APELLIDO 1614</t>
  </si>
  <si>
    <t>APELLIDO 1615</t>
  </si>
  <si>
    <t>APELLIDO 1616</t>
  </si>
  <si>
    <t>APELLIDO 1617</t>
  </si>
  <si>
    <t>APELLIDO 1618</t>
  </si>
  <si>
    <t>APELLIDO 1619</t>
  </si>
  <si>
    <t>APELLIDO 1620</t>
  </si>
  <si>
    <t>APELLIDO 1621</t>
  </si>
  <si>
    <t>APELLIDO 1622</t>
  </si>
  <si>
    <t>APELLIDO 1623</t>
  </si>
  <si>
    <t>APELLIDO 1624</t>
  </si>
  <si>
    <t>APELLIDO 1625</t>
  </si>
  <si>
    <t>APELLIDO 1626</t>
  </si>
  <si>
    <t>APELLIDO 1627</t>
  </si>
  <si>
    <t>APELLIDO 1628</t>
  </si>
  <si>
    <t>APELLIDO 1629</t>
  </si>
  <si>
    <t>APELLIDO 1630</t>
  </si>
  <si>
    <t>APELLIDO 1631</t>
  </si>
  <si>
    <t>APELLIDO 1632</t>
  </si>
  <si>
    <t>APELLIDO 1633</t>
  </si>
  <si>
    <t>APELLIDO 1634</t>
  </si>
  <si>
    <t>APELLIDO 1635</t>
  </si>
  <si>
    <t>APELLIDO 1636</t>
  </si>
  <si>
    <t>APELLIDO 1637</t>
  </si>
  <si>
    <t>APELLIDO 1638</t>
  </si>
  <si>
    <t>APELLIDO 1639</t>
  </si>
  <si>
    <t>APELLIDO 1640</t>
  </si>
  <si>
    <t>APELLIDO 1641</t>
  </si>
  <si>
    <t>APELLIDO 1642</t>
  </si>
  <si>
    <t>APELLIDO 1643</t>
  </si>
  <si>
    <t>APELLIDO 1644</t>
  </si>
  <si>
    <t>APELLIDO 1645</t>
  </si>
  <si>
    <t>APELLIDO 1646</t>
  </si>
  <si>
    <t>APELLIDO 1647</t>
  </si>
  <si>
    <t>APELLIDO 1648</t>
  </si>
  <si>
    <t>APELLIDO 1649</t>
  </si>
  <si>
    <t>APELLIDO 1650</t>
  </si>
  <si>
    <t>APELLIDO 1651</t>
  </si>
  <si>
    <t>APELLIDO 1652</t>
  </si>
  <si>
    <t>APELLIDO 1653</t>
  </si>
  <si>
    <t>APELLIDO 1654</t>
  </si>
  <si>
    <t>APELLIDO 1655</t>
  </si>
  <si>
    <t>APELLIDO 1656</t>
  </si>
  <si>
    <t>APELLIDO 1657</t>
  </si>
  <si>
    <t>APELLIDO 1658</t>
  </si>
  <si>
    <t>APELLIDO 1659</t>
  </si>
  <si>
    <t>APELLIDO 1660</t>
  </si>
  <si>
    <t>APELLIDO 1661</t>
  </si>
  <si>
    <t>APELLIDO 1662</t>
  </si>
  <si>
    <t>APELLIDO 1663</t>
  </si>
  <si>
    <t>APELLIDO 1664</t>
  </si>
  <si>
    <t>APELLIDO 1665</t>
  </si>
  <si>
    <t>APELLIDO 1666</t>
  </si>
  <si>
    <t>APELLIDO 1667</t>
  </si>
  <si>
    <t>APELLIDO 1668</t>
  </si>
  <si>
    <t>APELLIDO 1669</t>
  </si>
  <si>
    <t>APELLIDO 1670</t>
  </si>
  <si>
    <t>APELLIDO 1671</t>
  </si>
  <si>
    <t>APELLIDO 1672</t>
  </si>
  <si>
    <t>APELLIDO 1673</t>
  </si>
  <si>
    <t>APELLIDO 1674</t>
  </si>
  <si>
    <t>APELLIDO 1675</t>
  </si>
  <si>
    <t>APELLIDO 1676</t>
  </si>
  <si>
    <t>APELLIDO 1677</t>
  </si>
  <si>
    <t>APELLIDO 1678</t>
  </si>
  <si>
    <t>APELLIDO 1679</t>
  </si>
  <si>
    <t>APELLIDO 1680</t>
  </si>
  <si>
    <t>APELLIDO 1681</t>
  </si>
  <si>
    <t>APELLIDO 1682</t>
  </si>
  <si>
    <t>APELLIDO 1683</t>
  </si>
  <si>
    <t>APELLIDO 1684</t>
  </si>
  <si>
    <t>APELLIDO 1685</t>
  </si>
  <si>
    <t>APELLIDO 1686</t>
  </si>
  <si>
    <t>APELLIDO 1687</t>
  </si>
  <si>
    <t>APELLIDO 1688</t>
  </si>
  <si>
    <t>APELLIDO 1689</t>
  </si>
  <si>
    <t>APELLIDO 1690</t>
  </si>
  <si>
    <t>APELLIDO 1691</t>
  </si>
  <si>
    <t>APELLIDO 1692</t>
  </si>
  <si>
    <t>APELLIDO 1693</t>
  </si>
  <si>
    <t>APELLIDO 1694</t>
  </si>
  <si>
    <t>APELLIDO 1695</t>
  </si>
  <si>
    <t>APELLIDO 1696</t>
  </si>
  <si>
    <t>APELLIDO 1697</t>
  </si>
  <si>
    <t>APELLIDO 1698</t>
  </si>
  <si>
    <t>APELLIDO 1699</t>
  </si>
  <si>
    <t>APELLIDO 1700</t>
  </si>
  <si>
    <t>APELLIDO 1701</t>
  </si>
  <si>
    <t>APELLIDO 1702</t>
  </si>
  <si>
    <t>APELLIDO 1703</t>
  </si>
  <si>
    <t>APELLIDO 1704</t>
  </si>
  <si>
    <t>APELLIDO 1705</t>
  </si>
  <si>
    <t>APELLIDO 1706</t>
  </si>
  <si>
    <t>APELLIDO 1707</t>
  </si>
  <si>
    <t>APELLIDO 1708</t>
  </si>
  <si>
    <t>APELLIDO 1709</t>
  </si>
  <si>
    <t>APELLIDO 1710</t>
  </si>
  <si>
    <t>APELLIDO 1711</t>
  </si>
  <si>
    <t>APELLIDO 1712</t>
  </si>
  <si>
    <t>APELLIDO 1713</t>
  </si>
  <si>
    <t>APELLIDO 1714</t>
  </si>
  <si>
    <t>APELLIDO 1715</t>
  </si>
  <si>
    <t>APELLIDO 1716</t>
  </si>
  <si>
    <t>APELLIDO 1717</t>
  </si>
  <si>
    <t>APELLIDO 1718</t>
  </si>
  <si>
    <t>APELLIDO 1719</t>
  </si>
  <si>
    <t>APELLIDO 1720</t>
  </si>
  <si>
    <t>APELLIDO 1721</t>
  </si>
  <si>
    <t>APELLIDO 1722</t>
  </si>
  <si>
    <t>APELLIDO 1723</t>
  </si>
  <si>
    <t>APELLIDO 1724</t>
  </si>
  <si>
    <t>APELLIDO 1725</t>
  </si>
  <si>
    <t>APELLIDO 1726</t>
  </si>
  <si>
    <t>APELLIDO 1727</t>
  </si>
  <si>
    <t>APELLIDO 1728</t>
  </si>
  <si>
    <t>APELLIDO 1729</t>
  </si>
  <si>
    <t>APELLIDO 1730</t>
  </si>
  <si>
    <t>APELLIDO 1731</t>
  </si>
  <si>
    <t>APELLIDO 1732</t>
  </si>
  <si>
    <t>APELLIDO 1733</t>
  </si>
  <si>
    <t>APELLIDO 1734</t>
  </si>
  <si>
    <t>APELLIDO 1735</t>
  </si>
  <si>
    <t>APELLIDO 1736</t>
  </si>
  <si>
    <t>APELLIDO 1737</t>
  </si>
  <si>
    <t>APELLIDO 1738</t>
  </si>
  <si>
    <t>APELLIDO 1739</t>
  </si>
  <si>
    <t>APELLIDO 1740</t>
  </si>
  <si>
    <t>APELLIDO 1741</t>
  </si>
  <si>
    <t>APELLIDO 1742</t>
  </si>
  <si>
    <t>APELLIDO 1743</t>
  </si>
  <si>
    <t>APELLIDO 1744</t>
  </si>
  <si>
    <t>APELLIDO 1745</t>
  </si>
  <si>
    <t>APELLIDO 1746</t>
  </si>
  <si>
    <t>APELLIDO 1747</t>
  </si>
  <si>
    <t>APELLIDO 1748</t>
  </si>
  <si>
    <t>APELLIDO 1749</t>
  </si>
  <si>
    <t>APELLIDO 1750</t>
  </si>
  <si>
    <t>APELLIDO 1751</t>
  </si>
  <si>
    <t>APELLIDO 1752</t>
  </si>
  <si>
    <t>APELLIDO 1753</t>
  </si>
  <si>
    <t>APELLIDO 1754</t>
  </si>
  <si>
    <t>APELLIDO 1755</t>
  </si>
  <si>
    <t>APELLIDO 1756</t>
  </si>
  <si>
    <t>APELLIDO 1757</t>
  </si>
  <si>
    <t>APELLIDO 1758</t>
  </si>
  <si>
    <t>APELLIDO 1759</t>
  </si>
  <si>
    <t>APELLIDO 1760</t>
  </si>
  <si>
    <t>APELLIDO 1761</t>
  </si>
  <si>
    <t>APELLIDO 1762</t>
  </si>
  <si>
    <t>APELLIDO 1763</t>
  </si>
  <si>
    <t>APELLIDO 1764</t>
  </si>
  <si>
    <t>APELLIDO 1765</t>
  </si>
  <si>
    <t>APELLIDO 1766</t>
  </si>
  <si>
    <t>APELLIDO 1767</t>
  </si>
  <si>
    <t>APELLIDO 1768</t>
  </si>
  <si>
    <t>APELLIDO 1769</t>
  </si>
  <si>
    <t>APELLIDO 1770</t>
  </si>
  <si>
    <t>APELLIDO 1771</t>
  </si>
  <si>
    <t>APELLIDO 1772</t>
  </si>
  <si>
    <t>APELLIDO 1773</t>
  </si>
  <si>
    <t>APELLIDO 1774</t>
  </si>
  <si>
    <t>APELLIDO 1775</t>
  </si>
  <si>
    <t>APELLIDO 1776</t>
  </si>
  <si>
    <t>APELLIDO 1777</t>
  </si>
  <si>
    <t>APELLIDO 1778</t>
  </si>
  <si>
    <t>APELLIDO 1779</t>
  </si>
  <si>
    <t>APELLIDO 1780</t>
  </si>
  <si>
    <t>APELLIDO 1781</t>
  </si>
  <si>
    <t>APELLIDO 1782</t>
  </si>
  <si>
    <t>APELLIDO 1783</t>
  </si>
  <si>
    <t>APELLIDO 1784</t>
  </si>
  <si>
    <t>APELLIDO 1785</t>
  </si>
  <si>
    <t>APELLIDO 1786</t>
  </si>
  <si>
    <t>APELLIDO 1787</t>
  </si>
  <si>
    <t>APELLIDO 1788</t>
  </si>
  <si>
    <t>APELLIDO 1789</t>
  </si>
  <si>
    <t>APELLIDO 1790</t>
  </si>
  <si>
    <t>APELLIDO 1791</t>
  </si>
  <si>
    <t>APELLIDO 1792</t>
  </si>
  <si>
    <t>APELLIDO 1793</t>
  </si>
  <si>
    <t>APELLIDO 1794</t>
  </si>
  <si>
    <t>APELLIDO 1795</t>
  </si>
  <si>
    <t>APELLIDO 1796</t>
  </si>
  <si>
    <t>APELLIDO 1797</t>
  </si>
  <si>
    <t>APELLIDO 1798</t>
  </si>
  <si>
    <t>APELLIDO 1799</t>
  </si>
  <si>
    <t>APELLIDO 1800</t>
  </si>
  <si>
    <t>APELLIDO 1801</t>
  </si>
  <si>
    <t>APELLIDO 1802</t>
  </si>
  <si>
    <t>APELLIDO 1803</t>
  </si>
  <si>
    <t>APELLIDO 1804</t>
  </si>
  <si>
    <t>APELLIDO 1805</t>
  </si>
  <si>
    <t>APELLIDO 1806</t>
  </si>
  <si>
    <t>APELLIDO 1807</t>
  </si>
  <si>
    <t>APELLIDO 1808</t>
  </si>
  <si>
    <t>APELLIDO 1809</t>
  </si>
  <si>
    <t>APELLIDO 1810</t>
  </si>
  <si>
    <t>APELLIDO 1811</t>
  </si>
  <si>
    <t>APELLIDO 1812</t>
  </si>
  <si>
    <t>APELLIDO 1813</t>
  </si>
  <si>
    <t>APELLIDO 1814</t>
  </si>
  <si>
    <t>APELLIDO 1815</t>
  </si>
  <si>
    <t>APELLIDO 1816</t>
  </si>
  <si>
    <t>APELLIDO 1817</t>
  </si>
  <si>
    <t>APELLIDO 1818</t>
  </si>
  <si>
    <t>APELLIDO 1819</t>
  </si>
  <si>
    <t>APELLIDO 1820</t>
  </si>
  <si>
    <t>APELLIDO 1821</t>
  </si>
  <si>
    <t>APELLIDO 1822</t>
  </si>
  <si>
    <t>APELLIDO 1823</t>
  </si>
  <si>
    <t>APELLIDO 1824</t>
  </si>
  <si>
    <t>APELLIDO 1825</t>
  </si>
  <si>
    <t>APELLIDO 1826</t>
  </si>
  <si>
    <t>APELLIDO 1827</t>
  </si>
  <si>
    <t>APELLIDO 1828</t>
  </si>
  <si>
    <t>APELLIDO 1829</t>
  </si>
  <si>
    <t>APELLIDO 1830</t>
  </si>
  <si>
    <t>APELLIDO 1831</t>
  </si>
  <si>
    <t>APELLIDO 1832</t>
  </si>
  <si>
    <t>APELLIDO 1833</t>
  </si>
  <si>
    <t>APELLIDO 1834</t>
  </si>
  <si>
    <t>APELLIDO 1835</t>
  </si>
  <si>
    <t>APELLIDO 1836</t>
  </si>
  <si>
    <t>APELLIDO 1837</t>
  </si>
  <si>
    <t>APELLIDO 1838</t>
  </si>
  <si>
    <t>APELLIDO 1839</t>
  </si>
  <si>
    <t>APELLIDO 1840</t>
  </si>
  <si>
    <t>APELLIDO 1841</t>
  </si>
  <si>
    <t>APELLIDO 1842</t>
  </si>
  <si>
    <t>APELLIDO 1843</t>
  </si>
  <si>
    <t>APELLIDO 1844</t>
  </si>
  <si>
    <t>APELLIDO 1845</t>
  </si>
  <si>
    <t>APELLIDO 1846</t>
  </si>
  <si>
    <t>APELLIDO 1847</t>
  </si>
  <si>
    <t>APELLIDO 1848</t>
  </si>
  <si>
    <t>APELLIDO 1849</t>
  </si>
  <si>
    <t>APELLIDO 1850</t>
  </si>
  <si>
    <t>APELLIDO 1851</t>
  </si>
  <si>
    <t>APELLIDO 1852</t>
  </si>
  <si>
    <t>APELLIDO 1853</t>
  </si>
  <si>
    <t>APELLIDO 1854</t>
  </si>
  <si>
    <t>APELLIDO 1855</t>
  </si>
  <si>
    <t>APELLIDO 1856</t>
  </si>
  <si>
    <t>APELLIDO 1857</t>
  </si>
  <si>
    <t>APELLIDO 1858</t>
  </si>
  <si>
    <t>APELLIDO 1859</t>
  </si>
  <si>
    <t>APELLIDO 1860</t>
  </si>
  <si>
    <t>APELLIDO 1861</t>
  </si>
  <si>
    <t>APELLIDO 1862</t>
  </si>
  <si>
    <t>APELLIDO 1863</t>
  </si>
  <si>
    <t>APELLIDO 1864</t>
  </si>
  <si>
    <t>APELLIDO 1865</t>
  </si>
  <si>
    <t>APELLIDO 1866</t>
  </si>
  <si>
    <t>APELLIDO 1867</t>
  </si>
  <si>
    <t>APELLIDO 1868</t>
  </si>
  <si>
    <t>APELLIDO 1869</t>
  </si>
  <si>
    <t>APELLIDO 1870</t>
  </si>
  <si>
    <t>APELLIDO 1871</t>
  </si>
  <si>
    <t>APELLIDO 1872</t>
  </si>
  <si>
    <t>APELLIDO 1873</t>
  </si>
  <si>
    <t>APELLIDO 1874</t>
  </si>
  <si>
    <t>APELLIDO 1875</t>
  </si>
  <si>
    <t>APELLIDO 1876</t>
  </si>
  <si>
    <t>APELLIDO 1877</t>
  </si>
  <si>
    <t>APELLIDO 1878</t>
  </si>
  <si>
    <t>APELLIDO 1879</t>
  </si>
  <si>
    <t>APELLIDO 1880</t>
  </si>
  <si>
    <t>APELLIDO 1881</t>
  </si>
  <si>
    <t>APELLIDO 1882</t>
  </si>
  <si>
    <t>APELLIDO 1883</t>
  </si>
  <si>
    <t>APELLIDO 1884</t>
  </si>
  <si>
    <t>APELLIDO 1885</t>
  </si>
  <si>
    <t>APELLIDO 1886</t>
  </si>
  <si>
    <t>APELLIDO 1887</t>
  </si>
  <si>
    <t>APELLIDO 1888</t>
  </si>
  <si>
    <t>APELLIDO 1889</t>
  </si>
  <si>
    <t>APELLIDO 1890</t>
  </si>
  <si>
    <t>APELLIDO 1891</t>
  </si>
  <si>
    <t>APELLIDO 1892</t>
  </si>
  <si>
    <t>APELLIDO 1893</t>
  </si>
  <si>
    <t>APELLIDO 1894</t>
  </si>
  <si>
    <t>APELLIDO 1895</t>
  </si>
  <si>
    <t>APELLIDO 1896</t>
  </si>
  <si>
    <t>APELLIDO 1897</t>
  </si>
  <si>
    <t>APELLIDO 1898</t>
  </si>
  <si>
    <t>APELLIDO 1899</t>
  </si>
  <si>
    <t>APELLIDO 1900</t>
  </si>
  <si>
    <t>APELLIDO 1901</t>
  </si>
  <si>
    <t>APELLIDO 1902</t>
  </si>
  <si>
    <t>APELLIDO 1903</t>
  </si>
  <si>
    <t>APELLIDO 1904</t>
  </si>
  <si>
    <t>APELLIDO 1905</t>
  </si>
  <si>
    <t>APELLIDO 1906</t>
  </si>
  <si>
    <t>APELLIDO 1907</t>
  </si>
  <si>
    <t>APELLIDO 1908</t>
  </si>
  <si>
    <t>APELLIDO 1909</t>
  </si>
  <si>
    <t>APELLIDO 1910</t>
  </si>
  <si>
    <t>APELLIDO 1911</t>
  </si>
  <si>
    <t>APELLIDO 1912</t>
  </si>
  <si>
    <t>APELLIDO 1913</t>
  </si>
  <si>
    <t>APELLIDO 1914</t>
  </si>
  <si>
    <t>APELLIDO 1915</t>
  </si>
  <si>
    <t>APELLIDO 1916</t>
  </si>
  <si>
    <t>APELLIDO 1917</t>
  </si>
  <si>
    <t>APELLIDO 1918</t>
  </si>
  <si>
    <t>APELLIDO 1919</t>
  </si>
  <si>
    <t>APELLIDO 1920</t>
  </si>
  <si>
    <t>APELLIDO 1921</t>
  </si>
  <si>
    <t>APELLIDO 1922</t>
  </si>
  <si>
    <t>APELLIDO 1923</t>
  </si>
  <si>
    <t>APELLIDO 1924</t>
  </si>
  <si>
    <t>APELLIDO 1925</t>
  </si>
  <si>
    <t>APELLIDO 1926</t>
  </si>
  <si>
    <t>APELLIDO 1927</t>
  </si>
  <si>
    <t>APELLIDO 1928</t>
  </si>
  <si>
    <t>APELLIDO 1929</t>
  </si>
  <si>
    <t>APELLIDO 1930</t>
  </si>
  <si>
    <t>APELLIDO 1931</t>
  </si>
  <si>
    <t>APELLIDO 1932</t>
  </si>
  <si>
    <t>APELLIDO 1933</t>
  </si>
  <si>
    <t>APELLIDO 1934</t>
  </si>
  <si>
    <t>APELLIDO 1935</t>
  </si>
  <si>
    <t>APELLIDO 1936</t>
  </si>
  <si>
    <t>APELLIDO 1937</t>
  </si>
  <si>
    <t>APELLIDO 1938</t>
  </si>
  <si>
    <t>APELLIDO 1939</t>
  </si>
  <si>
    <t>APELLIDO 1940</t>
  </si>
  <si>
    <t>APELLIDO 1941</t>
  </si>
  <si>
    <t>APELLIDO 1942</t>
  </si>
  <si>
    <t>APELLIDO 1943</t>
  </si>
  <si>
    <t>APELLIDO 1944</t>
  </si>
  <si>
    <t>APELLIDO 1945</t>
  </si>
  <si>
    <t>APELLIDO 1946</t>
  </si>
  <si>
    <t>APELLIDO 1947</t>
  </si>
  <si>
    <t>APELLIDO 1948</t>
  </si>
  <si>
    <t>APELLIDO 1949</t>
  </si>
  <si>
    <t>APELLIDO 1950</t>
  </si>
  <si>
    <t>APELLIDO 1951</t>
  </si>
  <si>
    <t>APELLIDO 1952</t>
  </si>
  <si>
    <t>APELLIDO 1953</t>
  </si>
  <si>
    <t>APELLIDO 1954</t>
  </si>
  <si>
    <t>APELLIDO 1955</t>
  </si>
  <si>
    <t>APELLIDO 1956</t>
  </si>
  <si>
    <t>APELLIDO 1957</t>
  </si>
  <si>
    <t>APELLIDO 1958</t>
  </si>
  <si>
    <t>APELLIDO 1959</t>
  </si>
  <si>
    <t>APELLIDO 1960</t>
  </si>
  <si>
    <t>APELLIDO 1961</t>
  </si>
  <si>
    <t>APELLIDO 1962</t>
  </si>
  <si>
    <t>APELLIDO 1963</t>
  </si>
  <si>
    <t>APELLIDO 1964</t>
  </si>
  <si>
    <t>APELLIDO 1965</t>
  </si>
  <si>
    <t>APELLIDO 1966</t>
  </si>
  <si>
    <t>APELLIDO 1967</t>
  </si>
  <si>
    <t>APELLIDO 1968</t>
  </si>
  <si>
    <t>APELLIDO 1969</t>
  </si>
  <si>
    <t>APELLIDO 1970</t>
  </si>
  <si>
    <t>APELLIDO 1971</t>
  </si>
  <si>
    <t>APELLIDO 1972</t>
  </si>
  <si>
    <t>APELLIDO 1973</t>
  </si>
  <si>
    <t>APELLIDO 1974</t>
  </si>
  <si>
    <t>APELLIDO 1975</t>
  </si>
  <si>
    <t>APELLIDO 1976</t>
  </si>
  <si>
    <t>APELLIDO 1977</t>
  </si>
  <si>
    <t>APELLIDO 1978</t>
  </si>
  <si>
    <t>APELLIDO 1979</t>
  </si>
  <si>
    <t>APELLIDO 1980</t>
  </si>
  <si>
    <t>APELLIDO 1981</t>
  </si>
  <si>
    <t>APELLIDO 1982</t>
  </si>
  <si>
    <t>APELLIDO 1983</t>
  </si>
  <si>
    <t>APELLIDO 1984</t>
  </si>
  <si>
    <t>APELLIDO 1985</t>
  </si>
  <si>
    <t>APELLIDO 1986</t>
  </si>
  <si>
    <t>APELLIDO 1987</t>
  </si>
  <si>
    <t>APELLIDO 1988</t>
  </si>
  <si>
    <t>APELLIDO 1989</t>
  </si>
  <si>
    <t>APELLIDO 1990</t>
  </si>
  <si>
    <t>APELLIDO 1991</t>
  </si>
  <si>
    <t>APELLIDO 1992</t>
  </si>
  <si>
    <t>APELLIDO 1993</t>
  </si>
  <si>
    <t>APELLIDO 1994</t>
  </si>
  <si>
    <t>APELLIDO 1995</t>
  </si>
  <si>
    <t>APELLIDO 1996</t>
  </si>
  <si>
    <t>APELLIDO 1997</t>
  </si>
  <si>
    <t>APELLIDO 1998</t>
  </si>
  <si>
    <t>APELLIDO 1999</t>
  </si>
  <si>
    <t>APELLIDO 2000</t>
  </si>
  <si>
    <t>APELLIDO 2001</t>
  </si>
  <si>
    <t>APELLIDO 2002</t>
  </si>
  <si>
    <t>APELLIDO 2003</t>
  </si>
  <si>
    <t>APELLIDO 2004</t>
  </si>
  <si>
    <t>APELLIDO 2005</t>
  </si>
  <si>
    <t>APELLIDO 2006</t>
  </si>
  <si>
    <t>APELLIDO 2007</t>
  </si>
  <si>
    <t>APELLIDO 2008</t>
  </si>
  <si>
    <t>APELLIDO 2009</t>
  </si>
  <si>
    <t>APELLIDO 2010</t>
  </si>
  <si>
    <t>APELLIDO 2011</t>
  </si>
  <si>
    <t>APELLIDO 2012</t>
  </si>
  <si>
    <t>APELLIDO 2013</t>
  </si>
  <si>
    <t>APELLIDO 2014</t>
  </si>
  <si>
    <t>APELLIDO 2015</t>
  </si>
  <si>
    <t>APELLIDO 2016</t>
  </si>
  <si>
    <t>APELLIDO 2017</t>
  </si>
  <si>
    <t>APELLIDO 2018</t>
  </si>
  <si>
    <t>APELLIDO 2019</t>
  </si>
  <si>
    <t>APELLIDO 2020</t>
  </si>
  <si>
    <t>APELLIDO 2021</t>
  </si>
  <si>
    <t>APELLIDO 2022</t>
  </si>
  <si>
    <t>APELLIDO 2023</t>
  </si>
  <si>
    <t>APELLIDO 2024</t>
  </si>
  <si>
    <t>APELLIDO 2025</t>
  </si>
  <si>
    <t>APELLIDO 2026</t>
  </si>
  <si>
    <t>APELLIDO 2027</t>
  </si>
  <si>
    <t>APELLIDO 2028</t>
  </si>
  <si>
    <t>APELLIDO 2029</t>
  </si>
  <si>
    <t>APELLIDO 2030</t>
  </si>
  <si>
    <t>APELLIDO 2031</t>
  </si>
  <si>
    <t>APELLIDO 2032</t>
  </si>
  <si>
    <t>APELLIDO 2033</t>
  </si>
  <si>
    <t>APELLIDO 2034</t>
  </si>
  <si>
    <t>APELLIDO 2035</t>
  </si>
  <si>
    <t>APELLIDO 2036</t>
  </si>
  <si>
    <t>APELLIDO 2037</t>
  </si>
  <si>
    <t>APELLIDO 2038</t>
  </si>
  <si>
    <t>APELLIDO 2039</t>
  </si>
  <si>
    <t>APELLIDO 2040</t>
  </si>
  <si>
    <t>APELLIDO 2041</t>
  </si>
  <si>
    <t>APELLIDO 2042</t>
  </si>
  <si>
    <t>APELLIDO 2043</t>
  </si>
  <si>
    <t>APELLIDO 2044</t>
  </si>
  <si>
    <t>APELLIDO 2045</t>
  </si>
  <si>
    <t>APELLIDO 2046</t>
  </si>
  <si>
    <t>APELLIDO 2047</t>
  </si>
  <si>
    <t>APELLIDO 2048</t>
  </si>
  <si>
    <t>APELLIDO 2049</t>
  </si>
  <si>
    <t>APELLIDO 2050</t>
  </si>
  <si>
    <t>APELLIDO 2051</t>
  </si>
  <si>
    <t>APELLIDO 2052</t>
  </si>
  <si>
    <t>APELLIDO 2053</t>
  </si>
  <si>
    <t>APELLIDO 2054</t>
  </si>
  <si>
    <t>APELLIDO 2055</t>
  </si>
  <si>
    <t>APELLIDO 2056</t>
  </si>
  <si>
    <t>APELLIDO 2057</t>
  </si>
  <si>
    <t>APELLIDO 2058</t>
  </si>
  <si>
    <t>APELLIDO 2059</t>
  </si>
  <si>
    <t>APELLIDO 2060</t>
  </si>
  <si>
    <t>APELLIDO 2061</t>
  </si>
  <si>
    <t>APELLIDO 2062</t>
  </si>
  <si>
    <t>APELLIDO 2063</t>
  </si>
  <si>
    <t>APELLIDO 2064</t>
  </si>
  <si>
    <t>APELLIDO 2065</t>
  </si>
  <si>
    <t>APELLIDO 2066</t>
  </si>
  <si>
    <t>APELLIDO 2067</t>
  </si>
  <si>
    <t>APELLIDO 2068</t>
  </si>
  <si>
    <t>APELLIDO 2069</t>
  </si>
  <si>
    <t>APELLIDO 2070</t>
  </si>
  <si>
    <t>APELLIDO 2071</t>
  </si>
  <si>
    <t>APELLIDO 2072</t>
  </si>
  <si>
    <t>APELLIDO 2073</t>
  </si>
  <si>
    <t>APELLIDO 2074</t>
  </si>
  <si>
    <t>APELLIDO 2075</t>
  </si>
  <si>
    <t>APELLIDO 2076</t>
  </si>
  <si>
    <t>APELLIDO 2077</t>
  </si>
  <si>
    <t>APELLIDO 2078</t>
  </si>
  <si>
    <t>APELLIDO 2079</t>
  </si>
  <si>
    <t>APELLIDO 2080</t>
  </si>
  <si>
    <t>APELLIDO 2081</t>
  </si>
  <si>
    <t>APELLIDO 2082</t>
  </si>
  <si>
    <t>APELLIDO 2083</t>
  </si>
  <si>
    <t>APELLIDO 2084</t>
  </si>
  <si>
    <t>APELLIDO 2085</t>
  </si>
  <si>
    <t>APELLIDO 2086</t>
  </si>
  <si>
    <t>APELLIDO 2087</t>
  </si>
  <si>
    <t>APELLIDO 2088</t>
  </si>
  <si>
    <t>APELLIDO 2089</t>
  </si>
  <si>
    <t>APELLIDO 2090</t>
  </si>
  <si>
    <t>APELLIDO 2091</t>
  </si>
  <si>
    <t>APELLIDO 2092</t>
  </si>
  <si>
    <t>APELLIDO 2093</t>
  </si>
  <si>
    <t>APELLIDO 2094</t>
  </si>
  <si>
    <t>APELLIDO 2095</t>
  </si>
  <si>
    <t>APELLIDO 2096</t>
  </si>
  <si>
    <t>APELLIDO 2097</t>
  </si>
  <si>
    <t>APELLIDO 2098</t>
  </si>
  <si>
    <t>APELLIDO 2099</t>
  </si>
  <si>
    <t>APELLIDO 2100</t>
  </si>
  <si>
    <t>APELLIDO 2101</t>
  </si>
  <si>
    <t>APELLIDO 2102</t>
  </si>
  <si>
    <t>APELLIDO 2103</t>
  </si>
  <si>
    <t>APELLIDO 2104</t>
  </si>
  <si>
    <t>APELLIDO 2105</t>
  </si>
  <si>
    <t>APELLIDO 2106</t>
  </si>
  <si>
    <t>APELLIDO 2107</t>
  </si>
  <si>
    <t>APELLIDO 2108</t>
  </si>
  <si>
    <t>APELLIDO 2109</t>
  </si>
  <si>
    <t>APELLIDO 2110</t>
  </si>
  <si>
    <t>APELLIDO 2111</t>
  </si>
  <si>
    <t>APELLIDO 2112</t>
  </si>
  <si>
    <t>APELLIDO 2113</t>
  </si>
  <si>
    <t>APELLIDO 2114</t>
  </si>
  <si>
    <t>APELLIDO 2115</t>
  </si>
  <si>
    <t>APELLIDO 2116</t>
  </si>
  <si>
    <t>APELLIDO 2117</t>
  </si>
  <si>
    <t>APELLIDO 2118</t>
  </si>
  <si>
    <t xml:space="preserve"> O.T. Cartagena (Civil)</t>
  </si>
  <si>
    <t xml:space="preserve"> Procesos</t>
  </si>
  <si>
    <t xml:space="preserve"> Propuestas</t>
  </si>
  <si>
    <t xml:space="preserve"> Civil y estructuras</t>
  </si>
  <si>
    <t xml:space="preserve"> Estimaciones</t>
  </si>
  <si>
    <t xml:space="preserve"> Ecología</t>
  </si>
  <si>
    <t xml:space="preserve"> O.T. Cartagena (Procesos)</t>
  </si>
  <si>
    <t xml:space="preserve"> Instrumentación y Control</t>
  </si>
  <si>
    <t xml:space="preserve"> Hidráulica</t>
  </si>
  <si>
    <t xml:space="preserve"> Adm. Proyectos Internacionales</t>
  </si>
  <si>
    <t xml:space="preserve"> Investigación</t>
  </si>
  <si>
    <t xml:space="preserve"> O.T. Cartagena (Tuberías)</t>
  </si>
  <si>
    <t xml:space="preserve"> Dirección Técnica</t>
  </si>
  <si>
    <t xml:space="preserve"> Mecánica EG</t>
  </si>
  <si>
    <t xml:space="preserve"> Electricidad EG</t>
  </si>
  <si>
    <t xml:space="preserve"> O.T. Cartagena (I&amp;C)</t>
  </si>
  <si>
    <t xml:space="preserve"> Calderería</t>
  </si>
  <si>
    <t xml:space="preserve"> I&amp;C EG</t>
  </si>
  <si>
    <t xml:space="preserve"> Mecánica</t>
  </si>
  <si>
    <t xml:space="preserve"> Asesoría Jurídica</t>
  </si>
  <si>
    <t xml:space="preserve"> Planificación</t>
  </si>
  <si>
    <t xml:space="preserve"> Aplicaciones Corporativas</t>
  </si>
  <si>
    <t xml:space="preserve"> Procesos I+D</t>
  </si>
  <si>
    <t xml:space="preserve"> Seg. y T. Sistemas</t>
  </si>
  <si>
    <t xml:space="preserve"> Puertos y Costas</t>
  </si>
  <si>
    <t xml:space="preserve"> Tuberías EG</t>
  </si>
  <si>
    <t xml:space="preserve"> Ingeniería de Proyecto</t>
  </si>
  <si>
    <t xml:space="preserve"> Ingeniería</t>
  </si>
  <si>
    <t xml:space="preserve"> Dirección de Control</t>
  </si>
  <si>
    <t xml:space="preserve"> Construcción </t>
  </si>
  <si>
    <t xml:space="preserve"> Control de Costes</t>
  </si>
  <si>
    <t xml:space="preserve"> Electricidad</t>
  </si>
  <si>
    <t xml:space="preserve"> Análisis</t>
  </si>
  <si>
    <t xml:space="preserve"> Compras</t>
  </si>
  <si>
    <t xml:space="preserve"> Tecnical. Diseño Térmico</t>
  </si>
  <si>
    <t xml:space="preserve"> ESPINDESA</t>
  </si>
  <si>
    <t xml:space="preserve"> Inspección</t>
  </si>
  <si>
    <t xml:space="preserve"> Tuberías</t>
  </si>
  <si>
    <t xml:space="preserve"> Calidad</t>
  </si>
  <si>
    <t xml:space="preserve"> Civil EG</t>
  </si>
  <si>
    <t xml:space="preserve"> Logística</t>
  </si>
  <si>
    <t xml:space="preserve"> HSE</t>
  </si>
  <si>
    <t xml:space="preserve"> O.T. Cartagena (Eléctrico)</t>
  </si>
  <si>
    <t xml:space="preserve"> Relación con Inversores</t>
  </si>
  <si>
    <t xml:space="preserve"> Tecnical. Diseño Mecánico S+T Y AC</t>
  </si>
  <si>
    <t xml:space="preserve"> Tecnical. Proyecto</t>
  </si>
  <si>
    <t xml:space="preserve"> Tecnical. Diseño Mecánico</t>
  </si>
  <si>
    <t xml:space="preserve"> Dir. Explotación</t>
  </si>
  <si>
    <t xml:space="preserve"> Gestión de RRHH</t>
  </si>
  <si>
    <t xml:space="preserve"> Comercial</t>
  </si>
  <si>
    <t xml:space="preserve"> Tesorería</t>
  </si>
  <si>
    <t xml:space="preserve"> Documentación</t>
  </si>
  <si>
    <t xml:space="preserve"> Estandarización y Procedimientos</t>
  </si>
  <si>
    <t xml:space="preserve"> Activación</t>
  </si>
  <si>
    <t xml:space="preserve"> Tecnical. Ventas</t>
  </si>
  <si>
    <t xml:space="preserve"> Constructabilidad</t>
  </si>
  <si>
    <t xml:space="preserve"> Procesos EG</t>
  </si>
  <si>
    <t xml:space="preserve"> Tecnical. Desarrollo de Producto</t>
  </si>
  <si>
    <t xml:space="preserve"> Subcontratos</t>
  </si>
  <si>
    <t xml:space="preserve"> Dir. Comercial EG</t>
  </si>
  <si>
    <t xml:space="preserve"> Sistemas de ingeniería</t>
  </si>
  <si>
    <t xml:space="preserve"> Transportes</t>
  </si>
  <si>
    <t xml:space="preserve"> Contabilidad</t>
  </si>
  <si>
    <t xml:space="preserve"> Gestión de Contratos</t>
  </si>
  <si>
    <t xml:space="preserve"> Procesos (TRIMA)</t>
  </si>
  <si>
    <t xml:space="preserve"> Administración de Personal</t>
  </si>
  <si>
    <t xml:space="preserve"> Administración de Sistemas</t>
  </si>
  <si>
    <t xml:space="preserve"> O.T. Cartagena (Electricidad)</t>
  </si>
  <si>
    <t xml:space="preserve"> Control de Costes (TRIMA)</t>
  </si>
  <si>
    <t xml:space="preserve"> Empresarios Agrupados</t>
  </si>
  <si>
    <t xml:space="preserve"> Civil y Estructuras</t>
  </si>
  <si>
    <t xml:space="preserve"> RRHH Construcción</t>
  </si>
  <si>
    <t xml:space="preserve"> Información a Dirección</t>
  </si>
  <si>
    <t xml:space="preserve"> Operaciones EG</t>
  </si>
  <si>
    <t xml:space="preserve"> Obras Hidráulicas TRIMA</t>
  </si>
  <si>
    <t xml:space="preserve"> Planificación y Recursos</t>
  </si>
  <si>
    <t xml:space="preserve"> O.T. Cartagena</t>
  </si>
  <si>
    <t xml:space="preserve"> Procesos / Mecánica EG</t>
  </si>
  <si>
    <t xml:space="preserve"> Aeropuertos</t>
  </si>
  <si>
    <t xml:space="preserve"> Handover</t>
  </si>
  <si>
    <t xml:space="preserve"> Dirección de Construcción (TRIMA)</t>
  </si>
  <si>
    <t xml:space="preserve"> Hidráulica (TRIMA)</t>
  </si>
  <si>
    <t xml:space="preserve"> Comunicaciones</t>
  </si>
  <si>
    <t xml:space="preserve"> Estimaciones (TRIMA)</t>
  </si>
  <si>
    <t xml:space="preserve"> Instalaciones</t>
  </si>
  <si>
    <t xml:space="preserve"> Tecnical. TR Sagemis</t>
  </si>
  <si>
    <t xml:space="preserve"> Formación y Desarrollo</t>
  </si>
  <si>
    <t xml:space="preserve"> Tecnologías Propias. Desarrollo de Procesos</t>
  </si>
  <si>
    <t xml:space="preserve"> Seguridad de la Información</t>
  </si>
  <si>
    <t xml:space="preserve"> O.T. Cartagena (Instalaciones)</t>
  </si>
  <si>
    <t xml:space="preserve"> Gestión de Sistemas de Información</t>
  </si>
  <si>
    <t xml:space="preserve"> Metalurgia</t>
  </si>
  <si>
    <t xml:space="preserve"> Tecnical (I&amp;C)</t>
  </si>
  <si>
    <t xml:space="preserve"> Desarrollo Tecnológico</t>
  </si>
  <si>
    <t xml:space="preserve"> Compliance</t>
  </si>
  <si>
    <t xml:space="preserve"> IBERESPACIO. Ingeniería de Proyecto</t>
  </si>
  <si>
    <t xml:space="preserve"> Integrated Project Soutions</t>
  </si>
  <si>
    <t xml:space="preserve"> Control de Producción</t>
  </si>
  <si>
    <t xml:space="preserve"> Control de Costes y Enlace Construcción</t>
  </si>
  <si>
    <t xml:space="preserve"> FEEDs, Tecnología y Transición EG</t>
  </si>
  <si>
    <t xml:space="preserve"> PA Iberespacio</t>
  </si>
  <si>
    <t xml:space="preserve"> Turbinas y Calderas</t>
  </si>
  <si>
    <t xml:space="preserve"> Transformación Digital</t>
  </si>
  <si>
    <t xml:space="preserve"> Tecnical. Servicios de Ingeniería</t>
  </si>
  <si>
    <t xml:space="preserve"> HSE Ingeniería</t>
  </si>
  <si>
    <t xml:space="preserve"> Paneles Iberespacio</t>
  </si>
  <si>
    <t xml:space="preserve"> Dirección de Desarrollo Corporativo</t>
  </si>
  <si>
    <t xml:space="preserve"> Manejo de Sólidos y Unidades Paquetes</t>
  </si>
  <si>
    <t xml:space="preserve"> Gestión de Materiales</t>
  </si>
  <si>
    <t xml:space="preserve"> Gestión de Control de Costes</t>
  </si>
  <si>
    <t xml:space="preserve"> Gestión del Riesgo Global</t>
  </si>
  <si>
    <t xml:space="preserve"> SSGG</t>
  </si>
  <si>
    <t xml:space="preserve"> HSE Construcción</t>
  </si>
  <si>
    <t xml:space="preserve"> Workplace Management</t>
  </si>
  <si>
    <t xml:space="preserve"> Movilidad y Fiscalidad</t>
  </si>
  <si>
    <t xml:space="preserve"> Quality Assurance</t>
  </si>
  <si>
    <t xml:space="preserve"> Knowledge Management</t>
  </si>
  <si>
    <t xml:space="preserve"> Control Calidad. TECNICAL</t>
  </si>
  <si>
    <t xml:space="preserve"> Secretaría General del Consejo</t>
  </si>
  <si>
    <t xml:space="preserve"> Iberespacio. Ingeniería de Prodrucción</t>
  </si>
  <si>
    <t xml:space="preserve"> Instalaciones Temporales</t>
  </si>
  <si>
    <t xml:space="preserve"> HEYMO Edificación Industrial</t>
  </si>
  <si>
    <t xml:space="preserve"> Materiales</t>
  </si>
  <si>
    <t xml:space="preserve"> Comunicación y Marketing RRHH</t>
  </si>
  <si>
    <t xml:space="preserve"> QC</t>
  </si>
  <si>
    <t xml:space="preserve"> Desarrollo y Formación</t>
  </si>
  <si>
    <t xml:space="preserve"> Organización y Estructura</t>
  </si>
  <si>
    <t xml:space="preserve"> Close Out</t>
  </si>
  <si>
    <t xml:space="preserve"> Comisionado</t>
  </si>
  <si>
    <t xml:space="preserve"> Medición de Cantidades</t>
  </si>
  <si>
    <t xml:space="preserve"> Construction Proposal</t>
  </si>
  <si>
    <t xml:space="preserve"> Tecnical</t>
  </si>
  <si>
    <t xml:space="preserve"> Planificación de Recursos</t>
  </si>
  <si>
    <t xml:space="preserve"> PROPOSAL SUPPORT &amp; PROCESS CONTROL</t>
  </si>
  <si>
    <t xml:space="preserve"> Civil Y Estructuras</t>
  </si>
  <si>
    <t xml:space="preserve"> Espindesa</t>
  </si>
  <si>
    <t xml:space="preserve"> Filiales Internacionales</t>
  </si>
  <si>
    <t xml:space="preserve"> Transición EG</t>
  </si>
  <si>
    <t xml:space="preserve"> Administración y Control de Recursos</t>
  </si>
  <si>
    <t xml:space="preserve"> Equipos Estáticos</t>
  </si>
  <si>
    <t xml:space="preserve"> Producción de Construcción</t>
  </si>
  <si>
    <t xml:space="preserve"> Proposal Suppport &amp; Process Control</t>
  </si>
  <si>
    <t xml:space="preserve"> Marketing y Desarrollo de Negocio</t>
  </si>
  <si>
    <t xml:space="preserve"> Tecnical. EPC Proyectos</t>
  </si>
  <si>
    <t xml:space="preserve"> Transición Energética</t>
  </si>
  <si>
    <t xml:space="preserve"> Sistemas de Ingeniería</t>
  </si>
  <si>
    <t xml:space="preserve"> Supervisión de Construcción</t>
  </si>
  <si>
    <t xml:space="preserve"> People &amp; Methods</t>
  </si>
  <si>
    <t xml:space="preserve"> Operaciones y Mantenimiento</t>
  </si>
  <si>
    <t xml:space="preserve"> PLANIFICACIÓN ECONÓMICA.</t>
  </si>
  <si>
    <t xml:space="preserve"> Compensación y Beneficios</t>
  </si>
  <si>
    <t xml:space="preserve"> Proposal Support &amp; Process Control</t>
  </si>
  <si>
    <t xml:space="preserve"> Tecnical. Tecnología e Ingeniería </t>
  </si>
  <si>
    <t xml:space="preserve"> EPC Scheduling</t>
  </si>
  <si>
    <t xml:space="preserve"> Tecnical. Control de Calidad</t>
  </si>
  <si>
    <t xml:space="preserve"> Tecnical. Propuestas</t>
  </si>
  <si>
    <t xml:space="preserve"> Tecnical. Proyectos HT</t>
  </si>
  <si>
    <t xml:space="preserve"> Administración de Recursos Int</t>
  </si>
  <si>
    <t xml:space="preserve"> Heymo</t>
  </si>
  <si>
    <t xml:space="preserve"> Planificación, Control Económico</t>
  </si>
  <si>
    <t xml:space="preserve"> Tecnical. Diseño Mecánico Intercambiadores</t>
  </si>
  <si>
    <t xml:space="preserve"> Espindesa. Operaciones</t>
  </si>
  <si>
    <t xml:space="preserve"> Sistemas </t>
  </si>
  <si>
    <t xml:space="preserve"> Tecnical Italia. TR SAGEMIS</t>
  </si>
  <si>
    <t xml:space="preserve"> Post</t>
  </si>
  <si>
    <t xml:space="preserve"> Commodity Managers</t>
  </si>
  <si>
    <t xml:space="preserve"> Strategic Programs</t>
  </si>
  <si>
    <t xml:space="preserve"> Operations Systems</t>
  </si>
  <si>
    <t xml:space="preserve"> Sistemas e Infraestructura</t>
  </si>
  <si>
    <t xml:space="preserve"> RRLL Internacional</t>
  </si>
  <si>
    <t xml:space="preserve"> Fiscalidad</t>
  </si>
  <si>
    <t xml:space="preserve"> Dirección de Ingeniería</t>
  </si>
  <si>
    <t xml:space="preserve"> Operations People Development</t>
  </si>
  <si>
    <t>CENTRO DE TRABAJO</t>
  </si>
  <si>
    <t>Prob. Abandono</t>
  </si>
  <si>
    <t>CORRESPONDE INCENTIVO</t>
  </si>
  <si>
    <t>INCENTIVO ABONADO</t>
  </si>
  <si>
    <t>Tutor</t>
  </si>
  <si>
    <t>Carlos Pérez</t>
  </si>
  <si>
    <t>Ainhoa Martín</t>
  </si>
  <si>
    <t>Mariola Mota</t>
  </si>
  <si>
    <t>Cristina Rodríguez</t>
  </si>
  <si>
    <t>Fermín López</t>
  </si>
  <si>
    <t>Claude Makelele</t>
  </si>
  <si>
    <t>Zinedine Zidane</t>
  </si>
  <si>
    <t>Raúl González</t>
  </si>
  <si>
    <t>Melania Pérez</t>
  </si>
  <si>
    <t>José Barriga</t>
  </si>
  <si>
    <t>Arnulfo Matamoros</t>
  </si>
  <si>
    <t>Valentina Nappi</t>
  </si>
  <si>
    <t>Carmen Martínez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</si>
</sst>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€-2]\ * #,##0.00_-;\-[$€-2]\ * #,##0.00_-;_-[$€-2]\ * &quot;-&quot;??_-;_-@_-"/>
    <numFmt numFmtId="165" formatCode="d\-m\-yy;@"/>
    <numFmt numFmtId="166" formatCode="dd\-mm\-yy;@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theme="5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3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/>
    </xf>
    <xf numFmtId="165" fontId="6" fillId="2" borderId="12" xfId="0" applyNumberFormat="1" applyFont="1" applyFill="1" applyBorder="1" applyAlignment="1">
      <alignment horizontal="center"/>
    </xf>
    <xf numFmtId="164" fontId="6" fillId="2" borderId="12" xfId="0" applyNumberFormat="1" applyFont="1" applyFill="1" applyBorder="1" applyAlignment="1">
      <alignment horizontal="center"/>
    </xf>
    <xf numFmtId="14" fontId="6" fillId="2" borderId="12" xfId="0" applyNumberFormat="1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166" fontId="1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/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164" fontId="0" fillId="0" borderId="10" xfId="0" applyNumberFormat="1" applyBorder="1" applyAlignment="1">
      <alignment horizontal="right"/>
    </xf>
    <xf numFmtId="0" fontId="5" fillId="0" borderId="10" xfId="0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0" fontId="1" fillId="0" borderId="10" xfId="1" applyFont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1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5" xfId="0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14" fontId="6" fillId="4" borderId="12" xfId="0" applyNumberFormat="1" applyFont="1" applyFill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5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6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 patternType="solid">
          <bgColor rgb="FF0070C0"/>
        </patternFill>
      </fill>
    </dxf>
    <dxf>
      <font>
        <color theme="0"/>
      </font>
      <fill>
        <patternFill patternType="solid"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2060"/>
        </patternFill>
      </fill>
    </dxf>
    <dxf>
      <font>
        <color theme="0"/>
      </font>
      <fill>
        <patternFill patternType="solid">
          <bgColor rgb="FF00B0F0"/>
        </patternFill>
      </fill>
    </dxf>
    <dxf>
      <font>
        <color theme="0"/>
      </font>
      <fill>
        <patternFill patternType="solid">
          <bgColor rgb="FF002060"/>
        </patternFill>
      </fill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theme="9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24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CB988CD7-CFF0-4006-808A-6A80A01BB281}"/>
  <namedSheetView name="Ver2" id="{0FE8F779-2DF8-4917-B575-95BD9FD8A6B4}"/>
  <namedSheetView name="Ver3" id="{C2F18AC1-E5E9-466C-A40E-53B672EF64D6}"/>
  <namedSheetView name="Ver4" id="{67453A58-6A54-4657-B2F1-38C942F5A4F5}"/>
  <namedSheetView name="Ver5" id="{32F3C28A-A0B6-4B73-9B46-FF87EE8AB3EF}"/>
  <namedSheetView name="Ver6" id="{C194A9BD-FEA4-4C8F-9CCA-0878C4155FA6}"/>
  <namedSheetView name="Ver7" id="{3D22EABA-1895-4F0A-A99F-19E09F1CE436}"/>
  <namedSheetView name="Ver8" id="{BA4B611A-0D93-4169-BB8C-C29378B57DF0}"/>
  <namedSheetView name="Ver9" id="{FA80E9C6-7250-41FD-B993-88AE289F36EB}"/>
  <namedSheetView name="Ver10" id="{BBDF584B-89C8-43D6-8F30-DEE186907E58}"/>
  <namedSheetView name="Ver11" id="{82C4A1EA-B49F-4E4D-A566-D6C81F3242CD}"/>
  <namedSheetView name="Ver12" id="{9B3FABC5-BA04-4191-A48D-D3DE0B57369C}"/>
  <namedSheetView name="Ver13" id="{3FFDC5B3-31DA-4AAD-A9C5-AB3EC991AA66}"/>
  <namedSheetView name="Ver14" id="{116DD5B6-60B1-4E2B-BFFF-749419538106}"/>
  <namedSheetView name="Ver15" id="{82C08CF8-0F41-4923-AAA6-1888500922C4}"/>
  <namedSheetView name="Ver16" id="{4009C5A9-044A-4698-A8CE-797333D54F8C}"/>
  <namedSheetView name="View1" id="{719436EB-B353-482D-873E-B05BE411988A}"/>
  <namedSheetView name="Vista 1" id="{6115CF17-862C-45EA-9C70-8029E893D5E9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ndrea Gómez López" id="{18F22DD2-8946-45A3-8D5A-4E3319F14974}" userId="S::aglopez@grupotr.es::a0550007-8c4e-4b18-b50e-2f18aa24895c" providerId="AD"/>
  <person displayName="Ruben Jimenez Ayuso" id="{29C744D8-FA1A-4C76-A68D-43E162B5162F}" userId="S::rjayuso@grupotr.es::e8511e23-f66c-4666-9fcb-45656bd47459" providerId="AD"/>
  <person displayName="Rubén García López" id="{9FE89167-F289-404C-9C6A-42F707D054E1}" userId="S::rgarcial@grupotr.es::b45f18b0-c5ed-4b94-aefa-412aa720844b" providerId="AD"/>
  <person displayName="Sandra Martinez Martin" id="{263BF570-1135-498D-9B22-ED2D41481BFA}" userId="S::smartinezm@grupotr.es::3229cecc-b6ce-4411-97cc-966f1c38ad7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9DEAAF-C711-4545-BE51-37B7CEE9FFB0}" name="TablaMadre" displayName="TablaMadre" ref="A1:AH2119" totalsRowShown="0" headerRowDxfId="619" dataDxfId="617" headerRowBorderDxfId="618" tableBorderDxfId="616" totalsRowBorderDxfId="615">
  <autoFilter ref="A1:AH2119" xr:uid="{7C9DEAAF-C711-4545-BE51-37B7CEE9FFB0}"/>
  <sortState xmlns:xlrd2="http://schemas.microsoft.com/office/spreadsheetml/2017/richdata2" ref="A2:AE2119">
    <sortCondition ref="G1:G2119"/>
  </sortState>
  <tableColumns count="34">
    <tableColumn id="6" xr3:uid="{2C12347B-57D9-404B-9F74-6A20D857DC62}" name="NOMBRE" dataDxfId="614"/>
    <tableColumn id="7" xr3:uid="{C61678BD-3FF7-489C-A8A2-1E68F1B64B71}" name="APELLIDOS" dataDxfId="613"/>
    <tableColumn id="1" xr3:uid="{4CC56E8C-25D8-4444-B9EE-E5F88473D0DF}" name="NUM. PERSONA" dataDxfId="612"/>
    <tableColumn id="20" xr3:uid="{715EA1B7-5510-4A83-AB8D-B1BB1197482F}" name="Tutor" dataDxfId="0"/>
    <tableColumn id="13" xr3:uid="{E34FCB7D-E470-4C95-8891-4A64E09818D4}" name="DEPARTAMENTO" dataDxfId="611"/>
    <tableColumn id="4" xr3:uid="{9006E5B4-9701-41F9-B21A-22928125632D}" name="CENTRO DE TRABAJO" dataDxfId="610"/>
    <tableColumn id="16" xr3:uid="{C8CE5295-6E79-4756-B9FD-6A3B83C3BFBD}" name="ALTA" dataDxfId="609"/>
    <tableColumn id="17" xr3:uid="{85A54B8F-7035-4E5D-A53C-18442E19D3C0}" name="BAJA" dataDxfId="608"/>
    <tableColumn id="5" xr3:uid="{A8AA3DDE-9FB9-4D3A-900A-3D1A6545C70F}" name="Duración" dataDxfId="607">
      <calculatedColumnFormula>DATEDIF(G2, H2, "M")</calculatedColumnFormula>
    </tableColumn>
    <tableColumn id="18" xr3:uid="{15980450-85B3-4498-993C-5FEFFF45D3BD}" name="JORNADA SEM" dataDxfId="606"/>
    <tableColumn id="19" xr3:uid="{74D18547-3CA7-473B-BB98-4333DC6514A1}" name="AYUDA AL ESTUDIO" dataDxfId="605"/>
    <tableColumn id="37" xr3:uid="{70506BFC-733A-43E4-953F-19E7FCE8F2CE}" name="GÉNERO" dataDxfId="604"/>
    <tableColumn id="38" xr3:uid="{A4DF22A3-475F-4705-8059-1936456ED42D}" name="NAC" dataDxfId="603"/>
    <tableColumn id="39" xr3:uid="{C13B9E90-577D-47FA-BB79-2BB352242502}" name="EDAD" dataDxfId="602"/>
    <tableColumn id="40" xr3:uid="{88D9DAB7-D470-468E-82A9-563045466804}" name="PROVINCIA NACIMIENTO" dataDxfId="601"/>
    <tableColumn id="41" xr3:uid="{345F2F1B-E67D-4B4D-B4B9-BD663B1A6DE2}" name="PAÍS de NACIONALIDAD" dataDxfId="600"/>
    <tableColumn id="43" xr3:uid="{6B12CC20-DB5F-4B64-993F-6DE33752C4BA}" name="FORMACIÓN BASE" dataDxfId="599"/>
    <tableColumn id="44" xr3:uid="{EF18034B-A317-4AC3-A84B-033E367D5C83}" name="ESTATUS FORMACIÓN BASE" dataDxfId="598"/>
    <tableColumn id="45" xr3:uid="{31E85C88-9659-4C1D-A8BD-0969E9041727}" name="FORMACIÓN BASE (agrupado)" dataDxfId="597"/>
    <tableColumn id="46" xr3:uid="{AC0C4BFB-40FD-49E5-B050-E51D4C2D5CDC}" name="FORMACIÓN de POSGRADO" dataDxfId="596"/>
    <tableColumn id="47" xr3:uid="{B85CE5E2-4C7C-4F7A-9DFB-68BA73ECBAD4}" name="ESTATUS FORMACIÓN de POSGRADO" dataDxfId="595"/>
    <tableColumn id="49" xr3:uid="{8482B044-6EEB-4856-9F8C-5753A81F2430}" name="UNIVERSIDAD (agrupado)" dataDxfId="594"/>
    <tableColumn id="50" xr3:uid="{97FCA76D-4D87-4612-9861-CE629AB28810}" name="CONTINUIDAD" dataDxfId="593"/>
    <tableColumn id="8" xr3:uid="{8D92A476-8157-4760-B12A-ADE117E5684A}" name="ACTIVO A 31.12.25" dataDxfId="592"/>
    <tableColumn id="9" xr3:uid="{C7C69ACB-A8A2-4CFE-B84C-9E732DC10420}" name="Baja Contratación" dataDxfId="591"/>
    <tableColumn id="12" xr3:uid="{67C5B5BA-80ED-4F32-AB71-89435F736C5F}" name="Años contratado/a" dataDxfId="590">
      <calculatedColumnFormula>DATEDIF(H2, Y2, "y")</calculatedColumnFormula>
    </tableColumn>
    <tableColumn id="10" xr3:uid="{F3CF8994-FE56-443E-B887-6EFDE4F85341}" name="Vacante Interna" dataDxfId="589"/>
    <tableColumn id="51" xr3:uid="{E85C4896-FA80-4FF8-AFC2-4855604D4AFF}" name="SATISFACCIÓN" dataDxfId="588"/>
    <tableColumn id="52" xr3:uid="{48279C51-E210-4BF9-A7B1-89AB0D57BE76}" name="DESEMPEÑO" dataDxfId="587"/>
    <tableColumn id="2" xr3:uid="{9818999E-127E-4817-9D80-F01A08FA4DD5}" name="Mov. Interna" dataDxfId="586"/>
    <tableColumn id="3" xr3:uid="{BDE633B2-A0E4-42A9-835E-286B97799E91}" name="Desplazamiento" dataDxfId="585">
      <calculatedColumnFormula>IF(F2=O2, "NO", "SÍ")</calculatedColumnFormula>
    </tableColumn>
    <tableColumn id="11" xr3:uid="{2A188D87-EE07-4ABC-B9F7-F3E7FCF2EE6E}" name="Prob. Abandono" dataDxfId="584">
      <calculatedColumnFormula array="1">MIN(100, MAX(0, (IF(R2="ESTUDIANTE", 31, 0)) + (IF(I2&lt;=3, 30, IF(I2&lt;=6, 20, 0))) +(IF(OR(E2="413 - Control de Costes y Enlace Construcción", E2="480 - Secretaría General del Consejo", E2="132 - Civil y estructuras", E2="136 - Mecánica", E2="412 - Planificación", E2="142 - Compras"), 25, 0)) +(IF(OR(S2="GRADO ING. MECÁNICA", S2="GRADO ING. ELÉCTRICA", S2="GRADO DERECHO", S2="GRADO ECONOMÍA", S2="GRADO ING. TECNOLOGÍAS INDUSTRIALES"), 24, 0)) + (IF(AND(K2&gt;=451, K2&lt;=700), 23, 0)) + (IF(AND(AB2&gt;=5, AB2&lt;=8), 17, 0)) +(IF(_xludf.OR(_xludf.AND(AC2&gt;=8, AC2&lt;=10), _xludf.AND(AC2&gt;=0, AC2&lt;=5)), 16, 0)) + (IF(F2="Madrid", 11, 0))))</calculatedColumnFormula>
    </tableColumn>
    <tableColumn id="14" xr3:uid="{87DF9600-3DFB-42DF-AC61-20E8B441B54E}" name="CORRESPONDE INCENTIVO" dataDxfId="583"/>
    <tableColumn id="15" xr3:uid="{B926268F-1817-4209-B268-EDA025BCF39B}" name="INCENTIVO ABONADO" dataDxfId="58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488" dT="2023-11-08T14:38:49.59" personId="{263BF570-1135-498D-9B22-ED2D41481BFA}" id="{54F0556C-07D5-49B3-A899-AE7BE6B04826}">
    <text>del 15/11 al 15/12 jornada 25 horas</text>
  </threadedComment>
  <threadedComment ref="L1488" dT="2023-11-08T14:39:27.43" personId="{263BF570-1135-498D-9B22-ED2D41481BFA}" id="{92BD599D-A5F4-41B2-A89D-8F97957009A3}">
    <text>del 15/11 al 15/12 ayuda al estudio 25h de 475€</text>
  </threadedComment>
  <threadedComment ref="K1509" dT="2024-01-31T16:12:18.30" personId="{263BF570-1135-498D-9B22-ED2D41481BFA}" id="{4678C0D6-BC84-4D97-9A5E-5898DCB59B6E}">
    <text>Del 29 enero en adelante jornada de 35h y con curso</text>
  </threadedComment>
  <threadedComment ref="L1509" dT="2023-12-27T15:49:02.63" personId="{263BF570-1135-498D-9B22-ED2D41481BFA}" id="{3768281E-8563-4437-BF67-A6D9F4EB5B0C}">
    <text>no ha presentado el TFG y está matriculado en Máster</text>
  </threadedComment>
  <threadedComment ref="I1521" dT="2024-02-19T16:26:53.78" personId="{263BF570-1135-498D-9B22-ED2D41481BFA}" id="{7EA8C329-8992-4BA3-B0DD-AEBA31CC1E86}">
    <text>Dar de baja del 11/05 al 15/05 ambos inclusive por estar en su país. Anexo ECC FDO 35h y ayuda al estudio 800€ desde 1/02-10/02 y desde 16/05 - 30/06</text>
  </threadedComment>
  <threadedComment ref="I1534" dT="2024-02-06T16:00:48.42" personId="{263BF570-1135-498D-9B22-ED2D41481BFA}" id="{743B1C67-3735-4BFA-86F8-CB4FC405D391}">
    <text xml:space="preserve">Llegada la renovación realizar anexo CC con UPM </text>
  </threadedComment>
  <threadedComment ref="I1539" dT="2024-02-15T15:43:46.40" personId="{263BF570-1135-498D-9B22-ED2D41481BFA}" id="{EF3F82D4-BA9F-401C-A033-BC8384656988}">
    <text>POSIBILIAD DE ECC</text>
  </threadedComment>
  <threadedComment ref="I1542" dT="2024-08-22T13:45:58.54" personId="{263BF570-1135-498D-9B22-ED2D41481BFA}" id="{570D750C-D768-4454-9E2F-2A2F69305CF4}">
    <text>SOLICITA UNA BAJA POR ESTUDIOS Y SE INCORPORA EN ENERO</text>
  </threadedComment>
  <threadedComment ref="I1557" dT="2024-01-19T09:49:51.19" personId="{263BF570-1135-498D-9B22-ED2D41481BFA}" id="{E8636DD5-F73C-443A-86C3-73D92D87A042}">
    <text>renovar hasta completar los 6 meses con cursos</text>
  </threadedComment>
  <threadedComment ref="I1561" dT="2023-11-22T16:12:15.85" personId="{263BF570-1135-498D-9B22-ED2D41481BFA}" id="{CA1A8BE5-AE7C-4927-88E3-D6BB9015D158}">
    <text>PASAR A CONTRATO</text>
  </threadedComment>
  <threadedComment ref="I1562" dT="2023-11-22T16:15:11.31" personId="{263BF570-1135-498D-9B22-ED2D41481BFA}" id="{D6BFA01F-13E6-412F-8305-1F183DE7FC57}">
    <text>pasar a contrato</text>
  </threadedComment>
  <threadedComment ref="I1563" dT="2024-01-12T09:16:26.07" personId="{263BF570-1135-498D-9B22-ED2D41481BFA}" id="{D714A88C-E90F-4327-81C7-E036E5AC91A3}">
    <text>RENOVADA POR 6 MESES MÁS, PASAR A CONTRATO</text>
  </threadedComment>
  <threadedComment ref="L1571" dT="2023-12-05T11:13:20.69" personId="{263BF570-1135-498D-9B22-ED2D41481BFA}" id="{7B29F6D9-699B-450E-A565-1CABF886C9AF}">
    <text>DESDE 1 NOVIEMBRE PORQUE HA FINALIZADO UNO DE LOS 2 GRADOS</text>
  </threadedComment>
  <threadedComment ref="I1597" dT="2024-09-04T08:19:46.62" personId="{263BF570-1135-498D-9B22-ED2D41481BFA}" id="{D3F15037-FD67-4D6E-8366-6896B6F2BDC5}">
    <text>Formalizado un 4º Anexo con Structuralia., hasta completar año de beca. Causó baja 1 de septiembre por falta de anexo y se incorporó el 4 de septiembre con CC. Anexo ECC fdo</text>
  </threadedComment>
  <threadedComment ref="I1598" dT="2024-09-25T13:58:57.07" personId="{263BF570-1135-498D-9B22-ED2D41481BFA}" id="{D0EDE3B3-90D3-44A6-A179-0FB1590699D4}">
    <text>En línea a lo que le dije a Antonio, esperamos hasta el 15/10 y vemos qué hacemos. 
Si ICEX no dice nada, las opciones son:
Contrato en Italia
Ampliar beca en España hasta llegar a 6 meses totales, antes de pasar a PJP</text>
  </threadedComment>
  <threadedComment ref="I1599" dT="2024-08-08T08:47:47.08" personId="{263BF570-1135-498D-9B22-ED2D41481BFA}" id="{2EBAC3FF-A67E-4B74-94D2-1C6C195CABB1}">
    <text>cambio de jornada de 35 a 25h a partir 1 septiembre</text>
  </threadedComment>
  <threadedComment ref="I1600" dT="2023-11-13T17:16:01.18" personId="{263BF570-1135-498D-9B22-ED2D41481BFA}" id="{F4611114-C254-4C52-B106-F4D8F3E8FD33}">
    <text>Anexo ECC firmado 27/01/24 a 22/04/24</text>
  </threadedComment>
  <threadedComment ref="I1605" dT="2023-11-21T11:17:39.43" personId="{263BF570-1135-498D-9B22-ED2D41481BFA}" id="{56632FA7-C55F-4556-B735-E7AD2F0ADA55}">
    <text xml:space="preserve">PASAR A CONTRATO A LOS 6 MESES. </text>
  </threadedComment>
  <threadedComment ref="I1607" dT="2024-05-03T07:08:57.71" personId="{263BF570-1135-498D-9B22-ED2D41481BFA}" id="{BE926973-08F8-4FA7-A163-1C3238764BB4}">
    <text>según el anexo firmado</text>
  </threadedComment>
  <threadedComment ref="I1608" dT="2024-04-26T11:03:05.43" personId="{263BF570-1135-498D-9B22-ED2D41481BFA}" id="{437DA3B5-2EAC-44B7-9CAF-F60C5F19CCB3}">
    <text>paso a contrato con dpto. Procesos</text>
  </threadedComment>
  <threadedComment ref="I1612" dT="2024-03-01T13:26:29.38" personId="{263BF570-1135-498D-9B22-ED2D41481BFA}" id="{FF88A389-8E6E-464E-89BB-01360CAF718E}">
    <text>nuevo anexo 23 febrero con jornada 35h</text>
  </threadedComment>
  <threadedComment ref="I1615" dT="2024-08-29T16:38:00.76" personId="{263BF570-1135-498D-9B22-ED2D41481BFA}" id="{DFBEA531-4D9C-4E4A-8131-272312265011}">
    <text xml:space="preserve">formalizar Anexo de ECC </text>
  </threadedComment>
  <threadedComment ref="I1616" dT="2024-01-12T12:46:56.63" personId="{263BF570-1135-498D-9B22-ED2D41481BFA}" id="{BF762275-C749-4F61-86BD-AF9643CE1ADA}">
    <text>SIN POSIBILIDAD DE RENOVAR</text>
  </threadedComment>
  <threadedComment ref="I1618" dT="2023-12-18T12:35:44.67" personId="{263BF570-1135-498D-9B22-ED2D41481BFA}" id="{66C717B5-8D26-44AD-967A-16F5B062499A}">
    <text>Anexo de CC y ECC fdo mismo documento</text>
  </threadedComment>
  <threadedComment ref="I1619" dT="2023-12-12T17:19:28.37" personId="{263BF570-1135-498D-9B22-ED2D41481BFA}" id="{04B70B37-00C0-486F-985C-62B4447569A8}">
    <text>su beca comenzó el 20 de junio 2023. causó baja por estudios del 20/12 al 7/01/24</text>
  </threadedComment>
  <threadedComment ref="I1620" dT="2023-12-13T12:36:34.36" personId="{263BF570-1135-498D-9B22-ED2D41481BFA}" id="{B0688CD9-BE08-43DE-B0C9-D1BA2F2914BE}">
    <text>Anexo ECC 7/03-7/07 FIRMADO</text>
  </threadedComment>
  <threadedComment ref="I1624" dT="2024-02-06T11:24:56.16" personId="{263BF570-1135-498D-9B22-ED2D41481BFA}" id="{43E0007F-BE10-489E-B095-DC29E0FC7ED5}">
    <text>Hasta el 31 enero jornada 25h y ayuda de 625€.</text>
  </threadedComment>
  <threadedComment ref="I1628" dT="2024-01-17T11:00:28.25" personId="{263BF570-1135-498D-9B22-ED2D41481BFA}" id="{E446608A-12EA-403F-89F4-3869C5ABAEB7}">
    <text>cambio a ECC, anexo firmado</text>
  </threadedComment>
  <threadedComment ref="I1628" dT="2024-02-21T00:51:25.20" personId="{263BF570-1135-498D-9B22-ED2D41481BFA}" id="{046A41AF-CA50-47DF-A4EC-7B95CCE716F4}" parentId="{E446608A-12EA-403F-89F4-3869C5ABAEB7}">
    <text>hay 2 anexos CC fdo y de ECC mismo documento</text>
  </threadedComment>
  <threadedComment ref="I1628" dT="2024-07-15T06:48:57.77" personId="{29C744D8-FA1A-4C76-A68D-43E162B5162F}" id="{A687166A-84AC-4755-8A83-2DF0419A27DD}" parentId="{E446608A-12EA-403F-89F4-3869C5ABAEB7}">
    <text>Autorizados a pasar a plantilla en cuanto defienda TFG y presente solicitud del título</text>
  </threadedComment>
  <threadedComment ref="I1636" dT="2024-01-17T12:18:24.36" personId="{263BF570-1135-498D-9B22-ED2D41481BFA}" id="{ABC32DD7-068B-49BA-9B2D-03DD876C2F99}">
    <text>pasar a contrato cuando finalice el grado, estuvo de beca con jornada de 25h desde enero a octubre 2023, causó baja hasta el 31 enero 2024</text>
  </threadedComment>
  <threadedComment ref="I1639" dT="2024-08-16T06:29:59.10" personId="{263BF570-1135-498D-9B22-ED2D41481BFA}" id="{DF1E7705-577A-402D-924D-A64B23086E8B}">
    <text>Renovación con TFG, curricular del 10 de marzo a 30 de mayo jornada 25h. luego con cursos</text>
  </threadedComment>
  <threadedComment ref="I1640" dT="2024-02-16T09:18:53.17" personId="{263BF570-1135-498D-9B22-ED2D41481BFA}" id="{9DDF0E20-60AD-4137-8E22-EE1412819F62}">
    <text>formalizar anexo ECC</text>
  </threadedComment>
  <threadedComment ref="I1641" dT="2024-11-07T15:28:25.81" personId="{263BF570-1135-498D-9B22-ED2D41481BFA}" id="{3FDD6DC3-73C6-4793-96A7-6AC4669B5E52}">
    <text>causó baja en IMF por finalizar antes de la beca el curso</text>
  </threadedComment>
  <threadedComment ref="I1649" dT="2024-06-12T08:26:53.19" personId="{263BF570-1135-498D-9B22-ED2D41481BFA}" id="{7EA92829-49B0-4D27-BF81-6E994989911D}">
    <text>renovado en junio por 6 meses sin consultar al Dpto; con curso + 9 días vacaciones</text>
  </threadedComment>
  <threadedComment ref="K1650" dT="2025-03-06T15:45:02.62" personId="{263BF570-1135-498D-9B22-ED2D41481BFA}" id="{E97D0186-74CF-4EF9-BED6-812ABB69538D}">
    <text>el Departamento nos informa de la reducción de jornada a 20h por TFGF</text>
  </threadedComment>
  <threadedComment ref="I1651" dT="2025-06-11T09:20:07.87" personId="{263BF570-1135-498D-9B22-ED2D41481BFA}" id="{61CD2DB4-CC7B-4912-8C2C-9D37B7DF0BF6}">
    <text>causa baja voluntaria por estudios, Máster Internacional. Posible reingreso en TR a partir de diciembre 2026.</text>
  </threadedComment>
  <threadedComment ref="I1653" dT="2024-02-16T09:08:14.80" personId="{263BF570-1135-498D-9B22-ED2D41481BFA}" id="{EAE3891A-9079-426F-A95A-632E99D12DBA}">
    <text>formalizar anexo ECC</text>
  </threadedComment>
  <threadedComment ref="I1662" dT="2024-03-02T00:33:22.28" personId="{263BF570-1135-498D-9B22-ED2D41481BFA}" id="{F6CB27BD-5CF4-4252-8170-A9F555DC7C00}">
    <text>formalizar anexo ECC</text>
  </threadedComment>
  <threadedComment ref="H1675" dT="2024-03-01T22:13:24.08" personId="{263BF570-1135-498D-9B22-ED2D41481BFA}" id="{EA26E742-3120-4C77-9AE0-B9F782D48F54}">
    <text>se incorporó el día 4 a la oficina porque venía de viaje de Erasmus</text>
  </threadedComment>
  <threadedComment ref="I1676" dT="2024-04-23T08:32:17.74" personId="{263BF570-1135-498D-9B22-ED2D41481BFA}" id="{7FCBAFCB-1BDB-46C8-8563-E49714CF9A57}">
    <text>pasar a contrato</text>
  </threadedComment>
  <threadedComment ref="I1677" dT="2024-05-08T13:14:51.66" personId="{263BF570-1135-498D-9B22-ED2D41481BFA}" id="{C8C7CD89-ABE8-452A-8677-0E454597261D}">
    <text>PASO A CONTRTATO</text>
  </threadedComment>
  <threadedComment ref="I1679" dT="2024-02-21T23:19:01.76" personId="{263BF570-1135-498D-9B22-ED2D41481BFA}" id="{BB58313E-70D3-4B9D-952A-3FC9D82F421C}">
    <text>COMPROMETIDOS A CONTRATAR A LOS 6 MESES SI SU DESEMPEÑO ES BUENO</text>
  </threadedComment>
  <threadedComment ref="L1682" dT="2024-08-05T05:20:36.77" personId="{29C744D8-FA1A-4C76-A68D-43E162B5162F}" id="{03671585-5892-4141-AC55-2312864410B4}">
    <text>750€ y jornada 30 horas desde el 01/09/24</text>
  </threadedComment>
  <threadedComment ref="I1684" dT="2024-06-12T08:44:40.08" personId="{263BF570-1135-498D-9B22-ED2D41481BFA}" id="{B56802E1-0A80-4583-AF8E-334A72B1553B}">
    <text>renovado a mediados de junio por 6 meses más sin consultar al Dpto; +7 días de descanso</text>
  </threadedComment>
  <threadedComment ref="I1687" dT="2024-09-13T09:56:58.46" personId="{263BF570-1135-498D-9B22-ED2D41481BFA}" id="{B65FD5EA-AC32-4842-BCB0-D3E1D97A53FB}">
    <text>primer Anexo ECC finalizado el 30.09 y nuevo Anexo CC 01.10-15.03 con jornada de 25h</text>
  </threadedComment>
  <threadedComment ref="I1691" dT="2025-02-10T22:08:06.13" personId="{263BF570-1135-498D-9B22-ED2D41481BFA}" id="{650BACAD-E393-43E3-B362-5FF636B3BA0C}">
    <text xml:space="preserve">REVISAR ANEXOS </text>
  </threadedComment>
  <threadedComment ref="K1692" dT="2024-08-14T12:51:51.56" personId="{263BF570-1135-498D-9B22-ED2D41481BFA}" id="{F3FBD459-C5B4-43B5-8871-CCE70A94B41B}">
    <text>Hasta 31 de agosto jornada de 30 horas y ayuda al estudio de 600€</text>
  </threadedComment>
  <threadedComment ref="R1692" dT="2024-10-02T14:25:33.90" personId="{263BF570-1135-498D-9B22-ED2D41481BFA}" id="{75BB38D7-6A4B-4E5B-8291-B10C38334AD6}">
    <text>renovó el 9 de octubre con un curso de Strcuturalia</text>
  </threadedComment>
  <threadedComment ref="I1725" dT="2025-04-04T11:14:37.25" personId="{263BF570-1135-498D-9B22-ED2D41481BFA}" id="{080D0096-68AE-43AB-A429-272F4A82F7EE}">
    <text>Continua en TR con el nuevo convenio del TFG hasta el 30 de junio, con la misma jornada y ayuda al estudio; con 6 días de vacaciones</text>
  </threadedComment>
  <threadedComment ref="I1734" dT="2024-08-23T10:49:12.77" personId="{263BF570-1135-498D-9B22-ED2D41481BFA}" id="{77398C49-3C2F-4024-959C-AFEB2D95AC6E}">
    <text>se ha renovado con la universidad hasta el 14 de noviembre, fecha de los 6 meses. A mediados de sept. obtendrá título y es posible que pase a contrato. Borja Crespo está al tanto. Retomar a primeros de septiembre.</text>
  </threadedComment>
  <threadedComment ref="I1735" dT="2024-12-18T07:51:20.17" personId="{263BF570-1135-498D-9B22-ED2D41481BFA}" id="{6F6726F1-04C4-4748-84FC-9BD94279094D}">
    <text>comenzó con beca Inicia 18 de diciembre sus prácticas de FP finalizaron 17 diciembre.</text>
  </threadedComment>
  <threadedComment ref="I1737" dT="2025-01-10T10:44:22.13" personId="{263BF570-1135-498D-9B22-ED2D41481BFA}" id="{B95BE5DA-CEB8-43D0-93AF-B952B423498F}">
    <text>formalizar anexo ECC publicando nueva oferta</text>
  </threadedComment>
  <threadedComment ref="I1739" dT="2025-01-10T10:43:55.21" personId="{263BF570-1135-498D-9B22-ED2D41481BFA}" id="{4C434FA1-14E6-48F3-AA92-21BA83214940}">
    <text>formalizar anexo ECC publicando oferta</text>
  </threadedComment>
  <threadedComment ref="I1740" dT="2024-07-09T13:17:26.53" personId="{29C744D8-FA1A-4C76-A68D-43E162B5162F}" id="{328043B5-C0A9-4B15-9A9C-ED7363A34E16}">
    <text>Autorizados a renovar anexo hasta los 6 meses</text>
  </threadedComment>
  <threadedComment ref="I1740" dT="2024-07-17T06:32:57.99" personId="{29C744D8-FA1A-4C76-A68D-43E162B5162F}" id="{686E089C-A0A5-445F-9E03-C1C97E55D1C4}" parentId="{328043B5-C0A9-4B15-9A9C-ED7363A34E16}">
    <text>Es posible renovar con su curso actual de INIPED hasta el 28/02/25</text>
  </threadedComment>
  <threadedComment ref="I1742" dT="2025-01-08T14:06:18.86" personId="{263BF570-1135-498D-9B22-ED2D41481BFA}" id="{8F6750F6-BA6E-47F0-A4A5-DA6E8B4616B8}">
    <text>Cambio a CC desde 03 feb. hasta 21 abril. Ambos anexos fdos. 2 semanas en Madrid, el resto beca en Italia y a los 6 meses pasará a contrato según desempeño</text>
  </threadedComment>
  <threadedComment ref="I1743" dT="2025-01-20T12:02:57.57" personId="{18F22DD2-8946-45A3-8D5A-4E3319F14974}" id="{BCE207BA-7AB3-4318-AEE1-4C405D7454BA}">
    <text>Formalizar ECC a 35h</text>
  </threadedComment>
  <threadedComment ref="I1744" dT="2025-04-10T10:43:47.82" personId="{263BF570-1135-498D-9B22-ED2D41481BFA}" id="{D0222F7D-F113-4525-BBD5-0A2560C6F87B}">
    <text>convino con RJ causar baja por estudios a partir del 1 de junio. Reducción jornada a 25h estipulado por la UPM</text>
  </threadedComment>
  <threadedComment ref="I1747" dT="2025-05-06T15:57:19.41" personId="{263BF570-1135-498D-9B22-ED2D41481BFA}" id="{C8BD2771-19D6-491B-8D04-5A64683CEDCB}">
    <text>email de Inmaculada 05/05 solicitando NO renovación NI contratación por bajo desempeño</text>
  </threadedComment>
  <threadedComment ref="I1748" dT="2024-08-06T06:49:20.94" personId="{263BF570-1135-498D-9B22-ED2D41481BFA}" id="{96006869-862A-45B2-B384-C4AED20E788B}">
    <text>pasar a contrato una vez presente el TFM</text>
  </threadedComment>
  <threadedComment ref="I1751" dT="2025-01-30T14:00:19.82" personId="{263BF570-1135-498D-9B22-ED2D41481BFA}" id="{F42BFB70-5171-49DD-948D-86128FD707F9}">
    <text xml:space="preserve">formalizar anexo ECC </text>
  </threadedComment>
  <threadedComment ref="I1754" dT="2025-02-11T15:27:53.98" personId="{263BF570-1135-498D-9B22-ED2D41481BFA}" id="{F14F22BB-B5EB-4309-BCC1-5CD515784025}">
    <text>Anexo ECC fdo 1503-3107 25h</text>
  </threadedComment>
  <threadedComment ref="I1757" dT="2025-01-15T16:38:12.65" personId="{263BF570-1135-498D-9B22-ED2D41481BFA}" id="{04FBB183-CA42-42F0-B80A-A09FD72B468F}">
    <text>RENOVAR HASTA 6 MESES CON CURSOS</text>
  </threadedComment>
  <threadedComment ref="I1758" dT="2025-06-11T09:59:12.41" personId="{263BF570-1135-498D-9B22-ED2D41481BFA}" id="{5DB9E267-FC1D-4D29-99D4-FE04E67E20D8}">
    <text>causa baja por estudios de máster</text>
  </threadedComment>
  <threadedComment ref="I1760" dT="2024-10-10T11:58:23.38" personId="{263BF570-1135-498D-9B22-ED2D41481BFA}" id="{2FEF4779-C863-4259-9B54-EF85BADC7318}">
    <text>fue baja voluntaria por estudios del 24 de junio al 5 de julio. se reincorporó el 8 de julio. Fecha inicio 20.11.2023. Año de beca el 2 de dic.2024</text>
  </threadedComment>
  <threadedComment ref="I1761" dT="2025-01-30T15:01:23.16" personId="{263BF570-1135-498D-9B22-ED2D41481BFA}" id="{6AB1A392-EC0A-49D6-B42D-B6A83E79F9EF}">
    <text>Anexo ECC formalizado</text>
  </threadedComment>
  <threadedComment ref="I1761" dT="2025-06-19T09:30:57.86" personId="{29C744D8-FA1A-4C76-A68D-43E162B5162F}" id="{1CFDCE4B-51F5-4F54-882B-D71C9F1CE8A3}" parentId="{6AB1A392-EC0A-49D6-B42D-B6A83E79F9EF}">
    <text>Se acuerda que en agosto causará baja y se reincorporará en septiembre con jornada semanal de 20 horas</text>
  </threadedComment>
  <threadedComment ref="I1763" dT="2025-02-11T15:23:44.94" personId="{263BF570-1135-498D-9B22-ED2D41481BFA}" id="{B9FED77F-E347-43AE-8D2E-218A5F8A7F0D}">
    <text>ANEXO ECC FDO</text>
  </threadedComment>
  <threadedComment ref="I1765" dT="2024-07-08T14:50:19.31" personId="{263BF570-1135-498D-9B22-ED2D41481BFA}" id="{509AD740-C0C3-4669-A0B9-275522DE0D65}">
    <text>formalizar anexo con cursos. Ya está informado por Andrea</text>
  </threadedComment>
  <threadedComment ref="I1765" dT="2024-07-17T07:53:39.54" personId="{18F22DD2-8946-45A3-8D5A-4E3319F14974}" id="{186C25B5-CD5D-48F3-868A-4A6DED2C9726}" parentId="{509AD740-C0C3-4669-A0B9-275522DE0D65}">
    <text>Gestionado anexo Iniped 1 septiembre (tendría un mes más para extender el mismo curso)</text>
  </threadedComment>
  <threadedComment ref="I1776" dT="2025-02-06T16:17:34.65" personId="{263BF570-1135-498D-9B22-ED2D41481BFA}" id="{C991643B-775E-41A4-8843-63442BC3FBF0}">
    <text>Anexo ECC curso TEP Institute pdte. recibir firmado por el centro. 05/08</text>
  </threadedComment>
  <threadedComment ref="I1776" dT="2026-01-08T14:46:16.77" personId="{29C744D8-FA1A-4C76-A68D-43E162B5162F}" id="{4AF95662-77EF-4CD4-BCC1-AEA3E8F3BD81}" parentId="{C991643B-775E-41A4-8843-63442BC3FBF0}">
    <text>Baja voluntaria anticipada el 15/01</text>
  </threadedComment>
  <threadedComment ref="I1777" dT="2025-02-06T16:22:58.26" personId="{263BF570-1135-498D-9B22-ED2D41481BFA}" id="{A84276DA-602F-42A9-8CFE-1813C4B67C2E}">
    <text>fecha de inicio modificada por la UPM, por eso no coincide con fecha finalización</text>
  </threadedComment>
  <threadedComment ref="I1778" dT="2025-02-14T10:50:38.16" personId="{263BF570-1135-498D-9B22-ED2D41481BFA}" id="{E5DF5525-07DD-4CF4-9FB9-28E1AFB06A4C}">
    <text>FORMALIZAR ANEXO ECC</text>
  </threadedComment>
  <threadedComment ref="I1786" dT="2024-09-10T15:12:56.83" personId="{263BF570-1135-498D-9B22-ED2D41481BFA}" id="{05DFDBDB-6F37-4255-80E7-2E456E2BE0EA}">
    <text>Cambio a ICEX 1 de octubre</text>
  </threadedComment>
  <threadedComment ref="I1787" dT="2025-03-06T15:52:50.91" personId="{263BF570-1135-498D-9B22-ED2D41481BFA}" id="{7AD2D06E-024C-4A50-8B90-638458596369}">
    <text>Anexo ECC FDO 2903-1608 25h</text>
  </threadedComment>
  <threadedComment ref="L1788" dT="2025-02-12T16:27:48.70" personId="{263BF570-1135-498D-9B22-ED2D41481BFA}" id="{9B849A28-D5CE-4870-9DD9-6CD84EE47DFC}">
    <text>la ayuda indicada en el anexo está establecida por la UPM porque es estudiante de máster. Para TR sería de 500€ pq no está titulado de Grado</text>
  </threadedComment>
  <threadedComment ref="I1790" dT="2024-07-15T09:24:30.88" personId="{29C744D8-FA1A-4C76-A68D-43E162B5162F}" id="{E1B0DE8B-D823-4507-8642-3A68A2726A37}">
    <text>SE ACUERDA MÁXIMO DE 6 MESES DE BECA EN LA ENTREVISTA</text>
  </threadedComment>
  <threadedComment ref="I1792" dT="2024-10-04T09:07:10.96" personId="{263BF570-1135-498D-9B22-ED2D41481BFA}" id="{BB046BAE-4599-45CE-B3E7-381167B2C5E9}">
    <text>Anexo ECC fdo</text>
  </threadedComment>
  <threadedComment ref="I1795" dT="2025-02-24T15:55:13.06" personId="{263BF570-1135-498D-9B22-ED2D41481BFA}" id="{31DB13D5-FDC0-4C4D-815F-9C7BCB454E75}">
    <text>AMPLIAR JORNADA A 40H A PARTIR 24 febrero y ayuda al estudio de 867,30€ desde 1 de enero 2025</text>
  </threadedComment>
  <threadedComment ref="I1796" dT="2025-02-24T15:55:13.06" personId="{263BF570-1135-498D-9B22-ED2D41481BFA}" id="{85190326-2884-47DC-9BFF-AEB7A53DC8C5}">
    <text>AMPLIAR JORNADA A 40H A PARTIR 24 febrero y ayuda al estudio de 867,30€ desde 1 de enero 2025</text>
  </threadedComment>
  <threadedComment ref="I1797" dT="2025-02-24T15:55:13.06" personId="{263BF570-1135-498D-9B22-ED2D41481BFA}" id="{9B0A32FA-7C66-4820-B126-BC7405973E55}">
    <text>AMPLIAR JORNADA A 40H A PARTIR 24 febrero y ayuda al estudio de 867,30€ desde 1 de enero 2025</text>
  </threadedComment>
  <threadedComment ref="I1798" dT="2025-02-24T15:55:13.06" personId="{263BF570-1135-498D-9B22-ED2D41481BFA}" id="{5FD63D2B-92B9-41F7-9C07-E3FDF9A908B4}">
    <text>AMPLIAR JORNADA A 40H A PARTIR 24 febrero y ayuda al estudio de 867,30€ desde 1 de enero 2025</text>
  </threadedComment>
  <threadedComment ref="I1799" dT="2025-02-24T15:55:13.06" personId="{263BF570-1135-498D-9B22-ED2D41481BFA}" id="{41E049E6-5130-49C4-B2DC-DFB2BFD63859}">
    <text>AMPLIAR JORNADA A 40H A PARTIR 24 febrero y ayuda al estudio de 867,30€ desde 1 de enero 2025</text>
  </threadedComment>
  <threadedComment ref="I1800" dT="2025-02-24T15:55:13.06" personId="{263BF570-1135-498D-9B22-ED2D41481BFA}" id="{0FCB5730-5084-4629-8870-7D23668D729D}">
    <text>AMPLIAR JORNADA A 40H A PARTIR 24 febrero y ayuda al estudio de 867,30€ desde 1 de enero 2025</text>
  </threadedComment>
  <threadedComment ref="H1801" dT="2025-10-08T08:17:35.41" personId="{263BF570-1135-498D-9B22-ED2D41481BFA}" id="{0B2059FD-5812-446C-9ED9-18038080619C}">
    <text>es una reincorporación, estuvo de beca 17/02/25 al 16/08/25</text>
  </threadedComment>
  <threadedComment ref="I1802" dT="2025-02-11T11:17:22.29" personId="{263BF570-1135-498D-9B22-ED2D41481BFA}" id="{C5EC21A5-4FBE-49E2-95E1-C062666016E9}">
    <text>formalizar un nuevo anexo con curso</text>
  </threadedComment>
  <threadedComment ref="I1805" dT="2025-02-14T10:49:46.08" personId="{263BF570-1135-498D-9B22-ED2D41481BFA}" id="{292E05DB-C308-4EFC-8E04-7BEC5990540C}">
    <text>formalizar Anexo ECC, sólo es posible hasta el 15 de julio.</text>
  </threadedComment>
  <threadedComment ref="I1807" dT="2025-02-21T12:35:24.60" personId="{263BF570-1135-498D-9B22-ED2D41481BFA}" id="{A89A85D9-C8C7-4EC2-9FD3-427DC3DB3B55}">
    <text>Anexo ECC 2503-2308 FDO</text>
  </threadedComment>
  <threadedComment ref="I1808" dT="2025-03-06T14:27:53.68" personId="{263BF570-1135-498D-9B22-ED2D41481BFA}" id="{0D88F046-7655-4C22-A3AD-EB13E52A092E}">
    <text>cambio jornada a 35h a partir de junio</text>
  </threadedComment>
  <threadedComment ref="I1808" dT="2025-09-02T08:44:54.86" personId="{18F22DD2-8946-45A3-8D5A-4E3319F14974}" id="{24AC4E79-C52A-46DE-9E71-27735A349F55}" parentId="{0D88F046-7655-4C22-A3AD-EB13E52A092E}">
    <text xml:space="preserve">ANEXO UC3M EN TRAMITACIÓN </text>
  </threadedComment>
  <threadedComment ref="R1808" dT="2025-08-22T09:40:32.96" personId="{18F22DD2-8946-45A3-8D5A-4E3319F14974}" id="{E235A80C-0CFF-460C-A9A2-5F98EE17E83F}">
    <text xml:space="preserve">ANEXO 4 Publicado en UC3M (21/08/25)
</text>
  </threadedComment>
  <threadedComment ref="S1808" dT="2025-09-05T07:05:09.41" personId="{18F22DD2-8946-45A3-8D5A-4E3319F14974}" id="{4C362DC0-73E6-4F00-B66D-8F3596132725}">
    <text>ANEXO 4 CURRICULARES</text>
  </threadedComment>
  <threadedComment ref="I1809" dT="2025-02-20T22:19:08.80" personId="{263BF570-1135-498D-9B22-ED2D41481BFA}" id="{8361E7A1-5E6E-4BDE-9BEC-9EAEA02A79D9}">
    <text>no dispone de horas UPM/ cursos</text>
  </threadedComment>
  <threadedComment ref="I1810" dT="2025-03-13T17:25:35.99" personId="{263BF570-1135-498D-9B22-ED2D41481BFA}" id="{0DF16708-89DA-45D1-81AB-F57D8AEA419E}">
    <text>formalizar Anexo ECC . Renovar en agosto con cursos hasta cumplir el año, email Enrique mayo 2025</text>
  </threadedComment>
  <threadedComment ref="K1810" dT="2025-02-06T13:04:23.88" personId="{18F22DD2-8946-45A3-8D5A-4E3319F14974}" id="{4A21817F-16E9-4B2B-9FE6-6BAB6E63BC7A}">
    <text xml:space="preserve">Confirmado que puede hacer 35h
</text>
  </threadedComment>
  <threadedComment ref="I1813" dT="2024-09-12T11:54:24.12" personId="{263BF570-1135-498D-9B22-ED2D41481BFA}" id="{8603D6F6-6CA4-45E4-8ED3-6319111BB760}">
    <text xml:space="preserve">solicitar renovación póliza a Alfonso García Arcas. en febrero cambio jornada completa de lunes a viernes, informar a personal.
</text>
  </threadedComment>
  <threadedComment ref="K1813" dT="2024-09-10T16:16:17.67" personId="{263BF570-1135-498D-9B22-ED2D41481BFA}" id="{B9268904-4415-4419-A9C5-E2797A555E23}">
    <text xml:space="preserve">jornada 20h lunes, miércoles y viernes. </text>
  </threadedComment>
  <threadedComment ref="K1813" dT="2024-09-10T16:28:19.18" personId="{263BF570-1135-498D-9B22-ED2D41481BFA}" id="{5FC1AF79-3F0A-45AD-9F12-177659D63DF2}" parentId="{B9268904-4415-4419-A9C5-E2797A555E23}">
    <text>Alumnos de 4º curso de Mecatrónica (alumnos de la Facultad de Bilbao).
Los de 4º curso suelen tener clases los martes y los jueves (durante todo el día), y los viernes por la tarde (por lo tanto acudirían a la empresa los lunes y los miércoles (jornada completa) y los viernes por la mañana (20 horas / semanales) (hasta finales de enero). A partir de febrero estarían a jornada completa en la empresa (tiene que hacer TFG en la empresa).
A partir de enero los alumnos estarían ya al 100% en la empresa (sin clases ni exámenes).
Serían prácticas de Cooperación Educativa Universidad-Empresa, estarían como becarios (sin contrato).
Coste para la empresa: ayuda a beca de 709 E/mes</text>
  </threadedComment>
  <threadedComment ref="L1813" dT="2024-09-13T08:19:06.14" personId="{263BF570-1135-498D-9B22-ED2D41481BFA}" id="{5C6AC19B-C537-4348-BF5E-7A922A9EE05E}">
    <text>con jornada de 40h la ayuda es de 744€</text>
  </threadedComment>
  <threadedComment ref="I1814" dT="2024-09-12T11:54:24.12" personId="{263BF570-1135-498D-9B22-ED2D41481BFA}" id="{2C438213-AA78-43A3-9DD3-02A033D7A1CE}">
    <text xml:space="preserve">solicitar renovación póliza a Alfonso García Arcas. en febrero cambio jornada completa de lunes a viernes, informar a personal.
</text>
  </threadedComment>
  <threadedComment ref="K1814" dT="2024-09-10T16:16:17.67" personId="{263BF570-1135-498D-9B22-ED2D41481BFA}" id="{C6FD1D40-5491-434A-B180-3D3761659549}">
    <text xml:space="preserve">jornada 20h lunes, miércoles y viernes. </text>
  </threadedComment>
  <threadedComment ref="L1814" dT="2024-09-13T08:19:26.86" personId="{263BF570-1135-498D-9B22-ED2D41481BFA}" id="{F7637710-B298-4512-A7D8-9EF5EA19E78B}">
    <text>con jornada de 40h la ayuda es de 744€</text>
  </threadedComment>
  <threadedComment ref="I1815" dT="2024-09-12T11:54:24.12" personId="{263BF570-1135-498D-9B22-ED2D41481BFA}" id="{9B1EB014-2FFD-465D-9FB9-7230FD4FBFF9}">
    <text xml:space="preserve">solicitar renovación póliza a Alfonso García Arcas. en febrero cambio jornada completa de lunes a viernes, informar a personal.
</text>
  </threadedComment>
  <threadedComment ref="K1815" dT="2024-09-10T16:16:17.67" personId="{263BF570-1135-498D-9B22-ED2D41481BFA}" id="{D42D6F49-4F7E-4800-B9AE-865D64373B4E}">
    <text xml:space="preserve">jornada 20h lunes, miércoles y viernes. </text>
  </threadedComment>
  <threadedComment ref="L1815" dT="2024-09-13T08:19:47.33" personId="{263BF570-1135-498D-9B22-ED2D41481BFA}" id="{1F9D251C-120F-46AD-A48B-ABC476151275}">
    <text>con jornada 40h la ayuda es de 744€</text>
  </threadedComment>
  <threadedComment ref="I1816" dT="2024-09-16T10:54:51.56" personId="{263BF570-1135-498D-9B22-ED2D41481BFA}" id="{E3C875E8-66A9-48E5-A8DD-875398740BB9}">
    <text>cambiar a ECC; anexo fdo</text>
  </threadedComment>
  <threadedComment ref="I1817" dT="2024-09-16T10:54:33.55" personId="{263BF570-1135-498D-9B22-ED2D41481BFA}" id="{1B791D47-1839-4F13-BF17-AA51F11B9D34}">
    <text>cambiar a ECC; anexo fdo</text>
  </threadedComment>
  <threadedComment ref="I1818" dT="2025-04-16T14:26:31.79" personId="{263BF570-1135-498D-9B22-ED2D41481BFA}" id="{30BF01DF-68F3-4E75-8BDD-27EC1461FF08}">
    <text>finaliza sus prácticas CC y causa baja.</text>
  </threadedComment>
  <threadedComment ref="I1820" dT="2025-07-14T11:56:02.58" personId="{263BF570-1135-498D-9B22-ED2D41481BFA}" id="{3014D263-AB91-44E7-8EFC-1B76A69D9989}">
    <text>causará baja y se reincorporará en febrero 2026</text>
  </threadedComment>
  <threadedComment ref="I1821" dT="2024-09-24T10:52:02.79" personId="{263BF570-1135-498D-9B22-ED2D41481BFA}" id="{604EEA69-2029-4F0F-9B2C-E92CDDA6B488}">
    <text>formalizar anexo ECC  UPM, publicar de nuevo oferta</text>
  </threadedComment>
  <threadedComment ref="I1822" dT="2025-03-14T12:17:43.93" personId="{263BF570-1135-498D-9B22-ED2D41481BFA}" id="{8DEBBC8D-E392-43C4-A11A-B9415C1177F8}">
    <text>Anexo ECC fdo</text>
  </threadedComment>
  <threadedComment ref="O1822" dT="2025-02-26T13:52:22.29" personId="{18F22DD2-8946-45A3-8D5A-4E3319F14974}" id="{E82ECE79-E917-4900-A932-DE99235473CC}">
    <text xml:space="preserve">300h CC
</text>
  </threadedComment>
  <threadedComment ref="I1823" dT="2025-03-14T12:16:34.21" personId="{263BF570-1135-498D-9B22-ED2D41481BFA}" id="{190BDA10-C3FD-4103-9A71-CE2CA72020A2}">
    <text>formalizar Anexo ECC</text>
  </threadedComment>
  <threadedComment ref="I1823" dT="2025-07-14T09:56:28.61" personId="{29C744D8-FA1A-4C76-A68D-43E162B5162F}" id="{582AFB32-90A0-4D6F-9AE6-86DDBDF903D0}" parentId="{190BDA10-C3FD-4103-9A71-CE2CA72020A2}">
    <text>baja voluntaria el 19 de agosto, aunque el anexo dure hasta el 31 de agosto</text>
  </threadedComment>
  <threadedComment ref="O1823" dT="2025-02-27T12:34:43.37" personId="{18F22DD2-8946-45A3-8D5A-4E3319F14974}" id="{CBFCCFA2-4AFF-4601-88B4-3EC97D572DDF}">
    <text xml:space="preserve">180h Curriculares
</text>
  </threadedComment>
  <threadedComment ref="I1824" dT="2025-05-14T11:38:49.14" personId="{263BF570-1135-498D-9B22-ED2D41481BFA}" id="{17631AE2-78D8-4B43-9211-559C94DD30A4}">
    <text>defensa del TFM y dejarán de estar en vigor los anexos con la UPCT. 
27/06 email baja voluntaria 9 de julio</text>
  </threadedComment>
  <threadedComment ref="I1825" dT="2024-09-24T15:55:32.10" personId="{263BF570-1135-498D-9B22-ED2D41481BFA}" id="{F5D14981-ABE2-48CA-ADC9-B4374581BBAB}">
    <text>Anexo ECC firmado UPM 29.11-31.03.25</text>
  </threadedComment>
  <threadedComment ref="I1826" dT="2024-12-12T07:53:08.69" personId="{263BF570-1135-498D-9B22-ED2D41481BFA}" id="{4C504A00-A0AD-4497-A83D-0D5409C1BF60}">
    <text>se incorpora con beca 10/12/24</text>
  </threadedComment>
  <threadedComment ref="I1826" dT="2024-12-12T07:54:10.32" personId="{263BF570-1135-498D-9B22-ED2D41481BFA}" id="{4A4AF7CF-F615-46C6-9AE0-7A8BD8559166}" parentId="{4C504A00-A0AD-4497-A83D-0D5409C1BF60}">
    <text>finalizó sus prácticas 3/12/24</text>
  </threadedComment>
  <threadedComment ref="I1831" dT="2025-07-16T11:54:34.28" personId="{263BF570-1135-498D-9B22-ED2D41481BFA}" id="{33A6D0AD-4BF1-44B1-A19E-C053A9ECCDB3}">
    <text>formaliza matrícula máster 23 de julio, nuevo anexo con máster.</text>
  </threadedComment>
  <threadedComment ref="I1833" dT="2024-10-04T07:40:04.71" personId="{263BF570-1135-498D-9B22-ED2D41481BFA}" id="{C439D5FF-D26D-4458-A94E-534828652536}">
    <text>Cambio a ECC, anexo formalizado. Su beca finalizaba el 6 octubre pero pasa a contrato con fecha 1 de agosto</text>
  </threadedComment>
  <threadedComment ref="I1834" dT="2024-10-09T13:53:39.40" personId="{263BF570-1135-498D-9B22-ED2D41481BFA}" id="{DA57E7CF-DD06-474A-A60B-611D9A7BAF90}">
    <text xml:space="preserve">publicar oferta UPM para ECC </text>
  </threadedComment>
  <threadedComment ref="I1834" dT="2025-08-26T07:23:38.87" personId="{18F22DD2-8946-45A3-8D5A-4E3319F14974}" id="{F19B799E-22D1-41A3-9F66-6B637A8190FB}" parentId="{DA57E7CF-DD06-474A-A60B-611D9A7BAF90}">
    <text xml:space="preserve">Pasa a contrato laboral </text>
  </threadedComment>
  <threadedComment ref="I1835" dT="2025-05-07T13:37:44.17" personId="{263BF570-1135-498D-9B22-ED2D41481BFA}" id="{40C6092D-0AD4-4D8F-B591-F432A230A6CC}">
    <text>solo se puede formalizar el anexo con Universidad hasta esa fecha para la obtención del título</text>
  </threadedComment>
  <threadedComment ref="I1836" dT="2025-10-30T10:48:31.06" personId="{263BF570-1135-498D-9B22-ED2D41481BFA}" id="{4DAD16B1-459C-4D87-ADA4-0200879C6DA0}">
    <text>Cambio de jornada a 25h y ayuda 500€ con fecha 29 de noviembre</text>
  </threadedComment>
  <threadedComment ref="I1837" dT="2024-12-30T10:42:49.54" personId="{263BF570-1135-498D-9B22-ED2D41481BFA}" id="{EDB7ED9E-7D99-4C14-B0B9-88461B561510}">
    <text>Anexo CC formalizado hasta el 13 diciembre 24</text>
  </threadedComment>
  <threadedComment ref="K1838" dT="2025-02-26T13:42:13.80" personId="{18F22DD2-8946-45A3-8D5A-4E3319F14974}" id="{8A9E0424-0B4D-489D-BCDE-B0E640E14B5A}">
    <text xml:space="preserve">Solo para el periodo de CC 300h, después cambiar a 25h 
</text>
  </threadedComment>
  <threadedComment ref="K1848" dT="2025-04-03T16:08:49.77" personId="{263BF570-1135-498D-9B22-ED2D41481BFA}" id="{30F42BE4-9C26-4064-89E5-7E8CD109D575}">
    <text>reducción jornada en la renovación de 35 a 30h por estudios</text>
  </threadedComment>
  <threadedComment ref="I1853" dT="2024-12-19T09:49:07.35" personId="{263BF570-1135-498D-9B22-ED2D41481BFA}" id="{1A92005A-F1E5-494B-A5CB-761D3832710B}">
    <text>solicitado Anexo ECC 19.12 UPM. Baja por firma del Anexo del 20 al 27 de enero. Solicitar nuevo Anexo con jornada 35h para comenzar en marzo</text>
  </threadedComment>
  <threadedComment ref="I1854" dT="2024-12-20T10:12:03.34" personId="{263BF570-1135-498D-9B22-ED2D41481BFA}" id="{38AD83A2-0F7D-4EB8-9CDC-DF4CF01C61AD}">
    <text>cambiar a ECC 17.12</text>
  </threadedComment>
  <threadedComment ref="I1854" dT="2024-12-20T10:12:56.54" personId="{263BF570-1135-498D-9B22-ED2D41481BFA}" id="{25A944DF-1744-4EA8-9470-C8E8CA172A77}" parentId="{38AD83A2-0F7D-4EB8-9CDC-DF4CF01C61AD}">
    <text>formalizar nuevo anexo con jornada 35h</text>
  </threadedComment>
  <threadedComment ref="I1854" dT="2025-01-16T16:15:24.64" personId="{263BF570-1135-498D-9B22-ED2D41481BFA}" id="{C2783F0F-B29A-46A4-9BFB-261C0FEE6CBF}" parentId="{38AD83A2-0F7D-4EB8-9CDC-DF4CF01C61AD}">
    <text>Nuevo Anexo ECC 35h 700€, desde 20/01</text>
  </threadedComment>
  <threadedComment ref="I1855" dT="2025-01-13T16:36:54.33" personId="{263BF570-1135-498D-9B22-ED2D41481BFA}" id="{C05F02F1-598D-4E62-9642-A6D95C8985A2}">
    <text>Anexo ECC formalizado fdo</text>
  </threadedComment>
  <threadedComment ref="R1855" dT="2025-08-22T09:07:23.10" personId="{18F22DD2-8946-45A3-8D5A-4E3319F14974}" id="{FF78F168-2E9F-4DA9-BBF5-14D0597136DF}">
    <text xml:space="preserve">Se renueva su beca con Structuralia hasta cumplir el año. ANEXO 4
</text>
  </threadedComment>
  <threadedComment ref="I1861" dT="2024-11-12T11:22:16.93" personId="{263BF570-1135-498D-9B22-ED2D41481BFA}" id="{4E974FCE-11EB-48B2-8636-9F5CD04C30F7}">
    <text>formalizar anexo de ECC con UPV hasta 13 mayo (180 días)</text>
  </threadedComment>
  <threadedComment ref="I1870" dT="2024-11-25T14:49:16.39" personId="{263BF570-1135-498D-9B22-ED2D41481BFA}" id="{8B3F2CDC-6685-4CF3-9727-AAE90685D4D4}">
    <text>Hasta 28.02 necesita 225h prácticas. ampliar 35h y 1200€</text>
  </threadedComment>
  <threadedComment ref="I1871" dT="2025-01-13T16:56:33.06" personId="{263BF570-1135-498D-9B22-ED2D41481BFA}" id="{25739B77-EB6E-49D4-8F77-3BC75A1DDC1B}">
    <text>Anexo ECC 16/02-15/06 FDO</text>
  </threadedComment>
  <threadedComment ref="I1875" dT="2025-04-22T11:10:15.19" personId="{263BF570-1135-498D-9B22-ED2D41481BFA}" id="{8D34B163-7F2F-4D28-988F-24683BB8EA43}">
    <text>formalizar un nuevo anexo con ampliación de jornada a 35h hasta finales de agosto. Consulato por Andrea al ICAI</text>
  </threadedComment>
  <threadedComment ref="I1876" dT="2025-06-23T10:39:39.59" personId="{263BF570-1135-498D-9B22-ED2D41481BFA}" id="{3C03763D-E116-478F-9E37-904D24B816F9}">
    <text>fue baja los meses de julio y agosto, se reincorpora el 1 septiembre hasta diciembre, autorizado por Joaquín.</text>
  </threadedComment>
  <threadedComment ref="I1884" dT="2025-07-09T10:06:02.22" personId="{263BF570-1135-498D-9B22-ED2D41481BFA}" id="{3050C9C3-EE64-419A-81BE-997B86C36FD9}">
    <text>Anexo ECC 16.12-12.01.26 FDO</text>
  </threadedComment>
  <threadedComment ref="I1887" dT="2025-07-29T14:30:01.39" personId="{263BF570-1135-498D-9B22-ED2D41481BFA}" id="{6B1C046D-778F-413D-99B8-5BC66FE599BE}">
    <text>RENOVAR HASTA COMPLETAR LOS 6 MESES RENOVACIÓN</text>
  </threadedComment>
  <threadedComment ref="S1887" dT="2025-07-16T10:42:39.19" personId="{263BF570-1135-498D-9B22-ED2D41481BFA}" id="{DF1DE34B-F313-4927-8821-751BD41049F8}">
    <text>formalizado Anexo ECC 20.07-30.09 ARCHIVADO</text>
  </threadedComment>
  <threadedComment ref="S1887" dT="2025-08-26T07:39:29.42" personId="{18F22DD2-8946-45A3-8D5A-4E3319F14974}" id="{10E03143-C428-45C2-974A-669DE4705737}" parentId="{DF1DE34B-F313-4927-8821-751BD41049F8}">
    <text>Pendiente nuevo anexo 6 meses más</text>
  </threadedComment>
  <threadedComment ref="I1888" dT="2025-01-08T14:01:40.20" personId="{263BF570-1135-498D-9B22-ED2D41481BFA}" id="{29EAF0A4-3A80-4A5F-83CB-6FD24B7C625A}">
    <text>paso a contratación a los 6 meses, según desempeño</text>
  </threadedComment>
  <threadedComment ref="I1891" dT="2025-02-26T15:52:27.07" personId="{263BF570-1135-498D-9B22-ED2D41481BFA}" id="{2D713BFF-FEE7-4D2B-B562-C8FB8E2DD5FC}">
    <text>Cambio a ECC, anexo firmado</text>
  </threadedComment>
  <threadedComment ref="I1893" dT="2025-10-10T08:52:36.07" personId="{263BF570-1135-498D-9B22-ED2D41481BFA}" id="{7425D3D7-B8C3-48DF-A02C-31048F33697B}">
    <text>Fecha en función a los 180 días GV</text>
  </threadedComment>
  <threadedComment ref="I1897" dT="2026-01-27T16:59:12.18" personId="{263BF570-1135-498D-9B22-ED2D41481BFA}" id="{9EDA7154-AAF0-406A-9C6C-3732558DC942}">
    <text>Anexo con UEMC formalizado hasta julio. 27.01.26</text>
  </threadedComment>
  <threadedComment ref="I1899" dT="2025-02-26T15:55:47.82" personId="{263BF570-1135-498D-9B22-ED2D41481BFA}" id="{A174CA0E-8639-4D73-A4D7-5FC950450D39}">
    <text>Anexo ECC firmado ENyD</text>
  </threadedComment>
  <threadedComment ref="I1900" dT="2025-01-30T10:33:33.85" personId="{263BF570-1135-498D-9B22-ED2D41481BFA}" id="{6E811A0F-0554-46CA-BEE6-885B48371719}">
    <text xml:space="preserve">formalizar prórroga </text>
  </threadedComment>
  <threadedComment ref="I1901" dT="2025-01-30T15:04:35.72" personId="{263BF570-1135-498D-9B22-ED2D41481BFA}" id="{77D1A7D7-C916-4D0A-A808-213889ED76A2}">
    <text>formalizar Anexo ECC</text>
  </threadedComment>
  <threadedComment ref="I1902" dT="2025-02-11T15:32:02.83" personId="{263BF570-1135-498D-9B22-ED2D41481BFA}" id="{8122531D-6823-4E6E-8B06-F331E3EFD812}">
    <text>DA ERROR EN LA DESCARGA DEL ANEXO; ESTÁ EN LA UC3M</text>
  </threadedComment>
  <threadedComment ref="I1908" dT="2025-01-28T15:32:15.13" personId="{263BF570-1135-498D-9B22-ED2D41481BFA}" id="{5DAC91BA-B544-4E3D-82A5-0BFD913432F4}">
    <text>Anexo generado UC3M con jornada 20h; la oferta publicada fue con 35h</text>
  </threadedComment>
  <threadedComment ref="I1909" dT="2025-08-05T08:52:15.27" personId="{263BF570-1135-498D-9B22-ED2D41481BFA}" id="{439519AD-2527-4290-B2E5-054DBBEF8F0E}">
    <text>con fecha 4 de agosto cambió a CC hasta 28 agosto. Formalizar nuevo Anexo ECC con curso desde 30 agosto</text>
  </threadedComment>
  <threadedComment ref="I1910" dT="2025-01-28T16:34:52.14" personId="{263BF570-1135-498D-9B22-ED2D41481BFA}" id="{48C0295F-8206-4971-8882-F3EB228E7EEF}">
    <text>ofertas y anexos gestionado por el propio Dpto.120. Carmen Lodares</text>
  </threadedComment>
  <threadedComment ref="I1912" dT="2025-05-22T10:34:37.39" personId="{263BF570-1135-498D-9B22-ED2D41481BFA}" id="{1A36F038-C0CE-4CC6-9C29-514BE557E647}">
    <text>terminó un día más tarde autorizado por Zuriñe porque tuvo un evento el viernes 9 y lo recuperó con el día 22 de mayo.</text>
  </threadedComment>
  <threadedComment ref="I1913" dT="2025-01-28T16:35:14.55" personId="{263BF570-1135-498D-9B22-ED2D41481BFA}" id="{CA9D5715-BBC5-4DEE-BC63-75930AEFA360}">
    <text>ofertas y anexos gestionado por el propio Dpto.120. Carmen Lodares</text>
  </threadedComment>
  <threadedComment ref="I1915" dT="2025-02-06T16:26:18.82" personId="{263BF570-1135-498D-9B22-ED2D41481BFA}" id="{792100B5-09A9-4FC7-BB48-4BCAE99E53CD}">
    <text>con fecha 28 mayo se formalizó nuevo anexo CC por el TFE hasta 29 de agosto fecha fijada UPCT</text>
  </threadedComment>
  <threadedComment ref="I1917" dT="2025-02-11T10:33:51.80" personId="{263BF570-1135-498D-9B22-ED2D41481BFA}" id="{407DA310-A38C-4B29-BDC0-3FB0E40EE5A7}">
    <text>1º Anexo CC fdo. No es posible descargar de UC3M. Anexo ECC 1 sept. solicitado pero pendiente por la firma convenio por la universidad</text>
  </threadedComment>
  <threadedComment ref="I1917" dT="2025-08-27T10:57:40.30" personId="{18F22DD2-8946-45A3-8D5A-4E3319F14974}" id="{39F0E54A-B69B-41CE-B21B-C8736A63B28C}" parentId="{407DA310-A38C-4B29-BDC0-3FB0E40EE5A7}">
    <text>Prórroga solicitada (31/10/25)</text>
  </threadedComment>
  <threadedComment ref="I1919" dT="2025-02-11T10:35:26.24" personId="{263BF570-1135-498D-9B22-ED2D41481BFA}" id="{327AEB53-E251-4B69-9C00-AD62F3A8E12F}">
    <text>Anexo ECC FDO 2204-0908 FDO</text>
  </threadedComment>
  <threadedComment ref="I1920" dT="2025-02-14T10:49:11.46" personId="{263BF570-1135-498D-9B22-ED2D41481BFA}" id="{BE38F148-2EF4-4DE8-A481-5A87024F0008}">
    <text>formalizar anexo ECC</text>
  </threadedComment>
  <threadedComment ref="K1920" dT="2025-04-07T14:44:55.70" personId="{263BF570-1135-498D-9B22-ED2D41481BFA}" id="{DD5C7276-FF5B-47AB-9295-9324232175B3}">
    <text>cambio jornada de 25 a 35h</text>
  </threadedComment>
  <threadedComment ref="I1921" dT="2025-02-14T10:49:46.08" personId="{263BF570-1135-498D-9B22-ED2D41481BFA}" id="{CD480B40-CD71-4D5E-9111-72C59907EB02}">
    <text>causó baja del 15/07 al 19/08</text>
  </threadedComment>
  <threadedComment ref="I1922" dT="2025-02-14T10:48:52.88" personId="{263BF570-1135-498D-9B22-ED2D41481BFA}" id="{DF8F4B89-DC61-416D-9AF2-DBC0D5E9456F}">
    <text>formalizar Anexo ECC</text>
  </threadedComment>
  <threadedComment ref="I1923" dT="2025-10-10T08:54:43.90" personId="{263BF570-1135-498D-9B22-ED2D41481BFA}" id="{CD8107C9-F29E-4A04-8C61-98B223D2BF67}">
    <text>Fecha en función 180 días GV</text>
  </threadedComment>
  <threadedComment ref="I1925" dT="2025-09-24T08:37:51.83" personId="{263BF570-1135-498D-9B22-ED2D41481BFA}" id="{98D5D139-E705-4D3E-8440-31B133E7B48D}">
    <text>el 15.09 se incorporó con curso Structuralia pendiente UOC; UOC generó anexo CC con jornada 25h y ayuda de 400€ con fecha inicio 25.09</text>
  </threadedComment>
  <threadedComment ref="H1927" dT="2025-08-27T09:02:57.26" personId="{18F22DD2-8946-45A3-8D5A-4E3319F14974}" id="{82B87E3D-B4ED-4509-B254-46D2E07FEA22}">
    <text>Plazo de publicación cerrado. Publicar en 01/09</text>
  </threadedComment>
  <threadedComment ref="I1927" dT="2025-01-30T15:01:23.16" personId="{263BF570-1135-498D-9B22-ED2D41481BFA}" id="{DBCF34DE-86C7-4B6E-BC2D-C8A19D49C497}">
    <text>NO SE PUEDEN DESCARGAR LOS ANEXOS DE CC Y ECC. CC HASTA 05 NOVIEMBRE. ECC 06 NOV. HASTA 14 MARZO</text>
  </threadedComment>
  <threadedComment ref="I1927" dT="2025-06-19T09:30:57.86" personId="{29C744D8-FA1A-4C76-A68D-43E162B5162F}" id="{B9179A87-1EA8-42B4-892E-E13D609CA1E8}" parentId="{DBCF34DE-86C7-4B6E-BC2D-C8A19D49C497}">
    <text>Se acuerda que en agosto causará baja y se reincorporará en septiembre con jornada semanal de 20 horas</text>
  </threadedComment>
  <threadedComment ref="I1927" dT="2025-09-10T10:15:37.55" personId="{18F22DD2-8946-45A3-8D5A-4E3319F14974}" id="{3BC2DD76-B26E-4817-B5B2-732BCD3AF313}" parentId="{DBCF34DE-86C7-4B6E-BC2D-C8A19D49C497}">
    <text>Anexo CC hasta 22/10/25</text>
  </threadedComment>
  <threadedComment ref="I1929" dT="2025-02-14T08:47:40.31" personId="{263BF570-1135-498D-9B22-ED2D41481BFA}" id="{E73433CA-576E-4889-AA04-09D75A4EE4A1}">
    <text>cambio a ECC anexo fdo</text>
  </threadedComment>
  <threadedComment ref="I1929" dT="2025-08-14T12:00:07.01" personId="{9FE89167-F289-404C-9C6A-42F707D054E1}" id="{03E9412B-E3F2-4D49-9295-823645629D20}" parentId="{E73433CA-576E-4889-AA04-09D75A4EE4A1}">
    <text>Anexo ECC UEM Pendiente firma JB</text>
  </threadedComment>
  <threadedComment ref="H1930" dT="2025-08-27T09:02:57.26" personId="{18F22DD2-8946-45A3-8D5A-4E3319F14974}" id="{59A70F6D-7A1A-4665-BD4F-C3932B1C7C6F}">
    <text>Plazo de publicación cerrado. Publicar en 01/09</text>
  </threadedComment>
  <threadedComment ref="I1932" dT="2025-02-11T10:38:13.49" personId="{263BF570-1135-498D-9B22-ED2D41481BFA}" id="{B02A26EC-F72B-450E-9340-752964D5BEEA}">
    <text>Formalizar Anexo ECC hasta 900h. 11/03 solicitado Anexo ECC total beca. 14/05-16/08</text>
  </threadedComment>
  <threadedComment ref="I1933" dT="2024-08-22T13:45:58.54" personId="{263BF570-1135-498D-9B22-ED2D41481BFA}" id="{571589BF-5761-4A20-A20A-BE6BDABC014A}">
    <text>SOLICITA UNA BAJA POR ESTUDIOS Y SE INCORPORA EN ENERO</text>
  </threadedComment>
  <threadedComment ref="I1934" dT="2025-12-04T17:24:49.94" personId="{263BF570-1135-498D-9B22-ED2D41481BFA}" id="{45BA233F-D06F-451A-945B-E7A4304B5B8B}">
    <text>No puede continuar, tiene que volver a su país por sus estudios</text>
  </threadedComment>
  <threadedComment ref="I1935" dT="2025-02-25T07:22:21.32" personId="{263BF570-1135-498D-9B22-ED2D41481BFA}" id="{C927AF54-6415-469A-AAE9-813981C40D1A}">
    <text>Anexo ECC 2603-2308 FDO</text>
  </threadedComment>
  <threadedComment ref="I1937" dT="2025-08-05T13:29:19.23" personId="{263BF570-1135-498D-9B22-ED2D41481BFA}" id="{863F0458-977D-43F5-8548-BB236F4A809E}">
    <text>ampliar jornada a 35h y ayuda al estudio a 700€  partir del 24 de agosto</text>
  </threadedComment>
  <threadedComment ref="H1938" dT="2025-10-08T08:20:57.08" personId="{263BF570-1135-498D-9B22-ED2D41481BFA}" id="{413F78BB-D912-4B1D-9051-674038DF2735}">
    <text>es una reincorporación, estuvo de beca 27/02/25 al 26/08/25</text>
  </threadedComment>
  <threadedComment ref="I1938" dT="2025-03-13T17:25:35.99" personId="{263BF570-1135-498D-9B22-ED2D41481BFA}" id="{C768E4DC-51EF-453D-A7A0-83BCE5043D5C}">
    <text>formalizar Anexo ECC . Renovar en agosto con cursos hasta cumplir el año, email Enrique mayo 2025</text>
  </threadedComment>
  <threadedComment ref="I1938" dT="2025-09-22T08:24:51.61" personId="{18F22DD2-8946-45A3-8D5A-4E3319F14974}" id="{43106766-F81C-40A6-9440-D33DF748C390}" parentId="{C768E4DC-51EF-453D-A7A0-83BCE5043D5C}">
    <text xml:space="preserve">A los 4 meses y medio hacer nuevo anexo de CC para convalidar 180h 
</text>
  </threadedComment>
  <threadedComment ref="I1938" dT="2026-03-23T11:48:23.05" personId="{29C744D8-FA1A-4C76-A68D-43E162B5162F}" id="{006B7C7F-7EFF-4CC7-A9C1-EC4E8305770B}" parentId="{C768E4DC-51EF-453D-A7A0-83BCE5043D5C}">
    <text>Solicitan contratación indefinida cuanto termine su beca el 10-04-26</text>
  </threadedComment>
  <threadedComment ref="K1938" dT="2025-02-06T13:04:23.88" personId="{18F22DD2-8946-45A3-8D5A-4E3319F14974}" id="{7F8D56E7-3BEE-4EFC-8E47-4CD5BA9FFB07}">
    <text xml:space="preserve">Confirmado que puede hacer 35h
</text>
  </threadedComment>
  <threadedComment ref="E1939" dT="2025-04-21T06:51:46.12" personId="{29C744D8-FA1A-4C76-A68D-43E162B5162F}" id="{57A0C45C-B19C-4E99-BC80-B500B7D95515}">
    <text>Desde el 03/03/25 al 20/04/25 pertenece al departamento 230 - Sistemas. El 21/04/2025 es traspasada al 034 - Transformación Digital</text>
  </threadedComment>
  <threadedComment ref="I1941" dT="2025-09-18T08:24:07.38" personId="{9FE89167-F289-404C-9C6A-42F707D054E1}" id="{87A4B73C-F58E-4E4B-AC93-3D3524056EC9}">
    <text>Prácticas UEMC: 22/9/25-11/11/25 Curriculares 12/11/25-27/1/26 Extracurriculares. Anexos generados y firmados</text>
  </threadedComment>
  <threadedComment ref="I1946" dT="2025-03-13T10:03:59.29" personId="{263BF570-1135-498D-9B22-ED2D41481BFA}" id="{8C5DBE97-A655-4114-A8EC-8AB9009F281F}">
    <text>no puedo descargar Anexo de la plataforma</text>
  </threadedComment>
  <threadedComment ref="I1951" dT="2025-07-14T12:34:02.36" personId="{263BF570-1135-498D-9B22-ED2D41481BFA}" id="{73D2A323-F3A7-4775-8639-064BE33A9F6A}">
    <text>se formalizó anexo con curso hasta completar los 6 meses, consultar al departamento por su renovación</text>
  </threadedComment>
  <threadedComment ref="I1952" dT="2025-05-14T11:40:45.87" personId="{263BF570-1135-498D-9B22-ED2D41481BFA}" id="{D42CA7AE-7F2C-4E2F-A71C-B43E5A4802B7}">
    <text>Defensa del TFM y dejará de estar en vigor el anexo con la UPCT</text>
  </threadedComment>
  <threadedComment ref="I1953" dT="2025-04-08T13:22:49.68" personId="{263BF570-1135-498D-9B22-ED2D41481BFA}" id="{6203B19B-76EA-4344-AEE0-8B4E59CA4CAF}">
    <text>formalizar nuevo anexo en junio con jornada de 35h. Las CC son de sep-dic y Feb-Mayo</text>
  </threadedComment>
  <threadedComment ref="K1953" dT="2025-04-08T13:20:22.84" personId="{263BF570-1135-498D-9B22-ED2D41481BFA}" id="{B9651C0F-22DD-45E8-BBE2-447E3B27E3D7}">
    <text>por el horario con la universidad sólo puede venir de lunes a jueves.</text>
  </threadedComment>
  <threadedComment ref="I1956" dT="2025-12-15T10:41:08.50" personId="{263BF570-1135-498D-9B22-ED2D41481BFA}" id="{0A298C5A-6A18-40BF-8846-B7CD0FCCC1C8}">
    <text>Anexo ECC fdo</text>
  </threadedComment>
  <threadedComment ref="I1956" dT="2026-03-23T11:38:59.64" personId="{29C744D8-FA1A-4C76-A68D-43E162B5162F}" id="{D533AA81-CB8C-4BF0-84CE-173D545C42DB}" parentId="{0A298C5A-6A18-40BF-8846-B7CD0FCCC1C8}">
    <text>solicitan su contratación temporal al acabar beca el 05-04-26</text>
  </threadedComment>
  <threadedComment ref="K1957" dT="2025-03-19T14:59:43.75" personId="{18F22DD2-8946-45A3-8D5A-4E3319F14974}" id="{49D19150-FABB-40A3-BBB0-ACFF545227A0}">
    <text xml:space="preserve">1er mes 30h luego puedes hacer 35h </text>
  </threadedComment>
  <threadedComment ref="I1958" dT="2025-04-09T09:55:53.21" personId="{263BF570-1135-498D-9B22-ED2D41481BFA}" id="{ECEBA758-B977-43D2-8B38-6C630A96F027}">
    <text>formalizar Anexo ECC</text>
  </threadedComment>
  <threadedComment ref="H1959" dT="2025-08-29T10:20:46.11" personId="{18F22DD2-8946-45A3-8D5A-4E3319F14974}" id="{5C9DC854-DE89-474C-A46A-10749E4B4C6B}">
    <text>No puede hacerse el anexo hasta el 29/09 según nos informa la UE (contactar con ellos el día 15 de septiembre)</text>
  </threadedComment>
  <threadedComment ref="I1959" dT="2025-10-16T12:35:38.86" personId="{263BF570-1135-498D-9B22-ED2D41481BFA}" id="{8D825873-3B93-4C5F-8BF0-A5BB994AA718}">
    <text>Anexo ECC fdo en el mismo Anexo CC</text>
  </threadedComment>
  <threadedComment ref="I1960" dT="2026-03-12T11:00:46.50" personId="{263BF570-1135-498D-9B22-ED2D41481BFA}" id="{863CE544-30DA-4A70-A086-D46AE3D59662}">
    <text>si renueva beca en abril sólo 12 días porque disfrutó 2 días por adelantado</text>
  </threadedComment>
  <threadedComment ref="I1961" dT="2025-10-13T10:22:10.03" personId="{263BF570-1135-498D-9B22-ED2D41481BFA}" id="{49386712-EA34-462C-8F7D-4E764C8346CA}">
    <text>cambio a CC mismo anexo fdo</text>
  </threadedComment>
  <threadedComment ref="H1963" dT="2025-04-16T14:40:12.70" personId="{263BF570-1135-498D-9B22-ED2D41481BFA}" id="{AD1CA3D6-7933-444B-8B57-E6EF1788E7AC}">
    <text xml:space="preserve">Tomó vacaciones para incorporarse el 21 de abril. </text>
  </threadedComment>
  <threadedComment ref="I1963" dT="2025-05-12T14:49:34.32" personId="{263BF570-1135-498D-9B22-ED2D41481BFA}" id="{071F8077-022C-4FCA-AED6-E6455E880093}">
    <text>pendiente convalidación notas para ampliar a 35h con la universidad. formalizamos con curso nuevo anexo ECC 12 mayo y 35h</text>
  </threadedComment>
  <threadedComment ref="I1964" dT="2025-10-10T08:52:10.17" personId="{263BF570-1135-498D-9B22-ED2D41481BFA}" id="{35C1D641-A02A-4655-A0B5-22E4D7621D53}">
    <text>fecha en función a los 180 días GV</text>
  </threadedComment>
  <threadedComment ref="I1969" dT="2025-09-04T09:59:57.97" personId="{263BF570-1135-498D-9B22-ED2D41481BFA}" id="{F2289F7F-E773-452E-8785-36BB08E6D16F}">
    <text>conversación con Saúl Sep. pq están interesados en contratarle para ir a obra</text>
  </threadedComment>
  <threadedComment ref="I1973" dT="2025-12-03T11:12:59.11" personId="{263BF570-1135-498D-9B22-ED2D41481BFA}" id="{8A08C5AB-5137-492F-BD3A-6F4A0EE3BC1E}">
    <text>causará baja el 6 de diciembre hasta el 8 diciembre ambos inclusive, por el anexo generado por la UPCT.</text>
  </threadedComment>
  <threadedComment ref="I1995" dT="2025-06-16T13:34:07.74" personId="{263BF570-1135-498D-9B22-ED2D41481BFA}" id="{06D4E924-8E00-4333-AA12-FB2F1A070432}">
    <text>Formalizar Anexo ECC</text>
  </threadedComment>
  <threadedComment ref="I2008" dT="2025-10-10T09:01:41.10" personId="{263BF570-1135-498D-9B22-ED2D41481BFA}" id="{34E3224E-3043-461E-85BA-8BA6F5D22ADC}">
    <text>desde 14.10 está con prácticas de FP NO remuneradas. Anexo CC 1410-09.01.26</text>
  </threadedComment>
  <threadedComment ref="I2014" dT="2025-07-14T12:21:35.85" personId="{263BF570-1135-498D-9B22-ED2D41481BFA}" id="{C7A1CD49-ABB2-41A0-A88D-888F2D47D984}">
    <text>RENOVAR CON CURSO</text>
  </threadedComment>
  <threadedComment ref="I2019" dT="2025-06-25T11:38:42.10" personId="{263BF570-1135-498D-9B22-ED2D41481BFA}" id="{B4D650D4-BFE8-4D52-867C-69E5CA3A1030}">
    <text>el curso ENyD solo permite realizar 612h por eso finaliza el anexo en noviembre. Anexo ECC FDO</text>
  </threadedComment>
  <threadedComment ref="I2020" dT="2025-06-20T10:46:24.05" personId="{263BF570-1135-498D-9B22-ED2D41481BFA}" id="{4E0CABF6-C396-4CF9-961C-0ED31905089B}">
    <text>Cambio jornada a 25h y ayuda al estudio a 625€ con fecha 1 de septiembre.  Renovado Anexo CC hasta 16 noviembre. Cambio dpto. 135 al 155 en marzo</text>
  </threadedComment>
  <threadedComment ref="I2024" dT="2025-09-09T12:32:48.79" personId="{263BF570-1135-498D-9B22-ED2D41481BFA}" id="{692DB08A-FC18-48BB-A07F-2A28F495E9A5}">
    <text xml:space="preserve">cambios de jornada con la misma ayuda al estudio: 40h 30.06 a 04.09/ 12,5h 05.09 a 19.02.26 y 40h 23.02.26 a 15.06.26. causó baja del 19 al 23 </text>
  </threadedComment>
  <threadedComment ref="I2031" dT="2025-08-05T15:20:40.82" personId="{263BF570-1135-498D-9B22-ED2D41481BFA}" id="{65926328-2A54-4335-AA46-6EDEDE0B1DD1}">
    <text>Cambio jornada a 25h y ayuda al estudio a 625€ con fecha 1 de septiembre.  Renovado Anexo CC hasta 14 diciembre</text>
  </threadedComment>
  <threadedComment ref="I2033" dT="2025-07-29T14:31:19.03" personId="{263BF570-1135-498D-9B22-ED2D41481BFA}" id="{B16B930E-DC59-4315-B756-D0407147A440}">
    <text xml:space="preserve">Renovar  beca con curso, no dispone de horas con URJC. </text>
  </threadedComment>
  <threadedComment ref="I2038" dT="2025-07-31T13:13:52.82" personId="{263BF570-1135-498D-9B22-ED2D41481BFA}" id="{E0EE3403-BE5D-4940-B938-E91318EAF67E}">
    <text xml:space="preserve"> cambio a ECC anexo firmado</text>
  </threadedComment>
  <threadedComment ref="L2042" dT="2025-05-26T13:00:10.68" personId="{29C744D8-FA1A-4C76-A68D-43E162B5162F}" id="{5DADA6D3-A37A-4C38-9D69-2065622E183F}">
    <text>Le pagamos casa y billetes de i/v</text>
  </threadedComment>
  <threadedComment ref="L2042" dT="2025-08-08T07:00:37.56" personId="{29C744D8-FA1A-4C76-A68D-43E162B5162F}" id="{EFC00126-DC9B-4EA3-8276-AF90AC055C29}" parentId="{5DADA6D3-A37A-4C38-9D69-2065622E183F}">
    <text>importe neto</text>
  </threadedComment>
  <threadedComment ref="L2043" dT="2025-05-26T12:59:59.48" personId="{29C744D8-FA1A-4C76-A68D-43E162B5162F}" id="{9069C56D-F22E-4B47-9680-F10446FEA834}">
    <text>Le pagamos casa y billetes de i/v</text>
  </threadedComment>
  <threadedComment ref="I2049" dT="2025-06-25T08:12:51.19" personId="{29C744D8-FA1A-4C76-A68D-43E162B5162F}" id="{89BC21F4-B5BD-4886-A7A4-6D3E1FC50BC3}">
    <text>La última semana de febrero 2026 aumentará a 40 horas, aunque su ayuda económica seguirá siendo la misma</text>
  </threadedComment>
  <threadedComment ref="K2049" dT="2026-04-13T15:33:13.18" personId="{263BF570-1135-498D-9B22-ED2D41481BFA}" id="{12DC8A4C-1329-40CA-87D3-43143AB8E29B}">
    <text>solicitado cambio de jornada 13 de abril</text>
  </threadedComment>
  <threadedComment ref="L2050" dT="2024-09-16T14:38:34.69" personId="{263BF570-1135-498D-9B22-ED2D41481BFA}" id="{043CD988-D6D6-420A-AB59-B11BEFAE6FFC}">
    <text>son prácticas FCT</text>
  </threadedComment>
  <threadedComment ref="I2052" dT="2025-09-10T06:57:20.51" personId="{29C744D8-FA1A-4C76-A68D-43E162B5162F}" id="{EAB2A52C-4319-4944-B7C3-C1D7E8C84642}">
    <text>Tenemos convenio hasta el 15/06/26, pero desde el 23/02/2026 aumenta jornada a 40 horas semanales, manteniendo la misma ayuda al estudio</text>
  </threadedComment>
  <threadedComment ref="I2057" dT="2025-09-24T14:14:47.15" personId="{263BF570-1135-498D-9B22-ED2D41481BFA}" id="{1FA1BE8A-7CCA-4FBC-B77A-E269E90518BA}">
    <text>Fecha en función 180 días GV. 
Anexo ECC 16.10 fdo</text>
  </threadedComment>
  <threadedComment ref="I2057" dT="2026-03-03T16:06:33.34" personId="{263BF570-1135-498D-9B22-ED2D41481BFA}" id="{33D75380-0AAE-4B25-9979-CBDF45481C43}" parentId="{1FA1BE8A-7CCA-4FBC-B77A-E269E90518BA}">
    <text xml:space="preserve">no pudo pasara a contrato a los 180 días porque no había finalizado sus estudios. </text>
  </threadedComment>
  <threadedComment ref="I2058" dT="2025-07-23T11:16:39.53" personId="{9FE89167-F289-404C-9C6A-42F707D054E1}" id="{E9AA0FF3-B5E8-47A3-87CD-C5A4DCA2B6D0}">
    <text>Renovación con Anexo de TFM. Entrega de información con Excel en la carpeta de la becaria</text>
  </threadedComment>
  <threadedComment ref="I2065" dT="2025-10-09T10:52:22.22" personId="{263BF570-1135-498D-9B22-ED2D41481BFA}" id="{80F30BA1-9C0C-4B97-A069-273EE84F28BC}">
    <text>se incorporó en el 120 hasta el 14 de marzo. Se renovó en el 110 hasta finales de mayo, causará baja y se reincorporará una vez finalizado el doble grado. Hablado con el 110 y Marta Trilla.</text>
  </threadedComment>
  <threadedComment ref="I2067" dT="2025-10-15T13:37:57.11" personId="{263BF570-1135-498D-9B22-ED2D41481BFA}" id="{9C10180C-D78B-4D08-A950-62D499B1DE73}">
    <text>Cambio a ECC formalizar anexo</text>
  </threadedComment>
  <threadedComment ref="I2068" dT="2025-10-09T10:45:31.89" personId="{263BF570-1135-498D-9B22-ED2D41481BFA}" id="{13DF757C-99F0-430D-B5D4-6B7B57CED509}">
    <text>formalizado anexo ECC y agotadas las horas con URJC; RENOVAR CON CURSO</text>
  </threadedComment>
  <threadedComment ref="I2069" dT="2025-10-07T07:01:59.29" personId="{263BF570-1135-498D-9B22-ED2D41481BFA}" id="{AD991DF4-92D9-4375-B012-DD616BF75CD1}">
    <text>formalizar Anexo CC con TFG</text>
  </threadedComment>
  <threadedComment ref="I2096" dT="2025-09-25T13:57:32.58" personId="{263BF570-1135-498D-9B22-ED2D41481BFA}" id="{923442CE-5780-4C44-A8A6-84FDAF1E36CD}">
    <text xml:space="preserve"> anexo ECC firmado</text>
  </threadedComment>
  <threadedComment ref="M2098" dT="2025-06-25T15:13:06.39" personId="{29C744D8-FA1A-4C76-A68D-43E162B5162F}" id="{CA840774-1570-421D-85D8-39997EBC29D6}">
    <text>Se encarga la universidad de su cotización</text>
  </threadedComment>
  <threadedComment ref="I2110" dT="2026-01-27T13:08:47.53" personId="{263BF570-1135-498D-9B22-ED2D41481BFA}" id="{B872DDC2-2783-4BA9-9F5F-5CA8AF09198F}">
    <text>causó baja el 23 enero; solicitado por su centro hasta nueva orden para su incorporación.</text>
  </threadedComment>
  <threadedComment ref="I2110" dT="2026-02-03T16:04:12.75" personId="{29C744D8-FA1A-4C76-A68D-43E162B5162F}" id="{66D38036-B349-4398-AD62-F79429F0EFAE}" parentId="{B872DDC2-2783-4BA9-9F5F-5CA8AF09198F}">
    <text>Se reincorpora formalmente el 4 de febrero y termina beca el 12 de febrero. El día 13 firma contrato laboral</text>
  </threadedComment>
  <threadedComment ref="I2113" dT="2025-11-24T11:18:41.20" personId="{263BF570-1135-498D-9B22-ED2D41481BFA}" id="{D495CDC8-D5C9-465E-A50E-299A84060E4E}">
    <text>Leyre emitió una propuesta de prácticas sin consensuarlo con nosotros a la universidad y por eso son sin remunerar las CC y la universidad ha gestionado su alta SS; confirmado estos detalles por teléfono con la universidad el 24 noviembre.  Del 22 diciembre al 12 de enero no fue a las prácticas por petición de su tutor empresa porque iba a estar sola. Conversación por teams. Está intentando reincorporarse para finalizar CC y regularizar los anexos.</text>
  </threadedComment>
  <threadedComment ref="I2119" dT="2025-11-13T16:36:18.24" personId="{263BF570-1135-498D-9B22-ED2D41481BFA}" id="{2AA0F524-91D5-4E11-AD16-C74D218904F3}">
    <text>en marzo formalizar Anexo de CC con la UPM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microsoft.com/office/2019/04/relationships/namedSheetView" Target="../namedSheetViews/namedSheetView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D039-9821-424A-B1E3-28E99BC3C8DE}">
  <sheetPr>
    <pageSetUpPr fitToPage="1"/>
  </sheetPr>
  <dimension ref="A1:BJ2119"/>
  <sheetViews>
    <sheetView tabSelected="1" topLeftCell="A2095" zoomScale="90" zoomScaleNormal="90" workbookViewId="0">
      <pane xSplit="3" topLeftCell="D1" activePane="topRight" state="frozen"/>
      <selection pane="topRight" activeCell="E2120" sqref="E2120"/>
    </sheetView>
  </sheetViews>
  <sheetFormatPr baseColWidth="10" defaultColWidth="10.88671875" defaultRowHeight="15" customHeight="1" x14ac:dyDescent="0.3"/>
  <cols>
    <col min="1" max="1" width="27.44140625" style="2" bestFit="1" customWidth="1"/>
    <col min="2" max="2" width="29.5546875" style="2" customWidth="1"/>
    <col min="3" max="4" width="19.109375" style="2" customWidth="1"/>
    <col min="5" max="5" width="50.88671875" style="2" bestFit="1" customWidth="1"/>
    <col min="6" max="6" width="41.21875" style="2" customWidth="1"/>
    <col min="7" max="9" width="13.5546875" style="5" customWidth="1"/>
    <col min="10" max="10" width="16.6640625" style="2" bestFit="1" customWidth="1"/>
    <col min="11" max="11" width="22.109375" style="3" bestFit="1" customWidth="1"/>
    <col min="12" max="12" width="11" style="2" customWidth="1"/>
    <col min="13" max="13" width="16" style="8" customWidth="1"/>
    <col min="14" max="14" width="10.44140625" style="1" customWidth="1"/>
    <col min="15" max="15" width="26" style="2" customWidth="1"/>
    <col min="16" max="16" width="24.88671875" style="2" bestFit="1" customWidth="1"/>
    <col min="17" max="17" width="109" style="2" customWidth="1"/>
    <col min="18" max="18" width="28.33203125" style="2" customWidth="1"/>
    <col min="19" max="19" width="88.6640625" style="2" customWidth="1"/>
    <col min="20" max="20" width="65" style="2" customWidth="1"/>
    <col min="21" max="21" width="56.6640625" style="2" bestFit="1" customWidth="1"/>
    <col min="22" max="22" width="35" style="2" customWidth="1"/>
    <col min="23" max="23" width="35.5546875" style="2" customWidth="1"/>
    <col min="24" max="24" width="22.33203125" style="2" bestFit="1" customWidth="1"/>
    <col min="25" max="25" width="21.6640625" style="1" bestFit="1" customWidth="1"/>
    <col min="26" max="27" width="21.6640625" style="1" customWidth="1"/>
    <col min="28" max="28" width="34.5546875" style="2" bestFit="1" customWidth="1"/>
    <col min="29" max="29" width="32" style="2" bestFit="1" customWidth="1"/>
    <col min="30" max="30" width="14.88671875" style="2" customWidth="1"/>
    <col min="31" max="31" width="18" style="2" customWidth="1"/>
    <col min="32" max="32" width="20.44140625" customWidth="1"/>
    <col min="33" max="33" width="29.88671875" bestFit="1" customWidth="1"/>
    <col min="34" max="34" width="25.77734375" style="2" bestFit="1" customWidth="1"/>
    <col min="35" max="16384" width="10.88671875" style="2"/>
  </cols>
  <sheetData>
    <row r="1" spans="1:34" ht="19.5" customHeight="1" x14ac:dyDescent="0.3">
      <c r="A1" s="32" t="s">
        <v>969</v>
      </c>
      <c r="B1" s="32" t="s">
        <v>970</v>
      </c>
      <c r="C1" s="26" t="s">
        <v>930</v>
      </c>
      <c r="D1" s="26" t="s">
        <v>5392</v>
      </c>
      <c r="E1" s="27" t="s">
        <v>0</v>
      </c>
      <c r="F1" s="27" t="s">
        <v>5388</v>
      </c>
      <c r="G1" s="28" t="s">
        <v>1</v>
      </c>
      <c r="H1" s="28" t="s">
        <v>2</v>
      </c>
      <c r="I1" s="28" t="s">
        <v>966</v>
      </c>
      <c r="J1" s="27" t="s">
        <v>3</v>
      </c>
      <c r="K1" s="29" t="s">
        <v>4</v>
      </c>
      <c r="L1" s="27" t="s">
        <v>5</v>
      </c>
      <c r="M1" s="28" t="s">
        <v>6</v>
      </c>
      <c r="N1" s="30" t="s">
        <v>7</v>
      </c>
      <c r="O1" s="27" t="s">
        <v>938</v>
      </c>
      <c r="P1" s="27" t="s">
        <v>8</v>
      </c>
      <c r="Q1" s="27" t="s">
        <v>9</v>
      </c>
      <c r="R1" s="27" t="s">
        <v>10</v>
      </c>
      <c r="S1" s="27" t="s">
        <v>11</v>
      </c>
      <c r="T1" s="27" t="s">
        <v>12</v>
      </c>
      <c r="U1" s="27" t="s">
        <v>13</v>
      </c>
      <c r="V1" s="27" t="s">
        <v>14</v>
      </c>
      <c r="W1" s="27" t="s">
        <v>15</v>
      </c>
      <c r="X1" s="32" t="s">
        <v>971</v>
      </c>
      <c r="Y1" s="60" t="s">
        <v>972</v>
      </c>
      <c r="Z1" s="32" t="s">
        <v>973</v>
      </c>
      <c r="AA1" s="32" t="s">
        <v>975</v>
      </c>
      <c r="AB1" s="31" t="s">
        <v>967</v>
      </c>
      <c r="AC1" s="31" t="s">
        <v>968</v>
      </c>
      <c r="AD1" s="32" t="s">
        <v>964</v>
      </c>
      <c r="AE1" s="32" t="s">
        <v>965</v>
      </c>
      <c r="AF1" s="67" t="s">
        <v>5389</v>
      </c>
      <c r="AG1" s="32" t="s">
        <v>5390</v>
      </c>
      <c r="AH1" s="32" t="s">
        <v>5391</v>
      </c>
    </row>
    <row r="2" spans="1:34" ht="14.4" x14ac:dyDescent="0.3">
      <c r="A2" s="66" t="s">
        <v>984</v>
      </c>
      <c r="B2" s="66" t="s">
        <v>3101</v>
      </c>
      <c r="C2" s="33">
        <v>2</v>
      </c>
      <c r="D2" s="33" t="s">
        <v>5393</v>
      </c>
      <c r="E2" s="34" t="s">
        <v>5215</v>
      </c>
      <c r="F2" s="34" t="s">
        <v>118</v>
      </c>
      <c r="G2" s="57">
        <v>40545</v>
      </c>
      <c r="H2" s="57">
        <v>40939</v>
      </c>
      <c r="I2" s="4">
        <f t="shared" ref="I2:I65" si="0">DATEDIF(G2, H2, "M")</f>
        <v>12</v>
      </c>
      <c r="J2" s="34">
        <v>40</v>
      </c>
      <c r="K2" s="36">
        <v>900</v>
      </c>
      <c r="L2" s="34" t="s">
        <v>29</v>
      </c>
      <c r="M2" s="57">
        <v>31070</v>
      </c>
      <c r="N2" s="37">
        <f>(YEAR(TablaMadre[[#This Row],[ALTA]])-YEAR(M2))</f>
        <v>26</v>
      </c>
      <c r="O2" s="34" t="s">
        <v>118</v>
      </c>
      <c r="P2" s="34" t="s">
        <v>19</v>
      </c>
      <c r="Q2" s="34" t="s">
        <v>41</v>
      </c>
      <c r="R2" s="34" t="s">
        <v>21</v>
      </c>
      <c r="S2" s="34" t="s">
        <v>322</v>
      </c>
      <c r="T2" s="34"/>
      <c r="U2" s="34" t="s">
        <v>42</v>
      </c>
      <c r="V2" s="34" t="s">
        <v>37</v>
      </c>
      <c r="W2" s="34" t="s">
        <v>28</v>
      </c>
      <c r="X2" s="59" t="s">
        <v>164</v>
      </c>
      <c r="Y2" s="61">
        <v>44359</v>
      </c>
      <c r="Z2" s="59">
        <f t="shared" ref="Z2:Z65" si="1">DATEDIF(H2, Y2, "y")</f>
        <v>9</v>
      </c>
      <c r="AA2" s="59"/>
      <c r="AB2" s="34" t="s">
        <v>24</v>
      </c>
      <c r="AC2" s="34" t="s">
        <v>34</v>
      </c>
      <c r="AD2" s="59"/>
      <c r="AE2" s="59" t="str">
        <f>IF(F2=O2, "NO", "SÍ")</f>
        <v>NO</v>
      </c>
      <c r="AF2" s="59" t="e" cm="1">
        <f t="array" aca="1" ref="AF2" ca="1">MIN(100, MAX(0, (IF(R2="ESTUDIANTE", 31, 0)) + (IF(I2&lt;=3, 30, IF(I2&lt;=6, 20, 0))) +(IF(OR(E2="413 - Control de Costes y Enlace Construcción", E2="480 - Secretaría General del Consejo", E2="132 - Civil y estructuras", E2="136 - Mecánica", E2="412 - Planificación", E2="142 - Compras"), 25, 0)) +(IF(OR(S2="GRADO ING. MECÁNICA", S2="GRADO ING. ELÉCTRICA", S2="GRADO DERECHO", S2="GRADO ECONOMÍA", S2="GRADO ING. TECNOLOGÍAS INDUSTRIALES"), 24, 0)) + (IF(AND(K2&gt;=451, K2&lt;=700), 23, 0)) + (IF(AND(AB2&gt;=5, AB2&lt;=8), 17, 0)) +(IF(_xludf.OR(_xludf.AND(AC2&gt;=8, AC2&lt;=10), _xludf.AND(AC2&gt;=0, AC2&lt;=5)), 16, 0)) + (IF(F2="Madrid", 11, 0))))</f>
        <v>#NAME?</v>
      </c>
      <c r="AG2" s="71"/>
      <c r="AH2" s="71" t="s">
        <v>164</v>
      </c>
    </row>
    <row r="3" spans="1:34" ht="14.4" x14ac:dyDescent="0.3">
      <c r="A3" s="66" t="s">
        <v>985</v>
      </c>
      <c r="B3" s="66" t="s">
        <v>3102</v>
      </c>
      <c r="C3" s="33">
        <v>1</v>
      </c>
      <c r="D3" s="33" t="s">
        <v>5394</v>
      </c>
      <c r="E3" s="34" t="s">
        <v>5216</v>
      </c>
      <c r="F3" s="34" t="s">
        <v>18</v>
      </c>
      <c r="G3" s="57">
        <v>40545</v>
      </c>
      <c r="H3" s="57">
        <v>40939</v>
      </c>
      <c r="I3" s="34">
        <f t="shared" si="0"/>
        <v>12</v>
      </c>
      <c r="J3" s="34">
        <v>40</v>
      </c>
      <c r="K3" s="36">
        <v>900</v>
      </c>
      <c r="L3" s="34" t="s">
        <v>29</v>
      </c>
      <c r="M3" s="57">
        <v>32086</v>
      </c>
      <c r="N3" s="37">
        <f>(YEAR(TablaMadre[[#This Row],[ALTA]])-YEAR(M3))</f>
        <v>24</v>
      </c>
      <c r="O3" s="34" t="s">
        <v>18</v>
      </c>
      <c r="P3" s="34" t="s">
        <v>19</v>
      </c>
      <c r="Q3" s="34" t="s">
        <v>38</v>
      </c>
      <c r="R3" s="34" t="s">
        <v>21</v>
      </c>
      <c r="S3" s="34" t="s">
        <v>960</v>
      </c>
      <c r="T3" s="34"/>
      <c r="U3" s="34" t="s">
        <v>30</v>
      </c>
      <c r="V3" s="34" t="s">
        <v>40</v>
      </c>
      <c r="W3" s="34" t="s">
        <v>28</v>
      </c>
      <c r="X3" s="38" t="s">
        <v>164</v>
      </c>
      <c r="Y3" s="62">
        <v>45806</v>
      </c>
      <c r="Z3" s="38">
        <f t="shared" si="1"/>
        <v>13</v>
      </c>
      <c r="AA3" s="38"/>
      <c r="AB3" s="34" t="s">
        <v>24</v>
      </c>
      <c r="AC3" s="34" t="s">
        <v>34</v>
      </c>
      <c r="AD3" s="38"/>
      <c r="AE3" s="59" t="str">
        <f t="shared" ref="AE3:AE66" si="2">IF(F3=O3, "NO", "SÍ")</f>
        <v>NO</v>
      </c>
      <c r="AF3" s="38" t="e" cm="1">
        <f t="array" aca="1" ref="AF3" ca="1">MIN(100, MAX(0, (IF(R3="ESTUDIANTE", 31, 0)) + (IF(I3&lt;=3, 30, IF(I3&lt;=6, 20, 0))) +(IF(OR(E3="413 - Control de Costes y Enlace Construcción", E3="480 - Secretaría General del Consejo", E3="132 - Civil y estructuras", E3="136 - Mecánica", E3="412 - Planificación", E3="142 - Compras"), 25, 0)) +(IF(OR(S3="GRADO ING. MECÁNICA", S3="GRADO ING. ELÉCTRICA", S3="GRADO DERECHO", S3="GRADO ECONOMÍA", S3="GRADO ING. TECNOLOGÍAS INDUSTRIALES"), 24, 0)) + (IF(AND(K3&gt;=451, K3&lt;=700), 23, 0)) + (IF(AND(AB3&gt;=5, AB3&lt;=8), 17, 0)) +(IF(_xludf.OR(_xludf.AND(AC3&gt;=8, AC3&lt;=10), _xludf.AND(AC3&gt;=0, AC3&lt;=5)), 16, 0)) + (IF(F3="Madrid", 11, 0))))</f>
        <v>#NAME?</v>
      </c>
      <c r="AG3" s="68"/>
      <c r="AH3" s="71" t="s">
        <v>164</v>
      </c>
    </row>
    <row r="4" spans="1:34" ht="14.4" x14ac:dyDescent="0.3">
      <c r="A4" s="66" t="s">
        <v>991</v>
      </c>
      <c r="B4" s="66" t="s">
        <v>3108</v>
      </c>
      <c r="C4" s="33">
        <v>3</v>
      </c>
      <c r="D4" s="33" t="s">
        <v>5395</v>
      </c>
      <c r="E4" s="34" t="s">
        <v>5216</v>
      </c>
      <c r="F4" s="34" t="s">
        <v>18</v>
      </c>
      <c r="G4" s="57">
        <v>40546</v>
      </c>
      <c r="H4" s="57">
        <v>41182</v>
      </c>
      <c r="I4" s="34">
        <f t="shared" si="0"/>
        <v>20</v>
      </c>
      <c r="J4" s="34">
        <v>40</v>
      </c>
      <c r="K4" s="36">
        <v>900</v>
      </c>
      <c r="L4" s="34" t="s">
        <v>29</v>
      </c>
      <c r="M4" s="57">
        <v>31471</v>
      </c>
      <c r="N4" s="37">
        <f>(YEAR(TablaMadre[[#This Row],[ALTA]])-YEAR(M4))</f>
        <v>25</v>
      </c>
      <c r="O4" s="34" t="s">
        <v>155</v>
      </c>
      <c r="P4" s="34" t="s">
        <v>19</v>
      </c>
      <c r="Q4" s="34" t="s">
        <v>154</v>
      </c>
      <c r="R4" s="34" t="s">
        <v>21</v>
      </c>
      <c r="S4" s="34" t="s">
        <v>297</v>
      </c>
      <c r="T4" s="34"/>
      <c r="U4" s="34" t="s">
        <v>30</v>
      </c>
      <c r="V4" s="34" t="s">
        <v>56</v>
      </c>
      <c r="W4" s="34" t="s">
        <v>28</v>
      </c>
      <c r="X4" s="38" t="s">
        <v>173</v>
      </c>
      <c r="Y4" s="62"/>
      <c r="Z4" s="38" t="e">
        <f t="shared" si="1"/>
        <v>#NUM!</v>
      </c>
      <c r="AA4" s="38"/>
      <c r="AB4" s="34" t="s">
        <v>24</v>
      </c>
      <c r="AC4" s="34" t="s">
        <v>34</v>
      </c>
      <c r="AD4" s="38"/>
      <c r="AE4" s="59" t="str">
        <f t="shared" si="2"/>
        <v>SÍ</v>
      </c>
      <c r="AF4" s="38" t="e" cm="1">
        <f t="array" aca="1" ref="AF4" ca="1">MIN(100, MAX(0, (IF(R4="ESTUDIANTE", 31, 0)) + (IF(I4&lt;=3, 30, IF(I4&lt;=6, 20, 0))) +(IF(OR(E4="413 - Control de Costes y Enlace Construcción", E4="480 - Secretaría General del Consejo", E4="132 - Civil y estructuras", E4="136 - Mecánica", E4="412 - Planificación", E4="142 - Compras"), 25, 0)) +(IF(OR(S4="GRADO ING. MECÁNICA", S4="GRADO ING. ELÉCTRICA", S4="GRADO DERECHO", S4="GRADO ECONOMÍA", S4="GRADO ING. TECNOLOGÍAS INDUSTRIALES"), 24, 0)) + (IF(AND(K4&gt;=451, K4&lt;=700), 23, 0)) + (IF(AND(AB4&gt;=5, AB4&lt;=8), 17, 0)) +(IF(_xludf.OR(_xludf.AND(AC4&gt;=8, AC4&lt;=10), _xludf.AND(AC4&gt;=0, AC4&lt;=5)), 16, 0)) + (IF(F4="Madrid", 11, 0))))</f>
        <v>#NAME?</v>
      </c>
      <c r="AG4" s="68"/>
      <c r="AH4" s="71" t="s">
        <v>164</v>
      </c>
    </row>
    <row r="5" spans="1:34" ht="14.4" x14ac:dyDescent="0.3">
      <c r="A5" s="66" t="s">
        <v>1004</v>
      </c>
      <c r="B5" s="66" t="s">
        <v>3121</v>
      </c>
      <c r="C5" s="33">
        <v>4</v>
      </c>
      <c r="D5" s="33" t="s">
        <v>5396</v>
      </c>
      <c r="E5" s="34" t="s">
        <v>5217</v>
      </c>
      <c r="F5" s="34" t="s">
        <v>18</v>
      </c>
      <c r="G5" s="57">
        <v>40547</v>
      </c>
      <c r="H5" s="57">
        <v>40999</v>
      </c>
      <c r="I5" s="34">
        <f t="shared" si="0"/>
        <v>14</v>
      </c>
      <c r="J5" s="34">
        <v>40</v>
      </c>
      <c r="K5" s="36">
        <v>900</v>
      </c>
      <c r="L5" s="34" t="s">
        <v>29</v>
      </c>
      <c r="M5" s="57">
        <v>31957</v>
      </c>
      <c r="N5" s="37">
        <f>(YEAR(TablaMadre[[#This Row],[ALTA]])-YEAR(M5))</f>
        <v>24</v>
      </c>
      <c r="O5" s="34" t="s">
        <v>62</v>
      </c>
      <c r="P5" s="34" t="s">
        <v>19</v>
      </c>
      <c r="Q5" s="34" t="s">
        <v>63</v>
      </c>
      <c r="R5" s="34" t="s">
        <v>21</v>
      </c>
      <c r="S5" s="34" t="s">
        <v>297</v>
      </c>
      <c r="T5" s="34"/>
      <c r="U5" s="34" t="s">
        <v>30</v>
      </c>
      <c r="V5" s="34" t="s">
        <v>56</v>
      </c>
      <c r="W5" s="34" t="s">
        <v>28</v>
      </c>
      <c r="X5" s="38" t="s">
        <v>173</v>
      </c>
      <c r="Y5" s="62"/>
      <c r="Z5" s="38" t="e">
        <f t="shared" si="1"/>
        <v>#NUM!</v>
      </c>
      <c r="AA5" s="38"/>
      <c r="AB5" s="34" t="s">
        <v>53</v>
      </c>
      <c r="AC5" s="34" t="s">
        <v>34</v>
      </c>
      <c r="AD5" s="38"/>
      <c r="AE5" s="59" t="str">
        <f t="shared" si="2"/>
        <v>SÍ</v>
      </c>
      <c r="AF5" s="38" t="e" cm="1">
        <f t="array" aca="1" ref="AF5" ca="1">MIN(100, MAX(0, (IF(R5="ESTUDIANTE", 31, 0)) + (IF(I5&lt;=3, 30, IF(I5&lt;=6, 20, 0))) +(IF(OR(E5="413 - Control de Costes y Enlace Construcción", E5="480 - Secretaría General del Consejo", E5="132 - Civil y estructuras", E5="136 - Mecánica", E5="412 - Planificación", E5="142 - Compras"), 25, 0)) +(IF(OR(S5="GRADO ING. MECÁNICA", S5="GRADO ING. ELÉCTRICA", S5="GRADO DERECHO", S5="GRADO ECONOMÍA", S5="GRADO ING. TECNOLOGÍAS INDUSTRIALES"), 24, 0)) + (IF(AND(K5&gt;=451, K5&lt;=700), 23, 0)) + (IF(AND(AB5&gt;=5, AB5&lt;=8), 17, 0)) +(IF(_xludf.OR(_xludf.AND(AC5&gt;=8, AC5&lt;=10), _xludf.AND(AC5&gt;=0, AC5&lt;=5)), 16, 0)) + (IF(F5="Madrid", 11, 0))))</f>
        <v>#NAME?</v>
      </c>
      <c r="AG5" s="68"/>
      <c r="AH5" s="71" t="s">
        <v>164</v>
      </c>
    </row>
    <row r="6" spans="1:34" ht="14.4" x14ac:dyDescent="0.3">
      <c r="A6" s="66" t="s">
        <v>1005</v>
      </c>
      <c r="B6" s="66" t="s">
        <v>3122</v>
      </c>
      <c r="C6" s="33">
        <v>6</v>
      </c>
      <c r="D6" s="33" t="s">
        <v>5397</v>
      </c>
      <c r="E6" s="34" t="s">
        <v>5218</v>
      </c>
      <c r="F6" s="34" t="s">
        <v>18</v>
      </c>
      <c r="G6" s="57">
        <v>40547</v>
      </c>
      <c r="H6" s="57">
        <v>41882</v>
      </c>
      <c r="I6" s="34">
        <f t="shared" si="0"/>
        <v>43</v>
      </c>
      <c r="J6" s="34">
        <v>30</v>
      </c>
      <c r="K6" s="36">
        <v>525</v>
      </c>
      <c r="L6" s="34" t="s">
        <v>17</v>
      </c>
      <c r="M6" s="57">
        <v>32095</v>
      </c>
      <c r="N6" s="37">
        <f>(YEAR(TablaMadre[[#This Row],[ALTA]])-YEAR(M6))</f>
        <v>24</v>
      </c>
      <c r="O6" s="34" t="s">
        <v>18</v>
      </c>
      <c r="P6" s="34" t="s">
        <v>19</v>
      </c>
      <c r="Q6" s="34" t="s">
        <v>206</v>
      </c>
      <c r="R6" s="58" t="s">
        <v>30</v>
      </c>
      <c r="S6" s="34" t="s">
        <v>281</v>
      </c>
      <c r="T6" s="34"/>
      <c r="U6" s="34" t="s">
        <v>42</v>
      </c>
      <c r="V6" s="34" t="s">
        <v>22</v>
      </c>
      <c r="W6" s="34" t="s">
        <v>28</v>
      </c>
      <c r="X6" s="38" t="s">
        <v>164</v>
      </c>
      <c r="Y6" s="62">
        <v>42615</v>
      </c>
      <c r="Z6" s="38">
        <f t="shared" si="1"/>
        <v>2</v>
      </c>
      <c r="AA6" s="38"/>
      <c r="AB6" s="34"/>
      <c r="AC6" s="34"/>
      <c r="AD6" s="38"/>
      <c r="AE6" s="59" t="str">
        <f t="shared" si="2"/>
        <v>NO</v>
      </c>
      <c r="AF6" s="38" t="e" cm="1">
        <f t="array" aca="1" ref="AF6" ca="1">MIN(100, MAX(0, (IF(R6="ESTUDIANTE", 31, 0)) + (IF(I6&lt;=3, 30, IF(I6&lt;=6, 20, 0))) +(IF(OR(E6="413 - Control de Costes y Enlace Construcción", E6="480 - Secretaría General del Consejo", E6="132 - Civil y estructuras", E6="136 - Mecánica", E6="412 - Planificación", E6="142 - Compras"), 25, 0)) +(IF(OR(S6="GRADO ING. MECÁNICA", S6="GRADO ING. ELÉCTRICA", S6="GRADO DERECHO", S6="GRADO ECONOMÍA", S6="GRADO ING. TECNOLOGÍAS INDUSTRIALES"), 24, 0)) + (IF(AND(K6&gt;=451, K6&lt;=700), 23, 0)) + (IF(AND(AB6&gt;=5, AB6&lt;=8), 17, 0)) +(IF(_xludf.OR(_xludf.AND(AC6&gt;=8, AC6&lt;=10), _xludf.AND(AC6&gt;=0, AC6&lt;=5)), 16, 0)) + (IF(F6="Madrid", 11, 0))))</f>
        <v>#NAME?</v>
      </c>
      <c r="AG6" s="68"/>
      <c r="AH6" s="71" t="s">
        <v>164</v>
      </c>
    </row>
    <row r="7" spans="1:34" ht="14.4" x14ac:dyDescent="0.3">
      <c r="A7" s="66" t="s">
        <v>1544</v>
      </c>
      <c r="B7" s="66" t="s">
        <v>3661</v>
      </c>
      <c r="C7" s="33">
        <v>5</v>
      </c>
      <c r="D7" s="33" t="s">
        <v>5398</v>
      </c>
      <c r="E7" s="34" t="s">
        <v>5219</v>
      </c>
      <c r="F7" s="34" t="s">
        <v>18</v>
      </c>
      <c r="G7" s="57">
        <v>40547</v>
      </c>
      <c r="H7" s="57">
        <v>40999</v>
      </c>
      <c r="I7" s="34">
        <f t="shared" si="0"/>
        <v>14</v>
      </c>
      <c r="J7" s="34">
        <v>40</v>
      </c>
      <c r="K7" s="36">
        <v>900</v>
      </c>
      <c r="L7" s="34" t="s">
        <v>17</v>
      </c>
      <c r="M7" s="57">
        <v>29788</v>
      </c>
      <c r="N7" s="37">
        <f>(YEAR(TablaMadre[[#This Row],[ALTA]])-YEAR(M7))</f>
        <v>30</v>
      </c>
      <c r="O7" s="34" t="s">
        <v>64</v>
      </c>
      <c r="P7" s="34" t="s">
        <v>19</v>
      </c>
      <c r="Q7" s="34" t="s">
        <v>63</v>
      </c>
      <c r="R7" s="34" t="s">
        <v>21</v>
      </c>
      <c r="S7" s="34" t="s">
        <v>297</v>
      </c>
      <c r="T7" s="34"/>
      <c r="U7" s="34" t="s">
        <v>21</v>
      </c>
      <c r="V7" s="34" t="s">
        <v>56</v>
      </c>
      <c r="W7" s="34" t="s">
        <v>28</v>
      </c>
      <c r="X7" s="38" t="s">
        <v>173</v>
      </c>
      <c r="Y7" s="62"/>
      <c r="Z7" s="38" t="e">
        <f t="shared" si="1"/>
        <v>#NUM!</v>
      </c>
      <c r="AA7" s="38" t="s">
        <v>173</v>
      </c>
      <c r="AB7" s="34" t="s">
        <v>53</v>
      </c>
      <c r="AC7" s="34" t="s">
        <v>34</v>
      </c>
      <c r="AD7" s="38" t="s">
        <v>173</v>
      </c>
      <c r="AE7" s="59" t="str">
        <f t="shared" si="2"/>
        <v>SÍ</v>
      </c>
      <c r="AF7" s="38" t="e" cm="1">
        <f t="array" aca="1" ref="AF7" ca="1">MIN(100, MAX(0, (IF(R7="ESTUDIANTE", 31, 0)) + (IF(I7&lt;=3, 30, IF(I7&lt;=6, 20, 0))) +(IF(OR(E7="413 - Control de Costes y Enlace Construcción", E7="480 - Secretaría General del Consejo", E7="132 - Civil y estructuras", E7="136 - Mecánica", E7="412 - Planificación", E7="142 - Compras"), 25, 0)) +(IF(OR(S7="GRADO ING. MECÁNICA", S7="GRADO ING. ELÉCTRICA", S7="GRADO DERECHO", S7="GRADO ECONOMÍA", S7="GRADO ING. TECNOLOGÍAS INDUSTRIALES"), 24, 0)) + (IF(AND(K7&gt;=451, K7&lt;=700), 23, 0)) + (IF(AND(AB7&gt;=5, AB7&lt;=8), 17, 0)) +(IF(_xludf.OR(_xludf.AND(AC7&gt;=8, AC7&lt;=10), _xludf.AND(AC7&gt;=0, AC7&lt;=5)), 16, 0)) + (IF(F7="Madrid", 11, 0))))</f>
        <v>#NAME?</v>
      </c>
      <c r="AG7" s="68"/>
      <c r="AH7" s="71" t="s">
        <v>164</v>
      </c>
    </row>
    <row r="8" spans="1:34" ht="14.4" x14ac:dyDescent="0.3">
      <c r="A8" s="66" t="s">
        <v>1044</v>
      </c>
      <c r="B8" s="66" t="s">
        <v>3161</v>
      </c>
      <c r="C8" s="33">
        <v>7</v>
      </c>
      <c r="D8" s="33" t="s">
        <v>5399</v>
      </c>
      <c r="E8" s="34" t="s">
        <v>5219</v>
      </c>
      <c r="F8" s="34" t="s">
        <v>18</v>
      </c>
      <c r="G8" s="57">
        <v>40550</v>
      </c>
      <c r="H8" s="57">
        <v>41090</v>
      </c>
      <c r="I8" s="34">
        <f t="shared" si="0"/>
        <v>17</v>
      </c>
      <c r="J8" s="34">
        <v>40</v>
      </c>
      <c r="K8" s="36">
        <v>900</v>
      </c>
      <c r="L8" s="34" t="s">
        <v>29</v>
      </c>
      <c r="M8" s="57">
        <v>33295</v>
      </c>
      <c r="N8" s="37">
        <f>(YEAR(TablaMadre[[#This Row],[ALTA]])-YEAR(M8))</f>
        <v>20</v>
      </c>
      <c r="O8" s="34" t="s">
        <v>18</v>
      </c>
      <c r="P8" s="34" t="s">
        <v>19</v>
      </c>
      <c r="Q8" s="34" t="s">
        <v>63</v>
      </c>
      <c r="R8" s="34" t="s">
        <v>21</v>
      </c>
      <c r="S8" s="34" t="s">
        <v>297</v>
      </c>
      <c r="T8" s="34"/>
      <c r="U8" s="34" t="s">
        <v>21</v>
      </c>
      <c r="V8" s="34" t="s">
        <v>56</v>
      </c>
      <c r="W8" s="34" t="s">
        <v>28</v>
      </c>
      <c r="X8" s="38" t="s">
        <v>164</v>
      </c>
      <c r="Y8" s="62">
        <v>42369</v>
      </c>
      <c r="Z8" s="38">
        <f t="shared" si="1"/>
        <v>3</v>
      </c>
      <c r="AA8" s="38"/>
      <c r="AB8" s="34" t="s">
        <v>24</v>
      </c>
      <c r="AC8" s="34" t="s">
        <v>34</v>
      </c>
      <c r="AD8" s="38"/>
      <c r="AE8" s="59" t="str">
        <f t="shared" si="2"/>
        <v>NO</v>
      </c>
      <c r="AF8" s="38" t="e" cm="1">
        <f t="array" aca="1" ref="AF8" ca="1">MIN(100, MAX(0, (IF(R8="ESTUDIANTE", 31, 0)) + (IF(I8&lt;=3, 30, IF(I8&lt;=6, 20, 0))) +(IF(OR(E8="413 - Control de Costes y Enlace Construcción", E8="480 - Secretaría General del Consejo", E8="132 - Civil y estructuras", E8="136 - Mecánica", E8="412 - Planificación", E8="142 - Compras"), 25, 0)) +(IF(OR(S8="GRADO ING. MECÁNICA", S8="GRADO ING. ELÉCTRICA", S8="GRADO DERECHO", S8="GRADO ECONOMÍA", S8="GRADO ING. TECNOLOGÍAS INDUSTRIALES"), 24, 0)) + (IF(AND(K8&gt;=451, K8&lt;=700), 23, 0)) + (IF(AND(AB8&gt;=5, AB8&lt;=8), 17, 0)) +(IF(_xludf.OR(_xludf.AND(AC8&gt;=8, AC8&lt;=10), _xludf.AND(AC8&gt;=0, AC8&lt;=5)), 16, 0)) + (IF(F8="Madrid", 11, 0))))</f>
        <v>#NAME?</v>
      </c>
      <c r="AG8" s="68"/>
      <c r="AH8" s="71" t="s">
        <v>164</v>
      </c>
    </row>
    <row r="9" spans="1:34" ht="15" customHeight="1" x14ac:dyDescent="0.3">
      <c r="A9" s="66" t="s">
        <v>1046</v>
      </c>
      <c r="B9" s="66" t="s">
        <v>3163</v>
      </c>
      <c r="C9" s="33">
        <v>8</v>
      </c>
      <c r="D9" s="33" t="s">
        <v>5400</v>
      </c>
      <c r="E9" s="34" t="s">
        <v>5220</v>
      </c>
      <c r="F9" s="34" t="s">
        <v>18</v>
      </c>
      <c r="G9" s="57">
        <v>40550</v>
      </c>
      <c r="H9" s="57">
        <v>41406</v>
      </c>
      <c r="I9" s="34">
        <f t="shared" si="0"/>
        <v>28</v>
      </c>
      <c r="J9" s="34">
        <v>40</v>
      </c>
      <c r="K9" s="36">
        <v>900</v>
      </c>
      <c r="L9" s="34" t="s">
        <v>17</v>
      </c>
      <c r="M9" s="57">
        <v>33328</v>
      </c>
      <c r="N9" s="37">
        <f>(YEAR(TablaMadre[[#This Row],[ALTA]])-YEAR(M9))</f>
        <v>20</v>
      </c>
      <c r="O9" s="34" t="s">
        <v>18</v>
      </c>
      <c r="P9" s="34" t="s">
        <v>19</v>
      </c>
      <c r="Q9" s="34" t="s">
        <v>85</v>
      </c>
      <c r="R9" s="34" t="s">
        <v>21</v>
      </c>
      <c r="S9" s="34" t="s">
        <v>322</v>
      </c>
      <c r="T9" s="34"/>
      <c r="U9" s="34" t="s">
        <v>42</v>
      </c>
      <c r="V9" s="34" t="s">
        <v>22</v>
      </c>
      <c r="W9" s="34" t="s">
        <v>28</v>
      </c>
      <c r="X9" s="38" t="s">
        <v>164</v>
      </c>
      <c r="Y9" s="62">
        <v>46511</v>
      </c>
      <c r="Z9" s="38">
        <f t="shared" si="1"/>
        <v>13</v>
      </c>
      <c r="AA9" s="38"/>
      <c r="AB9" s="34"/>
      <c r="AC9" s="34"/>
      <c r="AD9" s="38"/>
      <c r="AE9" s="59" t="str">
        <f t="shared" si="2"/>
        <v>NO</v>
      </c>
      <c r="AF9" s="38" t="e" cm="1">
        <f t="array" aca="1" ref="AF9" ca="1">MIN(100, MAX(0, (IF(R9="ESTUDIANTE", 31, 0)) + (IF(I9&lt;=3, 30, IF(I9&lt;=6, 20, 0))) +(IF(OR(E9="413 - Control de Costes y Enlace Construcción", E9="480 - Secretaría General del Consejo", E9="132 - Civil y estructuras", E9="136 - Mecánica", E9="412 - Planificación", E9="142 - Compras"), 25, 0)) +(IF(OR(S9="GRADO ING. MECÁNICA", S9="GRADO ING. ELÉCTRICA", S9="GRADO DERECHO", S9="GRADO ECONOMÍA", S9="GRADO ING. TECNOLOGÍAS INDUSTRIALES"), 24, 0)) + (IF(AND(K9&gt;=451, K9&lt;=700), 23, 0)) + (IF(AND(AB9&gt;=5, AB9&lt;=8), 17, 0)) +(IF(_xludf.OR(_xludf.AND(AC9&gt;=8, AC9&lt;=10), _xludf.AND(AC9&gt;=0, AC9&lt;=5)), 16, 0)) + (IF(F9="Madrid", 11, 0))))</f>
        <v>#NAME?</v>
      </c>
      <c r="AG9" s="68"/>
      <c r="AH9" s="71" t="s">
        <v>164</v>
      </c>
    </row>
    <row r="10" spans="1:34" ht="14.4" x14ac:dyDescent="0.3">
      <c r="A10" s="66" t="s">
        <v>1057</v>
      </c>
      <c r="B10" s="66" t="s">
        <v>3174</v>
      </c>
      <c r="C10" s="33">
        <v>9</v>
      </c>
      <c r="D10" s="33" t="s">
        <v>5401</v>
      </c>
      <c r="E10" s="34" t="s">
        <v>5221</v>
      </c>
      <c r="F10" s="34" t="s">
        <v>118</v>
      </c>
      <c r="G10" s="57">
        <v>40551</v>
      </c>
      <c r="H10" s="57">
        <v>41121</v>
      </c>
      <c r="I10" s="34">
        <f t="shared" si="0"/>
        <v>18</v>
      </c>
      <c r="J10" s="34">
        <v>40</v>
      </c>
      <c r="K10" s="36">
        <v>900</v>
      </c>
      <c r="L10" s="34" t="s">
        <v>29</v>
      </c>
      <c r="M10" s="57">
        <v>31497</v>
      </c>
      <c r="N10" s="37">
        <f>(YEAR(TablaMadre[[#This Row],[ALTA]])-YEAR(M10))</f>
        <v>25</v>
      </c>
      <c r="O10" s="34" t="s">
        <v>118</v>
      </c>
      <c r="P10" s="34" t="s">
        <v>19</v>
      </c>
      <c r="Q10" s="34" t="s">
        <v>63</v>
      </c>
      <c r="R10" s="34" t="s">
        <v>21</v>
      </c>
      <c r="S10" s="34" t="s">
        <v>297</v>
      </c>
      <c r="T10" s="34"/>
      <c r="U10" s="34" t="s">
        <v>30</v>
      </c>
      <c r="V10" s="34" t="s">
        <v>119</v>
      </c>
      <c r="W10" s="34" t="s">
        <v>28</v>
      </c>
      <c r="X10" s="38" t="s">
        <v>164</v>
      </c>
      <c r="Y10" s="62">
        <v>45337</v>
      </c>
      <c r="Z10" s="38">
        <f t="shared" si="1"/>
        <v>11</v>
      </c>
      <c r="AA10" s="38"/>
      <c r="AB10" s="34" t="s">
        <v>24</v>
      </c>
      <c r="AC10" s="34" t="s">
        <v>34</v>
      </c>
      <c r="AD10" s="38"/>
      <c r="AE10" s="59" t="str">
        <f t="shared" si="2"/>
        <v>NO</v>
      </c>
      <c r="AF10" s="38" t="e" cm="1">
        <f t="array" aca="1" ref="AF10" ca="1">MIN(100, MAX(0, (IF(R10="ESTUDIANTE", 31, 0)) + (IF(I10&lt;=3, 30, IF(I10&lt;=6, 20, 0))) +(IF(OR(E10="413 - Control de Costes y Enlace Construcción", E10="480 - Secretaría General del Consejo", E10="132 - Civil y estructuras", E10="136 - Mecánica", E10="412 - Planificación", E10="142 - Compras"), 25, 0)) +(IF(OR(S10="GRADO ING. MECÁNICA", S10="GRADO ING. ELÉCTRICA", S10="GRADO DERECHO", S10="GRADO ECONOMÍA", S10="GRADO ING. TECNOLOGÍAS INDUSTRIALES"), 24, 0)) + (IF(AND(K10&gt;=451, K10&lt;=700), 23, 0)) + (IF(AND(AB10&gt;=5, AB10&lt;=8), 17, 0)) +(IF(_xludf.OR(_xludf.AND(AC10&gt;=8, AC10&lt;=10), _xludf.AND(AC10&gt;=0, AC10&lt;=5)), 16, 0)) + (IF(F10="Madrid", 11, 0))))</f>
        <v>#NAME?</v>
      </c>
      <c r="AG10" s="68"/>
      <c r="AH10" s="71" t="s">
        <v>164</v>
      </c>
    </row>
    <row r="11" spans="1:34" ht="14.4" x14ac:dyDescent="0.3">
      <c r="A11" s="66" t="s">
        <v>1058</v>
      </c>
      <c r="B11" s="66" t="s">
        <v>3175</v>
      </c>
      <c r="C11" s="33">
        <v>10</v>
      </c>
      <c r="D11" s="33" t="s">
        <v>5402</v>
      </c>
      <c r="E11" s="34" t="s">
        <v>5222</v>
      </c>
      <c r="F11" s="34" t="s">
        <v>18</v>
      </c>
      <c r="G11" s="57">
        <v>40551</v>
      </c>
      <c r="H11" s="57">
        <v>41213</v>
      </c>
      <c r="I11" s="34">
        <f t="shared" si="0"/>
        <v>21</v>
      </c>
      <c r="J11" s="34">
        <v>30</v>
      </c>
      <c r="K11" s="36">
        <v>675</v>
      </c>
      <c r="L11" s="34" t="s">
        <v>29</v>
      </c>
      <c r="M11" s="57">
        <v>31645</v>
      </c>
      <c r="N11" s="37">
        <f>(YEAR(TablaMadre[[#This Row],[ALTA]])-YEAR(M11))</f>
        <v>25</v>
      </c>
      <c r="O11" s="34" t="s">
        <v>18</v>
      </c>
      <c r="P11" s="34" t="s">
        <v>19</v>
      </c>
      <c r="Q11" s="34" t="s">
        <v>38</v>
      </c>
      <c r="R11" s="58" t="s">
        <v>30</v>
      </c>
      <c r="S11" s="34" t="s">
        <v>960</v>
      </c>
      <c r="T11" s="34"/>
      <c r="U11" s="34" t="s">
        <v>21</v>
      </c>
      <c r="V11" s="34" t="s">
        <v>40</v>
      </c>
      <c r="W11" s="34" t="s">
        <v>28</v>
      </c>
      <c r="X11" s="38" t="s">
        <v>164</v>
      </c>
      <c r="Y11" s="62">
        <v>43282</v>
      </c>
      <c r="Z11" s="38">
        <f t="shared" si="1"/>
        <v>5</v>
      </c>
      <c r="AA11" s="38"/>
      <c r="AB11" s="34"/>
      <c r="AC11" s="34" t="s">
        <v>34</v>
      </c>
      <c r="AD11" s="38"/>
      <c r="AE11" s="59" t="str">
        <f t="shared" si="2"/>
        <v>NO</v>
      </c>
      <c r="AF11" s="38" t="e" cm="1">
        <f t="array" aca="1" ref="AF11" ca="1">MIN(100, MAX(0, (IF(R11="ESTUDIANTE", 31, 0)) + (IF(I11&lt;=3, 30, IF(I11&lt;=6, 20, 0))) +(IF(OR(E11="413 - Control de Costes y Enlace Construcción", E11="480 - Secretaría General del Consejo", E11="132 - Civil y estructuras", E11="136 - Mecánica", E11="412 - Planificación", E11="142 - Compras"), 25, 0)) +(IF(OR(S11="GRADO ING. MECÁNICA", S11="GRADO ING. ELÉCTRICA", S11="GRADO DERECHO", S11="GRADO ECONOMÍA", S11="GRADO ING. TECNOLOGÍAS INDUSTRIALES"), 24, 0)) + (IF(AND(K11&gt;=451, K11&lt;=700), 23, 0)) + (IF(AND(AB11&gt;=5, AB11&lt;=8), 17, 0)) +(IF(_xludf.OR(_xludf.AND(AC11&gt;=8, AC11&lt;=10), _xludf.AND(AC11&gt;=0, AC11&lt;=5)), 16, 0)) + (IF(F11="Madrid", 11, 0))))</f>
        <v>#NAME?</v>
      </c>
      <c r="AG11" s="68"/>
      <c r="AH11" s="71" t="s">
        <v>164</v>
      </c>
    </row>
    <row r="12" spans="1:34" ht="14.4" x14ac:dyDescent="0.3">
      <c r="A12" s="66" t="s">
        <v>990</v>
      </c>
      <c r="B12" s="66" t="s">
        <v>3107</v>
      </c>
      <c r="C12" s="33">
        <v>11</v>
      </c>
      <c r="D12" s="33" t="s">
        <v>5393</v>
      </c>
      <c r="E12" s="34" t="s">
        <v>5223</v>
      </c>
      <c r="F12" s="34" t="s">
        <v>100</v>
      </c>
      <c r="G12" s="57">
        <v>40552</v>
      </c>
      <c r="H12" s="57">
        <v>41090</v>
      </c>
      <c r="I12" s="34">
        <f t="shared" si="0"/>
        <v>17</v>
      </c>
      <c r="J12" s="34">
        <v>20</v>
      </c>
      <c r="K12" s="36">
        <v>450</v>
      </c>
      <c r="L12" s="34" t="s">
        <v>17</v>
      </c>
      <c r="M12" s="57">
        <v>32109</v>
      </c>
      <c r="N12" s="37">
        <f>(YEAR(TablaMadre[[#This Row],[ALTA]])-YEAR(M12))</f>
        <v>24</v>
      </c>
      <c r="O12" s="34" t="s">
        <v>100</v>
      </c>
      <c r="P12" s="34" t="s">
        <v>19</v>
      </c>
      <c r="Q12" s="34" t="s">
        <v>108</v>
      </c>
      <c r="R12" s="58" t="s">
        <v>30</v>
      </c>
      <c r="S12" s="34" t="s">
        <v>322</v>
      </c>
      <c r="T12" s="34"/>
      <c r="U12" s="34" t="s">
        <v>30</v>
      </c>
      <c r="V12" s="34" t="s">
        <v>107</v>
      </c>
      <c r="W12" s="34" t="s">
        <v>23</v>
      </c>
      <c r="X12" s="38" t="s">
        <v>164</v>
      </c>
      <c r="Y12" s="62"/>
      <c r="Z12" s="38" t="e">
        <f t="shared" si="1"/>
        <v>#NUM!</v>
      </c>
      <c r="AA12" s="38"/>
      <c r="AB12" s="34" t="s">
        <v>53</v>
      </c>
      <c r="AC12" s="34" t="s">
        <v>53</v>
      </c>
      <c r="AD12" s="38"/>
      <c r="AE12" s="59" t="str">
        <f t="shared" si="2"/>
        <v>NO</v>
      </c>
      <c r="AF12" s="38" t="e" cm="1">
        <f t="array" aca="1" ref="AF12" ca="1">MIN(100, MAX(0, (IF(R12="ESTUDIANTE", 31, 0)) + (IF(I12&lt;=3, 30, IF(I12&lt;=6, 20, 0))) +(IF(OR(E12="413 - Control de Costes y Enlace Construcción", E12="480 - Secretaría General del Consejo", E12="132 - Civil y estructuras", E12="136 - Mecánica", E12="412 - Planificación", E12="142 - Compras"), 25, 0)) +(IF(OR(S12="GRADO ING. MECÁNICA", S12="GRADO ING. ELÉCTRICA", S12="GRADO DERECHO", S12="GRADO ECONOMÍA", S12="GRADO ING. TECNOLOGÍAS INDUSTRIALES"), 24, 0)) + (IF(AND(K12&gt;=451, K12&lt;=700), 23, 0)) + (IF(AND(AB12&gt;=5, AB12&lt;=8), 17, 0)) +(IF(_xludf.OR(_xludf.AND(AC12&gt;=8, AC12&lt;=10), _xludf.AND(AC12&gt;=0, AC12&lt;=5)), 16, 0)) + (IF(F12="Madrid", 11, 0))))</f>
        <v>#NAME?</v>
      </c>
      <c r="AG12" s="68"/>
      <c r="AH12" s="71" t="s">
        <v>164</v>
      </c>
    </row>
    <row r="13" spans="1:34" ht="14.4" customHeight="1" x14ac:dyDescent="0.3">
      <c r="A13" s="66" t="s">
        <v>1066</v>
      </c>
      <c r="B13" s="66" t="s">
        <v>3183</v>
      </c>
      <c r="C13" s="33">
        <v>12</v>
      </c>
      <c r="D13" s="33" t="s">
        <v>5394</v>
      </c>
      <c r="E13" s="34" t="s">
        <v>5224</v>
      </c>
      <c r="F13" s="34" t="s">
        <v>18</v>
      </c>
      <c r="G13" s="57">
        <v>40554</v>
      </c>
      <c r="H13" s="57">
        <v>41213</v>
      </c>
      <c r="I13" s="34">
        <f t="shared" si="0"/>
        <v>21</v>
      </c>
      <c r="J13" s="34">
        <v>40</v>
      </c>
      <c r="K13" s="36">
        <v>2000</v>
      </c>
      <c r="L13" s="34" t="s">
        <v>17</v>
      </c>
      <c r="M13" s="57">
        <v>30434</v>
      </c>
      <c r="N13" s="37">
        <f>(YEAR(TablaMadre[[#This Row],[ALTA]])-YEAR(M13))</f>
        <v>28</v>
      </c>
      <c r="O13" s="34" t="s">
        <v>654</v>
      </c>
      <c r="P13" s="34" t="s">
        <v>19</v>
      </c>
      <c r="Q13" s="34" t="s">
        <v>161</v>
      </c>
      <c r="R13" s="34" t="s">
        <v>21</v>
      </c>
      <c r="S13" s="34" t="s">
        <v>229</v>
      </c>
      <c r="T13" s="34"/>
      <c r="U13" s="34" t="s">
        <v>21</v>
      </c>
      <c r="V13" s="34" t="s">
        <v>51</v>
      </c>
      <c r="W13" s="34" t="s">
        <v>28</v>
      </c>
      <c r="X13" s="38" t="s">
        <v>164</v>
      </c>
      <c r="Y13" s="62">
        <v>44479</v>
      </c>
      <c r="Z13" s="38">
        <f t="shared" si="1"/>
        <v>8</v>
      </c>
      <c r="AA13" s="38"/>
      <c r="AB13" s="34"/>
      <c r="AC13" s="34"/>
      <c r="AD13" s="38"/>
      <c r="AE13" s="59" t="str">
        <f t="shared" si="2"/>
        <v>SÍ</v>
      </c>
      <c r="AF13" s="38" t="e" cm="1">
        <f t="array" aca="1" ref="AF13" ca="1">MIN(100, MAX(0, (IF(R13="ESTUDIANTE", 31, 0)) + (IF(I13&lt;=3, 30, IF(I13&lt;=6, 20, 0))) +(IF(OR(E13="413 - Control de Costes y Enlace Construcción", E13="480 - Secretaría General del Consejo", E13="132 - Civil y estructuras", E13="136 - Mecánica", E13="412 - Planificación", E13="142 - Compras"), 25, 0)) +(IF(OR(S13="GRADO ING. MECÁNICA", S13="GRADO ING. ELÉCTRICA", S13="GRADO DERECHO", S13="GRADO ECONOMÍA", S13="GRADO ING. TECNOLOGÍAS INDUSTRIALES"), 24, 0)) + (IF(AND(K13&gt;=451, K13&lt;=700), 23, 0)) + (IF(AND(AB13&gt;=5, AB13&lt;=8), 17, 0)) +(IF(_xludf.OR(_xludf.AND(AC13&gt;=8, AC13&lt;=10), _xludf.AND(AC13&gt;=0, AC13&lt;=5)), 16, 0)) + (IF(F13="Madrid", 11, 0))))</f>
        <v>#NAME?</v>
      </c>
      <c r="AG13" s="68"/>
      <c r="AH13" s="71" t="s">
        <v>164</v>
      </c>
    </row>
    <row r="14" spans="1:34" ht="14.4" x14ac:dyDescent="0.3">
      <c r="A14" s="66" t="s">
        <v>1084</v>
      </c>
      <c r="B14" s="66" t="s">
        <v>3201</v>
      </c>
      <c r="C14" s="33">
        <v>13</v>
      </c>
      <c r="D14" s="33" t="s">
        <v>5395</v>
      </c>
      <c r="E14" s="34" t="s">
        <v>5225</v>
      </c>
      <c r="F14" s="34" t="s">
        <v>18</v>
      </c>
      <c r="G14" s="57">
        <v>40555</v>
      </c>
      <c r="H14" s="57">
        <v>41243</v>
      </c>
      <c r="I14" s="34">
        <f t="shared" si="0"/>
        <v>22</v>
      </c>
      <c r="J14" s="34">
        <v>40</v>
      </c>
      <c r="K14" s="36">
        <v>916.67</v>
      </c>
      <c r="L14" s="34" t="s">
        <v>17</v>
      </c>
      <c r="M14" s="57">
        <v>32403</v>
      </c>
      <c r="N14" s="37">
        <f>(YEAR(TablaMadre[[#This Row],[ALTA]])-YEAR(M14))</f>
        <v>23</v>
      </c>
      <c r="O14" s="34" t="s">
        <v>18</v>
      </c>
      <c r="P14" s="34" t="s">
        <v>19</v>
      </c>
      <c r="Q14" s="34" t="s">
        <v>49</v>
      </c>
      <c r="R14" s="34" t="s">
        <v>21</v>
      </c>
      <c r="S14" s="34" t="s">
        <v>297</v>
      </c>
      <c r="T14" s="34"/>
      <c r="U14" s="34" t="s">
        <v>42</v>
      </c>
      <c r="V14" s="34" t="s">
        <v>56</v>
      </c>
      <c r="W14" s="34" t="s">
        <v>28</v>
      </c>
      <c r="X14" s="38" t="s">
        <v>173</v>
      </c>
      <c r="Y14" s="62"/>
      <c r="Z14" s="38" t="e">
        <f t="shared" si="1"/>
        <v>#NUM!</v>
      </c>
      <c r="AA14" s="38"/>
      <c r="AB14" s="34"/>
      <c r="AC14" s="34"/>
      <c r="AD14" s="38"/>
      <c r="AE14" s="59" t="str">
        <f t="shared" si="2"/>
        <v>NO</v>
      </c>
      <c r="AF14" s="38" t="e" cm="1">
        <f t="array" aca="1" ref="AF14" ca="1">MIN(100, MAX(0, (IF(R14="ESTUDIANTE", 31, 0)) + (IF(I14&lt;=3, 30, IF(I14&lt;=6, 20, 0))) +(IF(OR(E14="413 - Control de Costes y Enlace Construcción", E14="480 - Secretaría General del Consejo", E14="132 - Civil y estructuras", E14="136 - Mecánica", E14="412 - Planificación", E14="142 - Compras"), 25, 0)) +(IF(OR(S14="GRADO ING. MECÁNICA", S14="GRADO ING. ELÉCTRICA", S14="GRADO DERECHO", S14="GRADO ECONOMÍA", S14="GRADO ING. TECNOLOGÍAS INDUSTRIALES"), 24, 0)) + (IF(AND(K14&gt;=451, K14&lt;=700), 23, 0)) + (IF(AND(AB14&gt;=5, AB14&lt;=8), 17, 0)) +(IF(_xludf.OR(_xludf.AND(AC14&gt;=8, AC14&lt;=10), _xludf.AND(AC14&gt;=0, AC14&lt;=5)), 16, 0)) + (IF(F14="Madrid", 11, 0))))</f>
        <v>#NAME?</v>
      </c>
      <c r="AG14" s="68"/>
      <c r="AH14" s="71" t="s">
        <v>164</v>
      </c>
    </row>
    <row r="15" spans="1:34" ht="14.4" x14ac:dyDescent="0.3">
      <c r="A15" s="66" t="s">
        <v>1085</v>
      </c>
      <c r="B15" s="66" t="s">
        <v>3202</v>
      </c>
      <c r="C15" s="33">
        <v>14</v>
      </c>
      <c r="D15" s="33" t="s">
        <v>5396</v>
      </c>
      <c r="E15" s="34" t="s">
        <v>5225</v>
      </c>
      <c r="F15" s="34" t="s">
        <v>18</v>
      </c>
      <c r="G15" s="57">
        <v>40555</v>
      </c>
      <c r="H15" s="57">
        <v>41243</v>
      </c>
      <c r="I15" s="34">
        <f t="shared" si="0"/>
        <v>22</v>
      </c>
      <c r="J15" s="34">
        <v>40</v>
      </c>
      <c r="K15" s="36">
        <v>916.67</v>
      </c>
      <c r="L15" s="34" t="s">
        <v>29</v>
      </c>
      <c r="M15" s="57">
        <v>30754</v>
      </c>
      <c r="N15" s="37">
        <f>(YEAR(TablaMadre[[#This Row],[ALTA]])-YEAR(M15))</f>
        <v>27</v>
      </c>
      <c r="O15" s="34" t="s">
        <v>100</v>
      </c>
      <c r="P15" s="34" t="s">
        <v>19</v>
      </c>
      <c r="Q15" s="34" t="s">
        <v>49</v>
      </c>
      <c r="R15" s="34" t="s">
        <v>21</v>
      </c>
      <c r="S15" s="34" t="s">
        <v>297</v>
      </c>
      <c r="T15" s="34"/>
      <c r="U15" s="34" t="s">
        <v>30</v>
      </c>
      <c r="V15" s="34" t="s">
        <v>107</v>
      </c>
      <c r="W15" s="34" t="s">
        <v>28</v>
      </c>
      <c r="X15" s="38" t="s">
        <v>164</v>
      </c>
      <c r="Y15" s="62">
        <v>45333</v>
      </c>
      <c r="Z15" s="38">
        <f t="shared" si="1"/>
        <v>11</v>
      </c>
      <c r="AA15" s="38"/>
      <c r="AB15" s="34"/>
      <c r="AC15" s="34"/>
      <c r="AD15" s="38"/>
      <c r="AE15" s="59" t="str">
        <f t="shared" si="2"/>
        <v>SÍ</v>
      </c>
      <c r="AF15" s="38" t="e" cm="1">
        <f t="array" aca="1" ref="AF15" ca="1">MIN(100, MAX(0, (IF(R15="ESTUDIANTE", 31, 0)) + (IF(I15&lt;=3, 30, IF(I15&lt;=6, 20, 0))) +(IF(OR(E15="413 - Control de Costes y Enlace Construcción", E15="480 - Secretaría General del Consejo", E15="132 - Civil y estructuras", E15="136 - Mecánica", E15="412 - Planificación", E15="142 - Compras"), 25, 0)) +(IF(OR(S15="GRADO ING. MECÁNICA", S15="GRADO ING. ELÉCTRICA", S15="GRADO DERECHO", S15="GRADO ECONOMÍA", S15="GRADO ING. TECNOLOGÍAS INDUSTRIALES"), 24, 0)) + (IF(AND(K15&gt;=451, K15&lt;=700), 23, 0)) + (IF(AND(AB15&gt;=5, AB15&lt;=8), 17, 0)) +(IF(_xludf.OR(_xludf.AND(AC15&gt;=8, AC15&lt;=10), _xludf.AND(AC15&gt;=0, AC15&lt;=5)), 16, 0)) + (IF(F15="Madrid", 11, 0))))</f>
        <v>#NAME?</v>
      </c>
      <c r="AG15" s="68"/>
      <c r="AH15" s="71" t="s">
        <v>164</v>
      </c>
    </row>
    <row r="16" spans="1:34" ht="14.4" customHeight="1" x14ac:dyDescent="0.3">
      <c r="A16" s="66" t="s">
        <v>981</v>
      </c>
      <c r="B16" s="66" t="s">
        <v>3098</v>
      </c>
      <c r="C16" s="33">
        <v>15</v>
      </c>
      <c r="D16" s="33" t="s">
        <v>5397</v>
      </c>
      <c r="E16" s="34" t="s">
        <v>5226</v>
      </c>
      <c r="F16" s="34" t="s">
        <v>118</v>
      </c>
      <c r="G16" s="57">
        <v>40560</v>
      </c>
      <c r="H16" s="57">
        <v>40924</v>
      </c>
      <c r="I16" s="34">
        <f t="shared" si="0"/>
        <v>11</v>
      </c>
      <c r="J16" s="34">
        <v>40</v>
      </c>
      <c r="K16" s="36">
        <v>900</v>
      </c>
      <c r="L16" s="34" t="s">
        <v>17</v>
      </c>
      <c r="M16" s="57">
        <v>30253</v>
      </c>
      <c r="N16" s="37">
        <f>(YEAR(TablaMadre[[#This Row],[ALTA]])-YEAR(M16))</f>
        <v>29</v>
      </c>
      <c r="O16" s="34" t="s">
        <v>511</v>
      </c>
      <c r="P16" s="34" t="s">
        <v>19</v>
      </c>
      <c r="Q16" s="34" t="s">
        <v>31</v>
      </c>
      <c r="R16" s="34" t="s">
        <v>21</v>
      </c>
      <c r="S16" s="34" t="s">
        <v>322</v>
      </c>
      <c r="T16" s="34"/>
      <c r="U16" s="34" t="s">
        <v>30</v>
      </c>
      <c r="V16" s="34" t="s">
        <v>33</v>
      </c>
      <c r="W16" s="34" t="s">
        <v>28</v>
      </c>
      <c r="X16" s="38" t="s">
        <v>164</v>
      </c>
      <c r="Y16" s="62">
        <v>43006</v>
      </c>
      <c r="Z16" s="38">
        <f t="shared" si="1"/>
        <v>5</v>
      </c>
      <c r="AA16" s="38"/>
      <c r="AB16" s="34" t="s">
        <v>24</v>
      </c>
      <c r="AC16" s="34" t="s">
        <v>34</v>
      </c>
      <c r="AD16" s="38"/>
      <c r="AE16" s="59" t="str">
        <f t="shared" si="2"/>
        <v>SÍ</v>
      </c>
      <c r="AF16" s="38" t="e" cm="1">
        <f t="array" aca="1" ref="AF16" ca="1">MIN(100, MAX(0, (IF(R16="ESTUDIANTE", 31, 0)) + (IF(I16&lt;=3, 30, IF(I16&lt;=6, 20, 0))) +(IF(OR(E16="413 - Control de Costes y Enlace Construcción", E16="480 - Secretaría General del Consejo", E16="132 - Civil y estructuras", E16="136 - Mecánica", E16="412 - Planificación", E16="142 - Compras"), 25, 0)) +(IF(OR(S16="GRADO ING. MECÁNICA", S16="GRADO ING. ELÉCTRICA", S16="GRADO DERECHO", S16="GRADO ECONOMÍA", S16="GRADO ING. TECNOLOGÍAS INDUSTRIALES"), 24, 0)) + (IF(AND(K16&gt;=451, K16&lt;=700), 23, 0)) + (IF(AND(AB16&gt;=5, AB16&lt;=8), 17, 0)) +(IF(_xludf.OR(_xludf.AND(AC16&gt;=8, AC16&lt;=10), _xludf.AND(AC16&gt;=0, AC16&lt;=5)), 16, 0)) + (IF(F16="Madrid", 11, 0))))</f>
        <v>#NAME?</v>
      </c>
      <c r="AG16" s="68"/>
      <c r="AH16" s="71" t="s">
        <v>164</v>
      </c>
    </row>
    <row r="17" spans="1:34" ht="14.4" x14ac:dyDescent="0.3">
      <c r="A17" s="66" t="s">
        <v>982</v>
      </c>
      <c r="B17" s="66" t="s">
        <v>3099</v>
      </c>
      <c r="C17" s="33">
        <v>17</v>
      </c>
      <c r="D17" s="33" t="s">
        <v>5398</v>
      </c>
      <c r="E17" s="34" t="s">
        <v>5226</v>
      </c>
      <c r="F17" s="34" t="s">
        <v>118</v>
      </c>
      <c r="G17" s="57">
        <v>40560</v>
      </c>
      <c r="H17" s="57">
        <v>40924</v>
      </c>
      <c r="I17" s="34">
        <f t="shared" si="0"/>
        <v>11</v>
      </c>
      <c r="J17" s="34">
        <v>40</v>
      </c>
      <c r="K17" s="36">
        <v>900</v>
      </c>
      <c r="L17" s="34" t="s">
        <v>17</v>
      </c>
      <c r="M17" s="57">
        <v>29361</v>
      </c>
      <c r="N17" s="37">
        <f>(YEAR(TablaMadre[[#This Row],[ALTA]])-YEAR(M17))</f>
        <v>31</v>
      </c>
      <c r="O17" s="34" t="s">
        <v>118</v>
      </c>
      <c r="P17" s="34" t="s">
        <v>19</v>
      </c>
      <c r="Q17" s="34" t="s">
        <v>35</v>
      </c>
      <c r="R17" s="34" t="s">
        <v>21</v>
      </c>
      <c r="S17" s="34" t="s">
        <v>307</v>
      </c>
      <c r="T17" s="34"/>
      <c r="U17" s="34" t="s">
        <v>30</v>
      </c>
      <c r="V17" s="34" t="s">
        <v>37</v>
      </c>
      <c r="W17" s="34" t="s">
        <v>28</v>
      </c>
      <c r="X17" s="38" t="s">
        <v>164</v>
      </c>
      <c r="Y17" s="62">
        <v>43009</v>
      </c>
      <c r="Z17" s="38">
        <f t="shared" si="1"/>
        <v>5</v>
      </c>
      <c r="AA17" s="38"/>
      <c r="AB17" s="34" t="s">
        <v>24</v>
      </c>
      <c r="AC17" s="34" t="s">
        <v>34</v>
      </c>
      <c r="AD17" s="38"/>
      <c r="AE17" s="59" t="str">
        <f t="shared" si="2"/>
        <v>NO</v>
      </c>
      <c r="AF17" s="38" t="e" cm="1">
        <f t="array" aca="1" ref="AF17" ca="1">MIN(100, MAX(0, (IF(R17="ESTUDIANTE", 31, 0)) + (IF(I17&lt;=3, 30, IF(I17&lt;=6, 20, 0))) +(IF(OR(E17="413 - Control de Costes y Enlace Construcción", E17="480 - Secretaría General del Consejo", E17="132 - Civil y estructuras", E17="136 - Mecánica", E17="412 - Planificación", E17="142 - Compras"), 25, 0)) +(IF(OR(S17="GRADO ING. MECÁNICA", S17="GRADO ING. ELÉCTRICA", S17="GRADO DERECHO", S17="GRADO ECONOMÍA", S17="GRADO ING. TECNOLOGÍAS INDUSTRIALES"), 24, 0)) + (IF(AND(K17&gt;=451, K17&lt;=700), 23, 0)) + (IF(AND(AB17&gt;=5, AB17&lt;=8), 17, 0)) +(IF(_xludf.OR(_xludf.AND(AC17&gt;=8, AC17&lt;=10), _xludf.AND(AC17&gt;=0, AC17&lt;=5)), 16, 0)) + (IF(F17="Madrid", 11, 0))))</f>
        <v>#NAME?</v>
      </c>
      <c r="AG17" s="68"/>
      <c r="AH17" s="71" t="s">
        <v>164</v>
      </c>
    </row>
    <row r="18" spans="1:34" ht="14.4" x14ac:dyDescent="0.3">
      <c r="A18" s="66" t="s">
        <v>983</v>
      </c>
      <c r="B18" s="66" t="s">
        <v>3100</v>
      </c>
      <c r="C18" s="33">
        <v>16</v>
      </c>
      <c r="D18" s="33" t="s">
        <v>5399</v>
      </c>
      <c r="E18" s="34" t="s">
        <v>5226</v>
      </c>
      <c r="F18" s="34" t="s">
        <v>118</v>
      </c>
      <c r="G18" s="57">
        <v>40560</v>
      </c>
      <c r="H18" s="57">
        <v>40924</v>
      </c>
      <c r="I18" s="34">
        <f t="shared" si="0"/>
        <v>11</v>
      </c>
      <c r="J18" s="34">
        <v>40</v>
      </c>
      <c r="K18" s="36">
        <v>900</v>
      </c>
      <c r="L18" s="34" t="s">
        <v>17</v>
      </c>
      <c r="M18" s="57">
        <v>29699</v>
      </c>
      <c r="N18" s="37">
        <f>(YEAR(TablaMadre[[#This Row],[ALTA]])-YEAR(M18))</f>
        <v>30</v>
      </c>
      <c r="O18" s="34" t="s">
        <v>153</v>
      </c>
      <c r="P18" s="34" t="s">
        <v>19</v>
      </c>
      <c r="Q18" s="34" t="s">
        <v>31</v>
      </c>
      <c r="R18" s="34" t="s">
        <v>21</v>
      </c>
      <c r="S18" s="34" t="s">
        <v>322</v>
      </c>
      <c r="T18" s="34"/>
      <c r="U18" s="34" t="s">
        <v>30</v>
      </c>
      <c r="V18" s="34" t="s">
        <v>33</v>
      </c>
      <c r="W18" s="34" t="s">
        <v>28</v>
      </c>
      <c r="X18" s="38" t="s">
        <v>164</v>
      </c>
      <c r="Y18" s="62">
        <v>44491</v>
      </c>
      <c r="Z18" s="38">
        <f t="shared" si="1"/>
        <v>9</v>
      </c>
      <c r="AA18" s="38"/>
      <c r="AB18" s="34" t="s">
        <v>24</v>
      </c>
      <c r="AC18" s="34" t="s">
        <v>34</v>
      </c>
      <c r="AD18" s="38"/>
      <c r="AE18" s="59" t="str">
        <f t="shared" si="2"/>
        <v>SÍ</v>
      </c>
      <c r="AF18" s="38" t="e" cm="1">
        <f t="array" aca="1" ref="AF18" ca="1">MIN(100, MAX(0, (IF(R18="ESTUDIANTE", 31, 0)) + (IF(I18&lt;=3, 30, IF(I18&lt;=6, 20, 0))) +(IF(OR(E18="413 - Control de Costes y Enlace Construcción", E18="480 - Secretaría General del Consejo", E18="132 - Civil y estructuras", E18="136 - Mecánica", E18="412 - Planificación", E18="142 - Compras"), 25, 0)) +(IF(OR(S18="GRADO ING. MECÁNICA", S18="GRADO ING. ELÉCTRICA", S18="GRADO DERECHO", S18="GRADO ECONOMÍA", S18="GRADO ING. TECNOLOGÍAS INDUSTRIALES"), 24, 0)) + (IF(AND(K18&gt;=451, K18&lt;=700), 23, 0)) + (IF(AND(AB18&gt;=5, AB18&lt;=8), 17, 0)) +(IF(_xludf.OR(_xludf.AND(AC18&gt;=8, AC18&lt;=10), _xludf.AND(AC18&gt;=0, AC18&lt;=5)), 16, 0)) + (IF(F18="Madrid", 11, 0))))</f>
        <v>#NAME?</v>
      </c>
      <c r="AG18" s="68"/>
      <c r="AH18" s="71" t="s">
        <v>164</v>
      </c>
    </row>
    <row r="19" spans="1:34" ht="14.4" x14ac:dyDescent="0.3">
      <c r="A19" s="66" t="s">
        <v>1065</v>
      </c>
      <c r="B19" s="66" t="s">
        <v>3182</v>
      </c>
      <c r="C19" s="33">
        <v>23</v>
      </c>
      <c r="D19" s="33" t="s">
        <v>5400</v>
      </c>
      <c r="E19" s="34" t="s">
        <v>5227</v>
      </c>
      <c r="F19" s="34" t="s">
        <v>18</v>
      </c>
      <c r="G19" s="57">
        <v>40585</v>
      </c>
      <c r="H19" s="57">
        <v>41470</v>
      </c>
      <c r="I19" s="34">
        <f t="shared" si="0"/>
        <v>29</v>
      </c>
      <c r="J19" s="34">
        <v>30</v>
      </c>
      <c r="K19" s="36">
        <v>675</v>
      </c>
      <c r="L19" s="34" t="s">
        <v>29</v>
      </c>
      <c r="M19" s="57">
        <v>30055</v>
      </c>
      <c r="N19" s="37">
        <f>(YEAR(TablaMadre[[#This Row],[ALTA]])-YEAR(M19))</f>
        <v>29</v>
      </c>
      <c r="O19" s="34" t="s">
        <v>18</v>
      </c>
      <c r="P19" s="34" t="s">
        <v>19</v>
      </c>
      <c r="Q19" s="34" t="s">
        <v>130</v>
      </c>
      <c r="R19" s="58" t="s">
        <v>30</v>
      </c>
      <c r="S19" s="34" t="s">
        <v>307</v>
      </c>
      <c r="T19" s="34"/>
      <c r="U19" s="34" t="s">
        <v>30</v>
      </c>
      <c r="V19" s="34" t="s">
        <v>22</v>
      </c>
      <c r="W19" s="34" t="s">
        <v>28</v>
      </c>
      <c r="X19" s="38" t="s">
        <v>164</v>
      </c>
      <c r="Y19" s="62">
        <v>42600</v>
      </c>
      <c r="Z19" s="38">
        <f t="shared" si="1"/>
        <v>3</v>
      </c>
      <c r="AA19" s="38"/>
      <c r="AB19" s="34"/>
      <c r="AC19" s="34"/>
      <c r="AD19" s="38"/>
      <c r="AE19" s="59" t="str">
        <f t="shared" si="2"/>
        <v>NO</v>
      </c>
      <c r="AF19" s="38" t="e" cm="1">
        <f t="array" aca="1" ref="AF19" ca="1">MIN(100, MAX(0, (IF(R19="ESTUDIANTE", 31, 0)) + (IF(I19&lt;=3, 30, IF(I19&lt;=6, 20, 0))) +(IF(OR(E19="413 - Control de Costes y Enlace Construcción", E19="480 - Secretaría General del Consejo", E19="132 - Civil y estructuras", E19="136 - Mecánica", E19="412 - Planificación", E19="142 - Compras"), 25, 0)) +(IF(OR(S19="GRADO ING. MECÁNICA", S19="GRADO ING. ELÉCTRICA", S19="GRADO DERECHO", S19="GRADO ECONOMÍA", S19="GRADO ING. TECNOLOGÍAS INDUSTRIALES"), 24, 0)) + (IF(AND(K19&gt;=451, K19&lt;=700), 23, 0)) + (IF(AND(AB19&gt;=5, AB19&lt;=8), 17, 0)) +(IF(_xludf.OR(_xludf.AND(AC19&gt;=8, AC19&lt;=10), _xludf.AND(AC19&gt;=0, AC19&lt;=5)), 16, 0)) + (IF(F19="Madrid", 11, 0))))</f>
        <v>#NAME?</v>
      </c>
      <c r="AG19" s="68"/>
      <c r="AH19" s="71" t="s">
        <v>164</v>
      </c>
    </row>
    <row r="20" spans="1:34" ht="14.4" x14ac:dyDescent="0.3">
      <c r="A20" s="66" t="s">
        <v>1067</v>
      </c>
      <c r="B20" s="66" t="s">
        <v>3184</v>
      </c>
      <c r="C20" s="33">
        <v>18</v>
      </c>
      <c r="D20" s="33" t="s">
        <v>5401</v>
      </c>
      <c r="E20" s="34" t="s">
        <v>5225</v>
      </c>
      <c r="F20" s="34" t="s">
        <v>18</v>
      </c>
      <c r="G20" s="57">
        <v>40585</v>
      </c>
      <c r="H20" s="57">
        <v>40919</v>
      </c>
      <c r="I20" s="34">
        <f t="shared" si="0"/>
        <v>11</v>
      </c>
      <c r="J20" s="34">
        <v>40</v>
      </c>
      <c r="K20" s="36">
        <v>700</v>
      </c>
      <c r="L20" s="34" t="s">
        <v>17</v>
      </c>
      <c r="M20" s="57">
        <v>32251</v>
      </c>
      <c r="N20" s="37">
        <f>(YEAR(TablaMadre[[#This Row],[ALTA]])-YEAR(M20))</f>
        <v>23</v>
      </c>
      <c r="O20" s="34" t="s">
        <v>18</v>
      </c>
      <c r="P20" s="34" t="s">
        <v>19</v>
      </c>
      <c r="Q20" s="34" t="s">
        <v>25</v>
      </c>
      <c r="R20" s="58" t="s">
        <v>30</v>
      </c>
      <c r="S20" s="34" t="s">
        <v>26</v>
      </c>
      <c r="T20" s="34"/>
      <c r="U20" s="34" t="s">
        <v>21</v>
      </c>
      <c r="V20" s="34" t="s">
        <v>27</v>
      </c>
      <c r="W20" s="34" t="s">
        <v>28</v>
      </c>
      <c r="X20" s="38" t="s">
        <v>173</v>
      </c>
      <c r="Y20" s="62"/>
      <c r="Z20" s="38" t="e">
        <f t="shared" si="1"/>
        <v>#NUM!</v>
      </c>
      <c r="AA20" s="38"/>
      <c r="AB20" s="34"/>
      <c r="AC20" s="34"/>
      <c r="AD20" s="38"/>
      <c r="AE20" s="59" t="str">
        <f t="shared" si="2"/>
        <v>NO</v>
      </c>
      <c r="AF20" s="38" t="e" cm="1">
        <f t="array" aca="1" ref="AF20" ca="1">MIN(100, MAX(0, (IF(R20="ESTUDIANTE", 31, 0)) + (IF(I20&lt;=3, 30, IF(I20&lt;=6, 20, 0))) +(IF(OR(E20="413 - Control de Costes y Enlace Construcción", E20="480 - Secretaría General del Consejo", E20="132 - Civil y estructuras", E20="136 - Mecánica", E20="412 - Planificación", E20="142 - Compras"), 25, 0)) +(IF(OR(S20="GRADO ING. MECÁNICA", S20="GRADO ING. ELÉCTRICA", S20="GRADO DERECHO", S20="GRADO ECONOMÍA", S20="GRADO ING. TECNOLOGÍAS INDUSTRIALES"), 24, 0)) + (IF(AND(K20&gt;=451, K20&lt;=700), 23, 0)) + (IF(AND(AB20&gt;=5, AB20&lt;=8), 17, 0)) +(IF(_xludf.OR(_xludf.AND(AC20&gt;=8, AC20&lt;=10), _xludf.AND(AC20&gt;=0, AC20&lt;=5)), 16, 0)) + (IF(F20="Madrid", 11, 0))))</f>
        <v>#NAME?</v>
      </c>
      <c r="AG20" s="68"/>
      <c r="AH20" s="71" t="s">
        <v>164</v>
      </c>
    </row>
    <row r="21" spans="1:34" ht="14.4" x14ac:dyDescent="0.3">
      <c r="A21" s="66" t="s">
        <v>1068</v>
      </c>
      <c r="B21" s="66" t="s">
        <v>3185</v>
      </c>
      <c r="C21" s="33">
        <v>20</v>
      </c>
      <c r="D21" s="33" t="s">
        <v>5402</v>
      </c>
      <c r="E21" s="34" t="s">
        <v>5228</v>
      </c>
      <c r="F21" s="34" t="s">
        <v>18</v>
      </c>
      <c r="G21" s="57">
        <v>40585</v>
      </c>
      <c r="H21" s="57">
        <v>41029</v>
      </c>
      <c r="I21" s="34">
        <f t="shared" si="0"/>
        <v>14</v>
      </c>
      <c r="J21" s="34">
        <v>40</v>
      </c>
      <c r="K21" s="36">
        <v>900</v>
      </c>
      <c r="L21" s="34" t="s">
        <v>17</v>
      </c>
      <c r="M21" s="57">
        <v>29722</v>
      </c>
      <c r="N21" s="37">
        <f>(YEAR(TablaMadre[[#This Row],[ALTA]])-YEAR(M21))</f>
        <v>30</v>
      </c>
      <c r="O21" s="34" t="s">
        <v>18</v>
      </c>
      <c r="P21" s="34" t="s">
        <v>19</v>
      </c>
      <c r="Q21" s="34" t="s">
        <v>66</v>
      </c>
      <c r="R21" s="34" t="s">
        <v>21</v>
      </c>
      <c r="S21" s="34" t="s">
        <v>322</v>
      </c>
      <c r="T21" s="34"/>
      <c r="U21" s="34" t="s">
        <v>42</v>
      </c>
      <c r="V21" s="34" t="s">
        <v>22</v>
      </c>
      <c r="W21" s="34" t="s">
        <v>28</v>
      </c>
      <c r="X21" s="38" t="s">
        <v>173</v>
      </c>
      <c r="Y21" s="62"/>
      <c r="Z21" s="38" t="e">
        <f t="shared" si="1"/>
        <v>#NUM!</v>
      </c>
      <c r="AA21" s="38"/>
      <c r="AB21" s="34" t="s">
        <v>24</v>
      </c>
      <c r="AC21" s="34" t="s">
        <v>34</v>
      </c>
      <c r="AD21" s="38"/>
      <c r="AE21" s="59" t="str">
        <f t="shared" si="2"/>
        <v>NO</v>
      </c>
      <c r="AF21" s="38" t="e" cm="1">
        <f t="array" aca="1" ref="AF21" ca="1">MIN(100, MAX(0, (IF(R21="ESTUDIANTE", 31, 0)) + (IF(I21&lt;=3, 30, IF(I21&lt;=6, 20, 0))) +(IF(OR(E21="413 - Control de Costes y Enlace Construcción", E21="480 - Secretaría General del Consejo", E21="132 - Civil y estructuras", E21="136 - Mecánica", E21="412 - Planificación", E21="142 - Compras"), 25, 0)) +(IF(OR(S21="GRADO ING. MECÁNICA", S21="GRADO ING. ELÉCTRICA", S21="GRADO DERECHO", S21="GRADO ECONOMÍA", S21="GRADO ING. TECNOLOGÍAS INDUSTRIALES"), 24, 0)) + (IF(AND(K21&gt;=451, K21&lt;=700), 23, 0)) + (IF(AND(AB21&gt;=5, AB21&lt;=8), 17, 0)) +(IF(_xludf.OR(_xludf.AND(AC21&gt;=8, AC21&lt;=10), _xludf.AND(AC21&gt;=0, AC21&lt;=5)), 16, 0)) + (IF(F21="Madrid", 11, 0))))</f>
        <v>#NAME?</v>
      </c>
      <c r="AG21" s="68"/>
      <c r="AH21" s="71" t="s">
        <v>164</v>
      </c>
    </row>
    <row r="22" spans="1:34" ht="14.4" x14ac:dyDescent="0.3">
      <c r="A22" s="66" t="s">
        <v>1069</v>
      </c>
      <c r="B22" s="66" t="s">
        <v>3186</v>
      </c>
      <c r="C22" s="33">
        <v>22</v>
      </c>
      <c r="D22" s="33" t="s">
        <v>5393</v>
      </c>
      <c r="E22" s="34" t="s">
        <v>5227</v>
      </c>
      <c r="F22" s="34" t="s">
        <v>18</v>
      </c>
      <c r="G22" s="57">
        <v>40585</v>
      </c>
      <c r="H22" s="57">
        <v>41394</v>
      </c>
      <c r="I22" s="34">
        <f t="shared" si="0"/>
        <v>26</v>
      </c>
      <c r="J22" s="34">
        <v>40</v>
      </c>
      <c r="K22" s="36">
        <v>900</v>
      </c>
      <c r="L22" s="34" t="s">
        <v>29</v>
      </c>
      <c r="M22" s="57">
        <v>31374</v>
      </c>
      <c r="N22" s="37">
        <f>(YEAR(TablaMadre[[#This Row],[ALTA]])-YEAR(M22))</f>
        <v>26</v>
      </c>
      <c r="O22" s="34" t="s">
        <v>185</v>
      </c>
      <c r="P22" s="34" t="s">
        <v>19</v>
      </c>
      <c r="Q22" s="34" t="s">
        <v>63</v>
      </c>
      <c r="R22" s="34" t="s">
        <v>21</v>
      </c>
      <c r="S22" s="34" t="s">
        <v>297</v>
      </c>
      <c r="T22" s="34"/>
      <c r="U22" s="34" t="s">
        <v>30</v>
      </c>
      <c r="V22" s="34" t="s">
        <v>56</v>
      </c>
      <c r="W22" s="34" t="s">
        <v>28</v>
      </c>
      <c r="X22" s="38" t="s">
        <v>173</v>
      </c>
      <c r="Y22" s="62"/>
      <c r="Z22" s="38" t="e">
        <f t="shared" si="1"/>
        <v>#NUM!</v>
      </c>
      <c r="AA22" s="38"/>
      <c r="AB22" s="34"/>
      <c r="AC22" s="34"/>
      <c r="AD22" s="38"/>
      <c r="AE22" s="59" t="str">
        <f t="shared" si="2"/>
        <v>SÍ</v>
      </c>
      <c r="AF22" s="38" t="e" cm="1">
        <f t="array" aca="1" ref="AF22" ca="1">MIN(100, MAX(0, (IF(R22="ESTUDIANTE", 31, 0)) + (IF(I22&lt;=3, 30, IF(I22&lt;=6, 20, 0))) +(IF(OR(E22="413 - Control de Costes y Enlace Construcción", E22="480 - Secretaría General del Consejo", E22="132 - Civil y estructuras", E22="136 - Mecánica", E22="412 - Planificación", E22="142 - Compras"), 25, 0)) +(IF(OR(S22="GRADO ING. MECÁNICA", S22="GRADO ING. ELÉCTRICA", S22="GRADO DERECHO", S22="GRADO ECONOMÍA", S22="GRADO ING. TECNOLOGÍAS INDUSTRIALES"), 24, 0)) + (IF(AND(K22&gt;=451, K22&lt;=700), 23, 0)) + (IF(AND(AB22&gt;=5, AB22&lt;=8), 17, 0)) +(IF(_xludf.OR(_xludf.AND(AC22&gt;=8, AC22&lt;=10), _xludf.AND(AC22&gt;=0, AC22&lt;=5)), 16, 0)) + (IF(F22="Madrid", 11, 0))))</f>
        <v>#NAME?</v>
      </c>
      <c r="AG22" s="68"/>
      <c r="AH22" s="71" t="s">
        <v>164</v>
      </c>
    </row>
    <row r="23" spans="1:34" ht="14.4" x14ac:dyDescent="0.3">
      <c r="A23" s="66" t="s">
        <v>1070</v>
      </c>
      <c r="B23" s="66" t="s">
        <v>3187</v>
      </c>
      <c r="C23" s="33">
        <v>21</v>
      </c>
      <c r="D23" s="33" t="s">
        <v>5394</v>
      </c>
      <c r="E23" s="34" t="s">
        <v>5229</v>
      </c>
      <c r="F23" s="34" t="s">
        <v>18</v>
      </c>
      <c r="G23" s="57">
        <v>40585</v>
      </c>
      <c r="H23" s="57">
        <v>41213</v>
      </c>
      <c r="I23" s="34">
        <f t="shared" si="0"/>
        <v>20</v>
      </c>
      <c r="J23" s="34">
        <v>40</v>
      </c>
      <c r="K23" s="36">
        <v>900</v>
      </c>
      <c r="L23" s="34" t="s">
        <v>29</v>
      </c>
      <c r="M23" s="57">
        <v>29906</v>
      </c>
      <c r="N23" s="37">
        <f>(YEAR(TablaMadre[[#This Row],[ALTA]])-YEAR(M23))</f>
        <v>30</v>
      </c>
      <c r="O23" s="34" t="s">
        <v>159</v>
      </c>
      <c r="P23" s="34" t="s">
        <v>19</v>
      </c>
      <c r="Q23" s="34" t="s">
        <v>162</v>
      </c>
      <c r="R23" s="34" t="s">
        <v>21</v>
      </c>
      <c r="S23" s="34" t="s">
        <v>473</v>
      </c>
      <c r="T23" s="34"/>
      <c r="U23" s="34" t="s">
        <v>30</v>
      </c>
      <c r="V23" s="34" t="s">
        <v>163</v>
      </c>
      <c r="W23" s="34" t="s">
        <v>28</v>
      </c>
      <c r="X23" s="38" t="s">
        <v>164</v>
      </c>
      <c r="Y23" s="62">
        <v>43287</v>
      </c>
      <c r="Z23" s="38">
        <f t="shared" si="1"/>
        <v>5</v>
      </c>
      <c r="AA23" s="38"/>
      <c r="AB23" s="34"/>
      <c r="AC23" s="34"/>
      <c r="AD23" s="38"/>
      <c r="AE23" s="59" t="str">
        <f t="shared" si="2"/>
        <v>SÍ</v>
      </c>
      <c r="AF23" s="38" t="e" cm="1">
        <f t="array" aca="1" ref="AF23" ca="1">MIN(100, MAX(0, (IF(R23="ESTUDIANTE", 31, 0)) + (IF(I23&lt;=3, 30, IF(I23&lt;=6, 20, 0))) +(IF(OR(E23="413 - Control de Costes y Enlace Construcción", E23="480 - Secretaría General del Consejo", E23="132 - Civil y estructuras", E23="136 - Mecánica", E23="412 - Planificación", E23="142 - Compras"), 25, 0)) +(IF(OR(S23="GRADO ING. MECÁNICA", S23="GRADO ING. ELÉCTRICA", S23="GRADO DERECHO", S23="GRADO ECONOMÍA", S23="GRADO ING. TECNOLOGÍAS INDUSTRIALES"), 24, 0)) + (IF(AND(K23&gt;=451, K23&lt;=700), 23, 0)) + (IF(AND(AB23&gt;=5, AB23&lt;=8), 17, 0)) +(IF(_xludf.OR(_xludf.AND(AC23&gt;=8, AC23&lt;=10), _xludf.AND(AC23&gt;=0, AC23&lt;=5)), 16, 0)) + (IF(F23="Madrid", 11, 0))))</f>
        <v>#NAME?</v>
      </c>
      <c r="AG23" s="68"/>
      <c r="AH23" s="71" t="s">
        <v>164</v>
      </c>
    </row>
    <row r="24" spans="1:34" ht="14.4" x14ac:dyDescent="0.3">
      <c r="A24" s="66" t="s">
        <v>1071</v>
      </c>
      <c r="B24" s="66" t="s">
        <v>3188</v>
      </c>
      <c r="C24" s="33">
        <v>19</v>
      </c>
      <c r="D24" s="33" t="s">
        <v>5395</v>
      </c>
      <c r="E24" s="34" t="s">
        <v>5225</v>
      </c>
      <c r="F24" s="34" t="s">
        <v>18</v>
      </c>
      <c r="G24" s="57">
        <v>40585</v>
      </c>
      <c r="H24" s="57">
        <v>40919</v>
      </c>
      <c r="I24" s="34">
        <f t="shared" si="0"/>
        <v>11</v>
      </c>
      <c r="J24" s="34">
        <v>40</v>
      </c>
      <c r="K24" s="36">
        <v>700</v>
      </c>
      <c r="L24" s="34" t="s">
        <v>29</v>
      </c>
      <c r="M24" s="57">
        <v>31910</v>
      </c>
      <c r="N24" s="37">
        <f>(YEAR(TablaMadre[[#This Row],[ALTA]])-YEAR(M24))</f>
        <v>24</v>
      </c>
      <c r="O24" s="34" t="s">
        <v>18</v>
      </c>
      <c r="P24" s="34" t="s">
        <v>19</v>
      </c>
      <c r="Q24" s="34" t="s">
        <v>25</v>
      </c>
      <c r="R24" s="58" t="s">
        <v>30</v>
      </c>
      <c r="S24" s="34" t="s">
        <v>26</v>
      </c>
      <c r="T24" s="34"/>
      <c r="U24" s="34" t="s">
        <v>30</v>
      </c>
      <c r="V24" s="34" t="s">
        <v>27</v>
      </c>
      <c r="W24" s="34" t="s">
        <v>28</v>
      </c>
      <c r="X24" s="38" t="s">
        <v>164</v>
      </c>
      <c r="Y24" s="62">
        <v>44451</v>
      </c>
      <c r="Z24" s="38">
        <f t="shared" si="1"/>
        <v>9</v>
      </c>
      <c r="AA24" s="38"/>
      <c r="AB24" s="34"/>
      <c r="AC24" s="34"/>
      <c r="AD24" s="38"/>
      <c r="AE24" s="59" t="str">
        <f t="shared" si="2"/>
        <v>NO</v>
      </c>
      <c r="AF24" s="38" t="e" cm="1">
        <f t="array" aca="1" ref="AF24" ca="1">MIN(100, MAX(0, (IF(R24="ESTUDIANTE", 31, 0)) + (IF(I24&lt;=3, 30, IF(I24&lt;=6, 20, 0))) +(IF(OR(E24="413 - Control de Costes y Enlace Construcción", E24="480 - Secretaría General del Consejo", E24="132 - Civil y estructuras", E24="136 - Mecánica", E24="412 - Planificación", E24="142 - Compras"), 25, 0)) +(IF(OR(S24="GRADO ING. MECÁNICA", S24="GRADO ING. ELÉCTRICA", S24="GRADO DERECHO", S24="GRADO ECONOMÍA", S24="GRADO ING. TECNOLOGÍAS INDUSTRIALES"), 24, 0)) + (IF(AND(K24&gt;=451, K24&lt;=700), 23, 0)) + (IF(AND(AB24&gt;=5, AB24&lt;=8), 17, 0)) +(IF(_xludf.OR(_xludf.AND(AC24&gt;=8, AC24&lt;=10), _xludf.AND(AC24&gt;=0, AC24&lt;=5)), 16, 0)) + (IF(F24="Madrid", 11, 0))))</f>
        <v>#NAME?</v>
      </c>
      <c r="AG24" s="68"/>
      <c r="AH24" s="71" t="s">
        <v>164</v>
      </c>
    </row>
    <row r="25" spans="1:34" ht="14.4" x14ac:dyDescent="0.3">
      <c r="A25" s="66" t="s">
        <v>986</v>
      </c>
      <c r="B25" s="66" t="s">
        <v>3103</v>
      </c>
      <c r="C25" s="33">
        <v>24</v>
      </c>
      <c r="D25" s="33" t="s">
        <v>5396</v>
      </c>
      <c r="E25" s="34" t="s">
        <v>5230</v>
      </c>
      <c r="F25" s="34" t="s">
        <v>118</v>
      </c>
      <c r="G25" s="57">
        <v>40588</v>
      </c>
      <c r="H25" s="57">
        <v>40939</v>
      </c>
      <c r="I25" s="34">
        <f t="shared" si="0"/>
        <v>11</v>
      </c>
      <c r="J25" s="34">
        <v>40</v>
      </c>
      <c r="K25" s="36">
        <v>700</v>
      </c>
      <c r="L25" s="34" t="s">
        <v>17</v>
      </c>
      <c r="M25" s="57">
        <v>32491</v>
      </c>
      <c r="N25" s="37">
        <f>(YEAR(TablaMadre[[#This Row],[ALTA]])-YEAR(M25))</f>
        <v>23</v>
      </c>
      <c r="O25" s="34" t="s">
        <v>118</v>
      </c>
      <c r="P25" s="34" t="s">
        <v>19</v>
      </c>
      <c r="Q25" s="34" t="s">
        <v>43</v>
      </c>
      <c r="R25" s="58" t="s">
        <v>30</v>
      </c>
      <c r="S25" s="34" t="s">
        <v>26</v>
      </c>
      <c r="T25" s="34"/>
      <c r="U25" s="34" t="s">
        <v>30</v>
      </c>
      <c r="V25" s="34" t="s">
        <v>27</v>
      </c>
      <c r="W25" s="34" t="s">
        <v>28</v>
      </c>
      <c r="X25" s="38" t="s">
        <v>173</v>
      </c>
      <c r="Y25" s="62"/>
      <c r="Z25" s="38" t="e">
        <f t="shared" si="1"/>
        <v>#NUM!</v>
      </c>
      <c r="AA25" s="38"/>
      <c r="AB25" s="34" t="s">
        <v>24</v>
      </c>
      <c r="AC25" s="34" t="s">
        <v>34</v>
      </c>
      <c r="AD25" s="38"/>
      <c r="AE25" s="59" t="str">
        <f t="shared" si="2"/>
        <v>NO</v>
      </c>
      <c r="AF25" s="38" t="e" cm="1">
        <f t="array" aca="1" ref="AF25" ca="1">MIN(100, MAX(0, (IF(R25="ESTUDIANTE", 31, 0)) + (IF(I25&lt;=3, 30, IF(I25&lt;=6, 20, 0))) +(IF(OR(E25="413 - Control de Costes y Enlace Construcción", E25="480 - Secretaría General del Consejo", E25="132 - Civil y estructuras", E25="136 - Mecánica", E25="412 - Planificación", E25="142 - Compras"), 25, 0)) +(IF(OR(S25="GRADO ING. MECÁNICA", S25="GRADO ING. ELÉCTRICA", S25="GRADO DERECHO", S25="GRADO ECONOMÍA", S25="GRADO ING. TECNOLOGÍAS INDUSTRIALES"), 24, 0)) + (IF(AND(K25&gt;=451, K25&lt;=700), 23, 0)) + (IF(AND(AB25&gt;=5, AB25&lt;=8), 17, 0)) +(IF(_xludf.OR(_xludf.AND(AC25&gt;=8, AC25&lt;=10), _xludf.AND(AC25&gt;=0, AC25&lt;=5)), 16, 0)) + (IF(F25="Madrid", 11, 0))))</f>
        <v>#NAME?</v>
      </c>
      <c r="AG25" s="68"/>
      <c r="AH25" s="71" t="s">
        <v>164</v>
      </c>
    </row>
    <row r="26" spans="1:34" ht="14.4" x14ac:dyDescent="0.3">
      <c r="A26" s="66" t="s">
        <v>987</v>
      </c>
      <c r="B26" s="66" t="s">
        <v>3104</v>
      </c>
      <c r="C26" s="33">
        <v>25</v>
      </c>
      <c r="D26" s="33" t="s">
        <v>5397</v>
      </c>
      <c r="E26" s="34" t="s">
        <v>5215</v>
      </c>
      <c r="F26" s="34" t="s">
        <v>118</v>
      </c>
      <c r="G26" s="57">
        <v>40590</v>
      </c>
      <c r="H26" s="57">
        <v>40954</v>
      </c>
      <c r="I26" s="34">
        <f t="shared" si="0"/>
        <v>11</v>
      </c>
      <c r="J26" s="34">
        <v>40</v>
      </c>
      <c r="K26" s="36">
        <v>700</v>
      </c>
      <c r="L26" s="34" t="s">
        <v>17</v>
      </c>
      <c r="M26" s="57">
        <v>31762</v>
      </c>
      <c r="N26" s="37">
        <f>(YEAR(TablaMadre[[#This Row],[ALTA]])-YEAR(M26))</f>
        <v>25</v>
      </c>
      <c r="O26" s="34" t="s">
        <v>118</v>
      </c>
      <c r="P26" s="34" t="s">
        <v>19</v>
      </c>
      <c r="Q26" s="34" t="s">
        <v>44</v>
      </c>
      <c r="R26" s="58" t="s">
        <v>30</v>
      </c>
      <c r="S26" s="34" t="s">
        <v>26</v>
      </c>
      <c r="T26" s="34"/>
      <c r="U26" s="34" t="s">
        <v>30</v>
      </c>
      <c r="V26" s="34" t="s">
        <v>27</v>
      </c>
      <c r="W26" s="34" t="s">
        <v>28</v>
      </c>
      <c r="X26" s="38" t="s">
        <v>173</v>
      </c>
      <c r="Y26" s="62"/>
      <c r="Z26" s="38" t="e">
        <f t="shared" si="1"/>
        <v>#NUM!</v>
      </c>
      <c r="AA26" s="38"/>
      <c r="AB26" s="34">
        <v>10</v>
      </c>
      <c r="AC26" s="34" t="s">
        <v>34</v>
      </c>
      <c r="AD26" s="38"/>
      <c r="AE26" s="59" t="str">
        <f t="shared" si="2"/>
        <v>NO</v>
      </c>
      <c r="AF26" s="38" t="e" cm="1">
        <f t="array" aca="1" ref="AF26" ca="1">MIN(100, MAX(0, (IF(R26="ESTUDIANTE", 31, 0)) + (IF(I26&lt;=3, 30, IF(I26&lt;=6, 20, 0))) +(IF(OR(E26="413 - Control de Costes y Enlace Construcción", E26="480 - Secretaría General del Consejo", E26="132 - Civil y estructuras", E26="136 - Mecánica", E26="412 - Planificación", E26="142 - Compras"), 25, 0)) +(IF(OR(S26="GRADO ING. MECÁNICA", S26="GRADO ING. ELÉCTRICA", S26="GRADO DERECHO", S26="GRADO ECONOMÍA", S26="GRADO ING. TECNOLOGÍAS INDUSTRIALES"), 24, 0)) + (IF(AND(K26&gt;=451, K26&lt;=700), 23, 0)) + (IF(AND(AB26&gt;=5, AB26&lt;=8), 17, 0)) +(IF(_xludf.OR(_xludf.AND(AC26&gt;=8, AC26&lt;=10), _xludf.AND(AC26&gt;=0, AC26&lt;=5)), 16, 0)) + (IF(F26="Madrid", 11, 0))))</f>
        <v>#NAME?</v>
      </c>
      <c r="AG26" s="68"/>
      <c r="AH26" s="71" t="s">
        <v>164</v>
      </c>
    </row>
    <row r="27" spans="1:34" ht="14.4" x14ac:dyDescent="0.3">
      <c r="A27" s="66" t="s">
        <v>988</v>
      </c>
      <c r="B27" s="66" t="s">
        <v>3105</v>
      </c>
      <c r="C27" s="33">
        <v>26</v>
      </c>
      <c r="D27" s="33" t="s">
        <v>5398</v>
      </c>
      <c r="E27" s="34" t="s">
        <v>5231</v>
      </c>
      <c r="F27" s="34" t="s">
        <v>18</v>
      </c>
      <c r="G27" s="57">
        <v>40595</v>
      </c>
      <c r="H27" s="57">
        <v>40959</v>
      </c>
      <c r="I27" s="34">
        <f t="shared" si="0"/>
        <v>11</v>
      </c>
      <c r="J27" s="34">
        <v>40</v>
      </c>
      <c r="K27" s="36">
        <v>700</v>
      </c>
      <c r="L27" s="34" t="s">
        <v>29</v>
      </c>
      <c r="M27" s="57">
        <v>31470</v>
      </c>
      <c r="N27" s="37">
        <f>(YEAR(TablaMadre[[#This Row],[ALTA]])-YEAR(M27))</f>
        <v>25</v>
      </c>
      <c r="O27" s="34" t="s">
        <v>18</v>
      </c>
      <c r="P27" s="34" t="s">
        <v>19</v>
      </c>
      <c r="Q27" s="34" t="s">
        <v>45</v>
      </c>
      <c r="R27" s="58" t="s">
        <v>30</v>
      </c>
      <c r="S27" s="34" t="s">
        <v>26</v>
      </c>
      <c r="T27" s="34"/>
      <c r="U27" s="34" t="s">
        <v>21</v>
      </c>
      <c r="V27" s="34" t="s">
        <v>27</v>
      </c>
      <c r="W27" s="34" t="s">
        <v>28</v>
      </c>
      <c r="X27" s="38" t="s">
        <v>173</v>
      </c>
      <c r="Y27" s="62"/>
      <c r="Z27" s="38" t="e">
        <f t="shared" si="1"/>
        <v>#NUM!</v>
      </c>
      <c r="AA27" s="38"/>
      <c r="AB27" s="34" t="s">
        <v>24</v>
      </c>
      <c r="AC27" s="34" t="s">
        <v>34</v>
      </c>
      <c r="AD27" s="38"/>
      <c r="AE27" s="59" t="str">
        <f t="shared" si="2"/>
        <v>NO</v>
      </c>
      <c r="AF27" s="38" t="e" cm="1">
        <f t="array" aca="1" ref="AF27" ca="1">MIN(100, MAX(0, (IF(R27="ESTUDIANTE", 31, 0)) + (IF(I27&lt;=3, 30, IF(I27&lt;=6, 20, 0))) +(IF(OR(E27="413 - Control de Costes y Enlace Construcción", E27="480 - Secretaría General del Consejo", E27="132 - Civil y estructuras", E27="136 - Mecánica", E27="412 - Planificación", E27="142 - Compras"), 25, 0)) +(IF(OR(S27="GRADO ING. MECÁNICA", S27="GRADO ING. ELÉCTRICA", S27="GRADO DERECHO", S27="GRADO ECONOMÍA", S27="GRADO ING. TECNOLOGÍAS INDUSTRIALES"), 24, 0)) + (IF(AND(K27&gt;=451, K27&lt;=700), 23, 0)) + (IF(AND(AB27&gt;=5, AB27&lt;=8), 17, 0)) +(IF(_xludf.OR(_xludf.AND(AC27&gt;=8, AC27&lt;=10), _xludf.AND(AC27&gt;=0, AC27&lt;=5)), 16, 0)) + (IF(F27="Madrid", 11, 0))))</f>
        <v>#NAME?</v>
      </c>
      <c r="AG27" s="68"/>
      <c r="AH27" s="71" t="s">
        <v>164</v>
      </c>
    </row>
    <row r="28" spans="1:34" ht="14.4" x14ac:dyDescent="0.3">
      <c r="A28" s="66" t="s">
        <v>1014</v>
      </c>
      <c r="B28" s="66" t="s">
        <v>3131</v>
      </c>
      <c r="C28" s="33">
        <v>27</v>
      </c>
      <c r="D28" s="33" t="s">
        <v>5399</v>
      </c>
      <c r="E28" s="34" t="s">
        <v>5216</v>
      </c>
      <c r="F28" s="34" t="s">
        <v>18</v>
      </c>
      <c r="G28" s="57">
        <v>40607</v>
      </c>
      <c r="H28" s="57">
        <v>41029</v>
      </c>
      <c r="I28" s="34">
        <f t="shared" si="0"/>
        <v>13</v>
      </c>
      <c r="J28" s="34">
        <v>40</v>
      </c>
      <c r="K28" s="36">
        <v>900</v>
      </c>
      <c r="L28" s="34" t="s">
        <v>29</v>
      </c>
      <c r="M28" s="57">
        <v>31623</v>
      </c>
      <c r="N28" s="37">
        <f>(YEAR(TablaMadre[[#This Row],[ALTA]])-YEAR(M28))</f>
        <v>25</v>
      </c>
      <c r="O28" s="34" t="s">
        <v>18</v>
      </c>
      <c r="P28" s="34" t="s">
        <v>19</v>
      </c>
      <c r="Q28" s="34" t="s">
        <v>63</v>
      </c>
      <c r="R28" s="34" t="s">
        <v>21</v>
      </c>
      <c r="S28" s="34" t="s">
        <v>297</v>
      </c>
      <c r="T28" s="34"/>
      <c r="U28" s="34" t="s">
        <v>21</v>
      </c>
      <c r="V28" s="34" t="s">
        <v>56</v>
      </c>
      <c r="W28" s="34" t="s">
        <v>28</v>
      </c>
      <c r="X28" s="38" t="s">
        <v>164</v>
      </c>
      <c r="Y28" s="62">
        <v>43167</v>
      </c>
      <c r="Z28" s="38">
        <f t="shared" si="1"/>
        <v>5</v>
      </c>
      <c r="AA28" s="38"/>
      <c r="AB28" s="34" t="s">
        <v>53</v>
      </c>
      <c r="AC28" s="34" t="s">
        <v>34</v>
      </c>
      <c r="AD28" s="38"/>
      <c r="AE28" s="59" t="str">
        <f t="shared" si="2"/>
        <v>NO</v>
      </c>
      <c r="AF28" s="38" t="e" cm="1">
        <f t="array" aca="1" ref="AF28" ca="1">MIN(100, MAX(0, (IF(R28="ESTUDIANTE", 31, 0)) + (IF(I28&lt;=3, 30, IF(I28&lt;=6, 20, 0))) +(IF(OR(E28="413 - Control de Costes y Enlace Construcción", E28="480 - Secretaría General del Consejo", E28="132 - Civil y estructuras", E28="136 - Mecánica", E28="412 - Planificación", E28="142 - Compras"), 25, 0)) +(IF(OR(S28="GRADO ING. MECÁNICA", S28="GRADO ING. ELÉCTRICA", S28="GRADO DERECHO", S28="GRADO ECONOMÍA", S28="GRADO ING. TECNOLOGÍAS INDUSTRIALES"), 24, 0)) + (IF(AND(K28&gt;=451, K28&lt;=700), 23, 0)) + (IF(AND(AB28&gt;=5, AB28&lt;=8), 17, 0)) +(IF(_xludf.OR(_xludf.AND(AC28&gt;=8, AC28&lt;=10), _xludf.AND(AC28&gt;=0, AC28&lt;=5)), 16, 0)) + (IF(F28="Madrid", 11, 0))))</f>
        <v>#NAME?</v>
      </c>
      <c r="AG28" s="68"/>
      <c r="AH28" s="71" t="s">
        <v>164</v>
      </c>
    </row>
    <row r="29" spans="1:34" ht="14.4" x14ac:dyDescent="0.3">
      <c r="A29" s="66" t="s">
        <v>1007</v>
      </c>
      <c r="B29" s="66" t="s">
        <v>3124</v>
      </c>
      <c r="C29" s="33">
        <v>28</v>
      </c>
      <c r="D29" s="33" t="s">
        <v>5400</v>
      </c>
      <c r="E29" s="34" t="s">
        <v>5232</v>
      </c>
      <c r="F29" s="34" t="s">
        <v>18</v>
      </c>
      <c r="G29" s="57">
        <v>40612</v>
      </c>
      <c r="H29" s="57">
        <v>40970</v>
      </c>
      <c r="I29" s="34">
        <f t="shared" si="0"/>
        <v>11</v>
      </c>
      <c r="J29" s="34">
        <v>40</v>
      </c>
      <c r="K29" s="36">
        <v>900</v>
      </c>
      <c r="L29" s="34" t="s">
        <v>17</v>
      </c>
      <c r="M29" s="57">
        <v>31745</v>
      </c>
      <c r="N29" s="37">
        <f>(YEAR(TablaMadre[[#This Row],[ALTA]])-YEAR(M29))</f>
        <v>25</v>
      </c>
      <c r="O29" s="34" t="s">
        <v>65</v>
      </c>
      <c r="P29" s="34" t="s">
        <v>19</v>
      </c>
      <c r="Q29" s="34" t="s">
        <v>48</v>
      </c>
      <c r="R29" s="34" t="s">
        <v>21</v>
      </c>
      <c r="S29" s="34" t="s">
        <v>297</v>
      </c>
      <c r="T29" s="34"/>
      <c r="U29" s="34" t="s">
        <v>30</v>
      </c>
      <c r="V29" s="34" t="s">
        <v>50</v>
      </c>
      <c r="W29" s="34" t="s">
        <v>47</v>
      </c>
      <c r="X29" s="38" t="s">
        <v>164</v>
      </c>
      <c r="Y29" s="62"/>
      <c r="Z29" s="38" t="e">
        <f t="shared" si="1"/>
        <v>#NUM!</v>
      </c>
      <c r="AA29" s="38"/>
      <c r="AB29" s="34" t="s">
        <v>24</v>
      </c>
      <c r="AC29" s="34" t="s">
        <v>24</v>
      </c>
      <c r="AD29" s="38"/>
      <c r="AE29" s="59" t="str">
        <f t="shared" si="2"/>
        <v>SÍ</v>
      </c>
      <c r="AF29" s="38" t="e" cm="1">
        <f t="array" aca="1" ref="AF29" ca="1">MIN(100, MAX(0, (IF(R29="ESTUDIANTE", 31, 0)) + (IF(I29&lt;=3, 30, IF(I29&lt;=6, 20, 0))) +(IF(OR(E29="413 - Control de Costes y Enlace Construcción", E29="480 - Secretaría General del Consejo", E29="132 - Civil y estructuras", E29="136 - Mecánica", E29="412 - Planificación", E29="142 - Compras"), 25, 0)) +(IF(OR(S29="GRADO ING. MECÁNICA", S29="GRADO ING. ELÉCTRICA", S29="GRADO DERECHO", S29="GRADO ECONOMÍA", S29="GRADO ING. TECNOLOGÍAS INDUSTRIALES"), 24, 0)) + (IF(AND(K29&gt;=451, K29&lt;=700), 23, 0)) + (IF(AND(AB29&gt;=5, AB29&lt;=8), 17, 0)) +(IF(_xludf.OR(_xludf.AND(AC29&gt;=8, AC29&lt;=10), _xludf.AND(AC29&gt;=0, AC29&lt;=5)), 16, 0)) + (IF(F29="Madrid", 11, 0))))</f>
        <v>#NAME?</v>
      </c>
      <c r="AG29" s="68"/>
      <c r="AH29" s="71" t="s">
        <v>164</v>
      </c>
    </row>
    <row r="30" spans="1:34" ht="14.4" x14ac:dyDescent="0.3">
      <c r="A30" s="66" t="s">
        <v>1008</v>
      </c>
      <c r="B30" s="66" t="s">
        <v>3125</v>
      </c>
      <c r="C30" s="33">
        <v>29</v>
      </c>
      <c r="D30" s="33" t="s">
        <v>5401</v>
      </c>
      <c r="E30" s="34" t="s">
        <v>5217</v>
      </c>
      <c r="F30" s="34" t="s">
        <v>18</v>
      </c>
      <c r="G30" s="57">
        <v>40612</v>
      </c>
      <c r="H30" s="57">
        <v>41090</v>
      </c>
      <c r="I30" s="34">
        <f t="shared" si="0"/>
        <v>15</v>
      </c>
      <c r="J30" s="34">
        <v>40</v>
      </c>
      <c r="K30" s="36">
        <v>2111</v>
      </c>
      <c r="L30" s="34" t="s">
        <v>17</v>
      </c>
      <c r="M30" s="57">
        <v>32470</v>
      </c>
      <c r="N30" s="37">
        <f>(YEAR(TablaMadre[[#This Row],[ALTA]])-YEAR(M30))</f>
        <v>23</v>
      </c>
      <c r="O30" s="34" t="s">
        <v>430</v>
      </c>
      <c r="P30" s="34" t="s">
        <v>103</v>
      </c>
      <c r="Q30" s="34" t="s">
        <v>63</v>
      </c>
      <c r="R30" s="34" t="s">
        <v>21</v>
      </c>
      <c r="S30" s="34" t="s">
        <v>297</v>
      </c>
      <c r="T30" s="34"/>
      <c r="U30" s="34" t="s">
        <v>30</v>
      </c>
      <c r="V30" s="34" t="s">
        <v>90</v>
      </c>
      <c r="W30" s="34" t="s">
        <v>23</v>
      </c>
      <c r="X30" s="38" t="s">
        <v>164</v>
      </c>
      <c r="Y30" s="62"/>
      <c r="Z30" s="38" t="e">
        <f t="shared" si="1"/>
        <v>#NUM!</v>
      </c>
      <c r="AA30" s="38"/>
      <c r="AB30" s="34" t="s">
        <v>24</v>
      </c>
      <c r="AC30" s="34" t="s">
        <v>53</v>
      </c>
      <c r="AD30" s="38"/>
      <c r="AE30" s="59" t="str">
        <f t="shared" si="2"/>
        <v>SÍ</v>
      </c>
      <c r="AF30" s="38" t="e" cm="1">
        <f t="array" aca="1" ref="AF30" ca="1">MIN(100, MAX(0, (IF(R30="ESTUDIANTE", 31, 0)) + (IF(I30&lt;=3, 30, IF(I30&lt;=6, 20, 0))) +(IF(OR(E30="413 - Control de Costes y Enlace Construcción", E30="480 - Secretaría General del Consejo", E30="132 - Civil y estructuras", E30="136 - Mecánica", E30="412 - Planificación", E30="142 - Compras"), 25, 0)) +(IF(OR(S30="GRADO ING. MECÁNICA", S30="GRADO ING. ELÉCTRICA", S30="GRADO DERECHO", S30="GRADO ECONOMÍA", S30="GRADO ING. TECNOLOGÍAS INDUSTRIALES"), 24, 0)) + (IF(AND(K30&gt;=451, K30&lt;=700), 23, 0)) + (IF(AND(AB30&gt;=5, AB30&lt;=8), 17, 0)) +(IF(_xludf.OR(_xludf.AND(AC30&gt;=8, AC30&lt;=10), _xludf.AND(AC30&gt;=0, AC30&lt;=5)), 16, 0)) + (IF(F30="Madrid", 11, 0))))</f>
        <v>#NAME?</v>
      </c>
      <c r="AG30" s="68"/>
      <c r="AH30" s="71" t="s">
        <v>164</v>
      </c>
    </row>
    <row r="31" spans="1:34" ht="15" customHeight="1" x14ac:dyDescent="0.3">
      <c r="A31" s="66" t="s">
        <v>1010</v>
      </c>
      <c r="B31" s="66" t="s">
        <v>3127</v>
      </c>
      <c r="C31" s="33">
        <v>31</v>
      </c>
      <c r="D31" s="33" t="s">
        <v>5402</v>
      </c>
      <c r="E31" s="34" t="s">
        <v>5216</v>
      </c>
      <c r="F31" s="34" t="s">
        <v>18</v>
      </c>
      <c r="G31" s="57">
        <v>40612</v>
      </c>
      <c r="H31" s="57">
        <v>41486</v>
      </c>
      <c r="I31" s="34">
        <f t="shared" si="0"/>
        <v>28</v>
      </c>
      <c r="J31" s="34">
        <v>40</v>
      </c>
      <c r="K31" s="36">
        <v>1842.91</v>
      </c>
      <c r="L31" s="34" t="s">
        <v>29</v>
      </c>
      <c r="M31" s="57">
        <v>31196</v>
      </c>
      <c r="N31" s="37">
        <f>(YEAR(TablaMadre[[#This Row],[ALTA]])-YEAR(M31))</f>
        <v>26</v>
      </c>
      <c r="O31" s="34" t="s">
        <v>430</v>
      </c>
      <c r="P31" s="34" t="s">
        <v>103</v>
      </c>
      <c r="Q31" s="34" t="s">
        <v>63</v>
      </c>
      <c r="R31" s="34" t="s">
        <v>21</v>
      </c>
      <c r="S31" s="34" t="s">
        <v>297</v>
      </c>
      <c r="T31" s="34"/>
      <c r="U31" s="34" t="s">
        <v>42</v>
      </c>
      <c r="V31" s="34" t="s">
        <v>90</v>
      </c>
      <c r="W31" s="34" t="s">
        <v>23</v>
      </c>
      <c r="X31" s="38" t="s">
        <v>164</v>
      </c>
      <c r="Y31" s="62"/>
      <c r="Z31" s="38" t="e">
        <f t="shared" si="1"/>
        <v>#NUM!</v>
      </c>
      <c r="AA31" s="38"/>
      <c r="AB31" s="34"/>
      <c r="AC31" s="34"/>
      <c r="AD31" s="38"/>
      <c r="AE31" s="59" t="str">
        <f t="shared" si="2"/>
        <v>SÍ</v>
      </c>
      <c r="AF31" s="38" t="e" cm="1">
        <f t="array" aca="1" ref="AF31" ca="1">MIN(100, MAX(0, (IF(R31="ESTUDIANTE", 31, 0)) + (IF(I31&lt;=3, 30, IF(I31&lt;=6, 20, 0))) +(IF(OR(E31="413 - Control de Costes y Enlace Construcción", E31="480 - Secretaría General del Consejo", E31="132 - Civil y estructuras", E31="136 - Mecánica", E31="412 - Planificación", E31="142 - Compras"), 25, 0)) +(IF(OR(S31="GRADO ING. MECÁNICA", S31="GRADO ING. ELÉCTRICA", S31="GRADO DERECHO", S31="GRADO ECONOMÍA", S31="GRADO ING. TECNOLOGÍAS INDUSTRIALES"), 24, 0)) + (IF(AND(K31&gt;=451, K31&lt;=700), 23, 0)) + (IF(AND(AB31&gt;=5, AB31&lt;=8), 17, 0)) +(IF(_xludf.OR(_xludf.AND(AC31&gt;=8, AC31&lt;=10), _xludf.AND(AC31&gt;=0, AC31&lt;=5)), 16, 0)) + (IF(F31="Madrid", 11, 0))))</f>
        <v>#NAME?</v>
      </c>
      <c r="AG31" s="68"/>
      <c r="AH31" s="71" t="s">
        <v>164</v>
      </c>
    </row>
    <row r="32" spans="1:34" ht="14.4" x14ac:dyDescent="0.3">
      <c r="A32" s="66" t="s">
        <v>1062</v>
      </c>
      <c r="B32" s="66" t="s">
        <v>3179</v>
      </c>
      <c r="C32" s="33">
        <v>30</v>
      </c>
      <c r="D32" s="33" t="s">
        <v>5393</v>
      </c>
      <c r="E32" s="34" t="s">
        <v>5233</v>
      </c>
      <c r="F32" s="34" t="s">
        <v>18</v>
      </c>
      <c r="G32" s="57">
        <v>40612</v>
      </c>
      <c r="H32" s="57">
        <v>41182</v>
      </c>
      <c r="I32" s="34">
        <f t="shared" si="0"/>
        <v>18</v>
      </c>
      <c r="J32" s="34">
        <v>40</v>
      </c>
      <c r="K32" s="36">
        <v>900</v>
      </c>
      <c r="L32" s="34" t="s">
        <v>17</v>
      </c>
      <c r="M32" s="57">
        <v>32615</v>
      </c>
      <c r="N32" s="37">
        <f>(YEAR(TablaMadre[[#This Row],[ALTA]])-YEAR(M32))</f>
        <v>22</v>
      </c>
      <c r="O32" s="34" t="s">
        <v>18</v>
      </c>
      <c r="P32" s="34" t="s">
        <v>19</v>
      </c>
      <c r="Q32" s="34" t="s">
        <v>156</v>
      </c>
      <c r="R32" s="34" t="s">
        <v>21</v>
      </c>
      <c r="S32" s="34" t="s">
        <v>136</v>
      </c>
      <c r="T32" s="34"/>
      <c r="U32" s="34" t="s">
        <v>42</v>
      </c>
      <c r="V32" s="34" t="s">
        <v>67</v>
      </c>
      <c r="W32" s="34" t="s">
        <v>28</v>
      </c>
      <c r="X32" s="38" t="s">
        <v>164</v>
      </c>
      <c r="Y32" s="62">
        <v>41939</v>
      </c>
      <c r="Z32" s="38">
        <f t="shared" si="1"/>
        <v>2</v>
      </c>
      <c r="AA32" s="38"/>
      <c r="AB32" s="34" t="s">
        <v>53</v>
      </c>
      <c r="AC32" s="34" t="s">
        <v>34</v>
      </c>
      <c r="AD32" s="38"/>
      <c r="AE32" s="59" t="str">
        <f t="shared" si="2"/>
        <v>NO</v>
      </c>
      <c r="AF32" s="38" t="e" cm="1">
        <f t="array" aca="1" ref="AF32" ca="1">MIN(100, MAX(0, (IF(R32="ESTUDIANTE", 31, 0)) + (IF(I32&lt;=3, 30, IF(I32&lt;=6, 20, 0))) +(IF(OR(E32="413 - Control de Costes y Enlace Construcción", E32="480 - Secretaría General del Consejo", E32="132 - Civil y estructuras", E32="136 - Mecánica", E32="412 - Planificación", E32="142 - Compras"), 25, 0)) +(IF(OR(S32="GRADO ING. MECÁNICA", S32="GRADO ING. ELÉCTRICA", S32="GRADO DERECHO", S32="GRADO ECONOMÍA", S32="GRADO ING. TECNOLOGÍAS INDUSTRIALES"), 24, 0)) + (IF(AND(K32&gt;=451, K32&lt;=700), 23, 0)) + (IF(AND(AB32&gt;=5, AB32&lt;=8), 17, 0)) +(IF(_xludf.OR(_xludf.AND(AC32&gt;=8, AC32&lt;=10), _xludf.AND(AC32&gt;=0, AC32&lt;=5)), 16, 0)) + (IF(F32="Madrid", 11, 0))))</f>
        <v>#NAME?</v>
      </c>
      <c r="AG32" s="68"/>
      <c r="AH32" s="71" t="s">
        <v>164</v>
      </c>
    </row>
    <row r="33" spans="1:34" ht="14.4" x14ac:dyDescent="0.3">
      <c r="A33" s="66" t="s">
        <v>996</v>
      </c>
      <c r="B33" s="66" t="s">
        <v>3113</v>
      </c>
      <c r="C33" s="33">
        <v>32</v>
      </c>
      <c r="D33" s="33" t="s">
        <v>5394</v>
      </c>
      <c r="E33" s="34" t="s">
        <v>5234</v>
      </c>
      <c r="F33" s="34" t="s">
        <v>18</v>
      </c>
      <c r="G33" s="57">
        <v>40616</v>
      </c>
      <c r="H33" s="57">
        <v>40981</v>
      </c>
      <c r="I33" s="34">
        <f t="shared" si="0"/>
        <v>11</v>
      </c>
      <c r="J33" s="34">
        <v>40</v>
      </c>
      <c r="K33" s="36">
        <v>800</v>
      </c>
      <c r="L33" s="34" t="s">
        <v>17</v>
      </c>
      <c r="M33" s="57">
        <v>31916</v>
      </c>
      <c r="N33" s="37">
        <f>(YEAR(TablaMadre[[#This Row],[ALTA]])-YEAR(M33))</f>
        <v>24</v>
      </c>
      <c r="O33" s="34" t="s">
        <v>511</v>
      </c>
      <c r="P33" s="34" t="s">
        <v>19</v>
      </c>
      <c r="Q33" s="34" t="s">
        <v>54</v>
      </c>
      <c r="R33" s="34" t="s">
        <v>21</v>
      </c>
      <c r="S33" s="34" t="s">
        <v>291</v>
      </c>
      <c r="T33" s="34"/>
      <c r="U33" s="34" t="s">
        <v>42</v>
      </c>
      <c r="V33" s="34" t="s">
        <v>56</v>
      </c>
      <c r="W33" s="34" t="s">
        <v>28</v>
      </c>
      <c r="X33" s="38" t="s">
        <v>164</v>
      </c>
      <c r="Y33" s="62">
        <v>41446</v>
      </c>
      <c r="Z33" s="38">
        <f t="shared" si="1"/>
        <v>1</v>
      </c>
      <c r="AA33" s="38"/>
      <c r="AB33" s="34" t="s">
        <v>53</v>
      </c>
      <c r="AC33" s="34" t="s">
        <v>34</v>
      </c>
      <c r="AD33" s="38"/>
      <c r="AE33" s="59" t="str">
        <f t="shared" si="2"/>
        <v>SÍ</v>
      </c>
      <c r="AF33" s="38" t="e" cm="1">
        <f t="array" aca="1" ref="AF33" ca="1">MIN(100, MAX(0, (IF(R33="ESTUDIANTE", 31, 0)) + (IF(I33&lt;=3, 30, IF(I33&lt;=6, 20, 0))) +(IF(OR(E33="413 - Control de Costes y Enlace Construcción", E33="480 - Secretaría General del Consejo", E33="132 - Civil y estructuras", E33="136 - Mecánica", E33="412 - Planificación", E33="142 - Compras"), 25, 0)) +(IF(OR(S33="GRADO ING. MECÁNICA", S33="GRADO ING. ELÉCTRICA", S33="GRADO DERECHO", S33="GRADO ECONOMÍA", S33="GRADO ING. TECNOLOGÍAS INDUSTRIALES"), 24, 0)) + (IF(AND(K33&gt;=451, K33&lt;=700), 23, 0)) + (IF(AND(AB33&gt;=5, AB33&lt;=8), 17, 0)) +(IF(_xludf.OR(_xludf.AND(AC33&gt;=8, AC33&lt;=10), _xludf.AND(AC33&gt;=0, AC33&lt;=5)), 16, 0)) + (IF(F33="Madrid", 11, 0))))</f>
        <v>#NAME?</v>
      </c>
      <c r="AG33" s="68"/>
      <c r="AH33" s="71" t="s">
        <v>164</v>
      </c>
    </row>
    <row r="34" spans="1:34" ht="14.4" x14ac:dyDescent="0.3">
      <c r="A34" s="66" t="s">
        <v>999</v>
      </c>
      <c r="B34" s="66" t="s">
        <v>3116</v>
      </c>
      <c r="C34" s="33">
        <v>33</v>
      </c>
      <c r="D34" s="33" t="s">
        <v>5395</v>
      </c>
      <c r="E34" s="34" t="s">
        <v>5224</v>
      </c>
      <c r="F34" s="34" t="s">
        <v>18</v>
      </c>
      <c r="G34" s="57">
        <v>40616</v>
      </c>
      <c r="H34" s="57">
        <v>40981</v>
      </c>
      <c r="I34" s="34">
        <f t="shared" si="0"/>
        <v>11</v>
      </c>
      <c r="J34" s="34">
        <v>40</v>
      </c>
      <c r="K34" s="36">
        <v>800</v>
      </c>
      <c r="L34" s="34" t="s">
        <v>17</v>
      </c>
      <c r="M34" s="57">
        <v>30524</v>
      </c>
      <c r="N34" s="37">
        <f>(YEAR(TablaMadre[[#This Row],[ALTA]])-YEAR(M34))</f>
        <v>28</v>
      </c>
      <c r="O34" s="34" t="s">
        <v>62</v>
      </c>
      <c r="P34" s="34" t="s">
        <v>19</v>
      </c>
      <c r="Q34" s="34" t="s">
        <v>57</v>
      </c>
      <c r="R34" s="34" t="s">
        <v>21</v>
      </c>
      <c r="S34" s="34" t="s">
        <v>229</v>
      </c>
      <c r="T34" s="34"/>
      <c r="U34" s="34" t="s">
        <v>42</v>
      </c>
      <c r="V34" s="34" t="s">
        <v>59</v>
      </c>
      <c r="W34" s="34" t="s">
        <v>28</v>
      </c>
      <c r="X34" s="38" t="s">
        <v>164</v>
      </c>
      <c r="Y34" s="62">
        <v>42073</v>
      </c>
      <c r="Z34" s="38">
        <f t="shared" si="1"/>
        <v>2</v>
      </c>
      <c r="AA34" s="38"/>
      <c r="AB34" s="34" t="s">
        <v>24</v>
      </c>
      <c r="AC34" s="34" t="s">
        <v>34</v>
      </c>
      <c r="AD34" s="38"/>
      <c r="AE34" s="59" t="str">
        <f t="shared" si="2"/>
        <v>SÍ</v>
      </c>
      <c r="AF34" s="38" t="e" cm="1">
        <f t="array" aca="1" ref="AF34" ca="1">MIN(100, MAX(0, (IF(R34="ESTUDIANTE", 31, 0)) + (IF(I34&lt;=3, 30, IF(I34&lt;=6, 20, 0))) +(IF(OR(E34="413 - Control de Costes y Enlace Construcción", E34="480 - Secretaría General del Consejo", E34="132 - Civil y estructuras", E34="136 - Mecánica", E34="412 - Planificación", E34="142 - Compras"), 25, 0)) +(IF(OR(S34="GRADO ING. MECÁNICA", S34="GRADO ING. ELÉCTRICA", S34="GRADO DERECHO", S34="GRADO ECONOMÍA", S34="GRADO ING. TECNOLOGÍAS INDUSTRIALES"), 24, 0)) + (IF(AND(K34&gt;=451, K34&lt;=700), 23, 0)) + (IF(AND(AB34&gt;=5, AB34&lt;=8), 17, 0)) +(IF(_xludf.OR(_xludf.AND(AC34&gt;=8, AC34&lt;=10), _xludf.AND(AC34&gt;=0, AC34&lt;=5)), 16, 0)) + (IF(F34="Madrid", 11, 0))))</f>
        <v>#NAME?</v>
      </c>
      <c r="AG34" s="68"/>
      <c r="AH34" s="71" t="s">
        <v>164</v>
      </c>
    </row>
    <row r="35" spans="1:34" ht="14.4" x14ac:dyDescent="0.3">
      <c r="A35" s="66" t="s">
        <v>992</v>
      </c>
      <c r="B35" s="66" t="s">
        <v>3109</v>
      </c>
      <c r="C35" s="33">
        <v>35</v>
      </c>
      <c r="D35" s="33" t="s">
        <v>5396</v>
      </c>
      <c r="E35" s="34" t="s">
        <v>5235</v>
      </c>
      <c r="F35" s="34" t="s">
        <v>18</v>
      </c>
      <c r="G35" s="57">
        <v>40617</v>
      </c>
      <c r="H35" s="57">
        <v>40982</v>
      </c>
      <c r="I35" s="34">
        <f t="shared" si="0"/>
        <v>11</v>
      </c>
      <c r="J35" s="34">
        <v>40</v>
      </c>
      <c r="K35" s="36">
        <v>900</v>
      </c>
      <c r="L35" s="34" t="s">
        <v>29</v>
      </c>
      <c r="M35" s="57">
        <v>33376</v>
      </c>
      <c r="N35" s="37">
        <f>(YEAR(TablaMadre[[#This Row],[ALTA]])-YEAR(M35))</f>
        <v>20</v>
      </c>
      <c r="O35" s="34" t="s">
        <v>18</v>
      </c>
      <c r="P35" s="34" t="s">
        <v>19</v>
      </c>
      <c r="Q35" s="34" t="s">
        <v>61</v>
      </c>
      <c r="R35" s="34" t="s">
        <v>21</v>
      </c>
      <c r="S35" s="34" t="s">
        <v>322</v>
      </c>
      <c r="T35" s="34"/>
      <c r="U35" s="34" t="s">
        <v>42</v>
      </c>
      <c r="V35" s="34" t="s">
        <v>22</v>
      </c>
      <c r="W35" s="34" t="s">
        <v>28</v>
      </c>
      <c r="X35" s="38" t="s">
        <v>164</v>
      </c>
      <c r="Y35" s="62">
        <v>41076</v>
      </c>
      <c r="Z35" s="38">
        <f t="shared" si="1"/>
        <v>0</v>
      </c>
      <c r="AA35" s="38"/>
      <c r="AB35" s="34" t="s">
        <v>24</v>
      </c>
      <c r="AC35" s="34" t="s">
        <v>34</v>
      </c>
      <c r="AD35" s="38"/>
      <c r="AE35" s="59" t="str">
        <f t="shared" si="2"/>
        <v>NO</v>
      </c>
      <c r="AF35" s="38" t="e" cm="1">
        <f t="array" aca="1" ref="AF35" ca="1">MIN(100, MAX(0, (IF(R35="ESTUDIANTE", 31, 0)) + (IF(I35&lt;=3, 30, IF(I35&lt;=6, 20, 0))) +(IF(OR(E35="413 - Control de Costes y Enlace Construcción", E35="480 - Secretaría General del Consejo", E35="132 - Civil y estructuras", E35="136 - Mecánica", E35="412 - Planificación", E35="142 - Compras"), 25, 0)) +(IF(OR(S35="GRADO ING. MECÁNICA", S35="GRADO ING. ELÉCTRICA", S35="GRADO DERECHO", S35="GRADO ECONOMÍA", S35="GRADO ING. TECNOLOGÍAS INDUSTRIALES"), 24, 0)) + (IF(AND(K35&gt;=451, K35&lt;=700), 23, 0)) + (IF(AND(AB35&gt;=5, AB35&lt;=8), 17, 0)) +(IF(_xludf.OR(_xludf.AND(AC35&gt;=8, AC35&lt;=10), _xludf.AND(AC35&gt;=0, AC35&lt;=5)), 16, 0)) + (IF(F35="Madrid", 11, 0))))</f>
        <v>#NAME?</v>
      </c>
      <c r="AG35" s="68"/>
      <c r="AH35" s="71" t="s">
        <v>164</v>
      </c>
    </row>
    <row r="36" spans="1:34" ht="14.4" x14ac:dyDescent="0.3">
      <c r="A36" s="66" t="s">
        <v>998</v>
      </c>
      <c r="B36" s="66" t="s">
        <v>3115</v>
      </c>
      <c r="C36" s="33">
        <v>34</v>
      </c>
      <c r="D36" s="33" t="s">
        <v>5397</v>
      </c>
      <c r="E36" s="34" t="s">
        <v>5224</v>
      </c>
      <c r="F36" s="34" t="s">
        <v>18</v>
      </c>
      <c r="G36" s="57">
        <v>40617</v>
      </c>
      <c r="H36" s="57">
        <v>40982</v>
      </c>
      <c r="I36" s="34">
        <f t="shared" si="0"/>
        <v>11</v>
      </c>
      <c r="J36" s="34">
        <v>40</v>
      </c>
      <c r="K36" s="36">
        <v>800</v>
      </c>
      <c r="L36" s="34" t="s">
        <v>17</v>
      </c>
      <c r="M36" s="57">
        <v>32257</v>
      </c>
      <c r="N36" s="37">
        <f>(YEAR(TablaMadre[[#This Row],[ALTA]])-YEAR(M36))</f>
        <v>23</v>
      </c>
      <c r="O36" s="34" t="s">
        <v>18</v>
      </c>
      <c r="P36" s="34" t="s">
        <v>19</v>
      </c>
      <c r="Q36" s="34" t="s">
        <v>60</v>
      </c>
      <c r="R36" s="34" t="s">
        <v>21</v>
      </c>
      <c r="S36" s="34" t="s">
        <v>229</v>
      </c>
      <c r="T36" s="34"/>
      <c r="U36" s="34" t="s">
        <v>21</v>
      </c>
      <c r="V36" s="34" t="s">
        <v>56</v>
      </c>
      <c r="W36" s="34" t="s">
        <v>28</v>
      </c>
      <c r="X36" s="38" t="s">
        <v>173</v>
      </c>
      <c r="Y36" s="62"/>
      <c r="Z36" s="38" t="e">
        <f t="shared" si="1"/>
        <v>#NUM!</v>
      </c>
      <c r="AA36" s="38" t="s">
        <v>173</v>
      </c>
      <c r="AB36" s="34" t="s">
        <v>24</v>
      </c>
      <c r="AC36" s="34" t="s">
        <v>34</v>
      </c>
      <c r="AD36" s="38"/>
      <c r="AE36" s="59" t="str">
        <f t="shared" si="2"/>
        <v>NO</v>
      </c>
      <c r="AF36" s="38" t="e" cm="1">
        <f t="array" aca="1" ref="AF36" ca="1">MIN(100, MAX(0, (IF(R36="ESTUDIANTE", 31, 0)) + (IF(I36&lt;=3, 30, IF(I36&lt;=6, 20, 0))) +(IF(OR(E36="413 - Control de Costes y Enlace Construcción", E36="480 - Secretaría General del Consejo", E36="132 - Civil y estructuras", E36="136 - Mecánica", E36="412 - Planificación", E36="142 - Compras"), 25, 0)) +(IF(OR(S36="GRADO ING. MECÁNICA", S36="GRADO ING. ELÉCTRICA", S36="GRADO DERECHO", S36="GRADO ECONOMÍA", S36="GRADO ING. TECNOLOGÍAS INDUSTRIALES"), 24, 0)) + (IF(AND(K36&gt;=451, K36&lt;=700), 23, 0)) + (IF(AND(AB36&gt;=5, AB36&lt;=8), 17, 0)) +(IF(_xludf.OR(_xludf.AND(AC36&gt;=8, AC36&lt;=10), _xludf.AND(AC36&gt;=0, AC36&lt;=5)), 16, 0)) + (IF(F36="Madrid", 11, 0))))</f>
        <v>#NAME?</v>
      </c>
      <c r="AG36" s="68"/>
      <c r="AH36" s="71" t="s">
        <v>164</v>
      </c>
    </row>
    <row r="37" spans="1:34" ht="14.4" x14ac:dyDescent="0.3">
      <c r="A37" s="66" t="s">
        <v>1000</v>
      </c>
      <c r="B37" s="66" t="s">
        <v>3117</v>
      </c>
      <c r="C37" s="33">
        <v>36</v>
      </c>
      <c r="D37" s="33" t="s">
        <v>5398</v>
      </c>
      <c r="E37" s="34" t="s">
        <v>5218</v>
      </c>
      <c r="F37" s="34" t="s">
        <v>18</v>
      </c>
      <c r="G37" s="57">
        <v>40617</v>
      </c>
      <c r="H37" s="57">
        <v>40982</v>
      </c>
      <c r="I37" s="34">
        <f t="shared" si="0"/>
        <v>11</v>
      </c>
      <c r="J37" s="34">
        <v>40</v>
      </c>
      <c r="K37" s="36">
        <v>900</v>
      </c>
      <c r="L37" s="34" t="s">
        <v>17</v>
      </c>
      <c r="M37" s="57">
        <v>32702</v>
      </c>
      <c r="N37" s="37">
        <f>(YEAR(TablaMadre[[#This Row],[ALTA]])-YEAR(M37))</f>
        <v>22</v>
      </c>
      <c r="O37" s="34" t="s">
        <v>18</v>
      </c>
      <c r="P37" s="34" t="s">
        <v>19</v>
      </c>
      <c r="Q37" s="34" t="s">
        <v>20</v>
      </c>
      <c r="R37" s="34" t="s">
        <v>21</v>
      </c>
      <c r="S37" s="34" t="s">
        <v>151</v>
      </c>
      <c r="T37" s="34"/>
      <c r="U37" s="34" t="s">
        <v>30</v>
      </c>
      <c r="V37" s="34" t="s">
        <v>22</v>
      </c>
      <c r="W37" s="34" t="s">
        <v>28</v>
      </c>
      <c r="X37" s="38" t="s">
        <v>173</v>
      </c>
      <c r="Y37" s="62"/>
      <c r="Z37" s="38" t="e">
        <f t="shared" si="1"/>
        <v>#NUM!</v>
      </c>
      <c r="AA37" s="38"/>
      <c r="AB37" s="34" t="s">
        <v>24</v>
      </c>
      <c r="AC37" s="34" t="s">
        <v>34</v>
      </c>
      <c r="AD37" s="38"/>
      <c r="AE37" s="59" t="str">
        <f t="shared" si="2"/>
        <v>NO</v>
      </c>
      <c r="AF37" s="38" t="e" cm="1">
        <f t="array" aca="1" ref="AF37" ca="1">MIN(100, MAX(0, (IF(R37="ESTUDIANTE", 31, 0)) + (IF(I37&lt;=3, 30, IF(I37&lt;=6, 20, 0))) +(IF(OR(E37="413 - Control de Costes y Enlace Construcción", E37="480 - Secretaría General del Consejo", E37="132 - Civil y estructuras", E37="136 - Mecánica", E37="412 - Planificación", E37="142 - Compras"), 25, 0)) +(IF(OR(S37="GRADO ING. MECÁNICA", S37="GRADO ING. ELÉCTRICA", S37="GRADO DERECHO", S37="GRADO ECONOMÍA", S37="GRADO ING. TECNOLOGÍAS INDUSTRIALES"), 24, 0)) + (IF(AND(K37&gt;=451, K37&lt;=700), 23, 0)) + (IF(AND(AB37&gt;=5, AB37&lt;=8), 17, 0)) +(IF(_xludf.OR(_xludf.AND(AC37&gt;=8, AC37&lt;=10), _xludf.AND(AC37&gt;=0, AC37&lt;=5)), 16, 0)) + (IF(F37="Madrid", 11, 0))))</f>
        <v>#NAME?</v>
      </c>
      <c r="AG37" s="68"/>
      <c r="AH37" s="71" t="s">
        <v>164</v>
      </c>
    </row>
    <row r="38" spans="1:34" ht="14.4" x14ac:dyDescent="0.3">
      <c r="A38" s="66" t="s">
        <v>1001</v>
      </c>
      <c r="B38" s="66" t="s">
        <v>3118</v>
      </c>
      <c r="C38" s="33">
        <v>37</v>
      </c>
      <c r="D38" s="33" t="s">
        <v>5399</v>
      </c>
      <c r="E38" s="34" t="s">
        <v>5222</v>
      </c>
      <c r="F38" s="34" t="s">
        <v>18</v>
      </c>
      <c r="G38" s="57">
        <v>40625</v>
      </c>
      <c r="H38" s="57">
        <v>41068</v>
      </c>
      <c r="I38" s="34">
        <f t="shared" si="0"/>
        <v>14</v>
      </c>
      <c r="J38" s="34">
        <v>40</v>
      </c>
      <c r="K38" s="36">
        <v>700</v>
      </c>
      <c r="L38" s="34" t="s">
        <v>17</v>
      </c>
      <c r="M38" s="57">
        <v>32191</v>
      </c>
      <c r="N38" s="37">
        <f>(YEAR(TablaMadre[[#This Row],[ALTA]])-YEAR(M38))</f>
        <v>23</v>
      </c>
      <c r="O38" s="34" t="s">
        <v>18</v>
      </c>
      <c r="P38" s="34" t="s">
        <v>19</v>
      </c>
      <c r="Q38" s="34" t="s">
        <v>45</v>
      </c>
      <c r="R38" s="58" t="s">
        <v>30</v>
      </c>
      <c r="S38" s="34" t="s">
        <v>26</v>
      </c>
      <c r="T38" s="34"/>
      <c r="U38" s="34" t="s">
        <v>30</v>
      </c>
      <c r="V38" s="34" t="s">
        <v>27</v>
      </c>
      <c r="W38" s="34" t="s">
        <v>28</v>
      </c>
      <c r="X38" s="38" t="s">
        <v>173</v>
      </c>
      <c r="Y38" s="62"/>
      <c r="Z38" s="38" t="e">
        <f t="shared" si="1"/>
        <v>#NUM!</v>
      </c>
      <c r="AA38" s="38"/>
      <c r="AB38" s="34" t="s">
        <v>24</v>
      </c>
      <c r="AC38" s="34" t="s">
        <v>34</v>
      </c>
      <c r="AD38" s="38"/>
      <c r="AE38" s="59" t="str">
        <f t="shared" si="2"/>
        <v>NO</v>
      </c>
      <c r="AF38" s="38" t="e" cm="1">
        <f t="array" aca="1" ref="AF38" ca="1">MIN(100, MAX(0, (IF(R38="ESTUDIANTE", 31, 0)) + (IF(I38&lt;=3, 30, IF(I38&lt;=6, 20, 0))) +(IF(OR(E38="413 - Control de Costes y Enlace Construcción", E38="480 - Secretaría General del Consejo", E38="132 - Civil y estructuras", E38="136 - Mecánica", E38="412 - Planificación", E38="142 - Compras"), 25, 0)) +(IF(OR(S38="GRADO ING. MECÁNICA", S38="GRADO ING. ELÉCTRICA", S38="GRADO DERECHO", S38="GRADO ECONOMÍA", S38="GRADO ING. TECNOLOGÍAS INDUSTRIALES"), 24, 0)) + (IF(AND(K38&gt;=451, K38&lt;=700), 23, 0)) + (IF(AND(AB38&gt;=5, AB38&lt;=8), 17, 0)) +(IF(_xludf.OR(_xludf.AND(AC38&gt;=8, AC38&lt;=10), _xludf.AND(AC38&gt;=0, AC38&lt;=5)), 16, 0)) + (IF(F38="Madrid", 11, 0))))</f>
        <v>#NAME?</v>
      </c>
      <c r="AG38" s="68"/>
      <c r="AH38" s="71" t="s">
        <v>164</v>
      </c>
    </row>
    <row r="39" spans="1:34" ht="14.4" x14ac:dyDescent="0.3">
      <c r="A39" s="66" t="s">
        <v>1003</v>
      </c>
      <c r="B39" s="66" t="s">
        <v>3120</v>
      </c>
      <c r="C39" s="33">
        <v>38</v>
      </c>
      <c r="D39" s="33" t="s">
        <v>5400</v>
      </c>
      <c r="E39" s="34" t="s">
        <v>5222</v>
      </c>
      <c r="F39" s="34" t="s">
        <v>18</v>
      </c>
      <c r="G39" s="57">
        <v>40625</v>
      </c>
      <c r="H39" s="57">
        <v>41081</v>
      </c>
      <c r="I39" s="34">
        <f t="shared" si="0"/>
        <v>14</v>
      </c>
      <c r="J39" s="34">
        <v>35</v>
      </c>
      <c r="K39" s="36">
        <v>612.5</v>
      </c>
      <c r="L39" s="34" t="s">
        <v>29</v>
      </c>
      <c r="M39" s="57">
        <v>31922</v>
      </c>
      <c r="N39" s="37">
        <f>(YEAR(TablaMadre[[#This Row],[ALTA]])-YEAR(M39))</f>
        <v>24</v>
      </c>
      <c r="O39" s="34" t="s">
        <v>99</v>
      </c>
      <c r="P39" s="34" t="s">
        <v>99</v>
      </c>
      <c r="Q39" s="34" t="s">
        <v>43</v>
      </c>
      <c r="R39" s="58" t="s">
        <v>30</v>
      </c>
      <c r="S39" s="34" t="s">
        <v>26</v>
      </c>
      <c r="T39" s="34"/>
      <c r="U39" s="34" t="s">
        <v>30</v>
      </c>
      <c r="V39" s="34" t="s">
        <v>27</v>
      </c>
      <c r="W39" s="34" t="s">
        <v>28</v>
      </c>
      <c r="X39" s="38" t="s">
        <v>164</v>
      </c>
      <c r="Y39" s="62">
        <v>42543</v>
      </c>
      <c r="Z39" s="38">
        <f t="shared" si="1"/>
        <v>4</v>
      </c>
      <c r="AA39" s="38"/>
      <c r="AB39" s="34" t="s">
        <v>24</v>
      </c>
      <c r="AC39" s="34" t="s">
        <v>34</v>
      </c>
      <c r="AD39" s="38"/>
      <c r="AE39" s="59" t="str">
        <f t="shared" si="2"/>
        <v>SÍ</v>
      </c>
      <c r="AF39" s="38" t="e" cm="1">
        <f t="array" aca="1" ref="AF39" ca="1">MIN(100, MAX(0, (IF(R39="ESTUDIANTE", 31, 0)) + (IF(I39&lt;=3, 30, IF(I39&lt;=6, 20, 0))) +(IF(OR(E39="413 - Control de Costes y Enlace Construcción", E39="480 - Secretaría General del Consejo", E39="132 - Civil y estructuras", E39="136 - Mecánica", E39="412 - Planificación", E39="142 - Compras"), 25, 0)) +(IF(OR(S39="GRADO ING. MECÁNICA", S39="GRADO ING. ELÉCTRICA", S39="GRADO DERECHO", S39="GRADO ECONOMÍA", S39="GRADO ING. TECNOLOGÍAS INDUSTRIALES"), 24, 0)) + (IF(AND(K39&gt;=451, K39&lt;=700), 23, 0)) + (IF(AND(AB39&gt;=5, AB39&lt;=8), 17, 0)) +(IF(_xludf.OR(_xludf.AND(AC39&gt;=8, AC39&lt;=10), _xludf.AND(AC39&gt;=0, AC39&lt;=5)), 16, 0)) + (IF(F39="Madrid", 11, 0))))</f>
        <v>#NAME?</v>
      </c>
      <c r="AG39" s="68"/>
      <c r="AH39" s="71" t="s">
        <v>164</v>
      </c>
    </row>
    <row r="40" spans="1:34" s="4" customFormat="1" ht="14.4" x14ac:dyDescent="0.3">
      <c r="A40" s="66" t="s">
        <v>1018</v>
      </c>
      <c r="B40" s="66" t="s">
        <v>3135</v>
      </c>
      <c r="C40" s="33">
        <v>39</v>
      </c>
      <c r="D40" s="33" t="s">
        <v>5401</v>
      </c>
      <c r="E40" s="34" t="s">
        <v>5236</v>
      </c>
      <c r="F40" s="34" t="s">
        <v>18</v>
      </c>
      <c r="G40" s="57">
        <v>40630</v>
      </c>
      <c r="H40" s="57">
        <v>40968</v>
      </c>
      <c r="I40" s="34">
        <f t="shared" si="0"/>
        <v>11</v>
      </c>
      <c r="J40" s="34">
        <v>40</v>
      </c>
      <c r="K40" s="36">
        <v>700</v>
      </c>
      <c r="L40" s="34" t="s">
        <v>17</v>
      </c>
      <c r="M40" s="57">
        <v>31102</v>
      </c>
      <c r="N40" s="37">
        <f>(YEAR(TablaMadre[[#This Row],[ALTA]])-YEAR(M40))</f>
        <v>26</v>
      </c>
      <c r="O40" s="34" t="s">
        <v>18</v>
      </c>
      <c r="P40" s="34" t="s">
        <v>19</v>
      </c>
      <c r="Q40" s="34" t="s">
        <v>46</v>
      </c>
      <c r="R40" s="58" t="s">
        <v>30</v>
      </c>
      <c r="S40" s="34" t="s">
        <v>26</v>
      </c>
      <c r="T40" s="34"/>
      <c r="U40" s="34" t="s">
        <v>42</v>
      </c>
      <c r="V40" s="34" t="s">
        <v>27</v>
      </c>
      <c r="W40" s="34" t="s">
        <v>47</v>
      </c>
      <c r="X40" s="34" t="s">
        <v>164</v>
      </c>
      <c r="Y40" s="57"/>
      <c r="Z40" s="34" t="e">
        <f t="shared" si="1"/>
        <v>#NUM!</v>
      </c>
      <c r="AA40" s="34"/>
      <c r="AB40" s="34" t="s">
        <v>24</v>
      </c>
      <c r="AC40" s="34" t="s">
        <v>24</v>
      </c>
      <c r="AD40" s="34"/>
      <c r="AE40" s="59" t="str">
        <f t="shared" si="2"/>
        <v>NO</v>
      </c>
      <c r="AF40" s="34" t="e" cm="1">
        <f t="array" aca="1" ref="AF40" ca="1">MIN(100, MAX(0, (IF(R40="ESTUDIANTE", 31, 0)) + (IF(I40&lt;=3, 30, IF(I40&lt;=6, 20, 0))) +(IF(OR(E40="413 - Control de Costes y Enlace Construcción", E40="480 - Secretaría General del Consejo", E40="132 - Civil y estructuras", E40="136 - Mecánica", E40="412 - Planificación", E40="142 - Compras"), 25, 0)) +(IF(OR(S40="GRADO ING. MECÁNICA", S40="GRADO ING. ELÉCTRICA", S40="GRADO DERECHO", S40="GRADO ECONOMÍA", S40="GRADO ING. TECNOLOGÍAS INDUSTRIALES"), 24, 0)) + (IF(AND(K40&gt;=451, K40&lt;=700), 23, 0)) + (IF(AND(AB40&gt;=5, AB40&lt;=8), 17, 0)) +(IF(_xludf.OR(_xludf.AND(AC40&gt;=8, AC40&lt;=10), _xludf.AND(AC40&gt;=0, AC40&lt;=5)), 16, 0)) + (IF(F40="Madrid", 11, 0))))</f>
        <v>#NAME?</v>
      </c>
      <c r="AG40" s="69"/>
      <c r="AH40" s="71" t="s">
        <v>164</v>
      </c>
    </row>
    <row r="41" spans="1:34" ht="14.4" x14ac:dyDescent="0.3">
      <c r="A41" s="66" t="s">
        <v>1006</v>
      </c>
      <c r="B41" s="66" t="s">
        <v>3123</v>
      </c>
      <c r="C41" s="33">
        <v>43</v>
      </c>
      <c r="D41" s="33" t="s">
        <v>5402</v>
      </c>
      <c r="E41" s="34" t="s">
        <v>5218</v>
      </c>
      <c r="F41" s="34" t="s">
        <v>18</v>
      </c>
      <c r="G41" s="57">
        <v>40637</v>
      </c>
      <c r="H41" s="57">
        <v>41081</v>
      </c>
      <c r="I41" s="34">
        <f t="shared" si="0"/>
        <v>14</v>
      </c>
      <c r="J41" s="34">
        <v>40</v>
      </c>
      <c r="K41" s="36">
        <v>700</v>
      </c>
      <c r="L41" s="34" t="s">
        <v>29</v>
      </c>
      <c r="M41" s="57">
        <v>32324</v>
      </c>
      <c r="N41" s="37">
        <f>(YEAR(TablaMadre[[#This Row],[ALTA]])-YEAR(M41))</f>
        <v>23</v>
      </c>
      <c r="O41" s="34" t="s">
        <v>100</v>
      </c>
      <c r="P41" s="34" t="s">
        <v>19</v>
      </c>
      <c r="Q41" s="34" t="s">
        <v>44</v>
      </c>
      <c r="R41" s="58" t="s">
        <v>30</v>
      </c>
      <c r="S41" s="34" t="s">
        <v>26</v>
      </c>
      <c r="T41" s="34"/>
      <c r="U41" s="34" t="s">
        <v>30</v>
      </c>
      <c r="V41" s="34" t="s">
        <v>27</v>
      </c>
      <c r="W41" s="34" t="s">
        <v>28</v>
      </c>
      <c r="X41" s="38" t="s">
        <v>164</v>
      </c>
      <c r="Y41" s="62">
        <v>46805</v>
      </c>
      <c r="Z41" s="38">
        <f t="shared" si="1"/>
        <v>15</v>
      </c>
      <c r="AA41" s="38"/>
      <c r="AB41" s="34" t="s">
        <v>24</v>
      </c>
      <c r="AC41" s="34" t="s">
        <v>34</v>
      </c>
      <c r="AD41" s="38"/>
      <c r="AE41" s="59" t="str">
        <f t="shared" si="2"/>
        <v>SÍ</v>
      </c>
      <c r="AF41" s="38" t="e" cm="1">
        <f t="array" aca="1" ref="AF41" ca="1">MIN(100, MAX(0, (IF(R41="ESTUDIANTE", 31, 0)) + (IF(I41&lt;=3, 30, IF(I41&lt;=6, 20, 0))) +(IF(OR(E41="413 - Control de Costes y Enlace Construcción", E41="480 - Secretaría General del Consejo", E41="132 - Civil y estructuras", E41="136 - Mecánica", E41="412 - Planificación", E41="142 - Compras"), 25, 0)) +(IF(OR(S41="GRADO ING. MECÁNICA", S41="GRADO ING. ELÉCTRICA", S41="GRADO DERECHO", S41="GRADO ECONOMÍA", S41="GRADO ING. TECNOLOGÍAS INDUSTRIALES"), 24, 0)) + (IF(AND(K41&gt;=451, K41&lt;=700), 23, 0)) + (IF(AND(AB41&gt;=5, AB41&lt;=8), 17, 0)) +(IF(_xludf.OR(_xludf.AND(AC41&gt;=8, AC41&lt;=10), _xludf.AND(AC41&gt;=0, AC41&lt;=5)), 16, 0)) + (IF(F41="Madrid", 11, 0))))</f>
        <v>#NAME?</v>
      </c>
      <c r="AG41" s="68"/>
      <c r="AH41" s="71" t="s">
        <v>164</v>
      </c>
    </row>
    <row r="42" spans="1:34" ht="14.4" x14ac:dyDescent="0.3">
      <c r="A42" s="66" t="s">
        <v>1009</v>
      </c>
      <c r="B42" s="66" t="s">
        <v>3126</v>
      </c>
      <c r="C42" s="33">
        <v>44</v>
      </c>
      <c r="D42" s="33" t="s">
        <v>5393</v>
      </c>
      <c r="E42" s="34" t="s">
        <v>5235</v>
      </c>
      <c r="F42" s="34" t="s">
        <v>18</v>
      </c>
      <c r="G42" s="57">
        <v>40637</v>
      </c>
      <c r="H42" s="57">
        <v>41456</v>
      </c>
      <c r="I42" s="34">
        <f t="shared" si="0"/>
        <v>26</v>
      </c>
      <c r="J42" s="34">
        <v>40</v>
      </c>
      <c r="K42" s="36">
        <v>900</v>
      </c>
      <c r="L42" s="34" t="s">
        <v>17</v>
      </c>
      <c r="M42" s="57">
        <v>33069</v>
      </c>
      <c r="N42" s="37">
        <f>(YEAR(TablaMadre[[#This Row],[ALTA]])-YEAR(M42))</f>
        <v>21</v>
      </c>
      <c r="O42" s="34" t="s">
        <v>941</v>
      </c>
      <c r="P42" s="34" t="s">
        <v>19</v>
      </c>
      <c r="Q42" s="34" t="s">
        <v>61</v>
      </c>
      <c r="R42" s="34" t="s">
        <v>21</v>
      </c>
      <c r="S42" s="34" t="s">
        <v>322</v>
      </c>
      <c r="T42" s="34"/>
      <c r="U42" s="34" t="s">
        <v>42</v>
      </c>
      <c r="V42" s="34" t="s">
        <v>67</v>
      </c>
      <c r="W42" s="34" t="s">
        <v>28</v>
      </c>
      <c r="X42" s="38" t="s">
        <v>164</v>
      </c>
      <c r="Y42" s="62">
        <v>42920</v>
      </c>
      <c r="Z42" s="38">
        <f t="shared" si="1"/>
        <v>4</v>
      </c>
      <c r="AA42" s="38"/>
      <c r="AB42" s="34"/>
      <c r="AC42" s="34"/>
      <c r="AD42" s="38"/>
      <c r="AE42" s="59" t="str">
        <f t="shared" si="2"/>
        <v>SÍ</v>
      </c>
      <c r="AF42" s="38" t="e" cm="1">
        <f t="array" aca="1" ref="AF42" ca="1">MIN(100, MAX(0, (IF(R42="ESTUDIANTE", 31, 0)) + (IF(I42&lt;=3, 30, IF(I42&lt;=6, 20, 0))) +(IF(OR(E42="413 - Control de Costes y Enlace Construcción", E42="480 - Secretaría General del Consejo", E42="132 - Civil y estructuras", E42="136 - Mecánica", E42="412 - Planificación", E42="142 - Compras"), 25, 0)) +(IF(OR(S42="GRADO ING. MECÁNICA", S42="GRADO ING. ELÉCTRICA", S42="GRADO DERECHO", S42="GRADO ECONOMÍA", S42="GRADO ING. TECNOLOGÍAS INDUSTRIALES"), 24, 0)) + (IF(AND(K42&gt;=451, K42&lt;=700), 23, 0)) + (IF(AND(AB42&gt;=5, AB42&lt;=8), 17, 0)) +(IF(_xludf.OR(_xludf.AND(AC42&gt;=8, AC42&lt;=10), _xludf.AND(AC42&gt;=0, AC42&lt;=5)), 16, 0)) + (IF(F42="Madrid", 11, 0))))</f>
        <v>#NAME?</v>
      </c>
      <c r="AG42" s="68"/>
      <c r="AH42" s="71" t="s">
        <v>164</v>
      </c>
    </row>
    <row r="43" spans="1:34" ht="14.4" x14ac:dyDescent="0.3">
      <c r="A43" s="66" t="s">
        <v>1011</v>
      </c>
      <c r="B43" s="66" t="s">
        <v>3128</v>
      </c>
      <c r="C43" s="33">
        <v>40</v>
      </c>
      <c r="D43" s="33" t="s">
        <v>5394</v>
      </c>
      <c r="E43" s="34" t="s">
        <v>5231</v>
      </c>
      <c r="F43" s="34" t="s">
        <v>18</v>
      </c>
      <c r="G43" s="57">
        <v>40637</v>
      </c>
      <c r="H43" s="57">
        <v>40972</v>
      </c>
      <c r="I43" s="34">
        <f t="shared" si="0"/>
        <v>11</v>
      </c>
      <c r="J43" s="34">
        <v>40</v>
      </c>
      <c r="K43" s="36">
        <v>900</v>
      </c>
      <c r="L43" s="34" t="s">
        <v>29</v>
      </c>
      <c r="M43" s="57">
        <v>33814</v>
      </c>
      <c r="N43" s="37">
        <f>(YEAR(TablaMadre[[#This Row],[ALTA]])-YEAR(M43))</f>
        <v>19</v>
      </c>
      <c r="O43" s="34" t="s">
        <v>525</v>
      </c>
      <c r="P43" s="34" t="s">
        <v>19</v>
      </c>
      <c r="Q43" s="34" t="s">
        <v>36</v>
      </c>
      <c r="R43" s="34" t="s">
        <v>21</v>
      </c>
      <c r="S43" s="34" t="s">
        <v>307</v>
      </c>
      <c r="T43" s="34"/>
      <c r="U43" s="34" t="s">
        <v>30</v>
      </c>
      <c r="V43" s="34" t="s">
        <v>51</v>
      </c>
      <c r="W43" s="34" t="s">
        <v>28</v>
      </c>
      <c r="X43" s="38" t="s">
        <v>173</v>
      </c>
      <c r="Y43" s="62"/>
      <c r="Z43" s="38" t="e">
        <f t="shared" si="1"/>
        <v>#NUM!</v>
      </c>
      <c r="AA43" s="38"/>
      <c r="AB43" s="34" t="s">
        <v>24</v>
      </c>
      <c r="AC43" s="34" t="s">
        <v>34</v>
      </c>
      <c r="AD43" s="38"/>
      <c r="AE43" s="59" t="str">
        <f t="shared" si="2"/>
        <v>SÍ</v>
      </c>
      <c r="AF43" s="38" t="e" cm="1">
        <f t="array" aca="1" ref="AF43" ca="1">MIN(100, MAX(0, (IF(R43="ESTUDIANTE", 31, 0)) + (IF(I43&lt;=3, 30, IF(I43&lt;=6, 20, 0))) +(IF(OR(E43="413 - Control de Costes y Enlace Construcción", E43="480 - Secretaría General del Consejo", E43="132 - Civil y estructuras", E43="136 - Mecánica", E43="412 - Planificación", E43="142 - Compras"), 25, 0)) +(IF(OR(S43="GRADO ING. MECÁNICA", S43="GRADO ING. ELÉCTRICA", S43="GRADO DERECHO", S43="GRADO ECONOMÍA", S43="GRADO ING. TECNOLOGÍAS INDUSTRIALES"), 24, 0)) + (IF(AND(K43&gt;=451, K43&lt;=700), 23, 0)) + (IF(AND(AB43&gt;=5, AB43&lt;=8), 17, 0)) +(IF(_xludf.OR(_xludf.AND(AC43&gt;=8, AC43&lt;=10), _xludf.AND(AC43&gt;=0, AC43&lt;=5)), 16, 0)) + (IF(F43="Madrid", 11, 0))))</f>
        <v>#NAME?</v>
      </c>
      <c r="AG43" s="68"/>
      <c r="AH43" s="71" t="s">
        <v>164</v>
      </c>
    </row>
    <row r="44" spans="1:34" ht="14.4" x14ac:dyDescent="0.3">
      <c r="A44" s="66" t="s">
        <v>1012</v>
      </c>
      <c r="B44" s="66" t="s">
        <v>3129</v>
      </c>
      <c r="C44" s="33">
        <v>41</v>
      </c>
      <c r="D44" s="33" t="s">
        <v>5395</v>
      </c>
      <c r="E44" s="34" t="s">
        <v>5231</v>
      </c>
      <c r="F44" s="34" t="s">
        <v>18</v>
      </c>
      <c r="G44" s="57">
        <v>40637</v>
      </c>
      <c r="H44" s="57">
        <v>40972</v>
      </c>
      <c r="I44" s="34">
        <f t="shared" si="0"/>
        <v>11</v>
      </c>
      <c r="J44" s="34">
        <v>40</v>
      </c>
      <c r="K44" s="36">
        <v>900</v>
      </c>
      <c r="L44" s="34" t="s">
        <v>17</v>
      </c>
      <c r="M44" s="57">
        <v>33922</v>
      </c>
      <c r="N44" s="37">
        <f>(YEAR(TablaMadre[[#This Row],[ALTA]])-YEAR(M44))</f>
        <v>19</v>
      </c>
      <c r="O44" s="34" t="s">
        <v>18</v>
      </c>
      <c r="P44" s="34" t="s">
        <v>19</v>
      </c>
      <c r="Q44" s="34" t="s">
        <v>36</v>
      </c>
      <c r="R44" s="34" t="s">
        <v>21</v>
      </c>
      <c r="S44" s="34" t="s">
        <v>307</v>
      </c>
      <c r="T44" s="34"/>
      <c r="U44" s="34" t="s">
        <v>21</v>
      </c>
      <c r="V44" s="34" t="s">
        <v>22</v>
      </c>
      <c r="W44" s="34" t="s">
        <v>28</v>
      </c>
      <c r="X44" s="38" t="s">
        <v>164</v>
      </c>
      <c r="Y44" s="62">
        <v>41334</v>
      </c>
      <c r="Z44" s="38">
        <f t="shared" si="1"/>
        <v>0</v>
      </c>
      <c r="AA44" s="38"/>
      <c r="AB44" s="34" t="s">
        <v>24</v>
      </c>
      <c r="AC44" s="34" t="s">
        <v>34</v>
      </c>
      <c r="AD44" s="38"/>
      <c r="AE44" s="59" t="str">
        <f t="shared" si="2"/>
        <v>NO</v>
      </c>
      <c r="AF44" s="38" t="e" cm="1">
        <f t="array" aca="1" ref="AF44" ca="1">MIN(100, MAX(0, (IF(R44="ESTUDIANTE", 31, 0)) + (IF(I44&lt;=3, 30, IF(I44&lt;=6, 20, 0))) +(IF(OR(E44="413 - Control de Costes y Enlace Construcción", E44="480 - Secretaría General del Consejo", E44="132 - Civil y estructuras", E44="136 - Mecánica", E44="412 - Planificación", E44="142 - Compras"), 25, 0)) +(IF(OR(S44="GRADO ING. MECÁNICA", S44="GRADO ING. ELÉCTRICA", S44="GRADO DERECHO", S44="GRADO ECONOMÍA", S44="GRADO ING. TECNOLOGÍAS INDUSTRIALES"), 24, 0)) + (IF(AND(K44&gt;=451, K44&lt;=700), 23, 0)) + (IF(AND(AB44&gt;=5, AB44&lt;=8), 17, 0)) +(IF(_xludf.OR(_xludf.AND(AC44&gt;=8, AC44&lt;=10), _xludf.AND(AC44&gt;=0, AC44&lt;=5)), 16, 0)) + (IF(F44="Madrid", 11, 0))))</f>
        <v>#NAME?</v>
      </c>
      <c r="AG44" s="68"/>
      <c r="AH44" s="71" t="s">
        <v>164</v>
      </c>
    </row>
    <row r="45" spans="1:34" ht="14.4" x14ac:dyDescent="0.3">
      <c r="A45" s="66" t="s">
        <v>1021</v>
      </c>
      <c r="B45" s="66" t="s">
        <v>3138</v>
      </c>
      <c r="C45" s="33">
        <v>42</v>
      </c>
      <c r="D45" s="33" t="s">
        <v>5396</v>
      </c>
      <c r="E45" s="34" t="s">
        <v>5237</v>
      </c>
      <c r="F45" s="34" t="s">
        <v>18</v>
      </c>
      <c r="G45" s="57">
        <v>40637</v>
      </c>
      <c r="H45" s="57">
        <v>40972</v>
      </c>
      <c r="I45" s="34">
        <f t="shared" si="0"/>
        <v>11</v>
      </c>
      <c r="J45" s="34">
        <v>40</v>
      </c>
      <c r="K45" s="36">
        <v>700</v>
      </c>
      <c r="L45" s="34" t="s">
        <v>17</v>
      </c>
      <c r="M45" s="57">
        <v>32140</v>
      </c>
      <c r="N45" s="37">
        <f>(YEAR(TablaMadre[[#This Row],[ALTA]])-YEAR(M45))</f>
        <v>24</v>
      </c>
      <c r="O45" s="34" t="s">
        <v>18</v>
      </c>
      <c r="P45" s="34" t="s">
        <v>19</v>
      </c>
      <c r="Q45" s="34" t="s">
        <v>52</v>
      </c>
      <c r="R45" s="58" t="s">
        <v>30</v>
      </c>
      <c r="S45" s="34" t="s">
        <v>26</v>
      </c>
      <c r="T45" s="34"/>
      <c r="U45" s="34" t="s">
        <v>30</v>
      </c>
      <c r="V45" s="34" t="s">
        <v>27</v>
      </c>
      <c r="W45" s="34" t="s">
        <v>23</v>
      </c>
      <c r="X45" s="38" t="s">
        <v>164</v>
      </c>
      <c r="Y45" s="62"/>
      <c r="Z45" s="38" t="e">
        <f t="shared" si="1"/>
        <v>#NUM!</v>
      </c>
      <c r="AA45" s="38"/>
      <c r="AB45" s="34" t="s">
        <v>53</v>
      </c>
      <c r="AC45" s="34" t="s">
        <v>24</v>
      </c>
      <c r="AD45" s="38"/>
      <c r="AE45" s="59" t="str">
        <f t="shared" si="2"/>
        <v>NO</v>
      </c>
      <c r="AF45" s="38" t="e" cm="1">
        <f t="array" aca="1" ref="AF45" ca="1">MIN(100, MAX(0, (IF(R45="ESTUDIANTE", 31, 0)) + (IF(I45&lt;=3, 30, IF(I45&lt;=6, 20, 0))) +(IF(OR(E45="413 - Control de Costes y Enlace Construcción", E45="480 - Secretaría General del Consejo", E45="132 - Civil y estructuras", E45="136 - Mecánica", E45="412 - Planificación", E45="142 - Compras"), 25, 0)) +(IF(OR(S45="GRADO ING. MECÁNICA", S45="GRADO ING. ELÉCTRICA", S45="GRADO DERECHO", S45="GRADO ECONOMÍA", S45="GRADO ING. TECNOLOGÍAS INDUSTRIALES"), 24, 0)) + (IF(AND(K45&gt;=451, K45&lt;=700), 23, 0)) + (IF(AND(AB45&gt;=5, AB45&lt;=8), 17, 0)) +(IF(_xludf.OR(_xludf.AND(AC45&gt;=8, AC45&lt;=10), _xludf.AND(AC45&gt;=0, AC45&lt;=5)), 16, 0)) + (IF(F45="Madrid", 11, 0))))</f>
        <v>#NAME?</v>
      </c>
      <c r="AG45" s="68"/>
      <c r="AH45" s="71" t="s">
        <v>164</v>
      </c>
    </row>
    <row r="46" spans="1:34" ht="14.4" x14ac:dyDescent="0.3">
      <c r="A46" s="66" t="s">
        <v>1045</v>
      </c>
      <c r="B46" s="66" t="s">
        <v>3162</v>
      </c>
      <c r="C46" s="33">
        <v>45</v>
      </c>
      <c r="D46" s="33" t="s">
        <v>5397</v>
      </c>
      <c r="E46" s="34" t="s">
        <v>5216</v>
      </c>
      <c r="F46" s="34" t="s">
        <v>18</v>
      </c>
      <c r="G46" s="57">
        <v>40640</v>
      </c>
      <c r="H46" s="57">
        <v>41090</v>
      </c>
      <c r="I46" s="34">
        <f t="shared" si="0"/>
        <v>14</v>
      </c>
      <c r="J46" s="34">
        <v>40</v>
      </c>
      <c r="K46" s="36">
        <v>900</v>
      </c>
      <c r="L46" s="34" t="s">
        <v>29</v>
      </c>
      <c r="M46" s="57">
        <v>31716</v>
      </c>
      <c r="N46" s="37">
        <f>(YEAR(TablaMadre[[#This Row],[ALTA]])-YEAR(M46))</f>
        <v>25</v>
      </c>
      <c r="O46" s="34" t="s">
        <v>70</v>
      </c>
      <c r="P46" s="34" t="s">
        <v>19</v>
      </c>
      <c r="Q46" s="34" t="s">
        <v>63</v>
      </c>
      <c r="R46" s="34" t="s">
        <v>21</v>
      </c>
      <c r="S46" s="34" t="s">
        <v>297</v>
      </c>
      <c r="T46" s="34"/>
      <c r="U46" s="34" t="s">
        <v>30</v>
      </c>
      <c r="V46" s="34" t="s">
        <v>86</v>
      </c>
      <c r="W46" s="34" t="s">
        <v>28</v>
      </c>
      <c r="X46" s="38" t="s">
        <v>173</v>
      </c>
      <c r="Y46" s="62"/>
      <c r="Z46" s="38" t="e">
        <f t="shared" si="1"/>
        <v>#NUM!</v>
      </c>
      <c r="AA46" s="38"/>
      <c r="AB46" s="34" t="s">
        <v>24</v>
      </c>
      <c r="AC46" s="34" t="s">
        <v>34</v>
      </c>
      <c r="AD46" s="38"/>
      <c r="AE46" s="59" t="str">
        <f t="shared" si="2"/>
        <v>SÍ</v>
      </c>
      <c r="AF46" s="38" t="e" cm="1">
        <f t="array" aca="1" ref="AF46" ca="1">MIN(100, MAX(0, (IF(R46="ESTUDIANTE", 31, 0)) + (IF(I46&lt;=3, 30, IF(I46&lt;=6, 20, 0))) +(IF(OR(E46="413 - Control de Costes y Enlace Construcción", E46="480 - Secretaría General del Consejo", E46="132 - Civil y estructuras", E46="136 - Mecánica", E46="412 - Planificación", E46="142 - Compras"), 25, 0)) +(IF(OR(S46="GRADO ING. MECÁNICA", S46="GRADO ING. ELÉCTRICA", S46="GRADO DERECHO", S46="GRADO ECONOMÍA", S46="GRADO ING. TECNOLOGÍAS INDUSTRIALES"), 24, 0)) + (IF(AND(K46&gt;=451, K46&lt;=700), 23, 0)) + (IF(AND(AB46&gt;=5, AB46&lt;=8), 17, 0)) +(IF(_xludf.OR(_xludf.AND(AC46&gt;=8, AC46&lt;=10), _xludf.AND(AC46&gt;=0, AC46&lt;=5)), 16, 0)) + (IF(F46="Madrid", 11, 0))))</f>
        <v>#NAME?</v>
      </c>
      <c r="AG46" s="68"/>
      <c r="AH46" s="71" t="s">
        <v>164</v>
      </c>
    </row>
    <row r="47" spans="1:34" ht="14.4" x14ac:dyDescent="0.3">
      <c r="A47" s="66" t="s">
        <v>1013</v>
      </c>
      <c r="B47" s="66" t="s">
        <v>3130</v>
      </c>
      <c r="C47" s="33">
        <v>46</v>
      </c>
      <c r="D47" s="33" t="s">
        <v>5398</v>
      </c>
      <c r="E47" s="34" t="s">
        <v>5218</v>
      </c>
      <c r="F47" s="34" t="s">
        <v>18</v>
      </c>
      <c r="G47" s="57">
        <v>40651</v>
      </c>
      <c r="H47" s="57">
        <v>41016</v>
      </c>
      <c r="I47" s="34">
        <f t="shared" si="0"/>
        <v>11</v>
      </c>
      <c r="J47" s="34">
        <v>40</v>
      </c>
      <c r="K47" s="36">
        <v>900</v>
      </c>
      <c r="L47" s="34" t="s">
        <v>29</v>
      </c>
      <c r="M47" s="57">
        <v>30463</v>
      </c>
      <c r="N47" s="37">
        <f>(YEAR(TablaMadre[[#This Row],[ALTA]])-YEAR(M47))</f>
        <v>28</v>
      </c>
      <c r="O47" s="34" t="s">
        <v>68</v>
      </c>
      <c r="P47" s="34" t="s">
        <v>19</v>
      </c>
      <c r="Q47" s="34" t="s">
        <v>20</v>
      </c>
      <c r="R47" s="34" t="s">
        <v>21</v>
      </c>
      <c r="S47" s="34" t="s">
        <v>151</v>
      </c>
      <c r="T47" s="34"/>
      <c r="U47" s="34" t="s">
        <v>30</v>
      </c>
      <c r="V47" s="34" t="s">
        <v>69</v>
      </c>
      <c r="W47" s="34" t="s">
        <v>28</v>
      </c>
      <c r="X47" s="38" t="s">
        <v>164</v>
      </c>
      <c r="Y47" s="62">
        <v>45535</v>
      </c>
      <c r="Z47" s="38">
        <f t="shared" si="1"/>
        <v>12</v>
      </c>
      <c r="AA47" s="38"/>
      <c r="AB47" s="34" t="s">
        <v>24</v>
      </c>
      <c r="AC47" s="34" t="s">
        <v>34</v>
      </c>
      <c r="AD47" s="38"/>
      <c r="AE47" s="59" t="str">
        <f t="shared" si="2"/>
        <v>SÍ</v>
      </c>
      <c r="AF47" s="38" t="e" cm="1">
        <f t="array" aca="1" ref="AF47" ca="1">MIN(100, MAX(0, (IF(R47="ESTUDIANTE", 31, 0)) + (IF(I47&lt;=3, 30, IF(I47&lt;=6, 20, 0))) +(IF(OR(E47="413 - Control de Costes y Enlace Construcción", E47="480 - Secretaría General del Consejo", E47="132 - Civil y estructuras", E47="136 - Mecánica", E47="412 - Planificación", E47="142 - Compras"), 25, 0)) +(IF(OR(S47="GRADO ING. MECÁNICA", S47="GRADO ING. ELÉCTRICA", S47="GRADO DERECHO", S47="GRADO ECONOMÍA", S47="GRADO ING. TECNOLOGÍAS INDUSTRIALES"), 24, 0)) + (IF(AND(K47&gt;=451, K47&lt;=700), 23, 0)) + (IF(AND(AB47&gt;=5, AB47&lt;=8), 17, 0)) +(IF(_xludf.OR(_xludf.AND(AC47&gt;=8, AC47&lt;=10), _xludf.AND(AC47&gt;=0, AC47&lt;=5)), 16, 0)) + (IF(F47="Madrid", 11, 0))))</f>
        <v>#NAME?</v>
      </c>
      <c r="AG47" s="68"/>
      <c r="AH47" s="71" t="s">
        <v>164</v>
      </c>
    </row>
    <row r="48" spans="1:34" ht="14.4" x14ac:dyDescent="0.3">
      <c r="A48" s="66" t="s">
        <v>1025</v>
      </c>
      <c r="B48" s="66" t="s">
        <v>3142</v>
      </c>
      <c r="C48" s="33">
        <v>50</v>
      </c>
      <c r="D48" s="33" t="s">
        <v>5399</v>
      </c>
      <c r="E48" s="34" t="s">
        <v>5238</v>
      </c>
      <c r="F48" s="34" t="s">
        <v>18</v>
      </c>
      <c r="G48" s="57">
        <v>40679</v>
      </c>
      <c r="H48" s="57">
        <v>41152</v>
      </c>
      <c r="I48" s="34">
        <f t="shared" si="0"/>
        <v>15</v>
      </c>
      <c r="J48" s="34">
        <v>40</v>
      </c>
      <c r="K48" s="36">
        <v>800</v>
      </c>
      <c r="L48" s="34" t="s">
        <v>17</v>
      </c>
      <c r="M48" s="57">
        <v>31098</v>
      </c>
      <c r="N48" s="37">
        <f>(YEAR(TablaMadre[[#This Row],[ALTA]])-YEAR(M48))</f>
        <v>26</v>
      </c>
      <c r="O48" s="34" t="s">
        <v>18</v>
      </c>
      <c r="P48" s="34" t="s">
        <v>19</v>
      </c>
      <c r="Q48" s="34" t="s">
        <v>144</v>
      </c>
      <c r="R48" s="34" t="s">
        <v>21</v>
      </c>
      <c r="S48" s="34" t="s">
        <v>354</v>
      </c>
      <c r="T48" s="34"/>
      <c r="U48" s="34" t="s">
        <v>30</v>
      </c>
      <c r="V48" s="34" t="s">
        <v>40</v>
      </c>
      <c r="W48" s="34" t="s">
        <v>28</v>
      </c>
      <c r="X48" s="38" t="s">
        <v>173</v>
      </c>
      <c r="Y48" s="62"/>
      <c r="Z48" s="38" t="e">
        <f t="shared" si="1"/>
        <v>#NUM!</v>
      </c>
      <c r="AA48" s="38"/>
      <c r="AB48" s="34" t="s">
        <v>24</v>
      </c>
      <c r="AC48" s="34" t="s">
        <v>34</v>
      </c>
      <c r="AD48" s="38"/>
      <c r="AE48" s="59" t="str">
        <f t="shared" si="2"/>
        <v>NO</v>
      </c>
      <c r="AF48" s="38" t="e" cm="1">
        <f t="array" aca="1" ref="AF48" ca="1">MIN(100, MAX(0, (IF(R48="ESTUDIANTE", 31, 0)) + (IF(I48&lt;=3, 30, IF(I48&lt;=6, 20, 0))) +(IF(OR(E48="413 - Control de Costes y Enlace Construcción", E48="480 - Secretaría General del Consejo", E48="132 - Civil y estructuras", E48="136 - Mecánica", E48="412 - Planificación", E48="142 - Compras"), 25, 0)) +(IF(OR(S48="GRADO ING. MECÁNICA", S48="GRADO ING. ELÉCTRICA", S48="GRADO DERECHO", S48="GRADO ECONOMÍA", S48="GRADO ING. TECNOLOGÍAS INDUSTRIALES"), 24, 0)) + (IF(AND(K48&gt;=451, K48&lt;=700), 23, 0)) + (IF(AND(AB48&gt;=5, AB48&lt;=8), 17, 0)) +(IF(_xludf.OR(_xludf.AND(AC48&gt;=8, AC48&lt;=10), _xludf.AND(AC48&gt;=0, AC48&lt;=5)), 16, 0)) + (IF(F48="Madrid", 11, 0))))</f>
        <v>#NAME?</v>
      </c>
      <c r="AG48" s="68"/>
      <c r="AH48" s="71" t="s">
        <v>164</v>
      </c>
    </row>
    <row r="49" spans="1:34" ht="14.4" x14ac:dyDescent="0.3">
      <c r="A49" s="66" t="s">
        <v>1027</v>
      </c>
      <c r="B49" s="66" t="s">
        <v>3144</v>
      </c>
      <c r="C49" s="33">
        <v>49</v>
      </c>
      <c r="D49" s="33" t="s">
        <v>5393</v>
      </c>
      <c r="E49" s="34" t="s">
        <v>5239</v>
      </c>
      <c r="F49" s="34" t="s">
        <v>18</v>
      </c>
      <c r="G49" s="57">
        <v>40679</v>
      </c>
      <c r="H49" s="57">
        <v>41044</v>
      </c>
      <c r="I49" s="34">
        <f t="shared" si="0"/>
        <v>11</v>
      </c>
      <c r="J49" s="34">
        <v>40</v>
      </c>
      <c r="K49" s="36">
        <v>900</v>
      </c>
      <c r="L49" s="34" t="s">
        <v>29</v>
      </c>
      <c r="M49" s="57">
        <v>32222</v>
      </c>
      <c r="N49" s="37">
        <f>(YEAR(TablaMadre[[#This Row],[ALTA]])-YEAR(M49))</f>
        <v>23</v>
      </c>
      <c r="O49" s="34" t="s">
        <v>80</v>
      </c>
      <c r="P49" s="34" t="s">
        <v>19</v>
      </c>
      <c r="Q49" s="34" t="s">
        <v>20</v>
      </c>
      <c r="R49" s="34" t="s">
        <v>21</v>
      </c>
      <c r="S49" s="34" t="s">
        <v>151</v>
      </c>
      <c r="T49" s="34"/>
      <c r="U49" s="34" t="s">
        <v>42</v>
      </c>
      <c r="V49" s="34" t="s">
        <v>81</v>
      </c>
      <c r="W49" s="34" t="s">
        <v>28</v>
      </c>
      <c r="X49" s="38" t="s">
        <v>164</v>
      </c>
      <c r="Y49" s="62">
        <v>42819</v>
      </c>
      <c r="Z49" s="38">
        <f t="shared" si="1"/>
        <v>4</v>
      </c>
      <c r="AA49" s="38"/>
      <c r="AB49" s="34" t="s">
        <v>24</v>
      </c>
      <c r="AC49" s="34" t="s">
        <v>34</v>
      </c>
      <c r="AD49" s="38"/>
      <c r="AE49" s="59" t="str">
        <f t="shared" si="2"/>
        <v>SÍ</v>
      </c>
      <c r="AF49" s="38" t="e" cm="1">
        <f t="array" aca="1" ref="AF49" ca="1">MIN(100, MAX(0, (IF(R49="ESTUDIANTE", 31, 0)) + (IF(I49&lt;=3, 30, IF(I49&lt;=6, 20, 0))) +(IF(OR(E49="413 - Control de Costes y Enlace Construcción", E49="480 - Secretaría General del Consejo", E49="132 - Civil y estructuras", E49="136 - Mecánica", E49="412 - Planificación", E49="142 - Compras"), 25, 0)) +(IF(OR(S49="GRADO ING. MECÁNICA", S49="GRADO ING. ELÉCTRICA", S49="GRADO DERECHO", S49="GRADO ECONOMÍA", S49="GRADO ING. TECNOLOGÍAS INDUSTRIALES"), 24, 0)) + (IF(AND(K49&gt;=451, K49&lt;=700), 23, 0)) + (IF(AND(AB49&gt;=5, AB49&lt;=8), 17, 0)) +(IF(_xludf.OR(_xludf.AND(AC49&gt;=8, AC49&lt;=10), _xludf.AND(AC49&gt;=0, AC49&lt;=5)), 16, 0)) + (IF(F49="Madrid", 11, 0))))</f>
        <v>#NAME?</v>
      </c>
      <c r="AG49" s="68"/>
      <c r="AH49" s="71" t="s">
        <v>164</v>
      </c>
    </row>
    <row r="50" spans="1:34" ht="14.4" x14ac:dyDescent="0.3">
      <c r="A50" s="66" t="s">
        <v>1028</v>
      </c>
      <c r="B50" s="66" t="s">
        <v>3145</v>
      </c>
      <c r="C50" s="33">
        <v>48</v>
      </c>
      <c r="D50" s="33" t="s">
        <v>5394</v>
      </c>
      <c r="E50" s="34" t="s">
        <v>5239</v>
      </c>
      <c r="F50" s="34" t="s">
        <v>18</v>
      </c>
      <c r="G50" s="57">
        <v>40679</v>
      </c>
      <c r="H50" s="57">
        <v>41044</v>
      </c>
      <c r="I50" s="34">
        <f t="shared" si="0"/>
        <v>11</v>
      </c>
      <c r="J50" s="34">
        <v>40</v>
      </c>
      <c r="K50" s="36">
        <v>900</v>
      </c>
      <c r="L50" s="34" t="s">
        <v>29</v>
      </c>
      <c r="M50" s="57">
        <v>33372</v>
      </c>
      <c r="N50" s="37">
        <f>(YEAR(TablaMadre[[#This Row],[ALTA]])-YEAR(M50))</f>
        <v>20</v>
      </c>
      <c r="O50" s="34" t="s">
        <v>558</v>
      </c>
      <c r="P50" s="34" t="s">
        <v>19</v>
      </c>
      <c r="Q50" s="34" t="s">
        <v>20</v>
      </c>
      <c r="R50" s="34" t="s">
        <v>21</v>
      </c>
      <c r="S50" s="34" t="s">
        <v>151</v>
      </c>
      <c r="T50" s="34"/>
      <c r="U50" s="34" t="s">
        <v>30</v>
      </c>
      <c r="V50" s="34" t="s">
        <v>79</v>
      </c>
      <c r="W50" s="34" t="s">
        <v>28</v>
      </c>
      <c r="X50" s="38" t="s">
        <v>164</v>
      </c>
      <c r="Y50" s="62">
        <v>41510</v>
      </c>
      <c r="Z50" s="38">
        <f t="shared" si="1"/>
        <v>1</v>
      </c>
      <c r="AA50" s="38"/>
      <c r="AB50" s="34" t="s">
        <v>24</v>
      </c>
      <c r="AC50" s="34" t="s">
        <v>34</v>
      </c>
      <c r="AD50" s="38"/>
      <c r="AE50" s="59" t="str">
        <f t="shared" si="2"/>
        <v>SÍ</v>
      </c>
      <c r="AF50" s="38" t="e" cm="1">
        <f t="array" aca="1" ref="AF50" ca="1">MIN(100, MAX(0, (IF(R50="ESTUDIANTE", 31, 0)) + (IF(I50&lt;=3, 30, IF(I50&lt;=6, 20, 0))) +(IF(OR(E50="413 - Control de Costes y Enlace Construcción", E50="480 - Secretaría General del Consejo", E50="132 - Civil y estructuras", E50="136 - Mecánica", E50="412 - Planificación", E50="142 - Compras"), 25, 0)) +(IF(OR(S50="GRADO ING. MECÁNICA", S50="GRADO ING. ELÉCTRICA", S50="GRADO DERECHO", S50="GRADO ECONOMÍA", S50="GRADO ING. TECNOLOGÍAS INDUSTRIALES"), 24, 0)) + (IF(AND(K50&gt;=451, K50&lt;=700), 23, 0)) + (IF(AND(AB50&gt;=5, AB50&lt;=8), 17, 0)) +(IF(_xludf.OR(_xludf.AND(AC50&gt;=8, AC50&lt;=10), _xludf.AND(AC50&gt;=0, AC50&lt;=5)), 16, 0)) + (IF(F50="Madrid", 11, 0))))</f>
        <v>#NAME?</v>
      </c>
      <c r="AG50" s="68"/>
      <c r="AH50" s="71" t="s">
        <v>164</v>
      </c>
    </row>
    <row r="51" spans="1:34" ht="14.4" x14ac:dyDescent="0.3">
      <c r="A51" s="66" t="s">
        <v>1650</v>
      </c>
      <c r="B51" s="66" t="s">
        <v>3767</v>
      </c>
      <c r="C51" s="33">
        <v>47</v>
      </c>
      <c r="D51" s="33" t="s">
        <v>5395</v>
      </c>
      <c r="E51" s="34" t="s">
        <v>5240</v>
      </c>
      <c r="F51" s="34" t="s">
        <v>18</v>
      </c>
      <c r="G51" s="57">
        <v>40679</v>
      </c>
      <c r="H51" s="57">
        <v>41044</v>
      </c>
      <c r="I51" s="34">
        <f t="shared" si="0"/>
        <v>11</v>
      </c>
      <c r="J51" s="34">
        <v>40</v>
      </c>
      <c r="K51" s="36">
        <v>900</v>
      </c>
      <c r="L51" s="34" t="s">
        <v>17</v>
      </c>
      <c r="M51" s="57">
        <v>31258</v>
      </c>
      <c r="N51" s="37">
        <f>(YEAR(TablaMadre[[#This Row],[ALTA]])-YEAR(M51))</f>
        <v>26</v>
      </c>
      <c r="O51" s="34" t="s">
        <v>18</v>
      </c>
      <c r="P51" s="34" t="s">
        <v>19</v>
      </c>
      <c r="Q51" s="34" t="s">
        <v>78</v>
      </c>
      <c r="R51" s="34" t="s">
        <v>21</v>
      </c>
      <c r="S51" s="34" t="s">
        <v>322</v>
      </c>
      <c r="T51" s="34"/>
      <c r="U51" s="34" t="s">
        <v>30</v>
      </c>
      <c r="V51" s="34" t="s">
        <v>67</v>
      </c>
      <c r="W51" s="34" t="s">
        <v>28</v>
      </c>
      <c r="X51" s="38" t="s">
        <v>173</v>
      </c>
      <c r="Y51" s="62"/>
      <c r="Z51" s="38" t="e">
        <f t="shared" si="1"/>
        <v>#NUM!</v>
      </c>
      <c r="AA51" s="38" t="s">
        <v>173</v>
      </c>
      <c r="AB51" s="34" t="s">
        <v>24</v>
      </c>
      <c r="AC51" s="34" t="s">
        <v>34</v>
      </c>
      <c r="AD51" s="38"/>
      <c r="AE51" s="59" t="str">
        <f t="shared" si="2"/>
        <v>NO</v>
      </c>
      <c r="AF51" s="38" t="e" cm="1">
        <f t="array" aca="1" ref="AF51" ca="1">MIN(100, MAX(0, (IF(R51="ESTUDIANTE", 31, 0)) + (IF(I51&lt;=3, 30, IF(I51&lt;=6, 20, 0))) +(IF(OR(E51="413 - Control de Costes y Enlace Construcción", E51="480 - Secretaría General del Consejo", E51="132 - Civil y estructuras", E51="136 - Mecánica", E51="412 - Planificación", E51="142 - Compras"), 25, 0)) +(IF(OR(S51="GRADO ING. MECÁNICA", S51="GRADO ING. ELÉCTRICA", S51="GRADO DERECHO", S51="GRADO ECONOMÍA", S51="GRADO ING. TECNOLOGÍAS INDUSTRIALES"), 24, 0)) + (IF(AND(K51&gt;=451, K51&lt;=700), 23, 0)) + (IF(AND(AB51&gt;=5, AB51&lt;=8), 17, 0)) +(IF(_xludf.OR(_xludf.AND(AC51&gt;=8, AC51&lt;=10), _xludf.AND(AC51&gt;=0, AC51&lt;=5)), 16, 0)) + (IF(F51="Madrid", 11, 0))))</f>
        <v>#NAME?</v>
      </c>
      <c r="AG51" s="68"/>
      <c r="AH51" s="71" t="s">
        <v>164</v>
      </c>
    </row>
    <row r="52" spans="1:34" ht="14.4" x14ac:dyDescent="0.3">
      <c r="A52" s="66" t="s">
        <v>1029</v>
      </c>
      <c r="B52" s="66" t="s">
        <v>3146</v>
      </c>
      <c r="C52" s="33">
        <v>51</v>
      </c>
      <c r="D52" s="33" t="s">
        <v>5396</v>
      </c>
      <c r="E52" s="34" t="s">
        <v>5241</v>
      </c>
      <c r="F52" s="34" t="s">
        <v>18</v>
      </c>
      <c r="G52" s="57">
        <v>40700</v>
      </c>
      <c r="H52" s="57">
        <v>41035</v>
      </c>
      <c r="I52" s="34">
        <f t="shared" si="0"/>
        <v>11</v>
      </c>
      <c r="J52" s="34">
        <v>40</v>
      </c>
      <c r="K52" s="36">
        <v>900</v>
      </c>
      <c r="L52" s="34" t="s">
        <v>17</v>
      </c>
      <c r="M52" s="57">
        <v>32674</v>
      </c>
      <c r="N52" s="37">
        <f>(YEAR(TablaMadre[[#This Row],[ALTA]])-YEAR(M52))</f>
        <v>22</v>
      </c>
      <c r="O52" s="34" t="s">
        <v>943</v>
      </c>
      <c r="P52" s="34" t="s">
        <v>19</v>
      </c>
      <c r="Q52" s="34" t="s">
        <v>72</v>
      </c>
      <c r="R52" s="34" t="s">
        <v>21</v>
      </c>
      <c r="S52" s="34" t="s">
        <v>322</v>
      </c>
      <c r="T52" s="34"/>
      <c r="U52" s="34" t="s">
        <v>21</v>
      </c>
      <c r="V52" s="34" t="s">
        <v>50</v>
      </c>
      <c r="W52" s="34" t="s">
        <v>28</v>
      </c>
      <c r="X52" s="38" t="s">
        <v>164</v>
      </c>
      <c r="Y52" s="62">
        <v>43677</v>
      </c>
      <c r="Z52" s="38">
        <f t="shared" si="1"/>
        <v>7</v>
      </c>
      <c r="AA52" s="38"/>
      <c r="AB52" s="34" t="s">
        <v>24</v>
      </c>
      <c r="AC52" s="34" t="s">
        <v>34</v>
      </c>
      <c r="AD52" s="38"/>
      <c r="AE52" s="59" t="str">
        <f t="shared" si="2"/>
        <v>SÍ</v>
      </c>
      <c r="AF52" s="38" t="e" cm="1">
        <f t="array" aca="1" ref="AF52" ca="1">MIN(100, MAX(0, (IF(R52="ESTUDIANTE", 31, 0)) + (IF(I52&lt;=3, 30, IF(I52&lt;=6, 20, 0))) +(IF(OR(E52="413 - Control de Costes y Enlace Construcción", E52="480 - Secretaría General del Consejo", E52="132 - Civil y estructuras", E52="136 - Mecánica", E52="412 - Planificación", E52="142 - Compras"), 25, 0)) +(IF(OR(S52="GRADO ING. MECÁNICA", S52="GRADO ING. ELÉCTRICA", S52="GRADO DERECHO", S52="GRADO ECONOMÍA", S52="GRADO ING. TECNOLOGÍAS INDUSTRIALES"), 24, 0)) + (IF(AND(K52&gt;=451, K52&lt;=700), 23, 0)) + (IF(AND(AB52&gt;=5, AB52&lt;=8), 17, 0)) +(IF(_xludf.OR(_xludf.AND(AC52&gt;=8, AC52&lt;=10), _xludf.AND(AC52&gt;=0, AC52&lt;=5)), 16, 0)) + (IF(F52="Madrid", 11, 0))))</f>
        <v>#NAME?</v>
      </c>
      <c r="AG52" s="68"/>
      <c r="AH52" s="71" t="s">
        <v>164</v>
      </c>
    </row>
    <row r="53" spans="1:34" ht="14.4" x14ac:dyDescent="0.3">
      <c r="A53" s="66" t="s">
        <v>1031</v>
      </c>
      <c r="B53" s="66" t="s">
        <v>3148</v>
      </c>
      <c r="C53" s="33">
        <v>52</v>
      </c>
      <c r="D53" s="33" t="s">
        <v>5397</v>
      </c>
      <c r="E53" s="34" t="s">
        <v>5223</v>
      </c>
      <c r="F53" s="34" t="s">
        <v>100</v>
      </c>
      <c r="G53" s="57">
        <v>40703</v>
      </c>
      <c r="H53" s="57">
        <v>41090</v>
      </c>
      <c r="I53" s="34">
        <f t="shared" si="0"/>
        <v>12</v>
      </c>
      <c r="J53" s="34">
        <v>25</v>
      </c>
      <c r="K53" s="36">
        <v>565</v>
      </c>
      <c r="L53" s="34" t="s">
        <v>29</v>
      </c>
      <c r="M53" s="57">
        <v>32003</v>
      </c>
      <c r="N53" s="37">
        <f>(YEAR(TablaMadre[[#This Row],[ALTA]])-YEAR(M53))</f>
        <v>24</v>
      </c>
      <c r="O53" s="34" t="s">
        <v>100</v>
      </c>
      <c r="P53" s="34" t="s">
        <v>19</v>
      </c>
      <c r="Q53" s="34" t="s">
        <v>109</v>
      </c>
      <c r="R53" s="58" t="s">
        <v>30</v>
      </c>
      <c r="S53" s="34" t="s">
        <v>109</v>
      </c>
      <c r="T53" s="34"/>
      <c r="U53" s="34" t="s">
        <v>30</v>
      </c>
      <c r="V53" s="34" t="s">
        <v>107</v>
      </c>
      <c r="W53" s="34" t="s">
        <v>23</v>
      </c>
      <c r="X53" s="38" t="s">
        <v>164</v>
      </c>
      <c r="Y53" s="62"/>
      <c r="Z53" s="38" t="e">
        <f t="shared" si="1"/>
        <v>#NUM!</v>
      </c>
      <c r="AA53" s="38"/>
      <c r="AB53" s="34" t="s">
        <v>53</v>
      </c>
      <c r="AC53" s="34" t="s">
        <v>53</v>
      </c>
      <c r="AD53" s="38"/>
      <c r="AE53" s="59" t="str">
        <f t="shared" si="2"/>
        <v>NO</v>
      </c>
      <c r="AF53" s="38" t="e" cm="1">
        <f t="array" aca="1" ref="AF53" ca="1">MIN(100, MAX(0, (IF(R53="ESTUDIANTE", 31, 0)) + (IF(I53&lt;=3, 30, IF(I53&lt;=6, 20, 0))) +(IF(OR(E53="413 - Control de Costes y Enlace Construcción", E53="480 - Secretaría General del Consejo", E53="132 - Civil y estructuras", E53="136 - Mecánica", E53="412 - Planificación", E53="142 - Compras"), 25, 0)) +(IF(OR(S53="GRADO ING. MECÁNICA", S53="GRADO ING. ELÉCTRICA", S53="GRADO DERECHO", S53="GRADO ECONOMÍA", S53="GRADO ING. TECNOLOGÍAS INDUSTRIALES"), 24, 0)) + (IF(AND(K53&gt;=451, K53&lt;=700), 23, 0)) + (IF(AND(AB53&gt;=5, AB53&lt;=8), 17, 0)) +(IF(_xludf.OR(_xludf.AND(AC53&gt;=8, AC53&lt;=10), _xludf.AND(AC53&gt;=0, AC53&lt;=5)), 16, 0)) + (IF(F53="Madrid", 11, 0))))</f>
        <v>#NAME?</v>
      </c>
      <c r="AG53" s="68"/>
      <c r="AH53" s="71" t="s">
        <v>164</v>
      </c>
    </row>
    <row r="54" spans="1:34" ht="14.4" x14ac:dyDescent="0.3">
      <c r="A54" s="66" t="s">
        <v>1061</v>
      </c>
      <c r="B54" s="66" t="s">
        <v>3178</v>
      </c>
      <c r="C54" s="33">
        <v>53</v>
      </c>
      <c r="D54" s="33" t="s">
        <v>5398</v>
      </c>
      <c r="E54" s="34" t="s">
        <v>5233</v>
      </c>
      <c r="F54" s="34" t="s">
        <v>18</v>
      </c>
      <c r="G54" s="57">
        <v>40703</v>
      </c>
      <c r="H54" s="57">
        <v>41152</v>
      </c>
      <c r="I54" s="34">
        <f t="shared" si="0"/>
        <v>14</v>
      </c>
      <c r="J54" s="34">
        <v>40</v>
      </c>
      <c r="K54" s="36">
        <v>900</v>
      </c>
      <c r="L54" s="34" t="s">
        <v>17</v>
      </c>
      <c r="M54" s="57">
        <v>32351</v>
      </c>
      <c r="N54" s="37">
        <f>(YEAR(TablaMadre[[#This Row],[ALTA]])-YEAR(M54))</f>
        <v>23</v>
      </c>
      <c r="O54" s="34" t="s">
        <v>18</v>
      </c>
      <c r="P54" s="34" t="s">
        <v>19</v>
      </c>
      <c r="Q54" s="34" t="s">
        <v>32</v>
      </c>
      <c r="R54" s="34" t="s">
        <v>21</v>
      </c>
      <c r="S54" s="34" t="s">
        <v>322</v>
      </c>
      <c r="T54" s="34"/>
      <c r="U54" s="34" t="s">
        <v>21</v>
      </c>
      <c r="V54" s="34" t="s">
        <v>137</v>
      </c>
      <c r="W54" s="34" t="s">
        <v>28</v>
      </c>
      <c r="X54" s="38" t="s">
        <v>164</v>
      </c>
      <c r="Y54" s="62">
        <v>44451</v>
      </c>
      <c r="Z54" s="38">
        <f t="shared" si="1"/>
        <v>9</v>
      </c>
      <c r="AA54" s="38"/>
      <c r="AB54" s="34" t="s">
        <v>24</v>
      </c>
      <c r="AC54" s="34" t="s">
        <v>34</v>
      </c>
      <c r="AD54" s="38"/>
      <c r="AE54" s="59" t="str">
        <f t="shared" si="2"/>
        <v>NO</v>
      </c>
      <c r="AF54" s="38" t="e" cm="1">
        <f t="array" aca="1" ref="AF54" ca="1">MIN(100, MAX(0, (IF(R54="ESTUDIANTE", 31, 0)) + (IF(I54&lt;=3, 30, IF(I54&lt;=6, 20, 0))) +(IF(OR(E54="413 - Control de Costes y Enlace Construcción", E54="480 - Secretaría General del Consejo", E54="132 - Civil y estructuras", E54="136 - Mecánica", E54="412 - Planificación", E54="142 - Compras"), 25, 0)) +(IF(OR(S54="GRADO ING. MECÁNICA", S54="GRADO ING. ELÉCTRICA", S54="GRADO DERECHO", S54="GRADO ECONOMÍA", S54="GRADO ING. TECNOLOGÍAS INDUSTRIALES"), 24, 0)) + (IF(AND(K54&gt;=451, K54&lt;=700), 23, 0)) + (IF(AND(AB54&gt;=5, AB54&lt;=8), 17, 0)) +(IF(_xludf.OR(_xludf.AND(AC54&gt;=8, AC54&lt;=10), _xludf.AND(AC54&gt;=0, AC54&lt;=5)), 16, 0)) + (IF(F54="Madrid", 11, 0))))</f>
        <v>#NAME?</v>
      </c>
      <c r="AG54" s="68"/>
      <c r="AH54" s="71" t="s">
        <v>164</v>
      </c>
    </row>
    <row r="55" spans="1:34" ht="14.4" x14ac:dyDescent="0.3">
      <c r="A55" s="66" t="s">
        <v>1030</v>
      </c>
      <c r="B55" s="66" t="s">
        <v>3147</v>
      </c>
      <c r="C55" s="33">
        <v>54</v>
      </c>
      <c r="D55" s="33" t="s">
        <v>5399</v>
      </c>
      <c r="E55" s="34" t="s">
        <v>5216</v>
      </c>
      <c r="F55" s="34" t="s">
        <v>18</v>
      </c>
      <c r="G55" s="57">
        <v>40707</v>
      </c>
      <c r="H55" s="57">
        <v>41060</v>
      </c>
      <c r="I55" s="34">
        <f t="shared" si="0"/>
        <v>11</v>
      </c>
      <c r="J55" s="34">
        <v>40</v>
      </c>
      <c r="K55" s="36">
        <v>900</v>
      </c>
      <c r="L55" s="34" t="s">
        <v>29</v>
      </c>
      <c r="M55" s="57">
        <v>32681</v>
      </c>
      <c r="N55" s="37">
        <f>(YEAR(TablaMadre[[#This Row],[ALTA]])-YEAR(M55))</f>
        <v>22</v>
      </c>
      <c r="O55" s="34" t="s">
        <v>563</v>
      </c>
      <c r="P55" s="34" t="s">
        <v>82</v>
      </c>
      <c r="Q55" s="34" t="s">
        <v>63</v>
      </c>
      <c r="R55" s="34" t="s">
        <v>21</v>
      </c>
      <c r="S55" s="34" t="s">
        <v>297</v>
      </c>
      <c r="T55" s="34"/>
      <c r="U55" s="34" t="s">
        <v>30</v>
      </c>
      <c r="V55" s="34" t="s">
        <v>40</v>
      </c>
      <c r="W55" s="34" t="s">
        <v>28</v>
      </c>
      <c r="X55" s="38" t="s">
        <v>164</v>
      </c>
      <c r="Y55" s="62">
        <v>43010</v>
      </c>
      <c r="Z55" s="38">
        <f t="shared" si="1"/>
        <v>5</v>
      </c>
      <c r="AA55" s="38"/>
      <c r="AB55" s="34" t="s">
        <v>24</v>
      </c>
      <c r="AC55" s="34" t="s">
        <v>34</v>
      </c>
      <c r="AD55" s="38"/>
      <c r="AE55" s="59" t="str">
        <f t="shared" si="2"/>
        <v>SÍ</v>
      </c>
      <c r="AF55" s="38" t="e" cm="1">
        <f t="array" aca="1" ref="AF55" ca="1">MIN(100, MAX(0, (IF(R55="ESTUDIANTE", 31, 0)) + (IF(I55&lt;=3, 30, IF(I55&lt;=6, 20, 0))) +(IF(OR(E55="413 - Control de Costes y Enlace Construcción", E55="480 - Secretaría General del Consejo", E55="132 - Civil y estructuras", E55="136 - Mecánica", E55="412 - Planificación", E55="142 - Compras"), 25, 0)) +(IF(OR(S55="GRADO ING. MECÁNICA", S55="GRADO ING. ELÉCTRICA", S55="GRADO DERECHO", S55="GRADO ECONOMÍA", S55="GRADO ING. TECNOLOGÍAS INDUSTRIALES"), 24, 0)) + (IF(AND(K55&gt;=451, K55&lt;=700), 23, 0)) + (IF(AND(AB55&gt;=5, AB55&lt;=8), 17, 0)) +(IF(_xludf.OR(_xludf.AND(AC55&gt;=8, AC55&lt;=10), _xludf.AND(AC55&gt;=0, AC55&lt;=5)), 16, 0)) + (IF(F55="Madrid", 11, 0))))</f>
        <v>#NAME?</v>
      </c>
      <c r="AG55" s="68"/>
      <c r="AH55" s="71" t="s">
        <v>164</v>
      </c>
    </row>
    <row r="56" spans="1:34" ht="14.4" x14ac:dyDescent="0.3">
      <c r="A56" s="66" t="s">
        <v>1036</v>
      </c>
      <c r="B56" s="66" t="s">
        <v>3153</v>
      </c>
      <c r="C56" s="33">
        <v>57</v>
      </c>
      <c r="D56" s="33" t="s">
        <v>5400</v>
      </c>
      <c r="E56" s="34" t="s">
        <v>5242</v>
      </c>
      <c r="F56" s="34" t="s">
        <v>100</v>
      </c>
      <c r="G56" s="57">
        <v>40707</v>
      </c>
      <c r="H56" s="57">
        <v>42247</v>
      </c>
      <c r="I56" s="34">
        <f t="shared" si="0"/>
        <v>50</v>
      </c>
      <c r="J56" s="34">
        <v>40</v>
      </c>
      <c r="K56" s="36">
        <v>700</v>
      </c>
      <c r="L56" s="34" t="s">
        <v>17</v>
      </c>
      <c r="M56" s="57">
        <v>32502</v>
      </c>
      <c r="N56" s="37">
        <f>(YEAR(TablaMadre[[#This Row],[ALTA]])-YEAR(M56))</f>
        <v>23</v>
      </c>
      <c r="O56" s="34" t="s">
        <v>100</v>
      </c>
      <c r="P56" s="34" t="s">
        <v>19</v>
      </c>
      <c r="Q56" s="34" t="s">
        <v>58</v>
      </c>
      <c r="R56" s="58" t="s">
        <v>30</v>
      </c>
      <c r="S56" s="34" t="s">
        <v>229</v>
      </c>
      <c r="T56" s="34"/>
      <c r="U56" s="34" t="s">
        <v>42</v>
      </c>
      <c r="V56" s="34" t="s">
        <v>107</v>
      </c>
      <c r="W56" s="34" t="s">
        <v>23</v>
      </c>
      <c r="X56" s="38" t="s">
        <v>164</v>
      </c>
      <c r="Y56" s="62"/>
      <c r="Z56" s="38" t="e">
        <f t="shared" si="1"/>
        <v>#NUM!</v>
      </c>
      <c r="AA56" s="38"/>
      <c r="AB56" s="34">
        <v>8</v>
      </c>
      <c r="AC56" s="34"/>
      <c r="AD56" s="38"/>
      <c r="AE56" s="59" t="str">
        <f t="shared" si="2"/>
        <v>NO</v>
      </c>
      <c r="AF56" s="38" t="e" cm="1">
        <f t="array" aca="1" ref="AF56" ca="1">MIN(100, MAX(0, (IF(R56="ESTUDIANTE", 31, 0)) + (IF(I56&lt;=3, 30, IF(I56&lt;=6, 20, 0))) +(IF(OR(E56="413 - Control de Costes y Enlace Construcción", E56="480 - Secretaría General del Consejo", E56="132 - Civil y estructuras", E56="136 - Mecánica", E56="412 - Planificación", E56="142 - Compras"), 25, 0)) +(IF(OR(S56="GRADO ING. MECÁNICA", S56="GRADO ING. ELÉCTRICA", S56="GRADO DERECHO", S56="GRADO ECONOMÍA", S56="GRADO ING. TECNOLOGÍAS INDUSTRIALES"), 24, 0)) + (IF(AND(K56&gt;=451, K56&lt;=700), 23, 0)) + (IF(AND(AB56&gt;=5, AB56&lt;=8), 17, 0)) +(IF(_xludf.OR(_xludf.AND(AC56&gt;=8, AC56&lt;=10), _xludf.AND(AC56&gt;=0, AC56&lt;=5)), 16, 0)) + (IF(F56="Madrid", 11, 0))))</f>
        <v>#NAME?</v>
      </c>
      <c r="AG56" s="68"/>
      <c r="AH56" s="71" t="s">
        <v>164</v>
      </c>
    </row>
    <row r="57" spans="1:34" ht="14.4" x14ac:dyDescent="0.3">
      <c r="A57" s="66" t="s">
        <v>1038</v>
      </c>
      <c r="B57" s="66" t="s">
        <v>3155</v>
      </c>
      <c r="C57" s="33">
        <v>56</v>
      </c>
      <c r="D57" s="33" t="s">
        <v>5401</v>
      </c>
      <c r="E57" s="34" t="s">
        <v>5243</v>
      </c>
      <c r="F57" s="34" t="s">
        <v>18</v>
      </c>
      <c r="G57" s="57">
        <v>40707</v>
      </c>
      <c r="H57" s="57">
        <v>41333</v>
      </c>
      <c r="I57" s="34">
        <f t="shared" si="0"/>
        <v>20</v>
      </c>
      <c r="J57" s="34">
        <v>30</v>
      </c>
      <c r="K57" s="36">
        <v>675</v>
      </c>
      <c r="L57" s="34" t="s">
        <v>17</v>
      </c>
      <c r="M57" s="57">
        <v>33591</v>
      </c>
      <c r="N57" s="37">
        <f>(YEAR(TablaMadre[[#This Row],[ALTA]])-YEAR(M57))</f>
        <v>20</v>
      </c>
      <c r="O57" s="34" t="s">
        <v>18</v>
      </c>
      <c r="P57" s="34" t="s">
        <v>19</v>
      </c>
      <c r="Q57" s="34" t="s">
        <v>61</v>
      </c>
      <c r="R57" s="58" t="s">
        <v>30</v>
      </c>
      <c r="S57" s="34" t="s">
        <v>322</v>
      </c>
      <c r="T57" s="34"/>
      <c r="U57" s="34" t="s">
        <v>30</v>
      </c>
      <c r="V57" s="34" t="s">
        <v>67</v>
      </c>
      <c r="W57" s="34" t="s">
        <v>28</v>
      </c>
      <c r="X57" s="38" t="s">
        <v>164</v>
      </c>
      <c r="Y57" s="62">
        <v>44348</v>
      </c>
      <c r="Z57" s="38">
        <f t="shared" si="1"/>
        <v>8</v>
      </c>
      <c r="AA57" s="38"/>
      <c r="AB57" s="34"/>
      <c r="AC57" s="34"/>
      <c r="AD57" s="38"/>
      <c r="AE57" s="59" t="str">
        <f t="shared" si="2"/>
        <v>NO</v>
      </c>
      <c r="AF57" s="38" t="e" cm="1">
        <f t="array" aca="1" ref="AF57" ca="1">MIN(100, MAX(0, (IF(R57="ESTUDIANTE", 31, 0)) + (IF(I57&lt;=3, 30, IF(I57&lt;=6, 20, 0))) +(IF(OR(E57="413 - Control de Costes y Enlace Construcción", E57="480 - Secretaría General del Consejo", E57="132 - Civil y estructuras", E57="136 - Mecánica", E57="412 - Planificación", E57="142 - Compras"), 25, 0)) +(IF(OR(S57="GRADO ING. MECÁNICA", S57="GRADO ING. ELÉCTRICA", S57="GRADO DERECHO", S57="GRADO ECONOMÍA", S57="GRADO ING. TECNOLOGÍAS INDUSTRIALES"), 24, 0)) + (IF(AND(K57&gt;=451, K57&lt;=700), 23, 0)) + (IF(AND(AB57&gt;=5, AB57&lt;=8), 17, 0)) +(IF(_xludf.OR(_xludf.AND(AC57&gt;=8, AC57&lt;=10), _xludf.AND(AC57&gt;=0, AC57&lt;=5)), 16, 0)) + (IF(F57="Madrid", 11, 0))))</f>
        <v>#NAME?</v>
      </c>
      <c r="AG57" s="68"/>
      <c r="AH57" s="71" t="s">
        <v>164</v>
      </c>
    </row>
    <row r="58" spans="1:34" ht="14.4" x14ac:dyDescent="0.3">
      <c r="A58" s="66" t="s">
        <v>1039</v>
      </c>
      <c r="B58" s="66" t="s">
        <v>3156</v>
      </c>
      <c r="C58" s="33">
        <v>55</v>
      </c>
      <c r="D58" s="33" t="s">
        <v>5402</v>
      </c>
      <c r="E58" s="34" t="s">
        <v>5244</v>
      </c>
      <c r="F58" s="34" t="s">
        <v>18</v>
      </c>
      <c r="G58" s="57">
        <v>40707</v>
      </c>
      <c r="H58" s="57">
        <v>41072</v>
      </c>
      <c r="I58" s="34">
        <f t="shared" si="0"/>
        <v>11</v>
      </c>
      <c r="J58" s="34">
        <v>40</v>
      </c>
      <c r="K58" s="36">
        <v>900</v>
      </c>
      <c r="L58" s="34" t="s">
        <v>17</v>
      </c>
      <c r="M58" s="57">
        <v>33192</v>
      </c>
      <c r="N58" s="37">
        <f>(YEAR(TablaMadre[[#This Row],[ALTA]])-YEAR(M58))</f>
        <v>21</v>
      </c>
      <c r="O58" s="34" t="s">
        <v>92</v>
      </c>
      <c r="P58" s="34" t="s">
        <v>19</v>
      </c>
      <c r="Q58" s="34" t="s">
        <v>93</v>
      </c>
      <c r="R58" s="34" t="s">
        <v>21</v>
      </c>
      <c r="S58" s="34" t="s">
        <v>151</v>
      </c>
      <c r="T58" s="34"/>
      <c r="U58" s="34" t="s">
        <v>21</v>
      </c>
      <c r="V58" s="34" t="s">
        <v>22</v>
      </c>
      <c r="W58" s="34" t="s">
        <v>28</v>
      </c>
      <c r="X58" s="38" t="s">
        <v>173</v>
      </c>
      <c r="Y58" s="62"/>
      <c r="Z58" s="38" t="e">
        <f t="shared" si="1"/>
        <v>#NUM!</v>
      </c>
      <c r="AA58" s="38"/>
      <c r="AB58" s="34" t="s">
        <v>24</v>
      </c>
      <c r="AC58" s="34" t="s">
        <v>34</v>
      </c>
      <c r="AD58" s="38"/>
      <c r="AE58" s="59" t="str">
        <f t="shared" si="2"/>
        <v>SÍ</v>
      </c>
      <c r="AF58" s="38" t="e" cm="1">
        <f t="array" aca="1" ref="AF58" ca="1">MIN(100, MAX(0, (IF(R58="ESTUDIANTE", 31, 0)) + (IF(I58&lt;=3, 30, IF(I58&lt;=6, 20, 0))) +(IF(OR(E58="413 - Control de Costes y Enlace Construcción", E58="480 - Secretaría General del Consejo", E58="132 - Civil y estructuras", E58="136 - Mecánica", E58="412 - Planificación", E58="142 - Compras"), 25, 0)) +(IF(OR(S58="GRADO ING. MECÁNICA", S58="GRADO ING. ELÉCTRICA", S58="GRADO DERECHO", S58="GRADO ECONOMÍA", S58="GRADO ING. TECNOLOGÍAS INDUSTRIALES"), 24, 0)) + (IF(AND(K58&gt;=451, K58&lt;=700), 23, 0)) + (IF(AND(AB58&gt;=5, AB58&lt;=8), 17, 0)) +(IF(_xludf.OR(_xludf.AND(AC58&gt;=8, AC58&lt;=10), _xludf.AND(AC58&gt;=0, AC58&lt;=5)), 16, 0)) + (IF(F58="Madrid", 11, 0))))</f>
        <v>#NAME?</v>
      </c>
      <c r="AG58" s="68"/>
      <c r="AH58" s="71" t="s">
        <v>164</v>
      </c>
    </row>
    <row r="59" spans="1:34" ht="14.4" x14ac:dyDescent="0.3">
      <c r="A59" s="66" t="s">
        <v>1037</v>
      </c>
      <c r="B59" s="66" t="s">
        <v>3154</v>
      </c>
      <c r="C59" s="33">
        <v>58</v>
      </c>
      <c r="D59" s="33" t="s">
        <v>5393</v>
      </c>
      <c r="E59" s="34" t="s">
        <v>5246</v>
      </c>
      <c r="F59" s="34" t="s">
        <v>18</v>
      </c>
      <c r="G59" s="57">
        <v>40714</v>
      </c>
      <c r="H59" s="57">
        <v>41214</v>
      </c>
      <c r="I59" s="34">
        <f t="shared" si="0"/>
        <v>16</v>
      </c>
      <c r="J59" s="34">
        <v>40</v>
      </c>
      <c r="K59" s="36">
        <v>1500</v>
      </c>
      <c r="L59" s="34" t="s">
        <v>17</v>
      </c>
      <c r="M59" s="57">
        <v>31377</v>
      </c>
      <c r="N59" s="37">
        <f>(YEAR(TablaMadre[[#This Row],[ALTA]])-YEAR(M59))</f>
        <v>26</v>
      </c>
      <c r="O59" s="34" t="s">
        <v>165</v>
      </c>
      <c r="P59" s="34" t="s">
        <v>165</v>
      </c>
      <c r="Q59" s="34" t="s">
        <v>166</v>
      </c>
      <c r="R59" s="34" t="s">
        <v>21</v>
      </c>
      <c r="S59" s="34" t="s">
        <v>277</v>
      </c>
      <c r="T59" s="34"/>
      <c r="U59" s="34" t="s">
        <v>21</v>
      </c>
      <c r="V59" s="34" t="s">
        <v>90</v>
      </c>
      <c r="W59" s="34" t="s">
        <v>91</v>
      </c>
      <c r="X59" s="38" t="s">
        <v>164</v>
      </c>
      <c r="Y59" s="62"/>
      <c r="Z59" s="38" t="e">
        <f t="shared" si="1"/>
        <v>#NUM!</v>
      </c>
      <c r="AA59" s="38"/>
      <c r="AB59" s="34"/>
      <c r="AC59" s="34"/>
      <c r="AD59" s="38"/>
      <c r="AE59" s="59" t="str">
        <f t="shared" si="2"/>
        <v>SÍ</v>
      </c>
      <c r="AF59" s="38" t="e" cm="1">
        <f t="array" aca="1" ref="AF59" ca="1">MIN(100, MAX(0, (IF(R59="ESTUDIANTE", 31, 0)) + (IF(I59&lt;=3, 30, IF(I59&lt;=6, 20, 0))) +(IF(OR(E59="413 - Control de Costes y Enlace Construcción", E59="480 - Secretaría General del Consejo", E59="132 - Civil y estructuras", E59="136 - Mecánica", E59="412 - Planificación", E59="142 - Compras"), 25, 0)) +(IF(OR(S59="GRADO ING. MECÁNICA", S59="GRADO ING. ELÉCTRICA", S59="GRADO DERECHO", S59="GRADO ECONOMÍA", S59="GRADO ING. TECNOLOGÍAS INDUSTRIALES"), 24, 0)) + (IF(AND(K59&gt;=451, K59&lt;=700), 23, 0)) + (IF(AND(AB59&gt;=5, AB59&lt;=8), 17, 0)) +(IF(_xludf.OR(_xludf.AND(AC59&gt;=8, AC59&lt;=10), _xludf.AND(AC59&gt;=0, AC59&lt;=5)), 16, 0)) + (IF(F59="Madrid", 11, 0))))</f>
        <v>#NAME?</v>
      </c>
      <c r="AG59" s="68"/>
      <c r="AH59" s="71" t="s">
        <v>164</v>
      </c>
    </row>
    <row r="60" spans="1:34" ht="14.4" x14ac:dyDescent="0.3">
      <c r="A60" s="66" t="s">
        <v>1040</v>
      </c>
      <c r="B60" s="66" t="s">
        <v>3157</v>
      </c>
      <c r="C60" s="33">
        <v>59</v>
      </c>
      <c r="D60" s="33" t="s">
        <v>5394</v>
      </c>
      <c r="E60" s="34" t="s">
        <v>5225</v>
      </c>
      <c r="F60" s="34" t="s">
        <v>18</v>
      </c>
      <c r="G60" s="57">
        <v>40721</v>
      </c>
      <c r="H60" s="57">
        <v>41086</v>
      </c>
      <c r="I60" s="34">
        <f t="shared" si="0"/>
        <v>11</v>
      </c>
      <c r="J60" s="34">
        <v>40</v>
      </c>
      <c r="K60" s="36">
        <v>700</v>
      </c>
      <c r="L60" s="34" t="s">
        <v>29</v>
      </c>
      <c r="M60" s="57">
        <v>29633</v>
      </c>
      <c r="N60" s="37">
        <f>(YEAR(TablaMadre[[#This Row],[ALTA]])-YEAR(M60))</f>
        <v>30</v>
      </c>
      <c r="O60" s="34" t="s">
        <v>191</v>
      </c>
      <c r="P60" s="34" t="s">
        <v>104</v>
      </c>
      <c r="Q60" s="34" t="s">
        <v>25</v>
      </c>
      <c r="R60" s="58" t="s">
        <v>30</v>
      </c>
      <c r="S60" s="34" t="s">
        <v>26</v>
      </c>
      <c r="T60" s="34"/>
      <c r="U60" s="34" t="s">
        <v>21</v>
      </c>
      <c r="V60" s="34" t="s">
        <v>27</v>
      </c>
      <c r="W60" s="34" t="s">
        <v>28</v>
      </c>
      <c r="X60" s="38" t="s">
        <v>173</v>
      </c>
      <c r="Y60" s="62"/>
      <c r="Z60" s="38" t="e">
        <f t="shared" si="1"/>
        <v>#NUM!</v>
      </c>
      <c r="AA60" s="38"/>
      <c r="AB60" s="34" t="s">
        <v>24</v>
      </c>
      <c r="AC60" s="34" t="s">
        <v>34</v>
      </c>
      <c r="AD60" s="38"/>
      <c r="AE60" s="59" t="str">
        <f t="shared" si="2"/>
        <v>SÍ</v>
      </c>
      <c r="AF60" s="38" t="e" cm="1">
        <f t="array" aca="1" ref="AF60" ca="1">MIN(100, MAX(0, (IF(R60="ESTUDIANTE", 31, 0)) + (IF(I60&lt;=3, 30, IF(I60&lt;=6, 20, 0))) +(IF(OR(E60="413 - Control de Costes y Enlace Construcción", E60="480 - Secretaría General del Consejo", E60="132 - Civil y estructuras", E60="136 - Mecánica", E60="412 - Planificación", E60="142 - Compras"), 25, 0)) +(IF(OR(S60="GRADO ING. MECÁNICA", S60="GRADO ING. ELÉCTRICA", S60="GRADO DERECHO", S60="GRADO ECONOMÍA", S60="GRADO ING. TECNOLOGÍAS INDUSTRIALES"), 24, 0)) + (IF(AND(K60&gt;=451, K60&lt;=700), 23, 0)) + (IF(AND(AB60&gt;=5, AB60&lt;=8), 17, 0)) +(IF(_xludf.OR(_xludf.AND(AC60&gt;=8, AC60&lt;=10), _xludf.AND(AC60&gt;=0, AC60&lt;=5)), 16, 0)) + (IF(F60="Madrid", 11, 0))))</f>
        <v>#NAME?</v>
      </c>
      <c r="AG60" s="68"/>
      <c r="AH60" s="71" t="s">
        <v>164</v>
      </c>
    </row>
    <row r="61" spans="1:34" ht="14.4" x14ac:dyDescent="0.3">
      <c r="A61" s="66" t="s">
        <v>1041</v>
      </c>
      <c r="B61" s="66" t="s">
        <v>3158</v>
      </c>
      <c r="C61" s="33">
        <v>62</v>
      </c>
      <c r="D61" s="33" t="s">
        <v>5395</v>
      </c>
      <c r="E61" s="34" t="s">
        <v>5225</v>
      </c>
      <c r="F61" s="34" t="s">
        <v>18</v>
      </c>
      <c r="G61" s="57">
        <v>40721</v>
      </c>
      <c r="H61" s="57">
        <v>41156</v>
      </c>
      <c r="I61" s="34">
        <f t="shared" si="0"/>
        <v>14</v>
      </c>
      <c r="J61" s="34">
        <v>40</v>
      </c>
      <c r="K61" s="36">
        <v>700</v>
      </c>
      <c r="L61" s="34" t="s">
        <v>17</v>
      </c>
      <c r="M61" s="57">
        <v>32833</v>
      </c>
      <c r="N61" s="37">
        <f>(YEAR(TablaMadre[[#This Row],[ALTA]])-YEAR(M61))</f>
        <v>22</v>
      </c>
      <c r="O61" s="34" t="s">
        <v>18</v>
      </c>
      <c r="P61" s="34" t="s">
        <v>19</v>
      </c>
      <c r="Q61" s="34" t="s">
        <v>25</v>
      </c>
      <c r="R61" s="58" t="s">
        <v>30</v>
      </c>
      <c r="S61" s="34" t="s">
        <v>26</v>
      </c>
      <c r="T61" s="34"/>
      <c r="U61" s="34" t="s">
        <v>21</v>
      </c>
      <c r="V61" s="34" t="s">
        <v>27</v>
      </c>
      <c r="W61" s="34" t="s">
        <v>23</v>
      </c>
      <c r="X61" s="38" t="s">
        <v>164</v>
      </c>
      <c r="Y61" s="62"/>
      <c r="Z61" s="38" t="e">
        <f t="shared" si="1"/>
        <v>#NUM!</v>
      </c>
      <c r="AA61" s="38"/>
      <c r="AB61" s="34" t="s">
        <v>24</v>
      </c>
      <c r="AC61" s="34" t="s">
        <v>24</v>
      </c>
      <c r="AD61" s="38"/>
      <c r="AE61" s="59" t="str">
        <f t="shared" si="2"/>
        <v>NO</v>
      </c>
      <c r="AF61" s="38" t="e" cm="1">
        <f t="array" aca="1" ref="AF61" ca="1">MIN(100, MAX(0, (IF(R61="ESTUDIANTE", 31, 0)) + (IF(I61&lt;=3, 30, IF(I61&lt;=6, 20, 0))) +(IF(OR(E61="413 - Control de Costes y Enlace Construcción", E61="480 - Secretaría General del Consejo", E61="132 - Civil y estructuras", E61="136 - Mecánica", E61="412 - Planificación", E61="142 - Compras"), 25, 0)) +(IF(OR(S61="GRADO ING. MECÁNICA", S61="GRADO ING. ELÉCTRICA", S61="GRADO DERECHO", S61="GRADO ECONOMÍA", S61="GRADO ING. TECNOLOGÍAS INDUSTRIALES"), 24, 0)) + (IF(AND(K61&gt;=451, K61&lt;=700), 23, 0)) + (IF(AND(AB61&gt;=5, AB61&lt;=8), 17, 0)) +(IF(_xludf.OR(_xludf.AND(AC61&gt;=8, AC61&lt;=10), _xludf.AND(AC61&gt;=0, AC61&lt;=5)), 16, 0)) + (IF(F61="Madrid", 11, 0))))</f>
        <v>#NAME?</v>
      </c>
      <c r="AG61" s="68"/>
      <c r="AH61" s="71" t="s">
        <v>164</v>
      </c>
    </row>
    <row r="62" spans="1:34" ht="14.4" x14ac:dyDescent="0.3">
      <c r="A62" s="66" t="s">
        <v>1042</v>
      </c>
      <c r="B62" s="66" t="s">
        <v>3159</v>
      </c>
      <c r="C62" s="33">
        <v>61</v>
      </c>
      <c r="D62" s="33" t="s">
        <v>5396</v>
      </c>
      <c r="E62" s="34" t="s">
        <v>5247</v>
      </c>
      <c r="F62" s="34" t="s">
        <v>18</v>
      </c>
      <c r="G62" s="57">
        <v>40721</v>
      </c>
      <c r="H62" s="57">
        <v>41086</v>
      </c>
      <c r="I62" s="34">
        <f t="shared" si="0"/>
        <v>11</v>
      </c>
      <c r="J62" s="34">
        <v>40</v>
      </c>
      <c r="K62" s="36">
        <v>700</v>
      </c>
      <c r="L62" s="34" t="s">
        <v>29</v>
      </c>
      <c r="M62" s="57">
        <v>32096</v>
      </c>
      <c r="N62" s="37">
        <f>(YEAR(TablaMadre[[#This Row],[ALTA]])-YEAR(M62))</f>
        <v>24</v>
      </c>
      <c r="O62" s="34" t="s">
        <v>105</v>
      </c>
      <c r="P62" s="34" t="s">
        <v>19</v>
      </c>
      <c r="Q62" s="34" t="s">
        <v>106</v>
      </c>
      <c r="R62" s="58" t="s">
        <v>30</v>
      </c>
      <c r="S62" s="34" t="s">
        <v>26</v>
      </c>
      <c r="T62" s="34"/>
      <c r="U62" s="34" t="s">
        <v>42</v>
      </c>
      <c r="V62" s="34" t="s">
        <v>27</v>
      </c>
      <c r="W62" s="34" t="s">
        <v>28</v>
      </c>
      <c r="X62" s="38" t="s">
        <v>173</v>
      </c>
      <c r="Y62" s="62"/>
      <c r="Z62" s="38" t="e">
        <f t="shared" si="1"/>
        <v>#NUM!</v>
      </c>
      <c r="AA62" s="38"/>
      <c r="AB62" s="34" t="s">
        <v>53</v>
      </c>
      <c r="AC62" s="34" t="s">
        <v>34</v>
      </c>
      <c r="AD62" s="38"/>
      <c r="AE62" s="59" t="str">
        <f t="shared" si="2"/>
        <v>SÍ</v>
      </c>
      <c r="AF62" s="38" t="e" cm="1">
        <f t="array" aca="1" ref="AF62" ca="1">MIN(100, MAX(0, (IF(R62="ESTUDIANTE", 31, 0)) + (IF(I62&lt;=3, 30, IF(I62&lt;=6, 20, 0))) +(IF(OR(E62="413 - Control de Costes y Enlace Construcción", E62="480 - Secretaría General del Consejo", E62="132 - Civil y estructuras", E62="136 - Mecánica", E62="412 - Planificación", E62="142 - Compras"), 25, 0)) +(IF(OR(S62="GRADO ING. MECÁNICA", S62="GRADO ING. ELÉCTRICA", S62="GRADO DERECHO", S62="GRADO ECONOMÍA", S62="GRADO ING. TECNOLOGÍAS INDUSTRIALES"), 24, 0)) + (IF(AND(K62&gt;=451, K62&lt;=700), 23, 0)) + (IF(AND(AB62&gt;=5, AB62&lt;=8), 17, 0)) +(IF(_xludf.OR(_xludf.AND(AC62&gt;=8, AC62&lt;=10), _xludf.AND(AC62&gt;=0, AC62&lt;=5)), 16, 0)) + (IF(F62="Madrid", 11, 0))))</f>
        <v>#NAME?</v>
      </c>
      <c r="AG62" s="68"/>
      <c r="AH62" s="71" t="s">
        <v>164</v>
      </c>
    </row>
    <row r="63" spans="1:34" ht="14.4" x14ac:dyDescent="0.3">
      <c r="A63" s="66" t="s">
        <v>1043</v>
      </c>
      <c r="B63" s="66" t="s">
        <v>3160</v>
      </c>
      <c r="C63" s="33">
        <v>60</v>
      </c>
      <c r="D63" s="33" t="s">
        <v>5397</v>
      </c>
      <c r="E63" s="34" t="s">
        <v>5225</v>
      </c>
      <c r="F63" s="34" t="s">
        <v>18</v>
      </c>
      <c r="G63" s="57">
        <v>40721</v>
      </c>
      <c r="H63" s="57">
        <v>41086</v>
      </c>
      <c r="I63" s="34">
        <f t="shared" si="0"/>
        <v>11</v>
      </c>
      <c r="J63" s="34">
        <v>40</v>
      </c>
      <c r="K63" s="36">
        <v>700</v>
      </c>
      <c r="L63" s="34" t="s">
        <v>17</v>
      </c>
      <c r="M63" s="57">
        <v>33809</v>
      </c>
      <c r="N63" s="37">
        <f>(YEAR(TablaMadre[[#This Row],[ALTA]])-YEAR(M63))</f>
        <v>19</v>
      </c>
      <c r="O63" s="34" t="s">
        <v>18</v>
      </c>
      <c r="P63" s="34" t="s">
        <v>19</v>
      </c>
      <c r="Q63" s="34" t="s">
        <v>25</v>
      </c>
      <c r="R63" s="58" t="s">
        <v>30</v>
      </c>
      <c r="S63" s="34" t="s">
        <v>26</v>
      </c>
      <c r="T63" s="34"/>
      <c r="U63" s="34" t="s">
        <v>30</v>
      </c>
      <c r="V63" s="34" t="s">
        <v>27</v>
      </c>
      <c r="W63" s="34" t="s">
        <v>28</v>
      </c>
      <c r="X63" s="38" t="s">
        <v>173</v>
      </c>
      <c r="Y63" s="62"/>
      <c r="Z63" s="38" t="e">
        <f t="shared" si="1"/>
        <v>#NUM!</v>
      </c>
      <c r="AA63" s="38"/>
      <c r="AB63" s="34" t="s">
        <v>53</v>
      </c>
      <c r="AC63" s="34" t="s">
        <v>34</v>
      </c>
      <c r="AD63" s="38"/>
      <c r="AE63" s="59" t="str">
        <f t="shared" si="2"/>
        <v>NO</v>
      </c>
      <c r="AF63" s="38" t="e" cm="1">
        <f t="array" aca="1" ref="AF63" ca="1">MIN(100, MAX(0, (IF(R63="ESTUDIANTE", 31, 0)) + (IF(I63&lt;=3, 30, IF(I63&lt;=6, 20, 0))) +(IF(OR(E63="413 - Control de Costes y Enlace Construcción", E63="480 - Secretaría General del Consejo", E63="132 - Civil y estructuras", E63="136 - Mecánica", E63="412 - Planificación", E63="142 - Compras"), 25, 0)) +(IF(OR(S63="GRADO ING. MECÁNICA", S63="GRADO ING. ELÉCTRICA", S63="GRADO DERECHO", S63="GRADO ECONOMÍA", S63="GRADO ING. TECNOLOGÍAS INDUSTRIALES"), 24, 0)) + (IF(AND(K63&gt;=451, K63&lt;=700), 23, 0)) + (IF(AND(AB63&gt;=5, AB63&lt;=8), 17, 0)) +(IF(_xludf.OR(_xludf.AND(AC63&gt;=8, AC63&lt;=10), _xludf.AND(AC63&gt;=0, AC63&lt;=5)), 16, 0)) + (IF(F63="Madrid", 11, 0))))</f>
        <v>#NAME?</v>
      </c>
      <c r="AG63" s="68"/>
      <c r="AH63" s="71" t="s">
        <v>164</v>
      </c>
    </row>
    <row r="64" spans="1:34" ht="14.4" x14ac:dyDescent="0.3">
      <c r="A64" s="66" t="s">
        <v>989</v>
      </c>
      <c r="B64" s="66" t="s">
        <v>3106</v>
      </c>
      <c r="C64" s="33">
        <v>65</v>
      </c>
      <c r="D64" s="33" t="s">
        <v>5398</v>
      </c>
      <c r="E64" s="34" t="s">
        <v>5222</v>
      </c>
      <c r="F64" s="34" t="s">
        <v>18</v>
      </c>
      <c r="G64" s="57">
        <v>40727</v>
      </c>
      <c r="H64" s="57">
        <v>41066</v>
      </c>
      <c r="I64" s="34">
        <f t="shared" si="0"/>
        <v>11</v>
      </c>
      <c r="J64" s="34">
        <v>30</v>
      </c>
      <c r="K64" s="36">
        <v>675</v>
      </c>
      <c r="L64" s="34" t="s">
        <v>29</v>
      </c>
      <c r="M64" s="57">
        <v>31122</v>
      </c>
      <c r="N64" s="37">
        <f>(YEAR(TablaMadre[[#This Row],[ALTA]])-YEAR(M64))</f>
        <v>26</v>
      </c>
      <c r="O64" s="34" t="s">
        <v>18</v>
      </c>
      <c r="P64" s="34" t="s">
        <v>19</v>
      </c>
      <c r="Q64" s="34" t="s">
        <v>87</v>
      </c>
      <c r="R64" s="58" t="s">
        <v>30</v>
      </c>
      <c r="S64" s="34" t="s">
        <v>322</v>
      </c>
      <c r="T64" s="34"/>
      <c r="U64" s="34" t="s">
        <v>30</v>
      </c>
      <c r="V64" s="34" t="s">
        <v>40</v>
      </c>
      <c r="W64" s="34" t="s">
        <v>28</v>
      </c>
      <c r="X64" s="38" t="s">
        <v>164</v>
      </c>
      <c r="Y64" s="62">
        <v>44105</v>
      </c>
      <c r="Z64" s="38">
        <f t="shared" si="1"/>
        <v>8</v>
      </c>
      <c r="AA64" s="38"/>
      <c r="AB64" s="34" t="s">
        <v>24</v>
      </c>
      <c r="AC64" s="34" t="s">
        <v>34</v>
      </c>
      <c r="AD64" s="38"/>
      <c r="AE64" s="59" t="str">
        <f t="shared" si="2"/>
        <v>NO</v>
      </c>
      <c r="AF64" s="38" t="e" cm="1">
        <f t="array" aca="1" ref="AF64" ca="1">MIN(100, MAX(0, (IF(R64="ESTUDIANTE", 31, 0)) + (IF(I64&lt;=3, 30, IF(I64&lt;=6, 20, 0))) +(IF(OR(E64="413 - Control de Costes y Enlace Construcción", E64="480 - Secretaría General del Consejo", E64="132 - Civil y estructuras", E64="136 - Mecánica", E64="412 - Planificación", E64="142 - Compras"), 25, 0)) +(IF(OR(S64="GRADO ING. MECÁNICA", S64="GRADO ING. ELÉCTRICA", S64="GRADO DERECHO", S64="GRADO ECONOMÍA", S64="GRADO ING. TECNOLOGÍAS INDUSTRIALES"), 24, 0)) + (IF(AND(K64&gt;=451, K64&lt;=700), 23, 0)) + (IF(AND(AB64&gt;=5, AB64&lt;=8), 17, 0)) +(IF(_xludf.OR(_xludf.AND(AC64&gt;=8, AC64&lt;=10), _xludf.AND(AC64&gt;=0, AC64&lt;=5)), 16, 0)) + (IF(F64="Madrid", 11, 0))))</f>
        <v>#NAME?</v>
      </c>
      <c r="AG64" s="68"/>
      <c r="AH64" s="71" t="s">
        <v>164</v>
      </c>
    </row>
    <row r="65" spans="1:34" ht="14.4" x14ac:dyDescent="0.3">
      <c r="A65" s="66" t="s">
        <v>993</v>
      </c>
      <c r="B65" s="66" t="s">
        <v>3110</v>
      </c>
      <c r="C65" s="33">
        <v>64</v>
      </c>
      <c r="D65" s="33" t="s">
        <v>5399</v>
      </c>
      <c r="E65" s="34" t="s">
        <v>5231</v>
      </c>
      <c r="F65" s="34" t="s">
        <v>18</v>
      </c>
      <c r="G65" s="57">
        <v>40727</v>
      </c>
      <c r="H65" s="57">
        <v>40999</v>
      </c>
      <c r="I65" s="34">
        <f t="shared" si="0"/>
        <v>8</v>
      </c>
      <c r="J65" s="34">
        <v>40</v>
      </c>
      <c r="K65" s="36">
        <v>900</v>
      </c>
      <c r="L65" s="34" t="s">
        <v>29</v>
      </c>
      <c r="M65" s="57">
        <v>33074</v>
      </c>
      <c r="N65" s="37">
        <f>(YEAR(TablaMadre[[#This Row],[ALTA]])-YEAR(M65))</f>
        <v>21</v>
      </c>
      <c r="O65" s="34" t="s">
        <v>18</v>
      </c>
      <c r="P65" s="34" t="s">
        <v>19</v>
      </c>
      <c r="Q65" s="34" t="s">
        <v>36</v>
      </c>
      <c r="R65" s="34" t="s">
        <v>21</v>
      </c>
      <c r="S65" s="34" t="s">
        <v>307</v>
      </c>
      <c r="T65" s="34"/>
      <c r="U65" s="34" t="s">
        <v>30</v>
      </c>
      <c r="V65" s="34" t="s">
        <v>22</v>
      </c>
      <c r="W65" s="34" t="s">
        <v>28</v>
      </c>
      <c r="X65" s="38" t="s">
        <v>164</v>
      </c>
      <c r="Y65" s="62">
        <v>45081</v>
      </c>
      <c r="Z65" s="38">
        <f t="shared" si="1"/>
        <v>11</v>
      </c>
      <c r="AA65" s="38"/>
      <c r="AB65" s="34" t="s">
        <v>24</v>
      </c>
      <c r="AC65" s="34" t="s">
        <v>34</v>
      </c>
      <c r="AD65" s="38"/>
      <c r="AE65" s="59" t="str">
        <f t="shared" si="2"/>
        <v>NO</v>
      </c>
      <c r="AF65" s="38" t="e" cm="1">
        <f t="array" aca="1" ref="AF65" ca="1">MIN(100, MAX(0, (IF(R65="ESTUDIANTE", 31, 0)) + (IF(I65&lt;=3, 30, IF(I65&lt;=6, 20, 0))) +(IF(OR(E65="413 - Control de Costes y Enlace Construcción", E65="480 - Secretaría General del Consejo", E65="132 - Civil y estructuras", E65="136 - Mecánica", E65="412 - Planificación", E65="142 - Compras"), 25, 0)) +(IF(OR(S65="GRADO ING. MECÁNICA", S65="GRADO ING. ELÉCTRICA", S65="GRADO DERECHO", S65="GRADO ECONOMÍA", S65="GRADO ING. TECNOLOGÍAS INDUSTRIALES"), 24, 0)) + (IF(AND(K65&gt;=451, K65&lt;=700), 23, 0)) + (IF(AND(AB65&gt;=5, AB65&lt;=8), 17, 0)) +(IF(_xludf.OR(_xludf.AND(AC65&gt;=8, AC65&lt;=10), _xludf.AND(AC65&gt;=0, AC65&lt;=5)), 16, 0)) + (IF(F65="Madrid", 11, 0))))</f>
        <v>#NAME?</v>
      </c>
      <c r="AG65" s="68"/>
      <c r="AH65" s="71" t="s">
        <v>164</v>
      </c>
    </row>
    <row r="66" spans="1:34" ht="14.4" x14ac:dyDescent="0.3">
      <c r="A66" s="66" t="s">
        <v>994</v>
      </c>
      <c r="B66" s="66" t="s">
        <v>3111</v>
      </c>
      <c r="C66" s="33">
        <v>67</v>
      </c>
      <c r="D66" s="33" t="s">
        <v>5393</v>
      </c>
      <c r="E66" s="34" t="s">
        <v>5231</v>
      </c>
      <c r="F66" s="34" t="s">
        <v>18</v>
      </c>
      <c r="G66" s="57">
        <v>40727</v>
      </c>
      <c r="H66" s="57">
        <v>41152</v>
      </c>
      <c r="I66" s="34">
        <f t="shared" ref="I66:I129" si="3">DATEDIF(G66, H66, "M")</f>
        <v>13</v>
      </c>
      <c r="J66" s="34">
        <v>40</v>
      </c>
      <c r="K66" s="36">
        <v>900</v>
      </c>
      <c r="L66" s="34" t="s">
        <v>17</v>
      </c>
      <c r="M66" s="57">
        <v>32013</v>
      </c>
      <c r="N66" s="37">
        <f>(YEAR(TablaMadre[[#This Row],[ALTA]])-YEAR(M66))</f>
        <v>24</v>
      </c>
      <c r="O66" s="34" t="s">
        <v>146</v>
      </c>
      <c r="P66" s="34" t="s">
        <v>19</v>
      </c>
      <c r="Q66" s="34" t="s">
        <v>36</v>
      </c>
      <c r="R66" s="34" t="s">
        <v>21</v>
      </c>
      <c r="S66" s="34" t="s">
        <v>307</v>
      </c>
      <c r="T66" s="34"/>
      <c r="U66" s="34" t="s">
        <v>42</v>
      </c>
      <c r="V66" s="34" t="s">
        <v>22</v>
      </c>
      <c r="W66" s="34" t="s">
        <v>28</v>
      </c>
      <c r="X66" s="38" t="s">
        <v>164</v>
      </c>
      <c r="Y66" s="62">
        <v>42529</v>
      </c>
      <c r="Z66" s="38">
        <f t="shared" ref="Z66:Z129" si="4">DATEDIF(H66, Y66, "y")</f>
        <v>3</v>
      </c>
      <c r="AA66" s="38"/>
      <c r="AB66" s="34" t="s">
        <v>24</v>
      </c>
      <c r="AC66" s="34" t="s">
        <v>34</v>
      </c>
      <c r="AD66" s="38"/>
      <c r="AE66" s="59" t="str">
        <f t="shared" si="2"/>
        <v>SÍ</v>
      </c>
      <c r="AF66" s="38" t="e" cm="1">
        <f t="array" aca="1" ref="AF66" ca="1">MIN(100, MAX(0, (IF(R66="ESTUDIANTE", 31, 0)) + (IF(I66&lt;=3, 30, IF(I66&lt;=6, 20, 0))) +(IF(OR(E66="413 - Control de Costes y Enlace Construcción", E66="480 - Secretaría General del Consejo", E66="132 - Civil y estructuras", E66="136 - Mecánica", E66="412 - Planificación", E66="142 - Compras"), 25, 0)) +(IF(OR(S66="GRADO ING. MECÁNICA", S66="GRADO ING. ELÉCTRICA", S66="GRADO DERECHO", S66="GRADO ECONOMÍA", S66="GRADO ING. TECNOLOGÍAS INDUSTRIALES"), 24, 0)) + (IF(AND(K66&gt;=451, K66&lt;=700), 23, 0)) + (IF(AND(AB66&gt;=5, AB66&lt;=8), 17, 0)) +(IF(_xludf.OR(_xludf.AND(AC66&gt;=8, AC66&lt;=10), _xludf.AND(AC66&gt;=0, AC66&lt;=5)), 16, 0)) + (IF(F66="Madrid", 11, 0))))</f>
        <v>#NAME?</v>
      </c>
      <c r="AG66" s="68"/>
      <c r="AH66" s="71" t="s">
        <v>164</v>
      </c>
    </row>
    <row r="67" spans="1:34" ht="14.4" x14ac:dyDescent="0.3">
      <c r="A67" s="66" t="s">
        <v>995</v>
      </c>
      <c r="B67" s="66" t="s">
        <v>3112</v>
      </c>
      <c r="C67" s="33">
        <v>63</v>
      </c>
      <c r="D67" s="33" t="s">
        <v>5394</v>
      </c>
      <c r="E67" s="34" t="s">
        <v>5231</v>
      </c>
      <c r="F67" s="34" t="s">
        <v>18</v>
      </c>
      <c r="G67" s="57">
        <v>40727</v>
      </c>
      <c r="H67" s="57">
        <v>40999</v>
      </c>
      <c r="I67" s="34">
        <f t="shared" si="3"/>
        <v>8</v>
      </c>
      <c r="J67" s="34">
        <v>40</v>
      </c>
      <c r="K67" s="36">
        <v>900</v>
      </c>
      <c r="L67" s="34" t="s">
        <v>17</v>
      </c>
      <c r="M67" s="57">
        <v>32258</v>
      </c>
      <c r="N67" s="37">
        <f>(YEAR(TablaMadre[[#This Row],[ALTA]])-YEAR(M67))</f>
        <v>23</v>
      </c>
      <c r="O67" s="34" t="s">
        <v>18</v>
      </c>
      <c r="P67" s="34" t="s">
        <v>19</v>
      </c>
      <c r="Q67" s="34" t="s">
        <v>36</v>
      </c>
      <c r="R67" s="34" t="s">
        <v>21</v>
      </c>
      <c r="S67" s="34" t="s">
        <v>307</v>
      </c>
      <c r="T67" s="34"/>
      <c r="U67" s="34" t="s">
        <v>21</v>
      </c>
      <c r="V67" s="34" t="s">
        <v>22</v>
      </c>
      <c r="W67" s="34" t="s">
        <v>28</v>
      </c>
      <c r="X67" s="38" t="s">
        <v>173</v>
      </c>
      <c r="Y67" s="62"/>
      <c r="Z67" s="38" t="e">
        <f t="shared" si="4"/>
        <v>#NUM!</v>
      </c>
      <c r="AA67" s="38"/>
      <c r="AB67" s="34" t="s">
        <v>24</v>
      </c>
      <c r="AC67" s="34" t="s">
        <v>34</v>
      </c>
      <c r="AD67" s="38"/>
      <c r="AE67" s="59" t="str">
        <f t="shared" ref="AE67:AE130" si="5">IF(F67=O67, "NO", "SÍ")</f>
        <v>NO</v>
      </c>
      <c r="AF67" s="38" t="e" cm="1">
        <f t="array" aca="1" ref="AF67" ca="1">MIN(100, MAX(0, (IF(R67="ESTUDIANTE", 31, 0)) + (IF(I67&lt;=3, 30, IF(I67&lt;=6, 20, 0))) +(IF(OR(E67="413 - Control de Costes y Enlace Construcción", E67="480 - Secretaría General del Consejo", E67="132 - Civil y estructuras", E67="136 - Mecánica", E67="412 - Planificación", E67="142 - Compras"), 25, 0)) +(IF(OR(S67="GRADO ING. MECÁNICA", S67="GRADO ING. ELÉCTRICA", S67="GRADO DERECHO", S67="GRADO ECONOMÍA", S67="GRADO ING. TECNOLOGÍAS INDUSTRIALES"), 24, 0)) + (IF(AND(K67&gt;=451, K67&lt;=700), 23, 0)) + (IF(AND(AB67&gt;=5, AB67&lt;=8), 17, 0)) +(IF(_xludf.OR(_xludf.AND(AC67&gt;=8, AC67&lt;=10), _xludf.AND(AC67&gt;=0, AC67&lt;=5)), 16, 0)) + (IF(F67="Madrid", 11, 0))))</f>
        <v>#NAME?</v>
      </c>
      <c r="AG67" s="68"/>
      <c r="AH67" s="71" t="s">
        <v>164</v>
      </c>
    </row>
    <row r="68" spans="1:34" ht="14.4" x14ac:dyDescent="0.3">
      <c r="A68" s="66" t="s">
        <v>997</v>
      </c>
      <c r="B68" s="66" t="s">
        <v>3114</v>
      </c>
      <c r="C68" s="33">
        <v>66</v>
      </c>
      <c r="D68" s="33" t="s">
        <v>5395</v>
      </c>
      <c r="E68" s="34" t="s">
        <v>5222</v>
      </c>
      <c r="F68" s="34" t="s">
        <v>18</v>
      </c>
      <c r="G68" s="57">
        <v>40727</v>
      </c>
      <c r="H68" s="57">
        <v>41128</v>
      </c>
      <c r="I68" s="34">
        <f t="shared" si="3"/>
        <v>13</v>
      </c>
      <c r="J68" s="34">
        <v>25</v>
      </c>
      <c r="K68" s="36">
        <v>565</v>
      </c>
      <c r="L68" s="34" t="s">
        <v>17</v>
      </c>
      <c r="M68" s="57">
        <v>33572</v>
      </c>
      <c r="N68" s="37">
        <f>(YEAR(TablaMadre[[#This Row],[ALTA]])-YEAR(M68))</f>
        <v>20</v>
      </c>
      <c r="O68" s="34" t="s">
        <v>18</v>
      </c>
      <c r="P68" s="34" t="s">
        <v>19</v>
      </c>
      <c r="Q68" s="34" t="s">
        <v>38</v>
      </c>
      <c r="R68" s="58" t="s">
        <v>30</v>
      </c>
      <c r="S68" s="34" t="s">
        <v>960</v>
      </c>
      <c r="T68" s="34"/>
      <c r="U68" s="34" t="s">
        <v>30</v>
      </c>
      <c r="V68" s="34" t="s">
        <v>40</v>
      </c>
      <c r="W68" s="34" t="s">
        <v>28</v>
      </c>
      <c r="X68" s="38" t="s">
        <v>164</v>
      </c>
      <c r="Y68" s="62">
        <v>44606</v>
      </c>
      <c r="Z68" s="38">
        <f t="shared" si="4"/>
        <v>9</v>
      </c>
      <c r="AA68" s="38"/>
      <c r="AB68" s="34" t="s">
        <v>24</v>
      </c>
      <c r="AC68" s="34" t="s">
        <v>34</v>
      </c>
      <c r="AD68" s="38"/>
      <c r="AE68" s="59" t="str">
        <f t="shared" si="5"/>
        <v>NO</v>
      </c>
      <c r="AF68" s="38" t="e" cm="1">
        <f t="array" aca="1" ref="AF68" ca="1">MIN(100, MAX(0, (IF(R68="ESTUDIANTE", 31, 0)) + (IF(I68&lt;=3, 30, IF(I68&lt;=6, 20, 0))) +(IF(OR(E68="413 - Control de Costes y Enlace Construcción", E68="480 - Secretaría General del Consejo", E68="132 - Civil y estructuras", E68="136 - Mecánica", E68="412 - Planificación", E68="142 - Compras"), 25, 0)) +(IF(OR(S68="GRADO ING. MECÁNICA", S68="GRADO ING. ELÉCTRICA", S68="GRADO DERECHO", S68="GRADO ECONOMÍA", S68="GRADO ING. TECNOLOGÍAS INDUSTRIALES"), 24, 0)) + (IF(AND(K68&gt;=451, K68&lt;=700), 23, 0)) + (IF(AND(AB68&gt;=5, AB68&lt;=8), 17, 0)) +(IF(_xludf.OR(_xludf.AND(AC68&gt;=8, AC68&lt;=10), _xludf.AND(AC68&gt;=0, AC68&lt;=5)), 16, 0)) + (IF(F68="Madrid", 11, 0))))</f>
        <v>#NAME?</v>
      </c>
      <c r="AG68" s="68"/>
      <c r="AH68" s="71" t="s">
        <v>164</v>
      </c>
    </row>
    <row r="69" spans="1:34" ht="14.4" x14ac:dyDescent="0.3">
      <c r="A69" s="66" t="s">
        <v>1033</v>
      </c>
      <c r="B69" s="66" t="s">
        <v>3150</v>
      </c>
      <c r="C69" s="33">
        <v>69</v>
      </c>
      <c r="D69" s="33" t="s">
        <v>5396</v>
      </c>
      <c r="E69" s="34" t="s">
        <v>5231</v>
      </c>
      <c r="F69" s="34" t="s">
        <v>18</v>
      </c>
      <c r="G69" s="57">
        <v>40730</v>
      </c>
      <c r="H69" s="57">
        <v>41060</v>
      </c>
      <c r="I69" s="34">
        <f t="shared" si="3"/>
        <v>10</v>
      </c>
      <c r="J69" s="34">
        <v>40</v>
      </c>
      <c r="K69" s="36">
        <v>900</v>
      </c>
      <c r="L69" s="34" t="s">
        <v>29</v>
      </c>
      <c r="M69" s="57">
        <v>29798</v>
      </c>
      <c r="N69" s="37">
        <f>(YEAR(TablaMadre[[#This Row],[ALTA]])-YEAR(M69))</f>
        <v>30</v>
      </c>
      <c r="O69" s="34" t="s">
        <v>654</v>
      </c>
      <c r="P69" s="34" t="s">
        <v>19</v>
      </c>
      <c r="Q69" s="34" t="s">
        <v>36</v>
      </c>
      <c r="R69" s="34" t="s">
        <v>21</v>
      </c>
      <c r="S69" s="34" t="s">
        <v>307</v>
      </c>
      <c r="T69" s="34"/>
      <c r="U69" s="34" t="s">
        <v>42</v>
      </c>
      <c r="V69" s="34" t="s">
        <v>51</v>
      </c>
      <c r="W69" s="34" t="s">
        <v>28</v>
      </c>
      <c r="X69" s="34" t="s">
        <v>164</v>
      </c>
      <c r="Y69" s="57">
        <v>41236</v>
      </c>
      <c r="Z69" s="34">
        <f t="shared" si="4"/>
        <v>0</v>
      </c>
      <c r="AA69" s="34"/>
      <c r="AB69" s="34" t="s">
        <v>53</v>
      </c>
      <c r="AC69" s="34" t="s">
        <v>34</v>
      </c>
      <c r="AD69" s="34"/>
      <c r="AE69" s="59" t="str">
        <f t="shared" si="5"/>
        <v>SÍ</v>
      </c>
      <c r="AF69" s="38" t="e" cm="1">
        <f t="array" aca="1" ref="AF69" ca="1">MIN(100, MAX(0, (IF(R69="ESTUDIANTE", 31, 0)) + (IF(I69&lt;=3, 30, IF(I69&lt;=6, 20, 0))) +(IF(OR(E69="413 - Control de Costes y Enlace Construcción", E69="480 - Secretaría General del Consejo", E69="132 - Civil y estructuras", E69="136 - Mecánica", E69="412 - Planificación", E69="142 - Compras"), 25, 0)) +(IF(OR(S69="GRADO ING. MECÁNICA", S69="GRADO ING. ELÉCTRICA", S69="GRADO DERECHO", S69="GRADO ECONOMÍA", S69="GRADO ING. TECNOLOGÍAS INDUSTRIALES"), 24, 0)) + (IF(AND(K69&gt;=451, K69&lt;=700), 23, 0)) + (IF(AND(AB69&gt;=5, AB69&lt;=8), 17, 0)) +(IF(_xludf.OR(_xludf.AND(AC69&gt;=8, AC69&lt;=10), _xludf.AND(AC69&gt;=0, AC69&lt;=5)), 16, 0)) + (IF(F69="Madrid", 11, 0))))</f>
        <v>#NAME?</v>
      </c>
      <c r="AG69" s="68"/>
      <c r="AH69" s="71" t="s">
        <v>164</v>
      </c>
    </row>
    <row r="70" spans="1:34" s="4" customFormat="1" ht="14.4" x14ac:dyDescent="0.3">
      <c r="A70" s="66" t="s">
        <v>1034</v>
      </c>
      <c r="B70" s="66" t="s">
        <v>3151</v>
      </c>
      <c r="C70" s="33">
        <v>68</v>
      </c>
      <c r="D70" s="33" t="s">
        <v>5397</v>
      </c>
      <c r="E70" s="34" t="s">
        <v>5231</v>
      </c>
      <c r="F70" s="34" t="s">
        <v>18</v>
      </c>
      <c r="G70" s="57">
        <v>40730</v>
      </c>
      <c r="H70" s="57">
        <v>41060</v>
      </c>
      <c r="I70" s="34">
        <f t="shared" si="3"/>
        <v>10</v>
      </c>
      <c r="J70" s="34">
        <v>40</v>
      </c>
      <c r="K70" s="36">
        <v>900</v>
      </c>
      <c r="L70" s="34" t="s">
        <v>17</v>
      </c>
      <c r="M70" s="57">
        <v>33079</v>
      </c>
      <c r="N70" s="37">
        <f>(YEAR(TablaMadre[[#This Row],[ALTA]])-YEAR(M70))</f>
        <v>21</v>
      </c>
      <c r="O70" s="34" t="s">
        <v>18</v>
      </c>
      <c r="P70" s="34" t="s">
        <v>19</v>
      </c>
      <c r="Q70" s="34" t="s">
        <v>36</v>
      </c>
      <c r="R70" s="34" t="s">
        <v>21</v>
      </c>
      <c r="S70" s="34" t="s">
        <v>307</v>
      </c>
      <c r="T70" s="34"/>
      <c r="U70" s="34" t="s">
        <v>30</v>
      </c>
      <c r="V70" s="34" t="s">
        <v>22</v>
      </c>
      <c r="W70" s="34" t="s">
        <v>28</v>
      </c>
      <c r="X70" s="38" t="s">
        <v>164</v>
      </c>
      <c r="Y70" s="62">
        <v>44975</v>
      </c>
      <c r="Z70" s="38">
        <f t="shared" si="4"/>
        <v>10</v>
      </c>
      <c r="AA70" s="38"/>
      <c r="AB70" s="34" t="s">
        <v>24</v>
      </c>
      <c r="AC70" s="34" t="s">
        <v>34</v>
      </c>
      <c r="AD70" s="38"/>
      <c r="AE70" s="59" t="str">
        <f t="shared" si="5"/>
        <v>NO</v>
      </c>
      <c r="AF70" s="34" t="e" cm="1">
        <f t="array" aca="1" ref="AF70" ca="1">MIN(100, MAX(0, (IF(R70="ESTUDIANTE", 31, 0)) + (IF(I70&lt;=3, 30, IF(I70&lt;=6, 20, 0))) +(IF(OR(E70="413 - Control de Costes y Enlace Construcción", E70="480 - Secretaría General del Consejo", E70="132 - Civil y estructuras", E70="136 - Mecánica", E70="412 - Planificación", E70="142 - Compras"), 25, 0)) +(IF(OR(S70="GRADO ING. MECÁNICA", S70="GRADO ING. ELÉCTRICA", S70="GRADO DERECHO", S70="GRADO ECONOMÍA", S70="GRADO ING. TECNOLOGÍAS INDUSTRIALES"), 24, 0)) + (IF(AND(K70&gt;=451, K70&lt;=700), 23, 0)) + (IF(AND(AB70&gt;=5, AB70&lt;=8), 17, 0)) +(IF(_xludf.OR(_xludf.AND(AC70&gt;=8, AC70&lt;=10), _xludf.AND(AC70&gt;=0, AC70&lt;=5)), 16, 0)) + (IF(F70="Madrid", 11, 0))))</f>
        <v>#NAME?</v>
      </c>
      <c r="AG70" s="69"/>
      <c r="AH70" s="71" t="s">
        <v>164</v>
      </c>
    </row>
    <row r="71" spans="1:34" ht="14.4" x14ac:dyDescent="0.3">
      <c r="A71" s="66" t="s">
        <v>1035</v>
      </c>
      <c r="B71" s="66" t="s">
        <v>3152</v>
      </c>
      <c r="C71" s="33">
        <v>70</v>
      </c>
      <c r="D71" s="33" t="s">
        <v>5393</v>
      </c>
      <c r="E71" s="34" t="s">
        <v>5231</v>
      </c>
      <c r="F71" s="34" t="s">
        <v>18</v>
      </c>
      <c r="G71" s="57">
        <v>40730</v>
      </c>
      <c r="H71" s="57">
        <v>41066</v>
      </c>
      <c r="I71" s="34">
        <f t="shared" si="3"/>
        <v>11</v>
      </c>
      <c r="J71" s="34">
        <v>40</v>
      </c>
      <c r="K71" s="36">
        <v>900</v>
      </c>
      <c r="L71" s="34" t="s">
        <v>29</v>
      </c>
      <c r="M71" s="57">
        <v>31545</v>
      </c>
      <c r="N71" s="37">
        <f>(YEAR(TablaMadre[[#This Row],[ALTA]])-YEAR(M71))</f>
        <v>25</v>
      </c>
      <c r="O71" s="34" t="s">
        <v>153</v>
      </c>
      <c r="P71" s="34" t="s">
        <v>19</v>
      </c>
      <c r="Q71" s="34" t="s">
        <v>88</v>
      </c>
      <c r="R71" s="34" t="s">
        <v>21</v>
      </c>
      <c r="S71" s="34" t="s">
        <v>384</v>
      </c>
      <c r="T71" s="34"/>
      <c r="U71" s="34" t="s">
        <v>42</v>
      </c>
      <c r="V71" s="34" t="s">
        <v>90</v>
      </c>
      <c r="W71" s="34" t="s">
        <v>28</v>
      </c>
      <c r="X71" s="38" t="s">
        <v>173</v>
      </c>
      <c r="Y71" s="62"/>
      <c r="Z71" s="38" t="e">
        <f t="shared" si="4"/>
        <v>#NUM!</v>
      </c>
      <c r="AA71" s="38"/>
      <c r="AB71" s="34" t="s">
        <v>24</v>
      </c>
      <c r="AC71" s="34" t="s">
        <v>34</v>
      </c>
      <c r="AD71" s="38"/>
      <c r="AE71" s="59" t="str">
        <f t="shared" si="5"/>
        <v>SÍ</v>
      </c>
      <c r="AF71" s="38" t="e" cm="1">
        <f t="array" aca="1" ref="AF71" ca="1">MIN(100, MAX(0, (IF(R71="ESTUDIANTE", 31, 0)) + (IF(I71&lt;=3, 30, IF(I71&lt;=6, 20, 0))) +(IF(OR(E71="413 - Control de Costes y Enlace Construcción", E71="480 - Secretaría General del Consejo", E71="132 - Civil y estructuras", E71="136 - Mecánica", E71="412 - Planificación", E71="142 - Compras"), 25, 0)) +(IF(OR(S71="GRADO ING. MECÁNICA", S71="GRADO ING. ELÉCTRICA", S71="GRADO DERECHO", S71="GRADO ECONOMÍA", S71="GRADO ING. TECNOLOGÍAS INDUSTRIALES"), 24, 0)) + (IF(AND(K71&gt;=451, K71&lt;=700), 23, 0)) + (IF(AND(AB71&gt;=5, AB71&lt;=8), 17, 0)) +(IF(_xludf.OR(_xludf.AND(AC71&gt;=8, AC71&lt;=10), _xludf.AND(AC71&gt;=0, AC71&lt;=5)), 16, 0)) + (IF(F71="Madrid", 11, 0))))</f>
        <v>#NAME?</v>
      </c>
      <c r="AG71" s="68"/>
      <c r="AH71" s="71" t="s">
        <v>164</v>
      </c>
    </row>
    <row r="72" spans="1:34" ht="14.4" x14ac:dyDescent="0.3">
      <c r="A72" s="66" t="s">
        <v>1072</v>
      </c>
      <c r="B72" s="66" t="s">
        <v>3189</v>
      </c>
      <c r="C72" s="33">
        <v>72</v>
      </c>
      <c r="D72" s="33" t="s">
        <v>5394</v>
      </c>
      <c r="E72" s="34" t="s">
        <v>5227</v>
      </c>
      <c r="F72" s="34" t="s">
        <v>18</v>
      </c>
      <c r="G72" s="57">
        <v>40735</v>
      </c>
      <c r="H72" s="57">
        <v>41182</v>
      </c>
      <c r="I72" s="34">
        <f t="shared" si="3"/>
        <v>14</v>
      </c>
      <c r="J72" s="34">
        <v>30</v>
      </c>
      <c r="K72" s="36">
        <v>675</v>
      </c>
      <c r="L72" s="34" t="s">
        <v>17</v>
      </c>
      <c r="M72" s="57">
        <v>31194</v>
      </c>
      <c r="N72" s="37">
        <f>(YEAR(TablaMadre[[#This Row],[ALTA]])-YEAR(M72))</f>
        <v>26</v>
      </c>
      <c r="O72" s="34" t="s">
        <v>18</v>
      </c>
      <c r="P72" s="34" t="s">
        <v>19</v>
      </c>
      <c r="Q72" s="34" t="s">
        <v>157</v>
      </c>
      <c r="R72" s="58" t="s">
        <v>30</v>
      </c>
      <c r="S72" s="34" t="s">
        <v>322</v>
      </c>
      <c r="T72" s="34"/>
      <c r="U72" s="34" t="s">
        <v>42</v>
      </c>
      <c r="V72" s="34" t="s">
        <v>67</v>
      </c>
      <c r="W72" s="34" t="s">
        <v>28</v>
      </c>
      <c r="X72" s="38" t="s">
        <v>164</v>
      </c>
      <c r="Y72" s="62">
        <v>41821</v>
      </c>
      <c r="Z72" s="38">
        <f t="shared" si="4"/>
        <v>1</v>
      </c>
      <c r="AA72" s="38"/>
      <c r="AB72" s="34" t="s">
        <v>24</v>
      </c>
      <c r="AC72" s="34" t="s">
        <v>34</v>
      </c>
      <c r="AD72" s="38"/>
      <c r="AE72" s="59" t="str">
        <f t="shared" si="5"/>
        <v>NO</v>
      </c>
      <c r="AF72" s="38" t="e" cm="1">
        <f t="array" aca="1" ref="AF72" ca="1">MIN(100, MAX(0, (IF(R72="ESTUDIANTE", 31, 0)) + (IF(I72&lt;=3, 30, IF(I72&lt;=6, 20, 0))) +(IF(OR(E72="413 - Control de Costes y Enlace Construcción", E72="480 - Secretaría General del Consejo", E72="132 - Civil y estructuras", E72="136 - Mecánica", E72="412 - Planificación", E72="142 - Compras"), 25, 0)) +(IF(OR(S72="GRADO ING. MECÁNICA", S72="GRADO ING. ELÉCTRICA", S72="GRADO DERECHO", S72="GRADO ECONOMÍA", S72="GRADO ING. TECNOLOGÍAS INDUSTRIALES"), 24, 0)) + (IF(AND(K72&gt;=451, K72&lt;=700), 23, 0)) + (IF(AND(AB72&gt;=5, AB72&lt;=8), 17, 0)) +(IF(_xludf.OR(_xludf.AND(AC72&gt;=8, AC72&lt;=10), _xludf.AND(AC72&gt;=0, AC72&lt;=5)), 16, 0)) + (IF(F72="Madrid", 11, 0))))</f>
        <v>#NAME?</v>
      </c>
      <c r="AG72" s="68"/>
      <c r="AH72" s="71" t="s">
        <v>164</v>
      </c>
    </row>
    <row r="73" spans="1:34" ht="14.4" x14ac:dyDescent="0.3">
      <c r="A73" s="66" t="s">
        <v>1427</v>
      </c>
      <c r="B73" s="66" t="s">
        <v>3544</v>
      </c>
      <c r="C73" s="33">
        <v>71</v>
      </c>
      <c r="D73" s="33" t="s">
        <v>5395</v>
      </c>
      <c r="E73" s="34" t="s">
        <v>5222</v>
      </c>
      <c r="F73" s="34" t="s">
        <v>18</v>
      </c>
      <c r="G73" s="57">
        <v>40735</v>
      </c>
      <c r="H73" s="57">
        <v>41090</v>
      </c>
      <c r="I73" s="34">
        <f t="shared" si="3"/>
        <v>11</v>
      </c>
      <c r="J73" s="34">
        <v>40</v>
      </c>
      <c r="K73" s="36">
        <v>900</v>
      </c>
      <c r="L73" s="34" t="s">
        <v>29</v>
      </c>
      <c r="M73" s="57">
        <v>30820</v>
      </c>
      <c r="N73" s="37">
        <f>(YEAR(TablaMadre[[#This Row],[ALTA]])-YEAR(M73))</f>
        <v>27</v>
      </c>
      <c r="O73" s="34" t="s">
        <v>654</v>
      </c>
      <c r="P73" s="34" t="s">
        <v>19</v>
      </c>
      <c r="Q73" s="34" t="s">
        <v>63</v>
      </c>
      <c r="R73" s="34" t="s">
        <v>21</v>
      </c>
      <c r="S73" s="34" t="s">
        <v>297</v>
      </c>
      <c r="T73" s="34"/>
      <c r="U73" s="34" t="s">
        <v>42</v>
      </c>
      <c r="V73" s="34" t="s">
        <v>51</v>
      </c>
      <c r="W73" s="34" t="s">
        <v>28</v>
      </c>
      <c r="X73" s="38" t="s">
        <v>164</v>
      </c>
      <c r="Y73" s="62">
        <v>45964</v>
      </c>
      <c r="Z73" s="38">
        <f t="shared" si="4"/>
        <v>13</v>
      </c>
      <c r="AA73" s="38" t="s">
        <v>173</v>
      </c>
      <c r="AB73" s="34" t="s">
        <v>53</v>
      </c>
      <c r="AC73" s="34" t="s">
        <v>34</v>
      </c>
      <c r="AD73" s="38"/>
      <c r="AE73" s="59" t="str">
        <f t="shared" si="5"/>
        <v>SÍ</v>
      </c>
      <c r="AF73" s="38" t="e" cm="1">
        <f t="array" aca="1" ref="AF73" ca="1">MIN(100, MAX(0, (IF(R73="ESTUDIANTE", 31, 0)) + (IF(I73&lt;=3, 30, IF(I73&lt;=6, 20, 0))) +(IF(OR(E73="413 - Control de Costes y Enlace Construcción", E73="480 - Secretaría General del Consejo", E73="132 - Civil y estructuras", E73="136 - Mecánica", E73="412 - Planificación", E73="142 - Compras"), 25, 0)) +(IF(OR(S73="GRADO ING. MECÁNICA", S73="GRADO ING. ELÉCTRICA", S73="GRADO DERECHO", S73="GRADO ECONOMÍA", S73="GRADO ING. TECNOLOGÍAS INDUSTRIALES"), 24, 0)) + (IF(AND(K73&gt;=451, K73&lt;=700), 23, 0)) + (IF(AND(AB73&gt;=5, AB73&lt;=8), 17, 0)) +(IF(_xludf.OR(_xludf.AND(AC73&gt;=8, AC73&lt;=10), _xludf.AND(AC73&gt;=0, AC73&lt;=5)), 16, 0)) + (IF(F73="Madrid", 11, 0))))</f>
        <v>#NAME?</v>
      </c>
      <c r="AG73" s="68"/>
      <c r="AH73" s="71" t="s">
        <v>164</v>
      </c>
    </row>
    <row r="74" spans="1:34" ht="14.4" x14ac:dyDescent="0.3">
      <c r="A74" s="66" t="s">
        <v>1052</v>
      </c>
      <c r="B74" s="66" t="s">
        <v>3169</v>
      </c>
      <c r="C74" s="33">
        <v>73</v>
      </c>
      <c r="D74" s="33" t="s">
        <v>5396</v>
      </c>
      <c r="E74" s="34" t="s">
        <v>5248</v>
      </c>
      <c r="F74" s="34" t="s">
        <v>18</v>
      </c>
      <c r="G74" s="57">
        <v>40737</v>
      </c>
      <c r="H74" s="57">
        <v>40999</v>
      </c>
      <c r="I74" s="34">
        <f t="shared" si="3"/>
        <v>8</v>
      </c>
      <c r="J74" s="34">
        <v>40</v>
      </c>
      <c r="K74" s="36">
        <v>900</v>
      </c>
      <c r="L74" s="34" t="s">
        <v>17</v>
      </c>
      <c r="M74" s="57">
        <v>32247</v>
      </c>
      <c r="N74" s="37">
        <f>(YEAR(TablaMadre[[#This Row],[ALTA]])-YEAR(M74))</f>
        <v>23</v>
      </c>
      <c r="O74" s="34" t="s">
        <v>65</v>
      </c>
      <c r="P74" s="34" t="s">
        <v>19</v>
      </c>
      <c r="Q74" s="34" t="s">
        <v>66</v>
      </c>
      <c r="R74" s="34" t="s">
        <v>21</v>
      </c>
      <c r="S74" s="34" t="s">
        <v>322</v>
      </c>
      <c r="T74" s="34"/>
      <c r="U74" s="34" t="s">
        <v>30</v>
      </c>
      <c r="V74" s="34" t="s">
        <v>67</v>
      </c>
      <c r="W74" s="34" t="s">
        <v>47</v>
      </c>
      <c r="X74" s="38" t="s">
        <v>164</v>
      </c>
      <c r="Y74" s="62"/>
      <c r="Z74" s="38" t="e">
        <f t="shared" si="4"/>
        <v>#NUM!</v>
      </c>
      <c r="AA74" s="38"/>
      <c r="AB74" s="34" t="s">
        <v>24</v>
      </c>
      <c r="AC74" s="34" t="s">
        <v>24</v>
      </c>
      <c r="AD74" s="38"/>
      <c r="AE74" s="59" t="str">
        <f t="shared" si="5"/>
        <v>SÍ</v>
      </c>
      <c r="AF74" s="38" t="e" cm="1">
        <f t="array" aca="1" ref="AF74" ca="1">MIN(100, MAX(0, (IF(R74="ESTUDIANTE", 31, 0)) + (IF(I74&lt;=3, 30, IF(I74&lt;=6, 20, 0))) +(IF(OR(E74="413 - Control de Costes y Enlace Construcción", E74="480 - Secretaría General del Consejo", E74="132 - Civil y estructuras", E74="136 - Mecánica", E74="412 - Planificación", E74="142 - Compras"), 25, 0)) +(IF(OR(S74="GRADO ING. MECÁNICA", S74="GRADO ING. ELÉCTRICA", S74="GRADO DERECHO", S74="GRADO ECONOMÍA", S74="GRADO ING. TECNOLOGÍAS INDUSTRIALES"), 24, 0)) + (IF(AND(K74&gt;=451, K74&lt;=700), 23, 0)) + (IF(AND(AB74&gt;=5, AB74&lt;=8), 17, 0)) +(IF(_xludf.OR(_xludf.AND(AC74&gt;=8, AC74&lt;=10), _xludf.AND(AC74&gt;=0, AC74&lt;=5)), 16, 0)) + (IF(F74="Madrid", 11, 0))))</f>
        <v>#NAME?</v>
      </c>
      <c r="AG74" s="68"/>
      <c r="AH74" s="71" t="s">
        <v>164</v>
      </c>
    </row>
    <row r="75" spans="1:34" ht="14.4" x14ac:dyDescent="0.3">
      <c r="A75" s="66" t="s">
        <v>1048</v>
      </c>
      <c r="B75" s="66" t="s">
        <v>3165</v>
      </c>
      <c r="C75" s="33">
        <v>78</v>
      </c>
      <c r="D75" s="33" t="s">
        <v>5397</v>
      </c>
      <c r="E75" s="34" t="s">
        <v>5218</v>
      </c>
      <c r="F75" s="34" t="s">
        <v>18</v>
      </c>
      <c r="G75" s="57">
        <v>40742</v>
      </c>
      <c r="H75" s="57">
        <v>41121</v>
      </c>
      <c r="I75" s="34">
        <f t="shared" si="3"/>
        <v>12</v>
      </c>
      <c r="J75" s="34">
        <v>40</v>
      </c>
      <c r="K75" s="36">
        <v>900</v>
      </c>
      <c r="L75" s="34" t="s">
        <v>29</v>
      </c>
      <c r="M75" s="57">
        <v>31922</v>
      </c>
      <c r="N75" s="37">
        <f>(YEAR(TablaMadre[[#This Row],[ALTA]])-YEAR(M75))</f>
        <v>24</v>
      </c>
      <c r="O75" s="34" t="s">
        <v>525</v>
      </c>
      <c r="P75" s="34" t="s">
        <v>19</v>
      </c>
      <c r="Q75" s="34" t="s">
        <v>20</v>
      </c>
      <c r="R75" s="34" t="s">
        <v>21</v>
      </c>
      <c r="S75" s="34" t="s">
        <v>151</v>
      </c>
      <c r="T75" s="34"/>
      <c r="U75" s="34" t="s">
        <v>21</v>
      </c>
      <c r="V75" s="34" t="s">
        <v>79</v>
      </c>
      <c r="W75" s="34" t="s">
        <v>28</v>
      </c>
      <c r="X75" s="38" t="s">
        <v>164</v>
      </c>
      <c r="Y75" s="62">
        <v>44716</v>
      </c>
      <c r="Z75" s="38">
        <f t="shared" si="4"/>
        <v>9</v>
      </c>
      <c r="AA75" s="38"/>
      <c r="AB75" s="34" t="s">
        <v>24</v>
      </c>
      <c r="AC75" s="34" t="s">
        <v>34</v>
      </c>
      <c r="AD75" s="38"/>
      <c r="AE75" s="59" t="str">
        <f t="shared" si="5"/>
        <v>SÍ</v>
      </c>
      <c r="AF75" s="38" t="e" cm="1">
        <f t="array" aca="1" ref="AF75" ca="1">MIN(100, MAX(0, (IF(R75="ESTUDIANTE", 31, 0)) + (IF(I75&lt;=3, 30, IF(I75&lt;=6, 20, 0))) +(IF(OR(E75="413 - Control de Costes y Enlace Construcción", E75="480 - Secretaría General del Consejo", E75="132 - Civil y estructuras", E75="136 - Mecánica", E75="412 - Planificación", E75="142 - Compras"), 25, 0)) +(IF(OR(S75="GRADO ING. MECÁNICA", S75="GRADO ING. ELÉCTRICA", S75="GRADO DERECHO", S75="GRADO ECONOMÍA", S75="GRADO ING. TECNOLOGÍAS INDUSTRIALES"), 24, 0)) + (IF(AND(K75&gt;=451, K75&lt;=700), 23, 0)) + (IF(AND(AB75&gt;=5, AB75&lt;=8), 17, 0)) +(IF(_xludf.OR(_xludf.AND(AC75&gt;=8, AC75&lt;=10), _xludf.AND(AC75&gt;=0, AC75&lt;=5)), 16, 0)) + (IF(F75="Madrid", 11, 0))))</f>
        <v>#NAME?</v>
      </c>
      <c r="AG75" s="68"/>
      <c r="AH75" s="71" t="s">
        <v>164</v>
      </c>
    </row>
    <row r="76" spans="1:34" ht="14.4" x14ac:dyDescent="0.3">
      <c r="A76" s="66" t="s">
        <v>1049</v>
      </c>
      <c r="B76" s="66" t="s">
        <v>3166</v>
      </c>
      <c r="C76" s="33">
        <v>74</v>
      </c>
      <c r="D76" s="33" t="s">
        <v>5398</v>
      </c>
      <c r="E76" s="34" t="s">
        <v>5249</v>
      </c>
      <c r="F76" s="34" t="s">
        <v>18</v>
      </c>
      <c r="G76" s="57">
        <v>40742</v>
      </c>
      <c r="H76" s="57">
        <v>41107</v>
      </c>
      <c r="I76" s="34">
        <f t="shared" si="3"/>
        <v>11</v>
      </c>
      <c r="J76" s="34">
        <v>40</v>
      </c>
      <c r="K76" s="36">
        <v>900</v>
      </c>
      <c r="L76" s="34" t="s">
        <v>17</v>
      </c>
      <c r="M76" s="57">
        <v>33039</v>
      </c>
      <c r="N76" s="37">
        <f>(YEAR(TablaMadre[[#This Row],[ALTA]])-YEAR(M76))</f>
        <v>21</v>
      </c>
      <c r="O76" s="34" t="s">
        <v>18</v>
      </c>
      <c r="P76" s="34" t="s">
        <v>19</v>
      </c>
      <c r="Q76" s="34" t="s">
        <v>63</v>
      </c>
      <c r="R76" s="34" t="s">
        <v>21</v>
      </c>
      <c r="S76" s="34" t="s">
        <v>297</v>
      </c>
      <c r="T76" s="34"/>
      <c r="U76" s="34" t="s">
        <v>42</v>
      </c>
      <c r="V76" s="34" t="s">
        <v>56</v>
      </c>
      <c r="W76" s="34" t="s">
        <v>28</v>
      </c>
      <c r="X76" s="38" t="s">
        <v>164</v>
      </c>
      <c r="Y76" s="62">
        <v>45294</v>
      </c>
      <c r="Z76" s="38">
        <f t="shared" si="4"/>
        <v>11</v>
      </c>
      <c r="AA76" s="38"/>
      <c r="AB76" s="34" t="s">
        <v>24</v>
      </c>
      <c r="AC76" s="34" t="s">
        <v>34</v>
      </c>
      <c r="AD76" s="38"/>
      <c r="AE76" s="59" t="str">
        <f t="shared" si="5"/>
        <v>NO</v>
      </c>
      <c r="AF76" s="38" t="e" cm="1">
        <f t="array" aca="1" ref="AF76" ca="1">MIN(100, MAX(0, (IF(R76="ESTUDIANTE", 31, 0)) + (IF(I76&lt;=3, 30, IF(I76&lt;=6, 20, 0))) +(IF(OR(E76="413 - Control de Costes y Enlace Construcción", E76="480 - Secretaría General del Consejo", E76="132 - Civil y estructuras", E76="136 - Mecánica", E76="412 - Planificación", E76="142 - Compras"), 25, 0)) +(IF(OR(S76="GRADO ING. MECÁNICA", S76="GRADO ING. ELÉCTRICA", S76="GRADO DERECHO", S76="GRADO ECONOMÍA", S76="GRADO ING. TECNOLOGÍAS INDUSTRIALES"), 24, 0)) + (IF(AND(K76&gt;=451, K76&lt;=700), 23, 0)) + (IF(AND(AB76&gt;=5, AB76&lt;=8), 17, 0)) +(IF(_xludf.OR(_xludf.AND(AC76&gt;=8, AC76&lt;=10), _xludf.AND(AC76&gt;=0, AC76&lt;=5)), 16, 0)) + (IF(F76="Madrid", 11, 0))))</f>
        <v>#NAME?</v>
      </c>
      <c r="AG76" s="68"/>
      <c r="AH76" s="71" t="s">
        <v>164</v>
      </c>
    </row>
    <row r="77" spans="1:34" ht="14.4" x14ac:dyDescent="0.3">
      <c r="A77" s="66" t="s">
        <v>1050</v>
      </c>
      <c r="B77" s="66" t="s">
        <v>3167</v>
      </c>
      <c r="C77" s="33">
        <v>77</v>
      </c>
      <c r="D77" s="33" t="s">
        <v>5399</v>
      </c>
      <c r="E77" s="34" t="s">
        <v>5250</v>
      </c>
      <c r="F77" s="34" t="s">
        <v>18</v>
      </c>
      <c r="G77" s="57">
        <v>40742</v>
      </c>
      <c r="H77" s="57">
        <v>41121</v>
      </c>
      <c r="I77" s="34">
        <f t="shared" si="3"/>
        <v>12</v>
      </c>
      <c r="J77" s="34">
        <v>40</v>
      </c>
      <c r="K77" s="36">
        <v>900</v>
      </c>
      <c r="L77" s="34" t="s">
        <v>17</v>
      </c>
      <c r="M77" s="57">
        <v>33755</v>
      </c>
      <c r="N77" s="37">
        <f>(YEAR(TablaMadre[[#This Row],[ALTA]])-YEAR(M77))</f>
        <v>19</v>
      </c>
      <c r="O77" s="34" t="s">
        <v>121</v>
      </c>
      <c r="P77" s="34" t="s">
        <v>19</v>
      </c>
      <c r="Q77" s="34" t="s">
        <v>63</v>
      </c>
      <c r="R77" s="34" t="s">
        <v>21</v>
      </c>
      <c r="S77" s="34" t="s">
        <v>297</v>
      </c>
      <c r="T77" s="34"/>
      <c r="U77" s="34" t="s">
        <v>30</v>
      </c>
      <c r="V77" s="34" t="s">
        <v>122</v>
      </c>
      <c r="W77" s="34" t="s">
        <v>28</v>
      </c>
      <c r="X77" s="38" t="s">
        <v>164</v>
      </c>
      <c r="Y77" s="62">
        <v>42217</v>
      </c>
      <c r="Z77" s="38">
        <f t="shared" si="4"/>
        <v>3</v>
      </c>
      <c r="AA77" s="38"/>
      <c r="AB77" s="34" t="s">
        <v>53</v>
      </c>
      <c r="AC77" s="34" t="s">
        <v>34</v>
      </c>
      <c r="AD77" s="38"/>
      <c r="AE77" s="59" t="str">
        <f t="shared" si="5"/>
        <v>SÍ</v>
      </c>
      <c r="AF77" s="38" t="e" cm="1">
        <f t="array" aca="1" ref="AF77" ca="1">MIN(100, MAX(0, (IF(R77="ESTUDIANTE", 31, 0)) + (IF(I77&lt;=3, 30, IF(I77&lt;=6, 20, 0))) +(IF(OR(E77="413 - Control de Costes y Enlace Construcción", E77="480 - Secretaría General del Consejo", E77="132 - Civil y estructuras", E77="136 - Mecánica", E77="412 - Planificación", E77="142 - Compras"), 25, 0)) +(IF(OR(S77="GRADO ING. MECÁNICA", S77="GRADO ING. ELÉCTRICA", S77="GRADO DERECHO", S77="GRADO ECONOMÍA", S77="GRADO ING. TECNOLOGÍAS INDUSTRIALES"), 24, 0)) + (IF(AND(K77&gt;=451, K77&lt;=700), 23, 0)) + (IF(AND(AB77&gt;=5, AB77&lt;=8), 17, 0)) +(IF(_xludf.OR(_xludf.AND(AC77&gt;=8, AC77&lt;=10), _xludf.AND(AC77&gt;=0, AC77&lt;=5)), 16, 0)) + (IF(F77="Madrid", 11, 0))))</f>
        <v>#NAME?</v>
      </c>
      <c r="AG77" s="68"/>
      <c r="AH77" s="71" t="s">
        <v>164</v>
      </c>
    </row>
    <row r="78" spans="1:34" ht="14.4" x14ac:dyDescent="0.3">
      <c r="A78" s="66" t="s">
        <v>1055</v>
      </c>
      <c r="B78" s="66" t="s">
        <v>3172</v>
      </c>
      <c r="C78" s="33">
        <v>75</v>
      </c>
      <c r="D78" s="33" t="s">
        <v>5400</v>
      </c>
      <c r="E78" s="34" t="s">
        <v>5233</v>
      </c>
      <c r="F78" s="34" t="s">
        <v>18</v>
      </c>
      <c r="G78" s="57">
        <v>40742</v>
      </c>
      <c r="H78" s="57">
        <v>41108</v>
      </c>
      <c r="I78" s="34">
        <f t="shared" si="3"/>
        <v>12</v>
      </c>
      <c r="J78" s="34">
        <v>40</v>
      </c>
      <c r="K78" s="36">
        <v>900</v>
      </c>
      <c r="L78" s="34" t="s">
        <v>17</v>
      </c>
      <c r="M78" s="57">
        <v>31771</v>
      </c>
      <c r="N78" s="37">
        <f>(YEAR(TablaMadre[[#This Row],[ALTA]])-YEAR(M78))</f>
        <v>25</v>
      </c>
      <c r="O78" s="34" t="s">
        <v>18</v>
      </c>
      <c r="P78" s="34" t="s">
        <v>19</v>
      </c>
      <c r="Q78" s="34" t="s">
        <v>113</v>
      </c>
      <c r="R78" s="34" t="s">
        <v>21</v>
      </c>
      <c r="S78" s="34" t="s">
        <v>322</v>
      </c>
      <c r="T78" s="34"/>
      <c r="U78" s="34" t="s">
        <v>21</v>
      </c>
      <c r="V78" s="34" t="s">
        <v>114</v>
      </c>
      <c r="W78" s="34" t="s">
        <v>28</v>
      </c>
      <c r="X78" s="38" t="s">
        <v>173</v>
      </c>
      <c r="Y78" s="62"/>
      <c r="Z78" s="38" t="e">
        <f t="shared" si="4"/>
        <v>#NUM!</v>
      </c>
      <c r="AA78" s="38"/>
      <c r="AB78" s="34" t="s">
        <v>53</v>
      </c>
      <c r="AC78" s="34" t="s">
        <v>24</v>
      </c>
      <c r="AD78" s="38"/>
      <c r="AE78" s="59" t="str">
        <f t="shared" si="5"/>
        <v>NO</v>
      </c>
      <c r="AF78" s="38" t="e" cm="1">
        <f t="array" aca="1" ref="AF78" ca="1">MIN(100, MAX(0, (IF(R78="ESTUDIANTE", 31, 0)) + (IF(I78&lt;=3, 30, IF(I78&lt;=6, 20, 0))) +(IF(OR(E78="413 - Control de Costes y Enlace Construcción", E78="480 - Secretaría General del Consejo", E78="132 - Civil y estructuras", E78="136 - Mecánica", E78="412 - Planificación", E78="142 - Compras"), 25, 0)) +(IF(OR(S78="GRADO ING. MECÁNICA", S78="GRADO ING. ELÉCTRICA", S78="GRADO DERECHO", S78="GRADO ECONOMÍA", S78="GRADO ING. TECNOLOGÍAS INDUSTRIALES"), 24, 0)) + (IF(AND(K78&gt;=451, K78&lt;=700), 23, 0)) + (IF(AND(AB78&gt;=5, AB78&lt;=8), 17, 0)) +(IF(_xludf.OR(_xludf.AND(AC78&gt;=8, AC78&lt;=10), _xludf.AND(AC78&gt;=0, AC78&lt;=5)), 16, 0)) + (IF(F78="Madrid", 11, 0))))</f>
        <v>#NAME?</v>
      </c>
      <c r="AG78" s="68"/>
      <c r="AH78" s="71" t="s">
        <v>164</v>
      </c>
    </row>
    <row r="79" spans="1:34" ht="14.4" x14ac:dyDescent="0.3">
      <c r="A79" s="66" t="s">
        <v>1434</v>
      </c>
      <c r="B79" s="66" t="s">
        <v>3551</v>
      </c>
      <c r="C79" s="33">
        <v>76</v>
      </c>
      <c r="D79" s="33" t="s">
        <v>5401</v>
      </c>
      <c r="E79" s="34" t="s">
        <v>5251</v>
      </c>
      <c r="F79" s="34" t="s">
        <v>18</v>
      </c>
      <c r="G79" s="57">
        <v>40742</v>
      </c>
      <c r="H79" s="57">
        <v>41121</v>
      </c>
      <c r="I79" s="34">
        <f t="shared" si="3"/>
        <v>12</v>
      </c>
      <c r="J79" s="34">
        <v>40</v>
      </c>
      <c r="K79" s="36">
        <v>900</v>
      </c>
      <c r="L79" s="34" t="s">
        <v>29</v>
      </c>
      <c r="M79" s="57">
        <v>31187</v>
      </c>
      <c r="N79" s="37">
        <f>(YEAR(TablaMadre[[#This Row],[ALTA]])-YEAR(M79))</f>
        <v>26</v>
      </c>
      <c r="O79" s="34" t="s">
        <v>18</v>
      </c>
      <c r="P79" s="34" t="s">
        <v>19</v>
      </c>
      <c r="Q79" s="34" t="s">
        <v>120</v>
      </c>
      <c r="R79" s="34" t="s">
        <v>21</v>
      </c>
      <c r="S79" s="34" t="s">
        <v>296</v>
      </c>
      <c r="T79" s="34"/>
      <c r="U79" s="34" t="s">
        <v>21</v>
      </c>
      <c r="V79" s="34" t="s">
        <v>56</v>
      </c>
      <c r="W79" s="34" t="s">
        <v>28</v>
      </c>
      <c r="X79" s="38" t="s">
        <v>173</v>
      </c>
      <c r="Y79" s="62"/>
      <c r="Z79" s="38" t="e">
        <f t="shared" si="4"/>
        <v>#NUM!</v>
      </c>
      <c r="AA79" s="38" t="s">
        <v>173</v>
      </c>
      <c r="AB79" s="34" t="s">
        <v>24</v>
      </c>
      <c r="AC79" s="34" t="s">
        <v>34</v>
      </c>
      <c r="AD79" s="38"/>
      <c r="AE79" s="59" t="str">
        <f t="shared" si="5"/>
        <v>NO</v>
      </c>
      <c r="AF79" s="38" t="e" cm="1">
        <f t="array" aca="1" ref="AF79" ca="1">MIN(100, MAX(0, (IF(R79="ESTUDIANTE", 31, 0)) + (IF(I79&lt;=3, 30, IF(I79&lt;=6, 20, 0))) +(IF(OR(E79="413 - Control de Costes y Enlace Construcción", E79="480 - Secretaría General del Consejo", E79="132 - Civil y estructuras", E79="136 - Mecánica", E79="412 - Planificación", E79="142 - Compras"), 25, 0)) +(IF(OR(S79="GRADO ING. MECÁNICA", S79="GRADO ING. ELÉCTRICA", S79="GRADO DERECHO", S79="GRADO ECONOMÍA", S79="GRADO ING. TECNOLOGÍAS INDUSTRIALES"), 24, 0)) + (IF(AND(K79&gt;=451, K79&lt;=700), 23, 0)) + (IF(AND(AB79&gt;=5, AB79&lt;=8), 17, 0)) +(IF(_xludf.OR(_xludf.AND(AC79&gt;=8, AC79&lt;=10), _xludf.AND(AC79&gt;=0, AC79&lt;=5)), 16, 0)) + (IF(F79="Madrid", 11, 0))))</f>
        <v>#NAME?</v>
      </c>
      <c r="AG79" s="68"/>
      <c r="AH79" s="71" t="s">
        <v>164</v>
      </c>
    </row>
    <row r="80" spans="1:34" ht="16.95" customHeight="1" x14ac:dyDescent="0.3">
      <c r="A80" s="66" t="s">
        <v>1051</v>
      </c>
      <c r="B80" s="66" t="s">
        <v>3168</v>
      </c>
      <c r="C80" s="33">
        <v>81</v>
      </c>
      <c r="D80" s="33" t="s">
        <v>5402</v>
      </c>
      <c r="E80" s="34" t="s">
        <v>5250</v>
      </c>
      <c r="F80" s="34" t="s">
        <v>18</v>
      </c>
      <c r="G80" s="57">
        <v>40744</v>
      </c>
      <c r="H80" s="57">
        <v>41121</v>
      </c>
      <c r="I80" s="34">
        <f t="shared" si="3"/>
        <v>12</v>
      </c>
      <c r="J80" s="34">
        <v>40</v>
      </c>
      <c r="K80" s="36">
        <v>900</v>
      </c>
      <c r="L80" s="34" t="s">
        <v>17</v>
      </c>
      <c r="M80" s="57">
        <v>32140</v>
      </c>
      <c r="N80" s="37">
        <f>(YEAR(TablaMadre[[#This Row],[ALTA]])-YEAR(M80))</f>
        <v>24</v>
      </c>
      <c r="O80" s="34" t="s">
        <v>18</v>
      </c>
      <c r="P80" s="34" t="s">
        <v>19</v>
      </c>
      <c r="Q80" s="34" t="s">
        <v>63</v>
      </c>
      <c r="R80" s="34" t="s">
        <v>21</v>
      </c>
      <c r="S80" s="34" t="s">
        <v>297</v>
      </c>
      <c r="T80" s="34"/>
      <c r="U80" s="34" t="s">
        <v>42</v>
      </c>
      <c r="V80" s="34" t="s">
        <v>40</v>
      </c>
      <c r="W80" s="34" t="s">
        <v>28</v>
      </c>
      <c r="X80" s="34" t="s">
        <v>164</v>
      </c>
      <c r="Y80" s="57">
        <v>44618</v>
      </c>
      <c r="Z80" s="34">
        <f t="shared" si="4"/>
        <v>9</v>
      </c>
      <c r="AA80" s="34"/>
      <c r="AB80" s="34" t="s">
        <v>24</v>
      </c>
      <c r="AC80" s="34" t="s">
        <v>34</v>
      </c>
      <c r="AD80" s="34"/>
      <c r="AE80" s="59" t="str">
        <f t="shared" si="5"/>
        <v>NO</v>
      </c>
      <c r="AF80" s="38" t="e" cm="1">
        <f t="array" aca="1" ref="AF80" ca="1">MIN(100, MAX(0, (IF(R80="ESTUDIANTE", 31, 0)) + (IF(I80&lt;=3, 30, IF(I80&lt;=6, 20, 0))) +(IF(OR(E80="413 - Control de Costes y Enlace Construcción", E80="480 - Secretaría General del Consejo", E80="132 - Civil y estructuras", E80="136 - Mecánica", E80="412 - Planificación", E80="142 - Compras"), 25, 0)) +(IF(OR(S80="GRADO ING. MECÁNICA", S80="GRADO ING. ELÉCTRICA", S80="GRADO DERECHO", S80="GRADO ECONOMÍA", S80="GRADO ING. TECNOLOGÍAS INDUSTRIALES"), 24, 0)) + (IF(AND(K80&gt;=451, K80&lt;=700), 23, 0)) + (IF(AND(AB80&gt;=5, AB80&lt;=8), 17, 0)) +(IF(_xludf.OR(_xludf.AND(AC80&gt;=8, AC80&lt;=10), _xludf.AND(AC80&gt;=0, AC80&lt;=5)), 16, 0)) + (IF(F80="Madrid", 11, 0))))</f>
        <v>#NAME?</v>
      </c>
      <c r="AG80" s="68"/>
      <c r="AH80" s="71" t="s">
        <v>164</v>
      </c>
    </row>
    <row r="81" spans="1:34" ht="14.4" x14ac:dyDescent="0.3">
      <c r="A81" s="66" t="s">
        <v>1054</v>
      </c>
      <c r="B81" s="66" t="s">
        <v>3171</v>
      </c>
      <c r="C81" s="33">
        <v>80</v>
      </c>
      <c r="D81" s="33" t="s">
        <v>5393</v>
      </c>
      <c r="E81" s="34" t="s">
        <v>5248</v>
      </c>
      <c r="F81" s="34" t="s">
        <v>18</v>
      </c>
      <c r="G81" s="57">
        <v>40744</v>
      </c>
      <c r="H81" s="57">
        <v>41109</v>
      </c>
      <c r="I81" s="34">
        <f t="shared" si="3"/>
        <v>11</v>
      </c>
      <c r="J81" s="34">
        <v>40</v>
      </c>
      <c r="K81" s="36">
        <v>900</v>
      </c>
      <c r="L81" s="34" t="s">
        <v>17</v>
      </c>
      <c r="M81" s="57">
        <v>32989</v>
      </c>
      <c r="N81" s="37">
        <f>(YEAR(TablaMadre[[#This Row],[ALTA]])-YEAR(M81))</f>
        <v>21</v>
      </c>
      <c r="O81" s="34" t="s">
        <v>75</v>
      </c>
      <c r="P81" s="34" t="s">
        <v>19</v>
      </c>
      <c r="Q81" s="34" t="s">
        <v>20</v>
      </c>
      <c r="R81" s="34" t="s">
        <v>21</v>
      </c>
      <c r="S81" s="34" t="s">
        <v>151</v>
      </c>
      <c r="T81" s="34"/>
      <c r="U81" s="34" t="s">
        <v>42</v>
      </c>
      <c r="V81" s="34" t="s">
        <v>81</v>
      </c>
      <c r="W81" s="34" t="s">
        <v>28</v>
      </c>
      <c r="X81" s="38" t="s">
        <v>164</v>
      </c>
      <c r="Y81" s="62">
        <v>44454</v>
      </c>
      <c r="Z81" s="38">
        <f t="shared" si="4"/>
        <v>9</v>
      </c>
      <c r="AA81" s="38"/>
      <c r="AB81" s="34" t="s">
        <v>24</v>
      </c>
      <c r="AC81" s="34" t="s">
        <v>34</v>
      </c>
      <c r="AD81" s="38"/>
      <c r="AE81" s="59" t="str">
        <f t="shared" si="5"/>
        <v>SÍ</v>
      </c>
      <c r="AF81" s="38" t="e" cm="1">
        <f t="array" aca="1" ref="AF81" ca="1">MIN(100, MAX(0, (IF(R81="ESTUDIANTE", 31, 0)) + (IF(I81&lt;=3, 30, IF(I81&lt;=6, 20, 0))) +(IF(OR(E81="413 - Control de Costes y Enlace Construcción", E81="480 - Secretaría General del Consejo", E81="132 - Civil y estructuras", E81="136 - Mecánica", E81="412 - Planificación", E81="142 - Compras"), 25, 0)) +(IF(OR(S81="GRADO ING. MECÁNICA", S81="GRADO ING. ELÉCTRICA", S81="GRADO DERECHO", S81="GRADO ECONOMÍA", S81="GRADO ING. TECNOLOGÍAS INDUSTRIALES"), 24, 0)) + (IF(AND(K81&gt;=451, K81&lt;=700), 23, 0)) + (IF(AND(AB81&gt;=5, AB81&lt;=8), 17, 0)) +(IF(_xludf.OR(_xludf.AND(AC81&gt;=8, AC81&lt;=10), _xludf.AND(AC81&gt;=0, AC81&lt;=5)), 16, 0)) + (IF(F81="Madrid", 11, 0))))</f>
        <v>#NAME?</v>
      </c>
      <c r="AG81" s="68"/>
      <c r="AH81" s="71" t="s">
        <v>164</v>
      </c>
    </row>
    <row r="82" spans="1:34" s="4" customFormat="1" ht="14.4" x14ac:dyDescent="0.3">
      <c r="A82" s="66" t="s">
        <v>1056</v>
      </c>
      <c r="B82" s="66" t="s">
        <v>3173</v>
      </c>
      <c r="C82" s="33">
        <v>79</v>
      </c>
      <c r="D82" s="33" t="s">
        <v>5394</v>
      </c>
      <c r="E82" s="34" t="s">
        <v>5227</v>
      </c>
      <c r="F82" s="34" t="s">
        <v>18</v>
      </c>
      <c r="G82" s="57">
        <v>40744</v>
      </c>
      <c r="H82" s="57">
        <v>41109</v>
      </c>
      <c r="I82" s="34">
        <f t="shared" si="3"/>
        <v>11</v>
      </c>
      <c r="J82" s="34">
        <v>40</v>
      </c>
      <c r="K82" s="36">
        <v>900</v>
      </c>
      <c r="L82" s="34" t="s">
        <v>29</v>
      </c>
      <c r="M82" s="57">
        <v>32254</v>
      </c>
      <c r="N82" s="37">
        <f>(YEAR(TablaMadre[[#This Row],[ALTA]])-YEAR(M82))</f>
        <v>23</v>
      </c>
      <c r="O82" s="34" t="s">
        <v>18</v>
      </c>
      <c r="P82" s="34" t="s">
        <v>19</v>
      </c>
      <c r="Q82" s="34" t="s">
        <v>115</v>
      </c>
      <c r="R82" s="34" t="s">
        <v>21</v>
      </c>
      <c r="S82" s="34" t="s">
        <v>322</v>
      </c>
      <c r="T82" s="34"/>
      <c r="U82" s="34" t="s">
        <v>30</v>
      </c>
      <c r="V82" s="34" t="s">
        <v>22</v>
      </c>
      <c r="W82" s="34" t="s">
        <v>28</v>
      </c>
      <c r="X82" s="38" t="s">
        <v>164</v>
      </c>
      <c r="Y82" s="62">
        <v>42583</v>
      </c>
      <c r="Z82" s="38">
        <f t="shared" si="4"/>
        <v>4</v>
      </c>
      <c r="AA82" s="38"/>
      <c r="AB82" s="34" t="s">
        <v>24</v>
      </c>
      <c r="AC82" s="34" t="s">
        <v>34</v>
      </c>
      <c r="AD82" s="38"/>
      <c r="AE82" s="59" t="str">
        <f t="shared" si="5"/>
        <v>NO</v>
      </c>
      <c r="AF82" s="34" t="e" cm="1">
        <f t="array" aca="1" ref="AF82" ca="1">MIN(100, MAX(0, (IF(R82="ESTUDIANTE", 31, 0)) + (IF(I82&lt;=3, 30, IF(I82&lt;=6, 20, 0))) +(IF(OR(E82="413 - Control de Costes y Enlace Construcción", E82="480 - Secretaría General del Consejo", E82="132 - Civil y estructuras", E82="136 - Mecánica", E82="412 - Planificación", E82="142 - Compras"), 25, 0)) +(IF(OR(S82="GRADO ING. MECÁNICA", S82="GRADO ING. ELÉCTRICA", S82="GRADO DERECHO", S82="GRADO ECONOMÍA", S82="GRADO ING. TECNOLOGÍAS INDUSTRIALES"), 24, 0)) + (IF(AND(K82&gt;=451, K82&lt;=700), 23, 0)) + (IF(AND(AB82&gt;=5, AB82&lt;=8), 17, 0)) +(IF(_xludf.OR(_xludf.AND(AC82&gt;=8, AC82&lt;=10), _xludf.AND(AC82&gt;=0, AC82&lt;=5)), 16, 0)) + (IF(F82="Madrid", 11, 0))))</f>
        <v>#NAME?</v>
      </c>
      <c r="AG82" s="69"/>
      <c r="AH82" s="71" t="s">
        <v>164</v>
      </c>
    </row>
    <row r="83" spans="1:34" ht="14.4" x14ac:dyDescent="0.3">
      <c r="A83" s="66" t="s">
        <v>1032</v>
      </c>
      <c r="B83" s="66" t="s">
        <v>3149</v>
      </c>
      <c r="C83" s="33">
        <v>82</v>
      </c>
      <c r="D83" s="33" t="s">
        <v>5395</v>
      </c>
      <c r="E83" s="34" t="s">
        <v>5234</v>
      </c>
      <c r="F83" s="34" t="s">
        <v>18</v>
      </c>
      <c r="G83" s="57">
        <v>40761</v>
      </c>
      <c r="H83" s="57">
        <v>41060</v>
      </c>
      <c r="I83" s="34">
        <f t="shared" si="3"/>
        <v>9</v>
      </c>
      <c r="J83" s="34">
        <v>40</v>
      </c>
      <c r="K83" s="36">
        <v>800</v>
      </c>
      <c r="L83" s="34" t="s">
        <v>29</v>
      </c>
      <c r="M83" s="57">
        <v>31183</v>
      </c>
      <c r="N83" s="37">
        <f>(YEAR(TablaMadre[[#This Row],[ALTA]])-YEAR(M83))</f>
        <v>26</v>
      </c>
      <c r="O83" s="34" t="s">
        <v>18</v>
      </c>
      <c r="P83" s="34" t="s">
        <v>19</v>
      </c>
      <c r="Q83" s="34" t="s">
        <v>83</v>
      </c>
      <c r="R83" s="34" t="s">
        <v>21</v>
      </c>
      <c r="S83" s="34" t="s">
        <v>291</v>
      </c>
      <c r="T83" s="34"/>
      <c r="U83" s="34" t="s">
        <v>30</v>
      </c>
      <c r="V83" s="34" t="s">
        <v>84</v>
      </c>
      <c r="W83" s="34" t="s">
        <v>28</v>
      </c>
      <c r="X83" s="38" t="s">
        <v>164</v>
      </c>
      <c r="Y83" s="62">
        <v>43404</v>
      </c>
      <c r="Z83" s="38">
        <f t="shared" si="4"/>
        <v>6</v>
      </c>
      <c r="AA83" s="38"/>
      <c r="AB83" s="34" t="s">
        <v>24</v>
      </c>
      <c r="AC83" s="34" t="s">
        <v>34</v>
      </c>
      <c r="AD83" s="38"/>
      <c r="AE83" s="59" t="str">
        <f t="shared" si="5"/>
        <v>NO</v>
      </c>
      <c r="AF83" s="38" t="e" cm="1">
        <f t="array" aca="1" ref="AF83" ca="1">MIN(100, MAX(0, (IF(R83="ESTUDIANTE", 31, 0)) + (IF(I83&lt;=3, 30, IF(I83&lt;=6, 20, 0))) +(IF(OR(E83="413 - Control de Costes y Enlace Construcción", E83="480 - Secretaría General del Consejo", E83="132 - Civil y estructuras", E83="136 - Mecánica", E83="412 - Planificación", E83="142 - Compras"), 25, 0)) +(IF(OR(S83="GRADO ING. MECÁNICA", S83="GRADO ING. ELÉCTRICA", S83="GRADO DERECHO", S83="GRADO ECONOMÍA", S83="GRADO ING. TECNOLOGÍAS INDUSTRIALES"), 24, 0)) + (IF(AND(K83&gt;=451, K83&lt;=700), 23, 0)) + (IF(AND(AB83&gt;=5, AB83&lt;=8), 17, 0)) +(IF(_xludf.OR(_xludf.AND(AC83&gt;=8, AC83&lt;=10), _xludf.AND(AC83&gt;=0, AC83&lt;=5)), 16, 0)) + (IF(F83="Madrid", 11, 0))))</f>
        <v>#NAME?</v>
      </c>
      <c r="AG83" s="68"/>
      <c r="AH83" s="71" t="s">
        <v>164</v>
      </c>
    </row>
    <row r="84" spans="1:34" ht="13.5" customHeight="1" x14ac:dyDescent="0.3">
      <c r="A84" s="66" t="s">
        <v>1059</v>
      </c>
      <c r="B84" s="66" t="s">
        <v>3176</v>
      </c>
      <c r="C84" s="33">
        <v>83</v>
      </c>
      <c r="D84" s="33" t="s">
        <v>5396</v>
      </c>
      <c r="E84" s="34" t="s">
        <v>5244</v>
      </c>
      <c r="F84" s="34" t="s">
        <v>18</v>
      </c>
      <c r="G84" s="57">
        <v>40763</v>
      </c>
      <c r="H84" s="57">
        <v>41098</v>
      </c>
      <c r="I84" s="34">
        <f t="shared" si="3"/>
        <v>11</v>
      </c>
      <c r="J84" s="34">
        <v>40</v>
      </c>
      <c r="K84" s="36">
        <v>900</v>
      </c>
      <c r="L84" s="34" t="s">
        <v>29</v>
      </c>
      <c r="M84" s="57">
        <v>32589</v>
      </c>
      <c r="N84" s="37">
        <f>(YEAR(TablaMadre[[#This Row],[ALTA]])-YEAR(M84))</f>
        <v>22</v>
      </c>
      <c r="O84" s="34" t="s">
        <v>411</v>
      </c>
      <c r="P84" s="34" t="s">
        <v>19</v>
      </c>
      <c r="Q84" s="34" t="s">
        <v>66</v>
      </c>
      <c r="R84" s="34" t="s">
        <v>21</v>
      </c>
      <c r="S84" s="34" t="s">
        <v>322</v>
      </c>
      <c r="T84" s="34"/>
      <c r="U84" s="34" t="s">
        <v>42</v>
      </c>
      <c r="V84" s="34" t="s">
        <v>112</v>
      </c>
      <c r="W84" s="34" t="s">
        <v>28</v>
      </c>
      <c r="X84" s="38" t="s">
        <v>173</v>
      </c>
      <c r="Y84" s="62"/>
      <c r="Z84" s="38" t="e">
        <f t="shared" si="4"/>
        <v>#NUM!</v>
      </c>
      <c r="AA84" s="38"/>
      <c r="AB84" s="34" t="s">
        <v>24</v>
      </c>
      <c r="AC84" s="34" t="s">
        <v>34</v>
      </c>
      <c r="AD84" s="38"/>
      <c r="AE84" s="59" t="str">
        <f t="shared" si="5"/>
        <v>SÍ</v>
      </c>
      <c r="AF84" s="38" t="e" cm="1">
        <f t="array" aca="1" ref="AF84" ca="1">MIN(100, MAX(0, (IF(R84="ESTUDIANTE", 31, 0)) + (IF(I84&lt;=3, 30, IF(I84&lt;=6, 20, 0))) +(IF(OR(E84="413 - Control de Costes y Enlace Construcción", E84="480 - Secretaría General del Consejo", E84="132 - Civil y estructuras", E84="136 - Mecánica", E84="412 - Planificación", E84="142 - Compras"), 25, 0)) +(IF(OR(S84="GRADO ING. MECÁNICA", S84="GRADO ING. ELÉCTRICA", S84="GRADO DERECHO", S84="GRADO ECONOMÍA", S84="GRADO ING. TECNOLOGÍAS INDUSTRIALES"), 24, 0)) + (IF(AND(K84&gt;=451, K84&lt;=700), 23, 0)) + (IF(AND(AB84&gt;=5, AB84&lt;=8), 17, 0)) +(IF(_xludf.OR(_xludf.AND(AC84&gt;=8, AC84&lt;=10), _xludf.AND(AC84&gt;=0, AC84&lt;=5)), 16, 0)) + (IF(F84="Madrid", 11, 0))))</f>
        <v>#NAME?</v>
      </c>
      <c r="AG84" s="68"/>
      <c r="AH84" s="71" t="s">
        <v>164</v>
      </c>
    </row>
    <row r="85" spans="1:34" ht="14.4" x14ac:dyDescent="0.3">
      <c r="A85" s="66" t="s">
        <v>1015</v>
      </c>
      <c r="B85" s="66" t="s">
        <v>3132</v>
      </c>
      <c r="C85" s="33">
        <v>85</v>
      </c>
      <c r="D85" s="33" t="s">
        <v>5397</v>
      </c>
      <c r="E85" s="34" t="s">
        <v>5252</v>
      </c>
      <c r="F85" s="34" t="s">
        <v>18</v>
      </c>
      <c r="G85" s="57">
        <v>40791</v>
      </c>
      <c r="H85" s="57">
        <v>41126</v>
      </c>
      <c r="I85" s="34">
        <f t="shared" si="3"/>
        <v>11</v>
      </c>
      <c r="J85" s="34">
        <v>30</v>
      </c>
      <c r="K85" s="36">
        <v>675</v>
      </c>
      <c r="L85" s="34" t="s">
        <v>17</v>
      </c>
      <c r="M85" s="57">
        <v>30855</v>
      </c>
      <c r="N85" s="37">
        <f>(YEAR(TablaMadre[[#This Row],[ALTA]])-YEAR(M85))</f>
        <v>27</v>
      </c>
      <c r="O85" s="34" t="s">
        <v>18</v>
      </c>
      <c r="P85" s="34" t="s">
        <v>19</v>
      </c>
      <c r="Q85" s="34" t="s">
        <v>63</v>
      </c>
      <c r="R85" s="58" t="s">
        <v>30</v>
      </c>
      <c r="S85" s="34" t="s">
        <v>297</v>
      </c>
      <c r="T85" s="34"/>
      <c r="U85" s="34" t="s">
        <v>30</v>
      </c>
      <c r="V85" s="34" t="s">
        <v>56</v>
      </c>
      <c r="W85" s="34" t="s">
        <v>127</v>
      </c>
      <c r="X85" s="38" t="s">
        <v>164</v>
      </c>
      <c r="Y85" s="62">
        <v>41426</v>
      </c>
      <c r="Z85" s="38">
        <f t="shared" si="4"/>
        <v>0</v>
      </c>
      <c r="AA85" s="38"/>
      <c r="AB85" s="34" t="s">
        <v>24</v>
      </c>
      <c r="AC85" s="34" t="s">
        <v>34</v>
      </c>
      <c r="AD85" s="38"/>
      <c r="AE85" s="59" t="str">
        <f t="shared" si="5"/>
        <v>NO</v>
      </c>
      <c r="AF85" s="38" t="e" cm="1">
        <f t="array" aca="1" ref="AF85" ca="1">MIN(100, MAX(0, (IF(R85="ESTUDIANTE", 31, 0)) + (IF(I85&lt;=3, 30, IF(I85&lt;=6, 20, 0))) +(IF(OR(E85="413 - Control de Costes y Enlace Construcción", E85="480 - Secretaría General del Consejo", E85="132 - Civil y estructuras", E85="136 - Mecánica", E85="412 - Planificación", E85="142 - Compras"), 25, 0)) +(IF(OR(S85="GRADO ING. MECÁNICA", S85="GRADO ING. ELÉCTRICA", S85="GRADO DERECHO", S85="GRADO ECONOMÍA", S85="GRADO ING. TECNOLOGÍAS INDUSTRIALES"), 24, 0)) + (IF(AND(K85&gt;=451, K85&lt;=700), 23, 0)) + (IF(AND(AB85&gt;=5, AB85&lt;=8), 17, 0)) +(IF(_xludf.OR(_xludf.AND(AC85&gt;=8, AC85&lt;=10), _xludf.AND(AC85&gt;=0, AC85&lt;=5)), 16, 0)) + (IF(F85="Madrid", 11, 0))))</f>
        <v>#NAME?</v>
      </c>
      <c r="AG85" s="68"/>
      <c r="AH85" s="71" t="s">
        <v>164</v>
      </c>
    </row>
    <row r="86" spans="1:34" ht="14.4" x14ac:dyDescent="0.3">
      <c r="A86" s="66" t="s">
        <v>1016</v>
      </c>
      <c r="B86" s="66" t="s">
        <v>3133</v>
      </c>
      <c r="C86" s="33">
        <v>90</v>
      </c>
      <c r="D86" s="33" t="s">
        <v>5398</v>
      </c>
      <c r="E86" s="34" t="s">
        <v>5252</v>
      </c>
      <c r="F86" s="34" t="s">
        <v>18</v>
      </c>
      <c r="G86" s="57">
        <v>40791</v>
      </c>
      <c r="H86" s="57">
        <v>41126</v>
      </c>
      <c r="I86" s="34">
        <f t="shared" si="3"/>
        <v>11</v>
      </c>
      <c r="J86" s="34">
        <v>30</v>
      </c>
      <c r="K86" s="36">
        <v>675</v>
      </c>
      <c r="L86" s="34" t="s">
        <v>29</v>
      </c>
      <c r="M86" s="57">
        <v>32863</v>
      </c>
      <c r="N86" s="37">
        <f>(YEAR(TablaMadre[[#This Row],[ALTA]])-YEAR(M86))</f>
        <v>22</v>
      </c>
      <c r="O86" s="34" t="s">
        <v>68</v>
      </c>
      <c r="P86" s="34" t="s">
        <v>19</v>
      </c>
      <c r="Q86" s="34" t="s">
        <v>130</v>
      </c>
      <c r="R86" s="58" t="s">
        <v>30</v>
      </c>
      <c r="S86" s="34" t="s">
        <v>307</v>
      </c>
      <c r="T86" s="34"/>
      <c r="U86" s="34" t="s">
        <v>30</v>
      </c>
      <c r="V86" s="34" t="s">
        <v>131</v>
      </c>
      <c r="W86" s="34" t="s">
        <v>28</v>
      </c>
      <c r="X86" s="38" t="s">
        <v>164</v>
      </c>
      <c r="Y86" s="62">
        <v>43631</v>
      </c>
      <c r="Z86" s="38">
        <f t="shared" si="4"/>
        <v>6</v>
      </c>
      <c r="AA86" s="38"/>
      <c r="AB86" s="34" t="s">
        <v>24</v>
      </c>
      <c r="AC86" s="34" t="s">
        <v>34</v>
      </c>
      <c r="AD86" s="38"/>
      <c r="AE86" s="59" t="str">
        <f t="shared" si="5"/>
        <v>SÍ</v>
      </c>
      <c r="AF86" s="38" t="e" cm="1">
        <f t="array" aca="1" ref="AF86" ca="1">MIN(100, MAX(0, (IF(R86="ESTUDIANTE", 31, 0)) + (IF(I86&lt;=3, 30, IF(I86&lt;=6, 20, 0))) +(IF(OR(E86="413 - Control de Costes y Enlace Construcción", E86="480 - Secretaría General del Consejo", E86="132 - Civil y estructuras", E86="136 - Mecánica", E86="412 - Planificación", E86="142 - Compras"), 25, 0)) +(IF(OR(S86="GRADO ING. MECÁNICA", S86="GRADO ING. ELÉCTRICA", S86="GRADO DERECHO", S86="GRADO ECONOMÍA", S86="GRADO ING. TECNOLOGÍAS INDUSTRIALES"), 24, 0)) + (IF(AND(K86&gt;=451, K86&lt;=700), 23, 0)) + (IF(AND(AB86&gt;=5, AB86&lt;=8), 17, 0)) +(IF(_xludf.OR(_xludf.AND(AC86&gt;=8, AC86&lt;=10), _xludf.AND(AC86&gt;=0, AC86&lt;=5)), 16, 0)) + (IF(F86="Madrid", 11, 0))))</f>
        <v>#NAME?</v>
      </c>
      <c r="AG86" s="68"/>
      <c r="AH86" s="71" t="s">
        <v>164</v>
      </c>
    </row>
    <row r="87" spans="1:34" ht="14.4" x14ac:dyDescent="0.3">
      <c r="A87" s="66" t="s">
        <v>1019</v>
      </c>
      <c r="B87" s="66" t="s">
        <v>3136</v>
      </c>
      <c r="C87" s="33">
        <v>84</v>
      </c>
      <c r="D87" s="33" t="s">
        <v>5399</v>
      </c>
      <c r="E87" s="34" t="s">
        <v>5252</v>
      </c>
      <c r="F87" s="34" t="s">
        <v>18</v>
      </c>
      <c r="G87" s="57">
        <v>40791</v>
      </c>
      <c r="H87" s="57">
        <v>41124</v>
      </c>
      <c r="I87" s="34">
        <f t="shared" si="3"/>
        <v>10</v>
      </c>
      <c r="J87" s="34">
        <v>40</v>
      </c>
      <c r="K87" s="36">
        <v>900</v>
      </c>
      <c r="L87" s="34" t="s">
        <v>17</v>
      </c>
      <c r="M87" s="57">
        <v>31766</v>
      </c>
      <c r="N87" s="37">
        <f>(YEAR(TablaMadre[[#This Row],[ALTA]])-YEAR(M87))</f>
        <v>25</v>
      </c>
      <c r="O87" s="34" t="s">
        <v>80</v>
      </c>
      <c r="P87" s="34" t="s">
        <v>19</v>
      </c>
      <c r="Q87" s="34" t="s">
        <v>125</v>
      </c>
      <c r="R87" s="34" t="s">
        <v>21</v>
      </c>
      <c r="S87" s="34" t="s">
        <v>395</v>
      </c>
      <c r="T87" s="34"/>
      <c r="U87" s="34" t="s">
        <v>30</v>
      </c>
      <c r="V87" s="34" t="s">
        <v>126</v>
      </c>
      <c r="W87" s="34" t="s">
        <v>28</v>
      </c>
      <c r="X87" s="38" t="s">
        <v>173</v>
      </c>
      <c r="Y87" s="62"/>
      <c r="Z87" s="38" t="e">
        <f t="shared" si="4"/>
        <v>#NUM!</v>
      </c>
      <c r="AA87" s="38"/>
      <c r="AB87" s="34" t="s">
        <v>24</v>
      </c>
      <c r="AC87" s="34" t="s">
        <v>34</v>
      </c>
      <c r="AD87" s="38"/>
      <c r="AE87" s="59" t="str">
        <f t="shared" si="5"/>
        <v>SÍ</v>
      </c>
      <c r="AF87" s="38" t="e" cm="1">
        <f t="array" aca="1" ref="AF87" ca="1">MIN(100, MAX(0, (IF(R87="ESTUDIANTE", 31, 0)) + (IF(I87&lt;=3, 30, IF(I87&lt;=6, 20, 0))) +(IF(OR(E87="413 - Control de Costes y Enlace Construcción", E87="480 - Secretaría General del Consejo", E87="132 - Civil y estructuras", E87="136 - Mecánica", E87="412 - Planificación", E87="142 - Compras"), 25, 0)) +(IF(OR(S87="GRADO ING. MECÁNICA", S87="GRADO ING. ELÉCTRICA", S87="GRADO DERECHO", S87="GRADO ECONOMÍA", S87="GRADO ING. TECNOLOGÍAS INDUSTRIALES"), 24, 0)) + (IF(AND(K87&gt;=451, K87&lt;=700), 23, 0)) + (IF(AND(AB87&gt;=5, AB87&lt;=8), 17, 0)) +(IF(_xludf.OR(_xludf.AND(AC87&gt;=8, AC87&lt;=10), _xludf.AND(AC87&gt;=0, AC87&lt;=5)), 16, 0)) + (IF(F87="Madrid", 11, 0))))</f>
        <v>#NAME?</v>
      </c>
      <c r="AG87" s="68"/>
      <c r="AH87" s="71" t="s">
        <v>164</v>
      </c>
    </row>
    <row r="88" spans="1:34" ht="14.4" x14ac:dyDescent="0.3">
      <c r="A88" s="66" t="s">
        <v>1020</v>
      </c>
      <c r="B88" s="66" t="s">
        <v>3137</v>
      </c>
      <c r="C88" s="33">
        <v>89</v>
      </c>
      <c r="D88" s="33" t="s">
        <v>5393</v>
      </c>
      <c r="E88" s="34" t="s">
        <v>5252</v>
      </c>
      <c r="F88" s="34" t="s">
        <v>18</v>
      </c>
      <c r="G88" s="57">
        <v>40791</v>
      </c>
      <c r="H88" s="57">
        <v>41126</v>
      </c>
      <c r="I88" s="34">
        <f t="shared" si="3"/>
        <v>11</v>
      </c>
      <c r="J88" s="34">
        <v>40</v>
      </c>
      <c r="K88" s="36">
        <v>900</v>
      </c>
      <c r="L88" s="34" t="s">
        <v>17</v>
      </c>
      <c r="M88" s="57">
        <v>32953</v>
      </c>
      <c r="N88" s="37">
        <f>(YEAR(TablaMadre[[#This Row],[ALTA]])-YEAR(M88))</f>
        <v>21</v>
      </c>
      <c r="O88" s="34" t="s">
        <v>255</v>
      </c>
      <c r="P88" s="34" t="s">
        <v>19</v>
      </c>
      <c r="Q88" s="34" t="s">
        <v>129</v>
      </c>
      <c r="R88" s="34" t="s">
        <v>21</v>
      </c>
      <c r="S88" s="34" t="s">
        <v>322</v>
      </c>
      <c r="T88" s="34"/>
      <c r="U88" s="34" t="s">
        <v>30</v>
      </c>
      <c r="V88" s="34" t="s">
        <v>77</v>
      </c>
      <c r="W88" s="34" t="s">
        <v>127</v>
      </c>
      <c r="X88" s="38" t="s">
        <v>164</v>
      </c>
      <c r="Y88" s="62">
        <v>44089</v>
      </c>
      <c r="Z88" s="38">
        <f t="shared" si="4"/>
        <v>8</v>
      </c>
      <c r="AA88" s="38"/>
      <c r="AB88" s="34" t="s">
        <v>24</v>
      </c>
      <c r="AC88" s="34" t="s">
        <v>34</v>
      </c>
      <c r="AD88" s="38"/>
      <c r="AE88" s="59" t="str">
        <f t="shared" si="5"/>
        <v>SÍ</v>
      </c>
      <c r="AF88" s="38" t="e" cm="1">
        <f t="array" aca="1" ref="AF88" ca="1">MIN(100, MAX(0, (IF(R88="ESTUDIANTE", 31, 0)) + (IF(I88&lt;=3, 30, IF(I88&lt;=6, 20, 0))) +(IF(OR(E88="413 - Control de Costes y Enlace Construcción", E88="480 - Secretaría General del Consejo", E88="132 - Civil y estructuras", E88="136 - Mecánica", E88="412 - Planificación", E88="142 - Compras"), 25, 0)) +(IF(OR(S88="GRADO ING. MECÁNICA", S88="GRADO ING. ELÉCTRICA", S88="GRADO DERECHO", S88="GRADO ECONOMÍA", S88="GRADO ING. TECNOLOGÍAS INDUSTRIALES"), 24, 0)) + (IF(AND(K88&gt;=451, K88&lt;=700), 23, 0)) + (IF(AND(AB88&gt;=5, AB88&lt;=8), 17, 0)) +(IF(_xludf.OR(_xludf.AND(AC88&gt;=8, AC88&lt;=10), _xludf.AND(AC88&gt;=0, AC88&lt;=5)), 16, 0)) + (IF(F88="Madrid", 11, 0))))</f>
        <v>#NAME?</v>
      </c>
      <c r="AG88" s="68"/>
      <c r="AH88" s="71" t="s">
        <v>164</v>
      </c>
    </row>
    <row r="89" spans="1:34" ht="14.4" x14ac:dyDescent="0.3">
      <c r="A89" s="66" t="s">
        <v>1022</v>
      </c>
      <c r="B89" s="66" t="s">
        <v>3139</v>
      </c>
      <c r="C89" s="33">
        <v>91</v>
      </c>
      <c r="D89" s="33" t="s">
        <v>5394</v>
      </c>
      <c r="E89" s="34" t="s">
        <v>5252</v>
      </c>
      <c r="F89" s="34" t="s">
        <v>18</v>
      </c>
      <c r="G89" s="57">
        <v>40791</v>
      </c>
      <c r="H89" s="57">
        <v>41182</v>
      </c>
      <c r="I89" s="34">
        <f t="shared" si="3"/>
        <v>12</v>
      </c>
      <c r="J89" s="34">
        <v>40</v>
      </c>
      <c r="K89" s="36">
        <v>900</v>
      </c>
      <c r="L89" s="34" t="s">
        <v>17</v>
      </c>
      <c r="M89" s="57">
        <v>31193</v>
      </c>
      <c r="N89" s="37">
        <f>(YEAR(TablaMadre[[#This Row],[ALTA]])-YEAR(M89))</f>
        <v>26</v>
      </c>
      <c r="O89" s="34" t="s">
        <v>18</v>
      </c>
      <c r="P89" s="34" t="s">
        <v>19</v>
      </c>
      <c r="Q89" s="34" t="s">
        <v>109</v>
      </c>
      <c r="R89" s="34" t="s">
        <v>21</v>
      </c>
      <c r="S89" s="34" t="s">
        <v>109</v>
      </c>
      <c r="T89" s="34"/>
      <c r="U89" s="34" t="s">
        <v>30</v>
      </c>
      <c r="V89" s="34" t="s">
        <v>22</v>
      </c>
      <c r="W89" s="34" t="s">
        <v>28</v>
      </c>
      <c r="X89" s="34" t="s">
        <v>173</v>
      </c>
      <c r="Y89" s="57"/>
      <c r="Z89" s="34" t="e">
        <f t="shared" si="4"/>
        <v>#NUM!</v>
      </c>
      <c r="AA89" s="34"/>
      <c r="AB89" s="34" t="s">
        <v>53</v>
      </c>
      <c r="AC89" s="34" t="s">
        <v>34</v>
      </c>
      <c r="AD89" s="34"/>
      <c r="AE89" s="59" t="str">
        <f t="shared" si="5"/>
        <v>NO</v>
      </c>
      <c r="AF89" s="38" t="e" cm="1">
        <f t="array" aca="1" ref="AF89" ca="1">MIN(100, MAX(0, (IF(R89="ESTUDIANTE", 31, 0)) + (IF(I89&lt;=3, 30, IF(I89&lt;=6, 20, 0))) +(IF(OR(E89="413 - Control de Costes y Enlace Construcción", E89="480 - Secretaría General del Consejo", E89="132 - Civil y estructuras", E89="136 - Mecánica", E89="412 - Planificación", E89="142 - Compras"), 25, 0)) +(IF(OR(S89="GRADO ING. MECÁNICA", S89="GRADO ING. ELÉCTRICA", S89="GRADO DERECHO", S89="GRADO ECONOMÍA", S89="GRADO ING. TECNOLOGÍAS INDUSTRIALES"), 24, 0)) + (IF(AND(K89&gt;=451, K89&lt;=700), 23, 0)) + (IF(AND(AB89&gt;=5, AB89&lt;=8), 17, 0)) +(IF(_xludf.OR(_xludf.AND(AC89&gt;=8, AC89&lt;=10), _xludf.AND(AC89&gt;=0, AC89&lt;=5)), 16, 0)) + (IF(F89="Madrid", 11, 0))))</f>
        <v>#NAME?</v>
      </c>
      <c r="AG89" s="68"/>
      <c r="AH89" s="71" t="s">
        <v>164</v>
      </c>
    </row>
    <row r="90" spans="1:34" ht="14.4" x14ac:dyDescent="0.3">
      <c r="A90" s="66" t="s">
        <v>1023</v>
      </c>
      <c r="B90" s="66" t="s">
        <v>3140</v>
      </c>
      <c r="C90" s="33">
        <v>87</v>
      </c>
      <c r="D90" s="33" t="s">
        <v>5395</v>
      </c>
      <c r="E90" s="34" t="s">
        <v>5252</v>
      </c>
      <c r="F90" s="34" t="s">
        <v>18</v>
      </c>
      <c r="G90" s="57">
        <v>40791</v>
      </c>
      <c r="H90" s="57">
        <v>41126</v>
      </c>
      <c r="I90" s="34">
        <f t="shared" si="3"/>
        <v>11</v>
      </c>
      <c r="J90" s="34">
        <v>40</v>
      </c>
      <c r="K90" s="36">
        <v>900</v>
      </c>
      <c r="L90" s="34" t="s">
        <v>17</v>
      </c>
      <c r="M90" s="57">
        <v>33443</v>
      </c>
      <c r="N90" s="37">
        <f>(YEAR(TablaMadre[[#This Row],[ALTA]])-YEAR(M90))</f>
        <v>20</v>
      </c>
      <c r="O90" s="34" t="s">
        <v>18</v>
      </c>
      <c r="P90" s="34" t="s">
        <v>19</v>
      </c>
      <c r="Q90" s="34" t="s">
        <v>129</v>
      </c>
      <c r="R90" s="34" t="s">
        <v>21</v>
      </c>
      <c r="S90" s="34" t="s">
        <v>322</v>
      </c>
      <c r="T90" s="34"/>
      <c r="U90" s="34" t="s">
        <v>42</v>
      </c>
      <c r="V90" s="34" t="s">
        <v>67</v>
      </c>
      <c r="W90" s="34" t="s">
        <v>127</v>
      </c>
      <c r="X90" s="38" t="s">
        <v>164</v>
      </c>
      <c r="Y90" s="62">
        <v>44075</v>
      </c>
      <c r="Z90" s="38">
        <f t="shared" si="4"/>
        <v>8</v>
      </c>
      <c r="AA90" s="38"/>
      <c r="AB90" s="34" t="s">
        <v>53</v>
      </c>
      <c r="AC90" s="34" t="s">
        <v>34</v>
      </c>
      <c r="AD90" s="38"/>
      <c r="AE90" s="59" t="str">
        <f t="shared" si="5"/>
        <v>NO</v>
      </c>
      <c r="AF90" s="38" t="e" cm="1">
        <f t="array" aca="1" ref="AF90" ca="1">MIN(100, MAX(0, (IF(R90="ESTUDIANTE", 31, 0)) + (IF(I90&lt;=3, 30, IF(I90&lt;=6, 20, 0))) +(IF(OR(E90="413 - Control de Costes y Enlace Construcción", E90="480 - Secretaría General del Consejo", E90="132 - Civil y estructuras", E90="136 - Mecánica", E90="412 - Planificación", E90="142 - Compras"), 25, 0)) +(IF(OR(S90="GRADO ING. MECÁNICA", S90="GRADO ING. ELÉCTRICA", S90="GRADO DERECHO", S90="GRADO ECONOMÍA", S90="GRADO ING. TECNOLOGÍAS INDUSTRIALES"), 24, 0)) + (IF(AND(K90&gt;=451, K90&lt;=700), 23, 0)) + (IF(AND(AB90&gt;=5, AB90&lt;=8), 17, 0)) +(IF(_xludf.OR(_xludf.AND(AC90&gt;=8, AC90&lt;=10), _xludf.AND(AC90&gt;=0, AC90&lt;=5)), 16, 0)) + (IF(F90="Madrid", 11, 0))))</f>
        <v>#NAME?</v>
      </c>
      <c r="AG90" s="68"/>
      <c r="AH90" s="71" t="s">
        <v>164</v>
      </c>
    </row>
    <row r="91" spans="1:34" ht="14.4" x14ac:dyDescent="0.3">
      <c r="A91" s="66" t="s">
        <v>1024</v>
      </c>
      <c r="B91" s="66" t="s">
        <v>3141</v>
      </c>
      <c r="C91" s="33">
        <v>86</v>
      </c>
      <c r="D91" s="33" t="s">
        <v>5396</v>
      </c>
      <c r="E91" s="34" t="s">
        <v>5252</v>
      </c>
      <c r="F91" s="34" t="s">
        <v>18</v>
      </c>
      <c r="G91" s="57">
        <v>40791</v>
      </c>
      <c r="H91" s="57">
        <v>41126</v>
      </c>
      <c r="I91" s="34">
        <f t="shared" si="3"/>
        <v>11</v>
      </c>
      <c r="J91" s="34">
        <v>40</v>
      </c>
      <c r="K91" s="36">
        <v>900</v>
      </c>
      <c r="L91" s="34" t="s">
        <v>29</v>
      </c>
      <c r="M91" s="57">
        <v>32353</v>
      </c>
      <c r="N91" s="37">
        <f>(YEAR(TablaMadre[[#This Row],[ALTA]])-YEAR(M91))</f>
        <v>23</v>
      </c>
      <c r="O91" s="34" t="s">
        <v>18</v>
      </c>
      <c r="P91" s="34" t="s">
        <v>19</v>
      </c>
      <c r="Q91" s="34" t="s">
        <v>128</v>
      </c>
      <c r="R91" s="34" t="s">
        <v>21</v>
      </c>
      <c r="S91" s="34" t="s">
        <v>322</v>
      </c>
      <c r="T91" s="34"/>
      <c r="U91" s="34" t="s">
        <v>30</v>
      </c>
      <c r="V91" s="34" t="s">
        <v>22</v>
      </c>
      <c r="W91" s="34" t="s">
        <v>28</v>
      </c>
      <c r="X91" s="38" t="s">
        <v>164</v>
      </c>
      <c r="Y91" s="62">
        <v>43875</v>
      </c>
      <c r="Z91" s="38">
        <f t="shared" si="4"/>
        <v>7</v>
      </c>
      <c r="AA91" s="38"/>
      <c r="AB91" s="34" t="s">
        <v>24</v>
      </c>
      <c r="AC91" s="34" t="s">
        <v>34</v>
      </c>
      <c r="AD91" s="38"/>
      <c r="AE91" s="59" t="str">
        <f t="shared" si="5"/>
        <v>NO</v>
      </c>
      <c r="AF91" s="38" t="e" cm="1">
        <f t="array" aca="1" ref="AF91" ca="1">MIN(100, MAX(0, (IF(R91="ESTUDIANTE", 31, 0)) + (IF(I91&lt;=3, 30, IF(I91&lt;=6, 20, 0))) +(IF(OR(E91="413 - Control de Costes y Enlace Construcción", E91="480 - Secretaría General del Consejo", E91="132 - Civil y estructuras", E91="136 - Mecánica", E91="412 - Planificación", E91="142 - Compras"), 25, 0)) +(IF(OR(S91="GRADO ING. MECÁNICA", S91="GRADO ING. ELÉCTRICA", S91="GRADO DERECHO", S91="GRADO ECONOMÍA", S91="GRADO ING. TECNOLOGÍAS INDUSTRIALES"), 24, 0)) + (IF(AND(K91&gt;=451, K91&lt;=700), 23, 0)) + (IF(AND(AB91&gt;=5, AB91&lt;=8), 17, 0)) +(IF(_xludf.OR(_xludf.AND(AC91&gt;=8, AC91&lt;=10), _xludf.AND(AC91&gt;=0, AC91&lt;=5)), 16, 0)) + (IF(F91="Madrid", 11, 0))))</f>
        <v>#NAME?</v>
      </c>
      <c r="AG91" s="68"/>
      <c r="AH91" s="71" t="s">
        <v>164</v>
      </c>
    </row>
    <row r="92" spans="1:34" s="4" customFormat="1" ht="14.4" x14ac:dyDescent="0.3">
      <c r="A92" s="66" t="s">
        <v>1280</v>
      </c>
      <c r="B92" s="66" t="s">
        <v>3397</v>
      </c>
      <c r="C92" s="33">
        <v>88</v>
      </c>
      <c r="D92" s="33" t="s">
        <v>5397</v>
      </c>
      <c r="E92" s="34" t="s">
        <v>5252</v>
      </c>
      <c r="F92" s="34" t="s">
        <v>18</v>
      </c>
      <c r="G92" s="57">
        <v>40791</v>
      </c>
      <c r="H92" s="57">
        <v>41126</v>
      </c>
      <c r="I92" s="34">
        <f t="shared" si="3"/>
        <v>11</v>
      </c>
      <c r="J92" s="34">
        <v>40</v>
      </c>
      <c r="K92" s="36">
        <v>900</v>
      </c>
      <c r="L92" s="34" t="s">
        <v>29</v>
      </c>
      <c r="M92" s="57">
        <v>33043</v>
      </c>
      <c r="N92" s="37">
        <f>(YEAR(TablaMadre[[#This Row],[ALTA]])-YEAR(M92))</f>
        <v>21</v>
      </c>
      <c r="O92" s="34" t="s">
        <v>18</v>
      </c>
      <c r="P92" s="34" t="s">
        <v>19</v>
      </c>
      <c r="Q92" s="34" t="s">
        <v>87</v>
      </c>
      <c r="R92" s="34" t="s">
        <v>21</v>
      </c>
      <c r="S92" s="34" t="s">
        <v>322</v>
      </c>
      <c r="T92" s="34"/>
      <c r="U92" s="34" t="s">
        <v>21</v>
      </c>
      <c r="V92" s="34" t="s">
        <v>84</v>
      </c>
      <c r="W92" s="34" t="s">
        <v>28</v>
      </c>
      <c r="X92" s="38" t="s">
        <v>173</v>
      </c>
      <c r="Y92" s="62"/>
      <c r="Z92" s="38" t="e">
        <f t="shared" si="4"/>
        <v>#NUM!</v>
      </c>
      <c r="AA92" s="38" t="s">
        <v>173</v>
      </c>
      <c r="AB92" s="34" t="s">
        <v>24</v>
      </c>
      <c r="AC92" s="34" t="s">
        <v>34</v>
      </c>
      <c r="AD92" s="38"/>
      <c r="AE92" s="59" t="str">
        <f t="shared" si="5"/>
        <v>NO</v>
      </c>
      <c r="AF92" s="34" t="e" cm="1">
        <f t="array" aca="1" ref="AF92" ca="1">MIN(100, MAX(0, (IF(R92="ESTUDIANTE", 31, 0)) + (IF(I92&lt;=3, 30, IF(I92&lt;=6, 20, 0))) +(IF(OR(E92="413 - Control de Costes y Enlace Construcción", E92="480 - Secretaría General del Consejo", E92="132 - Civil y estructuras", E92="136 - Mecánica", E92="412 - Planificación", E92="142 - Compras"), 25, 0)) +(IF(OR(S92="GRADO ING. MECÁNICA", S92="GRADO ING. ELÉCTRICA", S92="GRADO DERECHO", S92="GRADO ECONOMÍA", S92="GRADO ING. TECNOLOGÍAS INDUSTRIALES"), 24, 0)) + (IF(AND(K92&gt;=451, K92&lt;=700), 23, 0)) + (IF(AND(AB92&gt;=5, AB92&lt;=8), 17, 0)) +(IF(_xludf.OR(_xludf.AND(AC92&gt;=8, AC92&lt;=10), _xludf.AND(AC92&gt;=0, AC92&lt;=5)), 16, 0)) + (IF(F92="Madrid", 11, 0))))</f>
        <v>#NAME?</v>
      </c>
      <c r="AG92" s="69"/>
      <c r="AH92" s="71" t="s">
        <v>164</v>
      </c>
    </row>
    <row r="93" spans="1:34" ht="14.4" x14ac:dyDescent="0.3">
      <c r="A93" s="66" t="s">
        <v>979</v>
      </c>
      <c r="B93" s="66" t="s">
        <v>980</v>
      </c>
      <c r="C93" s="33">
        <v>92</v>
      </c>
      <c r="D93" s="33" t="s">
        <v>5398</v>
      </c>
      <c r="E93" s="34" t="s">
        <v>5240</v>
      </c>
      <c r="F93" s="34" t="s">
        <v>18</v>
      </c>
      <c r="G93" s="57">
        <v>40817</v>
      </c>
      <c r="H93" s="57">
        <v>41153</v>
      </c>
      <c r="I93" s="34">
        <f t="shared" si="3"/>
        <v>11</v>
      </c>
      <c r="J93" s="34">
        <v>40</v>
      </c>
      <c r="K93" s="36">
        <v>900</v>
      </c>
      <c r="L93" s="34" t="s">
        <v>29</v>
      </c>
      <c r="M93" s="57">
        <v>33448</v>
      </c>
      <c r="N93" s="37">
        <f>(YEAR(TablaMadre[[#This Row],[ALTA]])-YEAR(M93))</f>
        <v>20</v>
      </c>
      <c r="O93" s="34" t="s">
        <v>70</v>
      </c>
      <c r="P93" s="34" t="s">
        <v>19</v>
      </c>
      <c r="Q93" s="34" t="s">
        <v>148</v>
      </c>
      <c r="R93" s="34" t="s">
        <v>21</v>
      </c>
      <c r="S93" s="34" t="s">
        <v>322</v>
      </c>
      <c r="T93" s="34"/>
      <c r="U93" s="34" t="s">
        <v>30</v>
      </c>
      <c r="V93" s="34" t="s">
        <v>131</v>
      </c>
      <c r="W93" s="34" t="s">
        <v>28</v>
      </c>
      <c r="X93" s="38" t="s">
        <v>173</v>
      </c>
      <c r="Y93" s="62"/>
      <c r="Z93" s="38" t="e">
        <f t="shared" si="4"/>
        <v>#NUM!</v>
      </c>
      <c r="AA93" s="38"/>
      <c r="AB93" s="34" t="s">
        <v>53</v>
      </c>
      <c r="AC93" s="34" t="s">
        <v>24</v>
      </c>
      <c r="AD93" s="38"/>
      <c r="AE93" s="59" t="str">
        <f t="shared" si="5"/>
        <v>SÍ</v>
      </c>
      <c r="AF93" s="38" t="e" cm="1">
        <f t="array" aca="1" ref="AF93" ca="1">MIN(100, MAX(0, (IF(R93="ESTUDIANTE", 31, 0)) + (IF(I93&lt;=3, 30, IF(I93&lt;=6, 20, 0))) +(IF(OR(E93="413 - Control de Costes y Enlace Construcción", E93="480 - Secretaría General del Consejo", E93="132 - Civil y estructuras", E93="136 - Mecánica", E93="412 - Planificación", E93="142 - Compras"), 25, 0)) +(IF(OR(S93="GRADO ING. MECÁNICA", S93="GRADO ING. ELÉCTRICA", S93="GRADO DERECHO", S93="GRADO ECONOMÍA", S93="GRADO ING. TECNOLOGÍAS INDUSTRIALES"), 24, 0)) + (IF(AND(K93&gt;=451, K93&lt;=700), 23, 0)) + (IF(AND(AB93&gt;=5, AB93&lt;=8), 17, 0)) +(IF(_xludf.OR(_xludf.AND(AC93&gt;=8, AC93&lt;=10), _xludf.AND(AC93&gt;=0, AC93&lt;=5)), 16, 0)) + (IF(F93="Madrid", 11, 0))))</f>
        <v>#NAME?</v>
      </c>
      <c r="AG93" s="68"/>
      <c r="AH93" s="71" t="s">
        <v>164</v>
      </c>
    </row>
    <row r="94" spans="1:34" ht="14.4" x14ac:dyDescent="0.3">
      <c r="A94" s="66" t="s">
        <v>1063</v>
      </c>
      <c r="B94" s="66" t="s">
        <v>3180</v>
      </c>
      <c r="C94" s="33">
        <v>93</v>
      </c>
      <c r="D94" s="33" t="s">
        <v>5399</v>
      </c>
      <c r="E94" s="34" t="s">
        <v>5253</v>
      </c>
      <c r="F94" s="34" t="s">
        <v>18</v>
      </c>
      <c r="G94" s="57">
        <v>40826</v>
      </c>
      <c r="H94" s="57">
        <v>41182</v>
      </c>
      <c r="I94" s="34">
        <f t="shared" si="3"/>
        <v>11</v>
      </c>
      <c r="J94" s="34">
        <v>40</v>
      </c>
      <c r="K94" s="36">
        <v>900</v>
      </c>
      <c r="L94" s="34" t="s">
        <v>29</v>
      </c>
      <c r="M94" s="57">
        <v>30450</v>
      </c>
      <c r="N94" s="37">
        <f>(YEAR(TablaMadre[[#This Row],[ALTA]])-YEAR(M94))</f>
        <v>28</v>
      </c>
      <c r="O94" s="34" t="s">
        <v>18</v>
      </c>
      <c r="P94" s="34" t="s">
        <v>19</v>
      </c>
      <c r="Q94" s="34" t="s">
        <v>20</v>
      </c>
      <c r="R94" s="34" t="s">
        <v>21</v>
      </c>
      <c r="S94" s="34" t="s">
        <v>151</v>
      </c>
      <c r="T94" s="34"/>
      <c r="U94" s="34" t="s">
        <v>30</v>
      </c>
      <c r="V94" s="34" t="s">
        <v>69</v>
      </c>
      <c r="W94" s="34" t="s">
        <v>28</v>
      </c>
      <c r="X94" s="38" t="s">
        <v>173</v>
      </c>
      <c r="Y94" s="62"/>
      <c r="Z94" s="38" t="e">
        <f t="shared" si="4"/>
        <v>#NUM!</v>
      </c>
      <c r="AA94" s="38"/>
      <c r="AB94" s="34" t="s">
        <v>24</v>
      </c>
      <c r="AC94" s="34" t="s">
        <v>34</v>
      </c>
      <c r="AD94" s="38"/>
      <c r="AE94" s="59" t="str">
        <f t="shared" si="5"/>
        <v>NO</v>
      </c>
      <c r="AF94" s="38" t="e" cm="1">
        <f t="array" aca="1" ref="AF94" ca="1">MIN(100, MAX(0, (IF(R94="ESTUDIANTE", 31, 0)) + (IF(I94&lt;=3, 30, IF(I94&lt;=6, 20, 0))) +(IF(OR(E94="413 - Control de Costes y Enlace Construcción", E94="480 - Secretaría General del Consejo", E94="132 - Civil y estructuras", E94="136 - Mecánica", E94="412 - Planificación", E94="142 - Compras"), 25, 0)) +(IF(OR(S94="GRADO ING. MECÁNICA", S94="GRADO ING. ELÉCTRICA", S94="GRADO DERECHO", S94="GRADO ECONOMÍA", S94="GRADO ING. TECNOLOGÍAS INDUSTRIALES"), 24, 0)) + (IF(AND(K94&gt;=451, K94&lt;=700), 23, 0)) + (IF(AND(AB94&gt;=5, AB94&lt;=8), 17, 0)) +(IF(_xludf.OR(_xludf.AND(AC94&gt;=8, AC94&lt;=10), _xludf.AND(AC94&gt;=0, AC94&lt;=5)), 16, 0)) + (IF(F94="Madrid", 11, 0))))</f>
        <v>#NAME?</v>
      </c>
      <c r="AG94" s="68"/>
      <c r="AH94" s="71" t="s">
        <v>164</v>
      </c>
    </row>
    <row r="95" spans="1:34" ht="14.4" x14ac:dyDescent="0.3">
      <c r="A95" s="66" t="s">
        <v>1073</v>
      </c>
      <c r="B95" s="66" t="s">
        <v>3190</v>
      </c>
      <c r="C95" s="33">
        <v>94</v>
      </c>
      <c r="D95" s="33" t="s">
        <v>5400</v>
      </c>
      <c r="E95" s="34" t="s">
        <v>5254</v>
      </c>
      <c r="F95" s="34" t="s">
        <v>18</v>
      </c>
      <c r="G95" s="57">
        <v>40827</v>
      </c>
      <c r="H95" s="57">
        <v>40913</v>
      </c>
      <c r="I95" s="34">
        <f t="shared" si="3"/>
        <v>2</v>
      </c>
      <c r="J95" s="34">
        <v>40</v>
      </c>
      <c r="K95" s="36">
        <v>900</v>
      </c>
      <c r="L95" s="34" t="s">
        <v>17</v>
      </c>
      <c r="M95" s="57">
        <v>34779</v>
      </c>
      <c r="N95" s="37">
        <f>(YEAR(TablaMadre[[#This Row],[ALTA]])-YEAR(M95))</f>
        <v>16</v>
      </c>
      <c r="O95" s="34" t="s">
        <v>18</v>
      </c>
      <c r="P95" s="34" t="s">
        <v>19</v>
      </c>
      <c r="Q95" s="34" t="s">
        <v>20</v>
      </c>
      <c r="R95" s="34" t="s">
        <v>21</v>
      </c>
      <c r="S95" s="34" t="s">
        <v>151</v>
      </c>
      <c r="T95" s="34"/>
      <c r="U95" s="34" t="s">
        <v>21</v>
      </c>
      <c r="V95" s="34" t="s">
        <v>22</v>
      </c>
      <c r="W95" s="34" t="s">
        <v>23</v>
      </c>
      <c r="X95" s="38" t="s">
        <v>164</v>
      </c>
      <c r="Y95" s="62"/>
      <c r="Z95" s="38" t="e">
        <f t="shared" si="4"/>
        <v>#NUM!</v>
      </c>
      <c r="AA95" s="38"/>
      <c r="AB95" s="34"/>
      <c r="AC95" s="34" t="s">
        <v>24</v>
      </c>
      <c r="AD95" s="38"/>
      <c r="AE95" s="59" t="str">
        <f t="shared" si="5"/>
        <v>NO</v>
      </c>
      <c r="AF95" s="38" t="e" cm="1">
        <f t="array" aca="1" ref="AF95" ca="1">MIN(100, MAX(0, (IF(R95="ESTUDIANTE", 31, 0)) + (IF(I95&lt;=3, 30, IF(I95&lt;=6, 20, 0))) +(IF(OR(E95="413 - Control de Costes y Enlace Construcción", E95="480 - Secretaría General del Consejo", E95="132 - Civil y estructuras", E95="136 - Mecánica", E95="412 - Planificación", E95="142 - Compras"), 25, 0)) +(IF(OR(S95="GRADO ING. MECÁNICA", S95="GRADO ING. ELÉCTRICA", S95="GRADO DERECHO", S95="GRADO ECONOMÍA", S95="GRADO ING. TECNOLOGÍAS INDUSTRIALES"), 24, 0)) + (IF(AND(K95&gt;=451, K95&lt;=700), 23, 0)) + (IF(AND(AB95&gt;=5, AB95&lt;=8), 17, 0)) +(IF(_xludf.OR(_xludf.AND(AC95&gt;=8, AC95&lt;=10), _xludf.AND(AC95&gt;=0, AC95&lt;=5)), 16, 0)) + (IF(F95="Madrid", 11, 0))))</f>
        <v>#NAME?</v>
      </c>
      <c r="AG95" s="68"/>
      <c r="AH95" s="71" t="s">
        <v>164</v>
      </c>
    </row>
    <row r="96" spans="1:34" ht="14.4" x14ac:dyDescent="0.3">
      <c r="A96" s="66" t="s">
        <v>1075</v>
      </c>
      <c r="B96" s="66" t="s">
        <v>3192</v>
      </c>
      <c r="C96" s="33">
        <v>95</v>
      </c>
      <c r="D96" s="33" t="s">
        <v>5401</v>
      </c>
      <c r="E96" s="34" t="s">
        <v>5254</v>
      </c>
      <c r="F96" s="34" t="s">
        <v>18</v>
      </c>
      <c r="G96" s="57">
        <v>40827</v>
      </c>
      <c r="H96" s="57">
        <v>41163</v>
      </c>
      <c r="I96" s="34">
        <f t="shared" si="3"/>
        <v>11</v>
      </c>
      <c r="J96" s="34">
        <v>40</v>
      </c>
      <c r="K96" s="36">
        <v>900</v>
      </c>
      <c r="L96" s="34" t="s">
        <v>29</v>
      </c>
      <c r="M96" s="57">
        <v>32641</v>
      </c>
      <c r="N96" s="37">
        <f>(YEAR(TablaMadre[[#This Row],[ALTA]])-YEAR(M96))</f>
        <v>22</v>
      </c>
      <c r="O96" s="34" t="s">
        <v>70</v>
      </c>
      <c r="P96" s="34" t="s">
        <v>19</v>
      </c>
      <c r="Q96" s="34" t="s">
        <v>20</v>
      </c>
      <c r="R96" s="34" t="s">
        <v>21</v>
      </c>
      <c r="S96" s="34" t="s">
        <v>151</v>
      </c>
      <c r="T96" s="34"/>
      <c r="U96" s="34" t="s">
        <v>42</v>
      </c>
      <c r="V96" s="34" t="s">
        <v>79</v>
      </c>
      <c r="W96" s="34" t="s">
        <v>28</v>
      </c>
      <c r="X96" s="38" t="s">
        <v>173</v>
      </c>
      <c r="Y96" s="62"/>
      <c r="Z96" s="38" t="e">
        <f t="shared" si="4"/>
        <v>#NUM!</v>
      </c>
      <c r="AA96" s="38"/>
      <c r="AB96" s="34"/>
      <c r="AC96" s="34"/>
      <c r="AD96" s="38"/>
      <c r="AE96" s="59" t="str">
        <f t="shared" si="5"/>
        <v>SÍ</v>
      </c>
      <c r="AF96" s="38" t="e" cm="1">
        <f t="array" aca="1" ref="AF96" ca="1">MIN(100, MAX(0, (IF(R96="ESTUDIANTE", 31, 0)) + (IF(I96&lt;=3, 30, IF(I96&lt;=6, 20, 0))) +(IF(OR(E96="413 - Control de Costes y Enlace Construcción", E96="480 - Secretaría General del Consejo", E96="132 - Civil y estructuras", E96="136 - Mecánica", E96="412 - Planificación", E96="142 - Compras"), 25, 0)) +(IF(OR(S96="GRADO ING. MECÁNICA", S96="GRADO ING. ELÉCTRICA", S96="GRADO DERECHO", S96="GRADO ECONOMÍA", S96="GRADO ING. TECNOLOGÍAS INDUSTRIALES"), 24, 0)) + (IF(AND(K96&gt;=451, K96&lt;=700), 23, 0)) + (IF(AND(AB96&gt;=5, AB96&lt;=8), 17, 0)) +(IF(_xludf.OR(_xludf.AND(AC96&gt;=8, AC96&lt;=10), _xludf.AND(AC96&gt;=0, AC96&lt;=5)), 16, 0)) + (IF(F96="Madrid", 11, 0))))</f>
        <v>#NAME?</v>
      </c>
      <c r="AG96" s="68"/>
      <c r="AH96" s="71" t="s">
        <v>164</v>
      </c>
    </row>
    <row r="97" spans="1:34" ht="14.4" x14ac:dyDescent="0.3">
      <c r="A97" s="66" t="s">
        <v>1064</v>
      </c>
      <c r="B97" s="66" t="s">
        <v>3181</v>
      </c>
      <c r="C97" s="33">
        <v>96</v>
      </c>
      <c r="D97" s="33" t="s">
        <v>5402</v>
      </c>
      <c r="E97" s="34" t="s">
        <v>5222</v>
      </c>
      <c r="F97" s="34" t="s">
        <v>18</v>
      </c>
      <c r="G97" s="57">
        <v>40829</v>
      </c>
      <c r="H97" s="57">
        <v>41182</v>
      </c>
      <c r="I97" s="34">
        <f t="shared" si="3"/>
        <v>11</v>
      </c>
      <c r="J97" s="34">
        <v>40</v>
      </c>
      <c r="K97" s="36">
        <v>900</v>
      </c>
      <c r="L97" s="34" t="s">
        <v>17</v>
      </c>
      <c r="M97" s="57">
        <v>31137</v>
      </c>
      <c r="N97" s="37">
        <f>(YEAR(TablaMadre[[#This Row],[ALTA]])-YEAR(M97))</f>
        <v>26</v>
      </c>
      <c r="O97" s="34" t="s">
        <v>18</v>
      </c>
      <c r="P97" s="34" t="s">
        <v>19</v>
      </c>
      <c r="Q97" s="34" t="s">
        <v>108</v>
      </c>
      <c r="R97" s="34" t="s">
        <v>21</v>
      </c>
      <c r="S97" s="34" t="s">
        <v>322</v>
      </c>
      <c r="T97" s="34"/>
      <c r="U97" s="34" t="s">
        <v>30</v>
      </c>
      <c r="V97" s="34" t="s">
        <v>158</v>
      </c>
      <c r="W97" s="34" t="s">
        <v>28</v>
      </c>
      <c r="X97" s="38" t="s">
        <v>173</v>
      </c>
      <c r="Y97" s="62"/>
      <c r="Z97" s="38" t="e">
        <f t="shared" si="4"/>
        <v>#NUM!</v>
      </c>
      <c r="AA97" s="38"/>
      <c r="AB97" s="34" t="s">
        <v>24</v>
      </c>
      <c r="AC97" s="34" t="s">
        <v>34</v>
      </c>
      <c r="AD97" s="38"/>
      <c r="AE97" s="59" t="str">
        <f t="shared" si="5"/>
        <v>NO</v>
      </c>
      <c r="AF97" s="38" t="e" cm="1">
        <f t="array" aca="1" ref="AF97" ca="1">MIN(100, MAX(0, (IF(R97="ESTUDIANTE", 31, 0)) + (IF(I97&lt;=3, 30, IF(I97&lt;=6, 20, 0))) +(IF(OR(E97="413 - Control de Costes y Enlace Construcción", E97="480 - Secretaría General del Consejo", E97="132 - Civil y estructuras", E97="136 - Mecánica", E97="412 - Planificación", E97="142 - Compras"), 25, 0)) +(IF(OR(S97="GRADO ING. MECÁNICA", S97="GRADO ING. ELÉCTRICA", S97="GRADO DERECHO", S97="GRADO ECONOMÍA", S97="GRADO ING. TECNOLOGÍAS INDUSTRIALES"), 24, 0)) + (IF(AND(K97&gt;=451, K97&lt;=700), 23, 0)) + (IF(AND(AB97&gt;=5, AB97&lt;=8), 17, 0)) +(IF(_xludf.OR(_xludf.AND(AC97&gt;=8, AC97&lt;=10), _xludf.AND(AC97&gt;=0, AC97&lt;=5)), 16, 0)) + (IF(F97="Madrid", 11, 0))))</f>
        <v>#NAME?</v>
      </c>
      <c r="AG97" s="68"/>
      <c r="AH97" s="71" t="s">
        <v>164</v>
      </c>
    </row>
    <row r="98" spans="1:34" ht="14.4" x14ac:dyDescent="0.3">
      <c r="A98" s="66" t="s">
        <v>1076</v>
      </c>
      <c r="B98" s="66" t="s">
        <v>3193</v>
      </c>
      <c r="C98" s="33">
        <v>97</v>
      </c>
      <c r="D98" s="33" t="s">
        <v>5393</v>
      </c>
      <c r="E98" s="34" t="s">
        <v>5235</v>
      </c>
      <c r="F98" s="34" t="s">
        <v>18</v>
      </c>
      <c r="G98" s="57">
        <v>40851</v>
      </c>
      <c r="H98" s="57">
        <v>41184</v>
      </c>
      <c r="I98" s="34">
        <f t="shared" si="3"/>
        <v>10</v>
      </c>
      <c r="J98" s="34">
        <v>25</v>
      </c>
      <c r="K98" s="36">
        <v>565</v>
      </c>
      <c r="L98" s="34" t="s">
        <v>29</v>
      </c>
      <c r="M98" s="57">
        <v>32993</v>
      </c>
      <c r="N98" s="37">
        <f>(YEAR(TablaMadre[[#This Row],[ALTA]])-YEAR(M98))</f>
        <v>21</v>
      </c>
      <c r="O98" s="34" t="s">
        <v>18</v>
      </c>
      <c r="P98" s="34" t="s">
        <v>19</v>
      </c>
      <c r="Q98" s="34" t="s">
        <v>61</v>
      </c>
      <c r="R98" s="58" t="s">
        <v>30</v>
      </c>
      <c r="S98" s="34" t="s">
        <v>322</v>
      </c>
      <c r="T98" s="34"/>
      <c r="U98" s="34" t="s">
        <v>30</v>
      </c>
      <c r="V98" s="34" t="s">
        <v>67</v>
      </c>
      <c r="W98" s="34" t="s">
        <v>91</v>
      </c>
      <c r="X98" s="38" t="s">
        <v>164</v>
      </c>
      <c r="Y98" s="62"/>
      <c r="Z98" s="38" t="e">
        <f t="shared" si="4"/>
        <v>#NUM!</v>
      </c>
      <c r="AA98" s="38"/>
      <c r="AB98" s="34" t="s">
        <v>24</v>
      </c>
      <c r="AC98" s="34" t="s">
        <v>24</v>
      </c>
      <c r="AD98" s="38"/>
      <c r="AE98" s="59" t="str">
        <f t="shared" si="5"/>
        <v>NO</v>
      </c>
      <c r="AF98" s="38" t="e" cm="1">
        <f t="array" aca="1" ref="AF98" ca="1">MIN(100, MAX(0, (IF(R98="ESTUDIANTE", 31, 0)) + (IF(I98&lt;=3, 30, IF(I98&lt;=6, 20, 0))) +(IF(OR(E98="413 - Control de Costes y Enlace Construcción", E98="480 - Secretaría General del Consejo", E98="132 - Civil y estructuras", E98="136 - Mecánica", E98="412 - Planificación", E98="142 - Compras"), 25, 0)) +(IF(OR(S98="GRADO ING. MECÁNICA", S98="GRADO ING. ELÉCTRICA", S98="GRADO DERECHO", S98="GRADO ECONOMÍA", S98="GRADO ING. TECNOLOGÍAS INDUSTRIALES"), 24, 0)) + (IF(AND(K98&gt;=451, K98&lt;=700), 23, 0)) + (IF(AND(AB98&gt;=5, AB98&lt;=8), 17, 0)) +(IF(_xludf.OR(_xludf.AND(AC98&gt;=8, AC98&lt;=10), _xludf.AND(AC98&gt;=0, AC98&lt;=5)), 16, 0)) + (IF(F98="Madrid", 11, 0))))</f>
        <v>#NAME?</v>
      </c>
      <c r="AG98" s="68"/>
      <c r="AH98" s="71" t="s">
        <v>164</v>
      </c>
    </row>
    <row r="99" spans="1:34" ht="14.4" x14ac:dyDescent="0.3">
      <c r="A99" s="66" t="s">
        <v>1047</v>
      </c>
      <c r="B99" s="66" t="s">
        <v>3164</v>
      </c>
      <c r="C99" s="33">
        <v>98</v>
      </c>
      <c r="D99" s="33" t="s">
        <v>5394</v>
      </c>
      <c r="E99" s="34" t="s">
        <v>5218</v>
      </c>
      <c r="F99" s="34" t="s">
        <v>18</v>
      </c>
      <c r="G99" s="57">
        <v>40854</v>
      </c>
      <c r="H99" s="57">
        <v>41189</v>
      </c>
      <c r="I99" s="34">
        <f t="shared" si="3"/>
        <v>11</v>
      </c>
      <c r="J99" s="34">
        <v>40</v>
      </c>
      <c r="K99" s="36">
        <v>800</v>
      </c>
      <c r="L99" s="34" t="s">
        <v>29</v>
      </c>
      <c r="M99" s="57">
        <v>32960</v>
      </c>
      <c r="N99" s="37">
        <f>(YEAR(TablaMadre[[#This Row],[ALTA]])-YEAR(M99))</f>
        <v>21</v>
      </c>
      <c r="O99" s="34" t="s">
        <v>18</v>
      </c>
      <c r="P99" s="34" t="s">
        <v>19</v>
      </c>
      <c r="Q99" s="34" t="s">
        <v>160</v>
      </c>
      <c r="R99" s="34" t="s">
        <v>21</v>
      </c>
      <c r="S99" s="34" t="s">
        <v>397</v>
      </c>
      <c r="T99" s="34"/>
      <c r="U99" s="34" t="s">
        <v>42</v>
      </c>
      <c r="V99" s="34" t="s">
        <v>22</v>
      </c>
      <c r="W99" s="34" t="s">
        <v>28</v>
      </c>
      <c r="X99" s="38" t="s">
        <v>173</v>
      </c>
      <c r="Y99" s="62"/>
      <c r="Z99" s="38" t="e">
        <f t="shared" si="4"/>
        <v>#NUM!</v>
      </c>
      <c r="AA99" s="38"/>
      <c r="AB99" s="34" t="s">
        <v>53</v>
      </c>
      <c r="AC99" s="34" t="s">
        <v>34</v>
      </c>
      <c r="AD99" s="38"/>
      <c r="AE99" s="59" t="str">
        <f t="shared" si="5"/>
        <v>NO</v>
      </c>
      <c r="AF99" s="38" t="e" cm="1">
        <f t="array" aca="1" ref="AF99" ca="1">MIN(100, MAX(0, (IF(R99="ESTUDIANTE", 31, 0)) + (IF(I99&lt;=3, 30, IF(I99&lt;=6, 20, 0))) +(IF(OR(E99="413 - Control de Costes y Enlace Construcción", E99="480 - Secretaría General del Consejo", E99="132 - Civil y estructuras", E99="136 - Mecánica", E99="412 - Planificación", E99="142 - Compras"), 25, 0)) +(IF(OR(S99="GRADO ING. MECÁNICA", S99="GRADO ING. ELÉCTRICA", S99="GRADO DERECHO", S99="GRADO ECONOMÍA", S99="GRADO ING. TECNOLOGÍAS INDUSTRIALES"), 24, 0)) + (IF(AND(K99&gt;=451, K99&lt;=700), 23, 0)) + (IF(AND(AB99&gt;=5, AB99&lt;=8), 17, 0)) +(IF(_xludf.OR(_xludf.AND(AC99&gt;=8, AC99&lt;=10), _xludf.AND(AC99&gt;=0, AC99&lt;=5)), 16, 0)) + (IF(F99="Madrid", 11, 0))))</f>
        <v>#NAME?</v>
      </c>
      <c r="AG99" s="68"/>
      <c r="AH99" s="71" t="s">
        <v>164</v>
      </c>
    </row>
    <row r="100" spans="1:34" ht="14.4" x14ac:dyDescent="0.3">
      <c r="A100" s="66" t="s">
        <v>1077</v>
      </c>
      <c r="B100" s="66" t="s">
        <v>3194</v>
      </c>
      <c r="C100" s="33">
        <v>99</v>
      </c>
      <c r="D100" s="33" t="s">
        <v>5395</v>
      </c>
      <c r="E100" s="34" t="s">
        <v>5246</v>
      </c>
      <c r="F100" s="34" t="s">
        <v>18</v>
      </c>
      <c r="G100" s="57">
        <v>40861</v>
      </c>
      <c r="H100" s="57">
        <v>41042</v>
      </c>
      <c r="I100" s="34">
        <f t="shared" si="3"/>
        <v>5</v>
      </c>
      <c r="J100" s="34">
        <v>40</v>
      </c>
      <c r="K100" s="36">
        <v>900</v>
      </c>
      <c r="L100" s="34" t="s">
        <v>17</v>
      </c>
      <c r="M100" s="57">
        <v>33419</v>
      </c>
      <c r="N100" s="37">
        <f>(YEAR(TablaMadre[[#This Row],[ALTA]])-YEAR(M100))</f>
        <v>20</v>
      </c>
      <c r="O100" s="34" t="s">
        <v>75</v>
      </c>
      <c r="P100" s="34" t="s">
        <v>19</v>
      </c>
      <c r="Q100" s="34" t="s">
        <v>76</v>
      </c>
      <c r="R100" s="34" t="s">
        <v>21</v>
      </c>
      <c r="S100" s="34" t="s">
        <v>322</v>
      </c>
      <c r="T100" s="34"/>
      <c r="U100" s="34" t="s">
        <v>21</v>
      </c>
      <c r="V100" s="34" t="s">
        <v>77</v>
      </c>
      <c r="W100" s="34" t="s">
        <v>28</v>
      </c>
      <c r="X100" s="38" t="s">
        <v>164</v>
      </c>
      <c r="Y100" s="62">
        <v>43659</v>
      </c>
      <c r="Z100" s="38">
        <f t="shared" si="4"/>
        <v>7</v>
      </c>
      <c r="AA100" s="38"/>
      <c r="AB100" s="34" t="s">
        <v>24</v>
      </c>
      <c r="AC100" s="34" t="s">
        <v>34</v>
      </c>
      <c r="AD100" s="38"/>
      <c r="AE100" s="59" t="str">
        <f t="shared" si="5"/>
        <v>SÍ</v>
      </c>
      <c r="AF100" s="38" t="e" cm="1">
        <f t="array" aca="1" ref="AF100" ca="1">MIN(100, MAX(0, (IF(R100="ESTUDIANTE", 31, 0)) + (IF(I100&lt;=3, 30, IF(I100&lt;=6, 20, 0))) +(IF(OR(E100="413 - Control de Costes y Enlace Construcción", E100="480 - Secretaría General del Consejo", E100="132 - Civil y estructuras", E100="136 - Mecánica", E100="412 - Planificación", E100="142 - Compras"), 25, 0)) +(IF(OR(S100="GRADO ING. MECÁNICA", S100="GRADO ING. ELÉCTRICA", S100="GRADO DERECHO", S100="GRADO ECONOMÍA", S100="GRADO ING. TECNOLOGÍAS INDUSTRIALES"), 24, 0)) + (IF(AND(K100&gt;=451, K100&lt;=700), 23, 0)) + (IF(AND(AB100&gt;=5, AB100&lt;=8), 17, 0)) +(IF(_xludf.OR(_xludf.AND(AC100&gt;=8, AC100&lt;=10), _xludf.AND(AC100&gt;=0, AC100&lt;=5)), 16, 0)) + (IF(F100="Madrid", 11, 0))))</f>
        <v>#NAME?</v>
      </c>
      <c r="AG100" s="68"/>
      <c r="AH100" s="71" t="s">
        <v>164</v>
      </c>
    </row>
    <row r="101" spans="1:34" ht="14.4" x14ac:dyDescent="0.3">
      <c r="A101" s="66" t="s">
        <v>1078</v>
      </c>
      <c r="B101" s="66" t="s">
        <v>3195</v>
      </c>
      <c r="C101" s="33">
        <v>100</v>
      </c>
      <c r="D101" s="33" t="s">
        <v>5396</v>
      </c>
      <c r="E101" s="34" t="s">
        <v>5218</v>
      </c>
      <c r="F101" s="34" t="s">
        <v>18</v>
      </c>
      <c r="G101" s="57">
        <v>40862</v>
      </c>
      <c r="H101" s="57">
        <v>41227</v>
      </c>
      <c r="I101" s="34">
        <f t="shared" si="3"/>
        <v>11</v>
      </c>
      <c r="J101" s="34">
        <v>40</v>
      </c>
      <c r="K101" s="36">
        <v>900</v>
      </c>
      <c r="L101" s="34" t="s">
        <v>29</v>
      </c>
      <c r="M101" s="57">
        <v>32567</v>
      </c>
      <c r="N101" s="37">
        <f>(YEAR(TablaMadre[[#This Row],[ALTA]])-YEAR(M101))</f>
        <v>22</v>
      </c>
      <c r="O101" s="34" t="s">
        <v>18</v>
      </c>
      <c r="P101" s="34" t="s">
        <v>19</v>
      </c>
      <c r="Q101" s="34" t="s">
        <v>20</v>
      </c>
      <c r="R101" s="34" t="s">
        <v>21</v>
      </c>
      <c r="S101" s="34" t="s">
        <v>151</v>
      </c>
      <c r="T101" s="34"/>
      <c r="U101" s="34" t="s">
        <v>30</v>
      </c>
      <c r="V101" s="34" t="s">
        <v>69</v>
      </c>
      <c r="W101" s="34" t="s">
        <v>28</v>
      </c>
      <c r="X101" s="38" t="s">
        <v>164</v>
      </c>
      <c r="Y101" s="62">
        <v>45383</v>
      </c>
      <c r="Z101" s="38">
        <f t="shared" si="4"/>
        <v>11</v>
      </c>
      <c r="AA101" s="38"/>
      <c r="AB101" s="34"/>
      <c r="AC101" s="34"/>
      <c r="AD101" s="38"/>
      <c r="AE101" s="59" t="str">
        <f t="shared" si="5"/>
        <v>NO</v>
      </c>
      <c r="AF101" s="38" t="e" cm="1">
        <f t="array" aca="1" ref="AF101" ca="1">MIN(100, MAX(0, (IF(R101="ESTUDIANTE", 31, 0)) + (IF(I101&lt;=3, 30, IF(I101&lt;=6, 20, 0))) +(IF(OR(E101="413 - Control de Costes y Enlace Construcción", E101="480 - Secretaría General del Consejo", E101="132 - Civil y estructuras", E101="136 - Mecánica", E101="412 - Planificación", E101="142 - Compras"), 25, 0)) +(IF(OR(S101="GRADO ING. MECÁNICA", S101="GRADO ING. ELÉCTRICA", S101="GRADO DERECHO", S101="GRADO ECONOMÍA", S101="GRADO ING. TECNOLOGÍAS INDUSTRIALES"), 24, 0)) + (IF(AND(K101&gt;=451, K101&lt;=700), 23, 0)) + (IF(AND(AB101&gt;=5, AB101&lt;=8), 17, 0)) +(IF(_xludf.OR(_xludf.AND(AC101&gt;=8, AC101&lt;=10), _xludf.AND(AC101&gt;=0, AC101&lt;=5)), 16, 0)) + (IF(F101="Madrid", 11, 0))))</f>
        <v>#NAME?</v>
      </c>
      <c r="AG101" s="68"/>
      <c r="AH101" s="71" t="s">
        <v>164</v>
      </c>
    </row>
    <row r="102" spans="1:34" ht="14.4" x14ac:dyDescent="0.3">
      <c r="A102" s="66" t="s">
        <v>1079</v>
      </c>
      <c r="B102" s="66" t="s">
        <v>3196</v>
      </c>
      <c r="C102" s="33">
        <v>101</v>
      </c>
      <c r="D102" s="33" t="s">
        <v>5397</v>
      </c>
      <c r="E102" s="34" t="s">
        <v>5233</v>
      </c>
      <c r="F102" s="34" t="s">
        <v>18</v>
      </c>
      <c r="G102" s="57">
        <v>40864</v>
      </c>
      <c r="H102" s="57">
        <v>41243</v>
      </c>
      <c r="I102" s="34">
        <f t="shared" si="3"/>
        <v>12</v>
      </c>
      <c r="J102" s="34">
        <v>40</v>
      </c>
      <c r="K102" s="36">
        <v>900</v>
      </c>
      <c r="L102" s="34" t="s">
        <v>17</v>
      </c>
      <c r="M102" s="57">
        <v>27817</v>
      </c>
      <c r="N102" s="37">
        <f>(YEAR(TablaMadre[[#This Row],[ALTA]])-YEAR(M102))</f>
        <v>35</v>
      </c>
      <c r="O102" s="34" t="s">
        <v>143</v>
      </c>
      <c r="P102" s="34" t="s">
        <v>19</v>
      </c>
      <c r="Q102" s="34" t="s">
        <v>169</v>
      </c>
      <c r="R102" s="34" t="s">
        <v>21</v>
      </c>
      <c r="S102" s="34" t="s">
        <v>322</v>
      </c>
      <c r="T102" s="34"/>
      <c r="U102" s="34" t="s">
        <v>30</v>
      </c>
      <c r="V102" s="34" t="s">
        <v>170</v>
      </c>
      <c r="W102" s="34" t="s">
        <v>28</v>
      </c>
      <c r="X102" s="38" t="s">
        <v>164</v>
      </c>
      <c r="Y102" s="62">
        <v>45299</v>
      </c>
      <c r="Z102" s="38">
        <f t="shared" si="4"/>
        <v>11</v>
      </c>
      <c r="AA102" s="38"/>
      <c r="AB102" s="34"/>
      <c r="AC102" s="34"/>
      <c r="AD102" s="38"/>
      <c r="AE102" s="59" t="str">
        <f t="shared" si="5"/>
        <v>SÍ</v>
      </c>
      <c r="AF102" s="38" t="e" cm="1">
        <f t="array" aca="1" ref="AF102" ca="1">MIN(100, MAX(0, (IF(R102="ESTUDIANTE", 31, 0)) + (IF(I102&lt;=3, 30, IF(I102&lt;=6, 20, 0))) +(IF(OR(E102="413 - Control de Costes y Enlace Construcción", E102="480 - Secretaría General del Consejo", E102="132 - Civil y estructuras", E102="136 - Mecánica", E102="412 - Planificación", E102="142 - Compras"), 25, 0)) +(IF(OR(S102="GRADO ING. MECÁNICA", S102="GRADO ING. ELÉCTRICA", S102="GRADO DERECHO", S102="GRADO ECONOMÍA", S102="GRADO ING. TECNOLOGÍAS INDUSTRIALES"), 24, 0)) + (IF(AND(K102&gt;=451, K102&lt;=700), 23, 0)) + (IF(AND(AB102&gt;=5, AB102&lt;=8), 17, 0)) +(IF(_xludf.OR(_xludf.AND(AC102&gt;=8, AC102&lt;=10), _xludf.AND(AC102&gt;=0, AC102&lt;=5)), 16, 0)) + (IF(F102="Madrid", 11, 0))))</f>
        <v>#NAME?</v>
      </c>
      <c r="AG102" s="68"/>
      <c r="AH102" s="71" t="s">
        <v>164</v>
      </c>
    </row>
    <row r="103" spans="1:34" ht="14.4" x14ac:dyDescent="0.3">
      <c r="A103" s="66" t="s">
        <v>1080</v>
      </c>
      <c r="B103" s="66" t="s">
        <v>3197</v>
      </c>
      <c r="C103" s="33">
        <v>104</v>
      </c>
      <c r="D103" s="33" t="s">
        <v>5398</v>
      </c>
      <c r="E103" s="34" t="s">
        <v>5244</v>
      </c>
      <c r="F103" s="34" t="s">
        <v>18</v>
      </c>
      <c r="G103" s="57">
        <v>40868</v>
      </c>
      <c r="H103" s="57">
        <v>41243</v>
      </c>
      <c r="I103" s="34">
        <f t="shared" si="3"/>
        <v>12</v>
      </c>
      <c r="J103" s="34">
        <v>40</v>
      </c>
      <c r="K103" s="36">
        <v>900</v>
      </c>
      <c r="L103" s="34" t="s">
        <v>17</v>
      </c>
      <c r="M103" s="57">
        <v>32828</v>
      </c>
      <c r="N103" s="37">
        <f>(YEAR(TablaMadre[[#This Row],[ALTA]])-YEAR(M103))</f>
        <v>22</v>
      </c>
      <c r="O103" s="34" t="s">
        <v>18</v>
      </c>
      <c r="P103" s="34" t="s">
        <v>19</v>
      </c>
      <c r="Q103" s="34" t="s">
        <v>63</v>
      </c>
      <c r="R103" s="34" t="s">
        <v>21</v>
      </c>
      <c r="S103" s="34" t="s">
        <v>297</v>
      </c>
      <c r="T103" s="34"/>
      <c r="U103" s="34" t="s">
        <v>30</v>
      </c>
      <c r="V103" s="34" t="s">
        <v>40</v>
      </c>
      <c r="W103" s="34" t="s">
        <v>28</v>
      </c>
      <c r="X103" s="38" t="s">
        <v>173</v>
      </c>
      <c r="Y103" s="62"/>
      <c r="Z103" s="38" t="e">
        <f t="shared" si="4"/>
        <v>#NUM!</v>
      </c>
      <c r="AA103" s="38"/>
      <c r="AB103" s="34"/>
      <c r="AC103" s="34"/>
      <c r="AD103" s="38"/>
      <c r="AE103" s="59" t="str">
        <f t="shared" si="5"/>
        <v>NO</v>
      </c>
      <c r="AF103" s="38" t="e" cm="1">
        <f t="array" aca="1" ref="AF103" ca="1">MIN(100, MAX(0, (IF(R103="ESTUDIANTE", 31, 0)) + (IF(I103&lt;=3, 30, IF(I103&lt;=6, 20, 0))) +(IF(OR(E103="413 - Control de Costes y Enlace Construcción", E103="480 - Secretaría General del Consejo", E103="132 - Civil y estructuras", E103="136 - Mecánica", E103="412 - Planificación", E103="142 - Compras"), 25, 0)) +(IF(OR(S103="GRADO ING. MECÁNICA", S103="GRADO ING. ELÉCTRICA", S103="GRADO DERECHO", S103="GRADO ECONOMÍA", S103="GRADO ING. TECNOLOGÍAS INDUSTRIALES"), 24, 0)) + (IF(AND(K103&gt;=451, K103&lt;=700), 23, 0)) + (IF(AND(AB103&gt;=5, AB103&lt;=8), 17, 0)) +(IF(_xludf.OR(_xludf.AND(AC103&gt;=8, AC103&lt;=10), _xludf.AND(AC103&gt;=0, AC103&lt;=5)), 16, 0)) + (IF(F103="Madrid", 11, 0))))</f>
        <v>#NAME?</v>
      </c>
      <c r="AG103" s="68"/>
      <c r="AH103" s="71" t="s">
        <v>164</v>
      </c>
    </row>
    <row r="104" spans="1:34" ht="14.4" x14ac:dyDescent="0.3">
      <c r="A104" s="66" t="s">
        <v>1081</v>
      </c>
      <c r="B104" s="66" t="s">
        <v>3198</v>
      </c>
      <c r="C104" s="33">
        <v>102</v>
      </c>
      <c r="D104" s="33" t="s">
        <v>5399</v>
      </c>
      <c r="E104" s="34" t="s">
        <v>5233</v>
      </c>
      <c r="F104" s="34" t="s">
        <v>18</v>
      </c>
      <c r="G104" s="57">
        <v>40868</v>
      </c>
      <c r="H104" s="57">
        <v>41060</v>
      </c>
      <c r="I104" s="34">
        <f t="shared" si="3"/>
        <v>6</v>
      </c>
      <c r="J104" s="34">
        <v>40</v>
      </c>
      <c r="K104" s="36">
        <v>900</v>
      </c>
      <c r="L104" s="34" t="s">
        <v>17</v>
      </c>
      <c r="M104" s="57">
        <v>34439</v>
      </c>
      <c r="N104" s="37">
        <f>(YEAR(TablaMadre[[#This Row],[ALTA]])-YEAR(M104))</f>
        <v>17</v>
      </c>
      <c r="O104" s="34" t="s">
        <v>70</v>
      </c>
      <c r="P104" s="34" t="s">
        <v>19</v>
      </c>
      <c r="Q104" s="34" t="s">
        <v>85</v>
      </c>
      <c r="R104" s="34" t="s">
        <v>21</v>
      </c>
      <c r="S104" s="34" t="s">
        <v>322</v>
      </c>
      <c r="T104" s="34"/>
      <c r="U104" s="34" t="s">
        <v>30</v>
      </c>
      <c r="V104" s="34" t="s">
        <v>86</v>
      </c>
      <c r="W104" s="34" t="s">
        <v>47</v>
      </c>
      <c r="X104" s="38" t="s">
        <v>164</v>
      </c>
      <c r="Y104" s="62"/>
      <c r="Z104" s="38" t="e">
        <f t="shared" si="4"/>
        <v>#NUM!</v>
      </c>
      <c r="AA104" s="38"/>
      <c r="AB104" s="34" t="s">
        <v>24</v>
      </c>
      <c r="AC104" s="34" t="s">
        <v>53</v>
      </c>
      <c r="AD104" s="38"/>
      <c r="AE104" s="59" t="str">
        <f t="shared" si="5"/>
        <v>SÍ</v>
      </c>
      <c r="AF104" s="38" t="e" cm="1">
        <f t="array" aca="1" ref="AF104" ca="1">MIN(100, MAX(0, (IF(R104="ESTUDIANTE", 31, 0)) + (IF(I104&lt;=3, 30, IF(I104&lt;=6, 20, 0))) +(IF(OR(E104="413 - Control de Costes y Enlace Construcción", E104="480 - Secretaría General del Consejo", E104="132 - Civil y estructuras", E104="136 - Mecánica", E104="412 - Planificación", E104="142 - Compras"), 25, 0)) +(IF(OR(S104="GRADO ING. MECÁNICA", S104="GRADO ING. ELÉCTRICA", S104="GRADO DERECHO", S104="GRADO ECONOMÍA", S104="GRADO ING. TECNOLOGÍAS INDUSTRIALES"), 24, 0)) + (IF(AND(K104&gt;=451, K104&lt;=700), 23, 0)) + (IF(AND(AB104&gt;=5, AB104&lt;=8), 17, 0)) +(IF(_xludf.OR(_xludf.AND(AC104&gt;=8, AC104&lt;=10), _xludf.AND(AC104&gt;=0, AC104&lt;=5)), 16, 0)) + (IF(F104="Madrid", 11, 0))))</f>
        <v>#NAME?</v>
      </c>
      <c r="AG104" s="68"/>
      <c r="AH104" s="71" t="s">
        <v>164</v>
      </c>
    </row>
    <row r="105" spans="1:34" ht="14.4" x14ac:dyDescent="0.3">
      <c r="A105" s="66" t="s">
        <v>1082</v>
      </c>
      <c r="B105" s="66" t="s">
        <v>3199</v>
      </c>
      <c r="C105" s="33">
        <v>103</v>
      </c>
      <c r="D105" s="33" t="s">
        <v>5393</v>
      </c>
      <c r="E105" s="34" t="s">
        <v>5220</v>
      </c>
      <c r="F105" s="34" t="s">
        <v>18</v>
      </c>
      <c r="G105" s="57">
        <v>40868</v>
      </c>
      <c r="H105" s="57">
        <v>41233</v>
      </c>
      <c r="I105" s="34">
        <f t="shared" si="3"/>
        <v>11</v>
      </c>
      <c r="J105" s="34">
        <v>40</v>
      </c>
      <c r="K105" s="36">
        <v>900</v>
      </c>
      <c r="L105" s="34" t="s">
        <v>17</v>
      </c>
      <c r="M105" s="57">
        <v>32595</v>
      </c>
      <c r="N105" s="37">
        <f>(YEAR(TablaMadre[[#This Row],[ALTA]])-YEAR(M105))</f>
        <v>22</v>
      </c>
      <c r="O105" s="34" t="s">
        <v>18</v>
      </c>
      <c r="P105" s="34" t="s">
        <v>19</v>
      </c>
      <c r="Q105" s="34" t="s">
        <v>20</v>
      </c>
      <c r="R105" s="34" t="s">
        <v>21</v>
      </c>
      <c r="S105" s="34" t="s">
        <v>151</v>
      </c>
      <c r="T105" s="34"/>
      <c r="U105" s="34" t="s">
        <v>42</v>
      </c>
      <c r="V105" s="34" t="s">
        <v>22</v>
      </c>
      <c r="W105" s="34" t="s">
        <v>91</v>
      </c>
      <c r="X105" s="38" t="s">
        <v>164</v>
      </c>
      <c r="Y105" s="62"/>
      <c r="Z105" s="38" t="e">
        <f t="shared" si="4"/>
        <v>#NUM!</v>
      </c>
      <c r="AA105" s="38"/>
      <c r="AB105" s="34" t="s">
        <v>167</v>
      </c>
      <c r="AC105" s="34" t="s">
        <v>168</v>
      </c>
      <c r="AD105" s="38"/>
      <c r="AE105" s="59" t="str">
        <f t="shared" si="5"/>
        <v>NO</v>
      </c>
      <c r="AF105" s="38" t="e" cm="1">
        <f t="array" aca="1" ref="AF105" ca="1">MIN(100, MAX(0, (IF(R105="ESTUDIANTE", 31, 0)) + (IF(I105&lt;=3, 30, IF(I105&lt;=6, 20, 0))) +(IF(OR(E105="413 - Control de Costes y Enlace Construcción", E105="480 - Secretaría General del Consejo", E105="132 - Civil y estructuras", E105="136 - Mecánica", E105="412 - Planificación", E105="142 - Compras"), 25, 0)) +(IF(OR(S105="GRADO ING. MECÁNICA", S105="GRADO ING. ELÉCTRICA", S105="GRADO DERECHO", S105="GRADO ECONOMÍA", S105="GRADO ING. TECNOLOGÍAS INDUSTRIALES"), 24, 0)) + (IF(AND(K105&gt;=451, K105&lt;=700), 23, 0)) + (IF(AND(AB105&gt;=5, AB105&lt;=8), 17, 0)) +(IF(_xludf.OR(_xludf.AND(AC105&gt;=8, AC105&lt;=10), _xludf.AND(AC105&gt;=0, AC105&lt;=5)), 16, 0)) + (IF(F105="Madrid", 11, 0))))</f>
        <v>#NAME?</v>
      </c>
      <c r="AG105" s="68"/>
      <c r="AH105" s="71" t="s">
        <v>164</v>
      </c>
    </row>
    <row r="106" spans="1:34" ht="14.4" x14ac:dyDescent="0.3">
      <c r="A106" s="66" t="s">
        <v>1083</v>
      </c>
      <c r="B106" s="66" t="s">
        <v>3200</v>
      </c>
      <c r="C106" s="33">
        <v>105</v>
      </c>
      <c r="D106" s="33" t="s">
        <v>5394</v>
      </c>
      <c r="E106" s="34" t="s">
        <v>5246</v>
      </c>
      <c r="F106" s="34" t="s">
        <v>18</v>
      </c>
      <c r="G106" s="57">
        <v>40870</v>
      </c>
      <c r="H106" s="57">
        <v>41243</v>
      </c>
      <c r="I106" s="34">
        <f t="shared" si="3"/>
        <v>12</v>
      </c>
      <c r="J106" s="34">
        <v>40</v>
      </c>
      <c r="K106" s="36">
        <v>900</v>
      </c>
      <c r="L106" s="34" t="s">
        <v>29</v>
      </c>
      <c r="M106" s="57">
        <v>32595</v>
      </c>
      <c r="N106" s="37">
        <f>(YEAR(TablaMadre[[#This Row],[ALTA]])-YEAR(M106))</f>
        <v>22</v>
      </c>
      <c r="O106" s="34" t="s">
        <v>65</v>
      </c>
      <c r="P106" s="34" t="s">
        <v>19</v>
      </c>
      <c r="Q106" s="34" t="s">
        <v>147</v>
      </c>
      <c r="R106" s="34" t="s">
        <v>21</v>
      </c>
      <c r="S106" s="34" t="s">
        <v>322</v>
      </c>
      <c r="T106" s="34"/>
      <c r="U106" s="34" t="s">
        <v>30</v>
      </c>
      <c r="V106" s="34" t="s">
        <v>137</v>
      </c>
      <c r="W106" s="34" t="s">
        <v>28</v>
      </c>
      <c r="X106" s="38" t="s">
        <v>173</v>
      </c>
      <c r="Y106" s="62"/>
      <c r="Z106" s="38" t="e">
        <f t="shared" si="4"/>
        <v>#NUM!</v>
      </c>
      <c r="AA106" s="38"/>
      <c r="AB106" s="34"/>
      <c r="AC106" s="34"/>
      <c r="AD106" s="38"/>
      <c r="AE106" s="59" t="str">
        <f t="shared" si="5"/>
        <v>SÍ</v>
      </c>
      <c r="AF106" s="38" t="e" cm="1">
        <f t="array" aca="1" ref="AF106" ca="1">MIN(100, MAX(0, (IF(R106="ESTUDIANTE", 31, 0)) + (IF(I106&lt;=3, 30, IF(I106&lt;=6, 20, 0))) +(IF(OR(E106="413 - Control de Costes y Enlace Construcción", E106="480 - Secretaría General del Consejo", E106="132 - Civil y estructuras", E106="136 - Mecánica", E106="412 - Planificación", E106="142 - Compras"), 25, 0)) +(IF(OR(S106="GRADO ING. MECÁNICA", S106="GRADO ING. ELÉCTRICA", S106="GRADO DERECHO", S106="GRADO ECONOMÍA", S106="GRADO ING. TECNOLOGÍAS INDUSTRIALES"), 24, 0)) + (IF(AND(K106&gt;=451, K106&lt;=700), 23, 0)) + (IF(AND(AB106&gt;=5, AB106&lt;=8), 17, 0)) +(IF(_xludf.OR(_xludf.AND(AC106&gt;=8, AC106&lt;=10), _xludf.AND(AC106&gt;=0, AC106&lt;=5)), 16, 0)) + (IF(F106="Madrid", 11, 0))))</f>
        <v>#NAME?</v>
      </c>
      <c r="AG106" s="68"/>
      <c r="AH106" s="71" t="s">
        <v>164</v>
      </c>
    </row>
    <row r="107" spans="1:34" ht="14.4" x14ac:dyDescent="0.3">
      <c r="A107" s="66" t="s">
        <v>1060</v>
      </c>
      <c r="B107" s="66" t="s">
        <v>3177</v>
      </c>
      <c r="C107" s="33">
        <v>106</v>
      </c>
      <c r="D107" s="33" t="s">
        <v>5395</v>
      </c>
      <c r="E107" s="34" t="s">
        <v>5225</v>
      </c>
      <c r="F107" s="34" t="s">
        <v>18</v>
      </c>
      <c r="G107" s="57">
        <v>40886</v>
      </c>
      <c r="H107" s="57">
        <v>41222</v>
      </c>
      <c r="I107" s="34">
        <f t="shared" si="3"/>
        <v>11</v>
      </c>
      <c r="J107" s="34">
        <v>40</v>
      </c>
      <c r="K107" s="36">
        <v>900</v>
      </c>
      <c r="L107" s="34" t="s">
        <v>29</v>
      </c>
      <c r="M107" s="57">
        <v>31180</v>
      </c>
      <c r="N107" s="37">
        <f>(YEAR(TablaMadre[[#This Row],[ALTA]])-YEAR(M107))</f>
        <v>26</v>
      </c>
      <c r="O107" s="34" t="s">
        <v>18</v>
      </c>
      <c r="P107" s="34" t="s">
        <v>19</v>
      </c>
      <c r="Q107" s="34" t="s">
        <v>49</v>
      </c>
      <c r="R107" s="34" t="s">
        <v>21</v>
      </c>
      <c r="S107" s="34" t="s">
        <v>297</v>
      </c>
      <c r="T107" s="34"/>
      <c r="U107" s="34" t="s">
        <v>30</v>
      </c>
      <c r="V107" s="34" t="s">
        <v>22</v>
      </c>
      <c r="W107" s="34" t="s">
        <v>28</v>
      </c>
      <c r="X107" s="38" t="s">
        <v>164</v>
      </c>
      <c r="Y107" s="62">
        <v>45382</v>
      </c>
      <c r="Z107" s="38">
        <f t="shared" si="4"/>
        <v>11</v>
      </c>
      <c r="AA107" s="38"/>
      <c r="AB107" s="34" t="s">
        <v>24</v>
      </c>
      <c r="AC107" s="34" t="s">
        <v>34</v>
      </c>
      <c r="AD107" s="38"/>
      <c r="AE107" s="59" t="str">
        <f t="shared" si="5"/>
        <v>NO</v>
      </c>
      <c r="AF107" s="38" t="e" cm="1">
        <f t="array" aca="1" ref="AF107" ca="1">MIN(100, MAX(0, (IF(R107="ESTUDIANTE", 31, 0)) + (IF(I107&lt;=3, 30, IF(I107&lt;=6, 20, 0))) +(IF(OR(E107="413 - Control de Costes y Enlace Construcción", E107="480 - Secretaría General del Consejo", E107="132 - Civil y estructuras", E107="136 - Mecánica", E107="412 - Planificación", E107="142 - Compras"), 25, 0)) +(IF(OR(S107="GRADO ING. MECÁNICA", S107="GRADO ING. ELÉCTRICA", S107="GRADO DERECHO", S107="GRADO ECONOMÍA", S107="GRADO ING. TECNOLOGÍAS INDUSTRIALES"), 24, 0)) + (IF(AND(K107&gt;=451, K107&lt;=700), 23, 0)) + (IF(AND(AB107&gt;=5, AB107&lt;=8), 17, 0)) +(IF(_xludf.OR(_xludf.AND(AC107&gt;=8, AC107&lt;=10), _xludf.AND(AC107&gt;=0, AC107&lt;=5)), 16, 0)) + (IF(F107="Madrid", 11, 0))))</f>
        <v>#NAME?</v>
      </c>
      <c r="AG107" s="68"/>
      <c r="AH107" s="71" t="s">
        <v>164</v>
      </c>
    </row>
    <row r="108" spans="1:34" ht="14.4" x14ac:dyDescent="0.3">
      <c r="A108" s="66" t="s">
        <v>1086</v>
      </c>
      <c r="B108" s="66" t="s">
        <v>3203</v>
      </c>
      <c r="C108" s="33">
        <v>107</v>
      </c>
      <c r="D108" s="33" t="s">
        <v>5396</v>
      </c>
      <c r="E108" s="34" t="s">
        <v>5244</v>
      </c>
      <c r="F108" s="34" t="s">
        <v>18</v>
      </c>
      <c r="G108" s="57">
        <v>40886</v>
      </c>
      <c r="H108" s="57">
        <v>41464</v>
      </c>
      <c r="I108" s="34">
        <f t="shared" si="3"/>
        <v>19</v>
      </c>
      <c r="J108" s="34">
        <v>40</v>
      </c>
      <c r="K108" s="36">
        <v>1536.79</v>
      </c>
      <c r="L108" s="34" t="s">
        <v>29</v>
      </c>
      <c r="M108" s="57">
        <v>33479</v>
      </c>
      <c r="N108" s="37">
        <f>(YEAR(TablaMadre[[#This Row],[ALTA]])-YEAR(M108))</f>
        <v>20</v>
      </c>
      <c r="O108" s="34" t="s">
        <v>197</v>
      </c>
      <c r="P108" s="34" t="s">
        <v>197</v>
      </c>
      <c r="Q108" s="34" t="s">
        <v>115</v>
      </c>
      <c r="R108" s="34" t="s">
        <v>21</v>
      </c>
      <c r="S108" s="34" t="s">
        <v>322</v>
      </c>
      <c r="T108" s="34"/>
      <c r="U108" s="34" t="s">
        <v>30</v>
      </c>
      <c r="V108" s="34" t="s">
        <v>90</v>
      </c>
      <c r="W108" s="34" t="s">
        <v>23</v>
      </c>
      <c r="X108" s="38" t="s">
        <v>173</v>
      </c>
      <c r="Y108" s="62"/>
      <c r="Z108" s="38" t="e">
        <f t="shared" si="4"/>
        <v>#NUM!</v>
      </c>
      <c r="AA108" s="38"/>
      <c r="AB108" s="34"/>
      <c r="AC108" s="34"/>
      <c r="AD108" s="38"/>
      <c r="AE108" s="59" t="str">
        <f t="shared" si="5"/>
        <v>SÍ</v>
      </c>
      <c r="AF108" s="38" t="e" cm="1">
        <f t="array" aca="1" ref="AF108" ca="1">MIN(100, MAX(0, (IF(R108="ESTUDIANTE", 31, 0)) + (IF(I108&lt;=3, 30, IF(I108&lt;=6, 20, 0))) +(IF(OR(E108="413 - Control de Costes y Enlace Construcción", E108="480 - Secretaría General del Consejo", E108="132 - Civil y estructuras", E108="136 - Mecánica", E108="412 - Planificación", E108="142 - Compras"), 25, 0)) +(IF(OR(S108="GRADO ING. MECÁNICA", S108="GRADO ING. ELÉCTRICA", S108="GRADO DERECHO", S108="GRADO ECONOMÍA", S108="GRADO ING. TECNOLOGÍAS INDUSTRIALES"), 24, 0)) + (IF(AND(K108&gt;=451, K108&lt;=700), 23, 0)) + (IF(AND(AB108&gt;=5, AB108&lt;=8), 17, 0)) +(IF(_xludf.OR(_xludf.AND(AC108&gt;=8, AC108&lt;=10), _xludf.AND(AC108&gt;=0, AC108&lt;=5)), 16, 0)) + (IF(F108="Madrid", 11, 0))))</f>
        <v>#NAME?</v>
      </c>
      <c r="AG108" s="68"/>
      <c r="AH108" s="71" t="s">
        <v>164</v>
      </c>
    </row>
    <row r="109" spans="1:34" ht="14.4" x14ac:dyDescent="0.3">
      <c r="A109" s="66" t="s">
        <v>1087</v>
      </c>
      <c r="B109" s="66" t="s">
        <v>3204</v>
      </c>
      <c r="C109" s="33">
        <v>108</v>
      </c>
      <c r="D109" s="33" t="s">
        <v>5397</v>
      </c>
      <c r="E109" s="34" t="s">
        <v>5247</v>
      </c>
      <c r="F109" s="34" t="s">
        <v>18</v>
      </c>
      <c r="G109" s="57">
        <v>40893</v>
      </c>
      <c r="H109" s="57">
        <v>41258</v>
      </c>
      <c r="I109" s="34">
        <f t="shared" si="3"/>
        <v>11</v>
      </c>
      <c r="J109" s="34">
        <v>40</v>
      </c>
      <c r="K109" s="36">
        <v>700</v>
      </c>
      <c r="L109" s="34" t="s">
        <v>17</v>
      </c>
      <c r="M109" s="57">
        <v>32622</v>
      </c>
      <c r="N109" s="37">
        <f>(YEAR(TablaMadre[[#This Row],[ALTA]])-YEAR(M109))</f>
        <v>22</v>
      </c>
      <c r="O109" s="34" t="s">
        <v>68</v>
      </c>
      <c r="P109" s="34" t="s">
        <v>19</v>
      </c>
      <c r="Q109" s="34" t="s">
        <v>106</v>
      </c>
      <c r="R109" s="58" t="s">
        <v>30</v>
      </c>
      <c r="S109" s="34" t="s">
        <v>26</v>
      </c>
      <c r="T109" s="34"/>
      <c r="U109" s="34" t="s">
        <v>30</v>
      </c>
      <c r="V109" s="34" t="s">
        <v>27</v>
      </c>
      <c r="W109" s="34" t="s">
        <v>28</v>
      </c>
      <c r="X109" s="38" t="s">
        <v>173</v>
      </c>
      <c r="Y109" s="62"/>
      <c r="Z109" s="38" t="e">
        <f t="shared" si="4"/>
        <v>#NUM!</v>
      </c>
      <c r="AA109" s="38"/>
      <c r="AB109" s="34"/>
      <c r="AC109" s="34"/>
      <c r="AD109" s="38"/>
      <c r="AE109" s="59" t="str">
        <f t="shared" si="5"/>
        <v>SÍ</v>
      </c>
      <c r="AF109" s="38" t="e" cm="1">
        <f t="array" aca="1" ref="AF109" ca="1">MIN(100, MAX(0, (IF(R109="ESTUDIANTE", 31, 0)) + (IF(I109&lt;=3, 30, IF(I109&lt;=6, 20, 0))) +(IF(OR(E109="413 - Control de Costes y Enlace Construcción", E109="480 - Secretaría General del Consejo", E109="132 - Civil y estructuras", E109="136 - Mecánica", E109="412 - Planificación", E109="142 - Compras"), 25, 0)) +(IF(OR(S109="GRADO ING. MECÁNICA", S109="GRADO ING. ELÉCTRICA", S109="GRADO DERECHO", S109="GRADO ECONOMÍA", S109="GRADO ING. TECNOLOGÍAS INDUSTRIALES"), 24, 0)) + (IF(AND(K109&gt;=451, K109&lt;=700), 23, 0)) + (IF(AND(AB109&gt;=5, AB109&lt;=8), 17, 0)) +(IF(_xludf.OR(_xludf.AND(AC109&gt;=8, AC109&lt;=10), _xludf.AND(AC109&gt;=0, AC109&lt;=5)), 16, 0)) + (IF(F109="Madrid", 11, 0))))</f>
        <v>#NAME?</v>
      </c>
      <c r="AG109" s="68"/>
      <c r="AH109" s="71" t="s">
        <v>164</v>
      </c>
    </row>
    <row r="110" spans="1:34" ht="14.4" x14ac:dyDescent="0.3">
      <c r="A110" s="66" t="s">
        <v>1088</v>
      </c>
      <c r="B110" s="66" t="s">
        <v>3205</v>
      </c>
      <c r="C110" s="33">
        <v>110</v>
      </c>
      <c r="D110" s="33" t="s">
        <v>5393</v>
      </c>
      <c r="E110" s="34" t="s">
        <v>5235</v>
      </c>
      <c r="F110" s="34" t="s">
        <v>18</v>
      </c>
      <c r="G110" s="57">
        <v>40910</v>
      </c>
      <c r="H110" s="57">
        <v>41305</v>
      </c>
      <c r="I110" s="34">
        <f t="shared" si="3"/>
        <v>12</v>
      </c>
      <c r="J110" s="34">
        <v>40</v>
      </c>
      <c r="K110" s="36">
        <v>900</v>
      </c>
      <c r="L110" s="34" t="s">
        <v>17</v>
      </c>
      <c r="M110" s="57">
        <v>32959</v>
      </c>
      <c r="N110" s="37">
        <f>(YEAR(TablaMadre[[#This Row],[ALTA]])-YEAR(M110))</f>
        <v>22</v>
      </c>
      <c r="O110" s="34" t="s">
        <v>18</v>
      </c>
      <c r="P110" s="34" t="s">
        <v>19</v>
      </c>
      <c r="Q110" s="34" t="s">
        <v>175</v>
      </c>
      <c r="R110" s="34" t="s">
        <v>21</v>
      </c>
      <c r="S110" s="34" t="s">
        <v>322</v>
      </c>
      <c r="T110" s="34"/>
      <c r="U110" s="34" t="s">
        <v>42</v>
      </c>
      <c r="V110" s="34" t="s">
        <v>67</v>
      </c>
      <c r="W110" s="34" t="s">
        <v>28</v>
      </c>
      <c r="X110" s="38" t="s">
        <v>173</v>
      </c>
      <c r="Y110" s="62"/>
      <c r="Z110" s="38" t="e">
        <f t="shared" si="4"/>
        <v>#NUM!</v>
      </c>
      <c r="AA110" s="38"/>
      <c r="AB110" s="34"/>
      <c r="AC110" s="34"/>
      <c r="AD110" s="38"/>
      <c r="AE110" s="59" t="str">
        <f t="shared" si="5"/>
        <v>NO</v>
      </c>
      <c r="AF110" s="38" t="e" cm="1">
        <f t="array" aca="1" ref="AF110" ca="1">MIN(100, MAX(0, (IF(R110="ESTUDIANTE", 31, 0)) + (IF(I110&lt;=3, 30, IF(I110&lt;=6, 20, 0))) +(IF(OR(E110="413 - Control de Costes y Enlace Construcción", E110="480 - Secretaría General del Consejo", E110="132 - Civil y estructuras", E110="136 - Mecánica", E110="412 - Planificación", E110="142 - Compras"), 25, 0)) +(IF(OR(S110="GRADO ING. MECÁNICA", S110="GRADO ING. ELÉCTRICA", S110="GRADO DERECHO", S110="GRADO ECONOMÍA", S110="GRADO ING. TECNOLOGÍAS INDUSTRIALES"), 24, 0)) + (IF(AND(K110&gt;=451, K110&lt;=700), 23, 0)) + (IF(AND(AB110&gt;=5, AB110&lt;=8), 17, 0)) +(IF(_xludf.OR(_xludf.AND(AC110&gt;=8, AC110&lt;=10), _xludf.AND(AC110&gt;=0, AC110&lt;=5)), 16, 0)) + (IF(F110="Madrid", 11, 0))))</f>
        <v>#NAME?</v>
      </c>
      <c r="AG110" s="68"/>
      <c r="AH110" s="71" t="s">
        <v>164</v>
      </c>
    </row>
    <row r="111" spans="1:34" ht="14.4" x14ac:dyDescent="0.3">
      <c r="A111" s="66" t="s">
        <v>1089</v>
      </c>
      <c r="B111" s="66" t="s">
        <v>3206</v>
      </c>
      <c r="C111" s="33">
        <v>109</v>
      </c>
      <c r="D111" s="33" t="s">
        <v>5394</v>
      </c>
      <c r="E111" s="34" t="s">
        <v>5218</v>
      </c>
      <c r="F111" s="34" t="s">
        <v>18</v>
      </c>
      <c r="G111" s="57">
        <v>40910</v>
      </c>
      <c r="H111" s="57">
        <v>41305</v>
      </c>
      <c r="I111" s="34">
        <f t="shared" si="3"/>
        <v>12</v>
      </c>
      <c r="J111" s="34">
        <v>40</v>
      </c>
      <c r="K111" s="36">
        <v>900</v>
      </c>
      <c r="L111" s="34" t="s">
        <v>17</v>
      </c>
      <c r="M111" s="57">
        <v>33404</v>
      </c>
      <c r="N111" s="37">
        <f>(YEAR(TablaMadre[[#This Row],[ALTA]])-YEAR(M111))</f>
        <v>21</v>
      </c>
      <c r="O111" s="34" t="s">
        <v>105</v>
      </c>
      <c r="P111" s="34" t="s">
        <v>19</v>
      </c>
      <c r="Q111" s="34" t="s">
        <v>20</v>
      </c>
      <c r="R111" s="34" t="s">
        <v>21</v>
      </c>
      <c r="S111" s="34" t="s">
        <v>151</v>
      </c>
      <c r="T111" s="34"/>
      <c r="U111" s="34" t="s">
        <v>30</v>
      </c>
      <c r="V111" s="34" t="s">
        <v>174</v>
      </c>
      <c r="W111" s="34" t="s">
        <v>28</v>
      </c>
      <c r="X111" s="38" t="s">
        <v>164</v>
      </c>
      <c r="Y111" s="62">
        <v>41974</v>
      </c>
      <c r="Z111" s="38">
        <f t="shared" si="4"/>
        <v>1</v>
      </c>
      <c r="AA111" s="38"/>
      <c r="AB111" s="34"/>
      <c r="AC111" s="34"/>
      <c r="AD111" s="38"/>
      <c r="AE111" s="59" t="str">
        <f t="shared" si="5"/>
        <v>SÍ</v>
      </c>
      <c r="AF111" s="38" t="e" cm="1">
        <f t="array" aca="1" ref="AF111" ca="1">MIN(100, MAX(0, (IF(R111="ESTUDIANTE", 31, 0)) + (IF(I111&lt;=3, 30, IF(I111&lt;=6, 20, 0))) +(IF(OR(E111="413 - Control de Costes y Enlace Construcción", E111="480 - Secretaría General del Consejo", E111="132 - Civil y estructuras", E111="136 - Mecánica", E111="412 - Planificación", E111="142 - Compras"), 25, 0)) +(IF(OR(S111="GRADO ING. MECÁNICA", S111="GRADO ING. ELÉCTRICA", S111="GRADO DERECHO", S111="GRADO ECONOMÍA", S111="GRADO ING. TECNOLOGÍAS INDUSTRIALES"), 24, 0)) + (IF(AND(K111&gt;=451, K111&lt;=700), 23, 0)) + (IF(AND(AB111&gt;=5, AB111&lt;=8), 17, 0)) +(IF(_xludf.OR(_xludf.AND(AC111&gt;=8, AC111&lt;=10), _xludf.AND(AC111&gt;=0, AC111&lt;=5)), 16, 0)) + (IF(F111="Madrid", 11, 0))))</f>
        <v>#NAME?</v>
      </c>
      <c r="AG111" s="68"/>
      <c r="AH111" s="71" t="s">
        <v>164</v>
      </c>
    </row>
    <row r="112" spans="1:34" ht="14.4" x14ac:dyDescent="0.3">
      <c r="A112" s="66" t="s">
        <v>1090</v>
      </c>
      <c r="B112" s="66" t="s">
        <v>3207</v>
      </c>
      <c r="C112" s="33">
        <v>111</v>
      </c>
      <c r="D112" s="33" t="s">
        <v>5395</v>
      </c>
      <c r="E112" s="34" t="s">
        <v>5227</v>
      </c>
      <c r="F112" s="34" t="s">
        <v>18</v>
      </c>
      <c r="G112" s="57">
        <v>40911</v>
      </c>
      <c r="H112" s="57">
        <v>41333</v>
      </c>
      <c r="I112" s="34">
        <f t="shared" si="3"/>
        <v>13</v>
      </c>
      <c r="J112" s="34">
        <v>40</v>
      </c>
      <c r="K112" s="36">
        <v>900</v>
      </c>
      <c r="L112" s="34" t="s">
        <v>17</v>
      </c>
      <c r="M112" s="57">
        <v>32612</v>
      </c>
      <c r="N112" s="37">
        <f>(YEAR(TablaMadre[[#This Row],[ALTA]])-YEAR(M112))</f>
        <v>23</v>
      </c>
      <c r="O112" s="34" t="s">
        <v>191</v>
      </c>
      <c r="P112" s="34" t="s">
        <v>19</v>
      </c>
      <c r="Q112" s="34" t="s">
        <v>140</v>
      </c>
      <c r="R112" s="34" t="s">
        <v>21</v>
      </c>
      <c r="S112" s="34" t="s">
        <v>151</v>
      </c>
      <c r="T112" s="34"/>
      <c r="U112" s="34" t="s">
        <v>30</v>
      </c>
      <c r="V112" s="34" t="s">
        <v>69</v>
      </c>
      <c r="W112" s="34" t="s">
        <v>28</v>
      </c>
      <c r="X112" s="38" t="s">
        <v>173</v>
      </c>
      <c r="Y112" s="62"/>
      <c r="Z112" s="38" t="e">
        <f t="shared" si="4"/>
        <v>#NUM!</v>
      </c>
      <c r="AA112" s="38"/>
      <c r="AB112" s="34"/>
      <c r="AC112" s="34"/>
      <c r="AD112" s="38"/>
      <c r="AE112" s="59" t="str">
        <f t="shared" si="5"/>
        <v>SÍ</v>
      </c>
      <c r="AF112" s="38" t="e" cm="1">
        <f t="array" aca="1" ref="AF112" ca="1">MIN(100, MAX(0, (IF(R112="ESTUDIANTE", 31, 0)) + (IF(I112&lt;=3, 30, IF(I112&lt;=6, 20, 0))) +(IF(OR(E112="413 - Control de Costes y Enlace Construcción", E112="480 - Secretaría General del Consejo", E112="132 - Civil y estructuras", E112="136 - Mecánica", E112="412 - Planificación", E112="142 - Compras"), 25, 0)) +(IF(OR(S112="GRADO ING. MECÁNICA", S112="GRADO ING. ELÉCTRICA", S112="GRADO DERECHO", S112="GRADO ECONOMÍA", S112="GRADO ING. TECNOLOGÍAS INDUSTRIALES"), 24, 0)) + (IF(AND(K112&gt;=451, K112&lt;=700), 23, 0)) + (IF(AND(AB112&gt;=5, AB112&lt;=8), 17, 0)) +(IF(_xludf.OR(_xludf.AND(AC112&gt;=8, AC112&lt;=10), _xludf.AND(AC112&gt;=0, AC112&lt;=5)), 16, 0)) + (IF(F112="Madrid", 11, 0))))</f>
        <v>#NAME?</v>
      </c>
      <c r="AG112" s="68"/>
      <c r="AH112" s="71" t="s">
        <v>164</v>
      </c>
    </row>
    <row r="113" spans="1:34" ht="14.4" x14ac:dyDescent="0.3">
      <c r="A113" s="66" t="s">
        <v>1091</v>
      </c>
      <c r="B113" s="66" t="s">
        <v>3208</v>
      </c>
      <c r="C113" s="33">
        <v>112</v>
      </c>
      <c r="D113" s="33" t="s">
        <v>5396</v>
      </c>
      <c r="E113" s="34" t="s">
        <v>5231</v>
      </c>
      <c r="F113" s="34" t="s">
        <v>18</v>
      </c>
      <c r="G113" s="57">
        <v>40911</v>
      </c>
      <c r="H113" s="57">
        <v>41470</v>
      </c>
      <c r="I113" s="34">
        <f t="shared" si="3"/>
        <v>18</v>
      </c>
      <c r="J113" s="34">
        <v>40</v>
      </c>
      <c r="K113" s="36">
        <v>750</v>
      </c>
      <c r="L113" s="34" t="s">
        <v>17</v>
      </c>
      <c r="M113" s="57">
        <v>33589</v>
      </c>
      <c r="N113" s="37">
        <f>(YEAR(TablaMadre[[#This Row],[ALTA]])-YEAR(M113))</f>
        <v>21</v>
      </c>
      <c r="O113" s="34" t="s">
        <v>18</v>
      </c>
      <c r="P113" s="34" t="s">
        <v>19</v>
      </c>
      <c r="Q113" s="34" t="s">
        <v>201</v>
      </c>
      <c r="R113" s="34" t="s">
        <v>21</v>
      </c>
      <c r="S113" s="34" t="s">
        <v>136</v>
      </c>
      <c r="T113" s="34"/>
      <c r="U113" s="34" t="s">
        <v>42</v>
      </c>
      <c r="V113" s="34" t="s">
        <v>67</v>
      </c>
      <c r="W113" s="34" t="s">
        <v>28</v>
      </c>
      <c r="X113" s="38" t="s">
        <v>164</v>
      </c>
      <c r="Y113" s="62">
        <v>42685</v>
      </c>
      <c r="Z113" s="38">
        <f t="shared" si="4"/>
        <v>3</v>
      </c>
      <c r="AA113" s="38"/>
      <c r="AB113" s="34"/>
      <c r="AC113" s="34"/>
      <c r="AD113" s="38"/>
      <c r="AE113" s="59" t="str">
        <f t="shared" si="5"/>
        <v>NO</v>
      </c>
      <c r="AF113" s="38" t="e" cm="1">
        <f t="array" aca="1" ref="AF113" ca="1">MIN(100, MAX(0, (IF(R113="ESTUDIANTE", 31, 0)) + (IF(I113&lt;=3, 30, IF(I113&lt;=6, 20, 0))) +(IF(OR(E113="413 - Control de Costes y Enlace Construcción", E113="480 - Secretaría General del Consejo", E113="132 - Civil y estructuras", E113="136 - Mecánica", E113="412 - Planificación", E113="142 - Compras"), 25, 0)) +(IF(OR(S113="GRADO ING. MECÁNICA", S113="GRADO ING. ELÉCTRICA", S113="GRADO DERECHO", S113="GRADO ECONOMÍA", S113="GRADO ING. TECNOLOGÍAS INDUSTRIALES"), 24, 0)) + (IF(AND(K113&gt;=451, K113&lt;=700), 23, 0)) + (IF(AND(AB113&gt;=5, AB113&lt;=8), 17, 0)) +(IF(_xludf.OR(_xludf.AND(AC113&gt;=8, AC113&lt;=10), _xludf.AND(AC113&gt;=0, AC113&lt;=5)), 16, 0)) + (IF(F113="Madrid", 11, 0))))</f>
        <v>#NAME?</v>
      </c>
      <c r="AG113" s="68"/>
      <c r="AH113" s="71" t="s">
        <v>164</v>
      </c>
    </row>
    <row r="114" spans="1:34" ht="14.4" x14ac:dyDescent="0.3">
      <c r="A114" s="66" t="s">
        <v>1092</v>
      </c>
      <c r="B114" s="66" t="s">
        <v>3209</v>
      </c>
      <c r="C114" s="33">
        <v>113</v>
      </c>
      <c r="D114" s="33" t="s">
        <v>5397</v>
      </c>
      <c r="E114" s="34" t="s">
        <v>5219</v>
      </c>
      <c r="F114" s="34" t="s">
        <v>18</v>
      </c>
      <c r="G114" s="57">
        <v>40912</v>
      </c>
      <c r="H114" s="57">
        <v>41090</v>
      </c>
      <c r="I114" s="34">
        <f t="shared" si="3"/>
        <v>5</v>
      </c>
      <c r="J114" s="34">
        <v>40</v>
      </c>
      <c r="K114" s="36">
        <v>650</v>
      </c>
      <c r="L114" s="34" t="s">
        <v>29</v>
      </c>
      <c r="M114" s="57">
        <v>32861</v>
      </c>
      <c r="N114" s="37">
        <f>(YEAR(TablaMadre[[#This Row],[ALTA]])-YEAR(M114))</f>
        <v>23</v>
      </c>
      <c r="O114" s="34" t="s">
        <v>18</v>
      </c>
      <c r="P114" s="34" t="s">
        <v>19</v>
      </c>
      <c r="Q114" s="34" t="s">
        <v>63</v>
      </c>
      <c r="R114" s="58" t="s">
        <v>30</v>
      </c>
      <c r="S114" s="34" t="s">
        <v>297</v>
      </c>
      <c r="T114" s="34"/>
      <c r="U114" s="34" t="s">
        <v>30</v>
      </c>
      <c r="V114" s="34" t="s">
        <v>56</v>
      </c>
      <c r="W114" s="34" t="s">
        <v>23</v>
      </c>
      <c r="X114" s="38" t="s">
        <v>164</v>
      </c>
      <c r="Y114" s="62"/>
      <c r="Z114" s="62" t="e">
        <f t="shared" si="4"/>
        <v>#NUM!</v>
      </c>
      <c r="AA114" s="62"/>
      <c r="AB114" s="34"/>
      <c r="AC114" s="34"/>
      <c r="AD114" s="38"/>
      <c r="AE114" s="59" t="str">
        <f t="shared" si="5"/>
        <v>NO</v>
      </c>
      <c r="AF114" s="38" t="e" cm="1">
        <f t="array" aca="1" ref="AF114" ca="1">MIN(100, MAX(0, (IF(R114="ESTUDIANTE", 31, 0)) + (IF(I114&lt;=3, 30, IF(I114&lt;=6, 20, 0))) +(IF(OR(E114="413 - Control de Costes y Enlace Construcción", E114="480 - Secretaría General del Consejo", E114="132 - Civil y estructuras", E114="136 - Mecánica", E114="412 - Planificación", E114="142 - Compras"), 25, 0)) +(IF(OR(S114="GRADO ING. MECÁNICA", S114="GRADO ING. ELÉCTRICA", S114="GRADO DERECHO", S114="GRADO ECONOMÍA", S114="GRADO ING. TECNOLOGÍAS INDUSTRIALES"), 24, 0)) + (IF(AND(K114&gt;=451, K114&lt;=700), 23, 0)) + (IF(AND(AB114&gt;=5, AB114&lt;=8), 17, 0)) +(IF(_xludf.OR(_xludf.AND(AC114&gt;=8, AC114&lt;=10), _xludf.AND(AC114&gt;=0, AC114&lt;=5)), 16, 0)) + (IF(F114="Madrid", 11, 0))))</f>
        <v>#NAME?</v>
      </c>
      <c r="AG114" s="68"/>
      <c r="AH114" s="71" t="s">
        <v>164</v>
      </c>
    </row>
    <row r="115" spans="1:34" ht="14.4" x14ac:dyDescent="0.3">
      <c r="A115" s="66" t="s">
        <v>1093</v>
      </c>
      <c r="B115" s="66" t="s">
        <v>3210</v>
      </c>
      <c r="C115" s="33">
        <v>114</v>
      </c>
      <c r="D115" s="33" t="s">
        <v>5398</v>
      </c>
      <c r="E115" s="34" t="s">
        <v>5249</v>
      </c>
      <c r="F115" s="34" t="s">
        <v>18</v>
      </c>
      <c r="G115" s="57">
        <v>40912</v>
      </c>
      <c r="H115" s="57">
        <v>41364</v>
      </c>
      <c r="I115" s="34">
        <f t="shared" si="3"/>
        <v>14</v>
      </c>
      <c r="J115" s="34">
        <v>40</v>
      </c>
      <c r="K115" s="36">
        <v>650</v>
      </c>
      <c r="L115" s="34" t="s">
        <v>29</v>
      </c>
      <c r="M115" s="57">
        <v>33050</v>
      </c>
      <c r="N115" s="37">
        <f>(YEAR(TablaMadre[[#This Row],[ALTA]])-YEAR(M115))</f>
        <v>22</v>
      </c>
      <c r="O115" s="34" t="s">
        <v>18</v>
      </c>
      <c r="P115" s="34" t="s">
        <v>19</v>
      </c>
      <c r="Q115" s="34" t="s">
        <v>63</v>
      </c>
      <c r="R115" s="58" t="s">
        <v>30</v>
      </c>
      <c r="S115" s="34" t="s">
        <v>297</v>
      </c>
      <c r="T115" s="34"/>
      <c r="U115" s="34" t="s">
        <v>30</v>
      </c>
      <c r="V115" s="34" t="s">
        <v>56</v>
      </c>
      <c r="W115" s="34" t="s">
        <v>28</v>
      </c>
      <c r="X115" s="38" t="s">
        <v>173</v>
      </c>
      <c r="Y115" s="62"/>
      <c r="Z115" s="38" t="e">
        <f t="shared" si="4"/>
        <v>#NUM!</v>
      </c>
      <c r="AA115" s="38"/>
      <c r="AB115" s="34"/>
      <c r="AC115" s="34"/>
      <c r="AD115" s="38"/>
      <c r="AE115" s="59" t="str">
        <f t="shared" si="5"/>
        <v>NO</v>
      </c>
      <c r="AF115" s="38" t="e" cm="1">
        <f t="array" aca="1" ref="AF115" ca="1">MIN(100, MAX(0, (IF(R115="ESTUDIANTE", 31, 0)) + (IF(I115&lt;=3, 30, IF(I115&lt;=6, 20, 0))) +(IF(OR(E115="413 - Control de Costes y Enlace Construcción", E115="480 - Secretaría General del Consejo", E115="132 - Civil y estructuras", E115="136 - Mecánica", E115="412 - Planificación", E115="142 - Compras"), 25, 0)) +(IF(OR(S115="GRADO ING. MECÁNICA", S115="GRADO ING. ELÉCTRICA", S115="GRADO DERECHO", S115="GRADO ECONOMÍA", S115="GRADO ING. TECNOLOGÍAS INDUSTRIALES"), 24, 0)) + (IF(AND(K115&gt;=451, K115&lt;=700), 23, 0)) + (IF(AND(AB115&gt;=5, AB115&lt;=8), 17, 0)) +(IF(_xludf.OR(_xludf.AND(AC115&gt;=8, AC115&lt;=10), _xludf.AND(AC115&gt;=0, AC115&lt;=5)), 16, 0)) + (IF(F115="Madrid", 11, 0))))</f>
        <v>#NAME?</v>
      </c>
      <c r="AG115" s="68"/>
      <c r="AH115" s="71" t="s">
        <v>164</v>
      </c>
    </row>
    <row r="116" spans="1:34" ht="14.4" x14ac:dyDescent="0.3">
      <c r="A116" s="66" t="s">
        <v>1094</v>
      </c>
      <c r="B116" s="66" t="s">
        <v>3211</v>
      </c>
      <c r="C116" s="33">
        <v>115</v>
      </c>
      <c r="D116" s="33" t="s">
        <v>5399</v>
      </c>
      <c r="E116" s="34" t="s">
        <v>5249</v>
      </c>
      <c r="F116" s="34" t="s">
        <v>18</v>
      </c>
      <c r="G116" s="57">
        <v>40912</v>
      </c>
      <c r="H116" s="57">
        <v>41364</v>
      </c>
      <c r="I116" s="34">
        <f t="shared" si="3"/>
        <v>14</v>
      </c>
      <c r="J116" s="34">
        <v>40</v>
      </c>
      <c r="K116" s="36">
        <v>900</v>
      </c>
      <c r="L116" s="34" t="s">
        <v>29</v>
      </c>
      <c r="M116" s="57">
        <v>33500</v>
      </c>
      <c r="N116" s="37">
        <f>(YEAR(TablaMadre[[#This Row],[ALTA]])-YEAR(M116))</f>
        <v>21</v>
      </c>
      <c r="O116" s="34" t="s">
        <v>18</v>
      </c>
      <c r="P116" s="34" t="s">
        <v>19</v>
      </c>
      <c r="Q116" s="34" t="s">
        <v>63</v>
      </c>
      <c r="R116" s="34" t="s">
        <v>21</v>
      </c>
      <c r="S116" s="34" t="s">
        <v>297</v>
      </c>
      <c r="T116" s="34"/>
      <c r="U116" s="34" t="s">
        <v>30</v>
      </c>
      <c r="V116" s="34" t="s">
        <v>56</v>
      </c>
      <c r="W116" s="34" t="s">
        <v>28</v>
      </c>
      <c r="X116" s="38" t="s">
        <v>173</v>
      </c>
      <c r="Y116" s="62"/>
      <c r="Z116" s="38" t="e">
        <f t="shared" si="4"/>
        <v>#NUM!</v>
      </c>
      <c r="AA116" s="38"/>
      <c r="AB116" s="34"/>
      <c r="AC116" s="34"/>
      <c r="AD116" s="38"/>
      <c r="AE116" s="59" t="str">
        <f t="shared" si="5"/>
        <v>NO</v>
      </c>
      <c r="AF116" s="38" t="e" cm="1">
        <f t="array" aca="1" ref="AF116" ca="1">MIN(100, MAX(0, (IF(R116="ESTUDIANTE", 31, 0)) + (IF(I116&lt;=3, 30, IF(I116&lt;=6, 20, 0))) +(IF(OR(E116="413 - Control de Costes y Enlace Construcción", E116="480 - Secretaría General del Consejo", E116="132 - Civil y estructuras", E116="136 - Mecánica", E116="412 - Planificación", E116="142 - Compras"), 25, 0)) +(IF(OR(S116="GRADO ING. MECÁNICA", S116="GRADO ING. ELÉCTRICA", S116="GRADO DERECHO", S116="GRADO ECONOMÍA", S116="GRADO ING. TECNOLOGÍAS INDUSTRIALES"), 24, 0)) + (IF(AND(K116&gt;=451, K116&lt;=700), 23, 0)) + (IF(AND(AB116&gt;=5, AB116&lt;=8), 17, 0)) +(IF(_xludf.OR(_xludf.AND(AC116&gt;=8, AC116&lt;=10), _xludf.AND(AC116&gt;=0, AC116&lt;=5)), 16, 0)) + (IF(F116="Madrid", 11, 0))))</f>
        <v>#NAME?</v>
      </c>
      <c r="AG116" s="68"/>
      <c r="AH116" s="71" t="s">
        <v>164</v>
      </c>
    </row>
    <row r="117" spans="1:34" ht="14.4" x14ac:dyDescent="0.3">
      <c r="A117" s="66" t="s">
        <v>1096</v>
      </c>
      <c r="B117" s="66" t="s">
        <v>3213</v>
      </c>
      <c r="C117" s="33">
        <v>117</v>
      </c>
      <c r="D117" s="33" t="s">
        <v>5400</v>
      </c>
      <c r="E117" s="34" t="s">
        <v>5249</v>
      </c>
      <c r="F117" s="34" t="s">
        <v>18</v>
      </c>
      <c r="G117" s="57">
        <v>40912</v>
      </c>
      <c r="H117" s="57">
        <v>41364</v>
      </c>
      <c r="I117" s="34">
        <f t="shared" si="3"/>
        <v>14</v>
      </c>
      <c r="J117" s="34">
        <v>40</v>
      </c>
      <c r="K117" s="36">
        <v>900</v>
      </c>
      <c r="L117" s="34" t="s">
        <v>29</v>
      </c>
      <c r="M117" s="57">
        <v>32307</v>
      </c>
      <c r="N117" s="37">
        <f>(YEAR(TablaMadre[[#This Row],[ALTA]])-YEAR(M117))</f>
        <v>24</v>
      </c>
      <c r="O117" s="34" t="s">
        <v>18</v>
      </c>
      <c r="P117" s="34" t="s">
        <v>19</v>
      </c>
      <c r="Q117" s="34" t="s">
        <v>63</v>
      </c>
      <c r="R117" s="34" t="s">
        <v>21</v>
      </c>
      <c r="S117" s="34" t="s">
        <v>297</v>
      </c>
      <c r="T117" s="34"/>
      <c r="U117" s="34" t="s">
        <v>30</v>
      </c>
      <c r="V117" s="34" t="s">
        <v>56</v>
      </c>
      <c r="W117" s="34" t="s">
        <v>28</v>
      </c>
      <c r="X117" s="38" t="s">
        <v>173</v>
      </c>
      <c r="Y117" s="62"/>
      <c r="Z117" s="38" t="e">
        <f t="shared" si="4"/>
        <v>#NUM!</v>
      </c>
      <c r="AA117" s="38"/>
      <c r="AB117" s="34"/>
      <c r="AC117" s="34"/>
      <c r="AD117" s="38"/>
      <c r="AE117" s="59" t="str">
        <f t="shared" si="5"/>
        <v>NO</v>
      </c>
      <c r="AF117" s="38" t="e" cm="1">
        <f t="array" aca="1" ref="AF117" ca="1">MIN(100, MAX(0, (IF(R117="ESTUDIANTE", 31, 0)) + (IF(I117&lt;=3, 30, IF(I117&lt;=6, 20, 0))) +(IF(OR(E117="413 - Control de Costes y Enlace Construcción", E117="480 - Secretaría General del Consejo", E117="132 - Civil y estructuras", E117="136 - Mecánica", E117="412 - Planificación", E117="142 - Compras"), 25, 0)) +(IF(OR(S117="GRADO ING. MECÁNICA", S117="GRADO ING. ELÉCTRICA", S117="GRADO DERECHO", S117="GRADO ECONOMÍA", S117="GRADO ING. TECNOLOGÍAS INDUSTRIALES"), 24, 0)) + (IF(AND(K117&gt;=451, K117&lt;=700), 23, 0)) + (IF(AND(AB117&gt;=5, AB117&lt;=8), 17, 0)) +(IF(_xludf.OR(_xludf.AND(AC117&gt;=8, AC117&lt;=10), _xludf.AND(AC117&gt;=0, AC117&lt;=5)), 16, 0)) + (IF(F117="Madrid", 11, 0))))</f>
        <v>#NAME?</v>
      </c>
      <c r="AG117" s="68"/>
      <c r="AH117" s="71" t="s">
        <v>164</v>
      </c>
    </row>
    <row r="118" spans="1:34" ht="14.4" x14ac:dyDescent="0.3">
      <c r="A118" s="66" t="s">
        <v>1097</v>
      </c>
      <c r="B118" s="66" t="s">
        <v>3214</v>
      </c>
      <c r="C118" s="33">
        <v>118</v>
      </c>
      <c r="D118" s="33" t="s">
        <v>5401</v>
      </c>
      <c r="E118" s="34" t="s">
        <v>5222</v>
      </c>
      <c r="F118" s="34" t="s">
        <v>18</v>
      </c>
      <c r="G118" s="57">
        <v>40912</v>
      </c>
      <c r="H118" s="57">
        <v>41364</v>
      </c>
      <c r="I118" s="34">
        <f t="shared" si="3"/>
        <v>14</v>
      </c>
      <c r="J118" s="34">
        <v>40</v>
      </c>
      <c r="K118" s="36">
        <v>900</v>
      </c>
      <c r="L118" s="34" t="s">
        <v>29</v>
      </c>
      <c r="M118" s="57">
        <v>33376</v>
      </c>
      <c r="N118" s="37">
        <f>(YEAR(TablaMadre[[#This Row],[ALTA]])-YEAR(M118))</f>
        <v>21</v>
      </c>
      <c r="O118" s="34" t="s">
        <v>18</v>
      </c>
      <c r="P118" s="34" t="s">
        <v>19</v>
      </c>
      <c r="Q118" s="34" t="s">
        <v>63</v>
      </c>
      <c r="R118" s="34" t="s">
        <v>21</v>
      </c>
      <c r="S118" s="34" t="s">
        <v>297</v>
      </c>
      <c r="T118" s="34"/>
      <c r="U118" s="34" t="s">
        <v>30</v>
      </c>
      <c r="V118" s="34" t="s">
        <v>56</v>
      </c>
      <c r="W118" s="34" t="s">
        <v>28</v>
      </c>
      <c r="X118" s="38" t="s">
        <v>173</v>
      </c>
      <c r="Y118" s="62"/>
      <c r="Z118" s="38" t="e">
        <f t="shared" si="4"/>
        <v>#NUM!</v>
      </c>
      <c r="AA118" s="38"/>
      <c r="AB118" s="34"/>
      <c r="AC118" s="34"/>
      <c r="AD118" s="38"/>
      <c r="AE118" s="59" t="str">
        <f t="shared" si="5"/>
        <v>NO</v>
      </c>
      <c r="AF118" s="38" t="e" cm="1">
        <f t="array" aca="1" ref="AF118" ca="1">MIN(100, MAX(0, (IF(R118="ESTUDIANTE", 31, 0)) + (IF(I118&lt;=3, 30, IF(I118&lt;=6, 20, 0))) +(IF(OR(E118="413 - Control de Costes y Enlace Construcción", E118="480 - Secretaría General del Consejo", E118="132 - Civil y estructuras", E118="136 - Mecánica", E118="412 - Planificación", E118="142 - Compras"), 25, 0)) +(IF(OR(S118="GRADO ING. MECÁNICA", S118="GRADO ING. ELÉCTRICA", S118="GRADO DERECHO", S118="GRADO ECONOMÍA", S118="GRADO ING. TECNOLOGÍAS INDUSTRIALES"), 24, 0)) + (IF(AND(K118&gt;=451, K118&lt;=700), 23, 0)) + (IF(AND(AB118&gt;=5, AB118&lt;=8), 17, 0)) +(IF(_xludf.OR(_xludf.AND(AC118&gt;=8, AC118&lt;=10), _xludf.AND(AC118&gt;=0, AC118&lt;=5)), 16, 0)) + (IF(F118="Madrid", 11, 0))))</f>
        <v>#NAME?</v>
      </c>
      <c r="AG118" s="68"/>
      <c r="AH118" s="71" t="s">
        <v>164</v>
      </c>
    </row>
    <row r="119" spans="1:34" ht="14.4" x14ac:dyDescent="0.3">
      <c r="A119" s="66" t="s">
        <v>1098</v>
      </c>
      <c r="B119" s="66" t="s">
        <v>3215</v>
      </c>
      <c r="C119" s="33">
        <v>119</v>
      </c>
      <c r="D119" s="33" t="s">
        <v>5402</v>
      </c>
      <c r="E119" s="34" t="s">
        <v>5249</v>
      </c>
      <c r="F119" s="34" t="s">
        <v>18</v>
      </c>
      <c r="G119" s="57">
        <v>40912</v>
      </c>
      <c r="H119" s="57">
        <v>41364</v>
      </c>
      <c r="I119" s="34">
        <f t="shared" si="3"/>
        <v>14</v>
      </c>
      <c r="J119" s="34">
        <v>40</v>
      </c>
      <c r="K119" s="36">
        <v>900</v>
      </c>
      <c r="L119" s="34" t="s">
        <v>29</v>
      </c>
      <c r="M119" s="57">
        <v>31945</v>
      </c>
      <c r="N119" s="37">
        <f>(YEAR(TablaMadre[[#This Row],[ALTA]])-YEAR(M119))</f>
        <v>25</v>
      </c>
      <c r="O119" s="34" t="s">
        <v>105</v>
      </c>
      <c r="P119" s="34" t="s">
        <v>19</v>
      </c>
      <c r="Q119" s="34" t="s">
        <v>63</v>
      </c>
      <c r="R119" s="34" t="s">
        <v>21</v>
      </c>
      <c r="S119" s="34" t="s">
        <v>297</v>
      </c>
      <c r="T119" s="34"/>
      <c r="U119" s="34" t="s">
        <v>30</v>
      </c>
      <c r="V119" s="34" t="s">
        <v>56</v>
      </c>
      <c r="W119" s="34" t="s">
        <v>28</v>
      </c>
      <c r="X119" s="38" t="s">
        <v>164</v>
      </c>
      <c r="Y119" s="62">
        <v>44130</v>
      </c>
      <c r="Z119" s="38">
        <f t="shared" si="4"/>
        <v>7</v>
      </c>
      <c r="AA119" s="38"/>
      <c r="AB119" s="34"/>
      <c r="AC119" s="34"/>
      <c r="AD119" s="38"/>
      <c r="AE119" s="59" t="str">
        <f t="shared" si="5"/>
        <v>SÍ</v>
      </c>
      <c r="AF119" s="38" t="e" cm="1">
        <f t="array" aca="1" ref="AF119" ca="1">MIN(100, MAX(0, (IF(R119="ESTUDIANTE", 31, 0)) + (IF(I119&lt;=3, 30, IF(I119&lt;=6, 20, 0))) +(IF(OR(E119="413 - Control de Costes y Enlace Construcción", E119="480 - Secretaría General del Consejo", E119="132 - Civil y estructuras", E119="136 - Mecánica", E119="412 - Planificación", E119="142 - Compras"), 25, 0)) +(IF(OR(S119="GRADO ING. MECÁNICA", S119="GRADO ING. ELÉCTRICA", S119="GRADO DERECHO", S119="GRADO ECONOMÍA", S119="GRADO ING. TECNOLOGÍAS INDUSTRIALES"), 24, 0)) + (IF(AND(K119&gt;=451, K119&lt;=700), 23, 0)) + (IF(AND(AB119&gt;=5, AB119&lt;=8), 17, 0)) +(IF(_xludf.OR(_xludf.AND(AC119&gt;=8, AC119&lt;=10), _xludf.AND(AC119&gt;=0, AC119&lt;=5)), 16, 0)) + (IF(F119="Madrid", 11, 0))))</f>
        <v>#NAME?</v>
      </c>
      <c r="AG119" s="68"/>
      <c r="AH119" s="71" t="s">
        <v>164</v>
      </c>
    </row>
    <row r="120" spans="1:34" ht="14.4" x14ac:dyDescent="0.3">
      <c r="A120" s="66" t="s">
        <v>1099</v>
      </c>
      <c r="B120" s="66" t="s">
        <v>3216</v>
      </c>
      <c r="C120" s="33">
        <v>120</v>
      </c>
      <c r="D120" s="33" t="s">
        <v>5393</v>
      </c>
      <c r="E120" s="34" t="s">
        <v>5249</v>
      </c>
      <c r="F120" s="34" t="s">
        <v>18</v>
      </c>
      <c r="G120" s="57">
        <v>40912</v>
      </c>
      <c r="H120" s="57">
        <v>41364</v>
      </c>
      <c r="I120" s="34">
        <f t="shared" si="3"/>
        <v>14</v>
      </c>
      <c r="J120" s="34">
        <v>40</v>
      </c>
      <c r="K120" s="36">
        <v>900</v>
      </c>
      <c r="L120" s="34" t="s">
        <v>17</v>
      </c>
      <c r="M120" s="57">
        <v>34289</v>
      </c>
      <c r="N120" s="37">
        <f>(YEAR(TablaMadre[[#This Row],[ALTA]])-YEAR(M120))</f>
        <v>19</v>
      </c>
      <c r="O120" s="34" t="s">
        <v>18</v>
      </c>
      <c r="P120" s="34" t="s">
        <v>19</v>
      </c>
      <c r="Q120" s="34" t="s">
        <v>63</v>
      </c>
      <c r="R120" s="34" t="s">
        <v>21</v>
      </c>
      <c r="S120" s="34" t="s">
        <v>297</v>
      </c>
      <c r="T120" s="34"/>
      <c r="U120" s="34" t="s">
        <v>30</v>
      </c>
      <c r="V120" s="34" t="s">
        <v>56</v>
      </c>
      <c r="W120" s="34" t="s">
        <v>23</v>
      </c>
      <c r="X120" s="38" t="s">
        <v>164</v>
      </c>
      <c r="Y120" s="62"/>
      <c r="Z120" s="62" t="e">
        <f t="shared" si="4"/>
        <v>#NUM!</v>
      </c>
      <c r="AA120" s="62"/>
      <c r="AB120" s="34"/>
      <c r="AC120" s="34"/>
      <c r="AD120" s="38"/>
      <c r="AE120" s="59" t="str">
        <f t="shared" si="5"/>
        <v>NO</v>
      </c>
      <c r="AF120" s="38" t="e" cm="1">
        <f t="array" aca="1" ref="AF120" ca="1">MIN(100, MAX(0, (IF(R120="ESTUDIANTE", 31, 0)) + (IF(I120&lt;=3, 30, IF(I120&lt;=6, 20, 0))) +(IF(OR(E120="413 - Control de Costes y Enlace Construcción", E120="480 - Secretaría General del Consejo", E120="132 - Civil y estructuras", E120="136 - Mecánica", E120="412 - Planificación", E120="142 - Compras"), 25, 0)) +(IF(OR(S120="GRADO ING. MECÁNICA", S120="GRADO ING. ELÉCTRICA", S120="GRADO DERECHO", S120="GRADO ECONOMÍA", S120="GRADO ING. TECNOLOGÍAS INDUSTRIALES"), 24, 0)) + (IF(AND(K120&gt;=451, K120&lt;=700), 23, 0)) + (IF(AND(AB120&gt;=5, AB120&lt;=8), 17, 0)) +(IF(_xludf.OR(_xludf.AND(AC120&gt;=8, AC120&lt;=10), _xludf.AND(AC120&gt;=0, AC120&lt;=5)), 16, 0)) + (IF(F120="Madrid", 11, 0))))</f>
        <v>#NAME?</v>
      </c>
      <c r="AG120" s="68"/>
      <c r="AH120" s="71" t="s">
        <v>164</v>
      </c>
    </row>
    <row r="121" spans="1:34" ht="14.4" x14ac:dyDescent="0.3">
      <c r="A121" s="66" t="s">
        <v>1191</v>
      </c>
      <c r="B121" s="66" t="s">
        <v>3308</v>
      </c>
      <c r="C121" s="33">
        <v>116</v>
      </c>
      <c r="D121" s="33" t="s">
        <v>5394</v>
      </c>
      <c r="E121" s="34" t="s">
        <v>5216</v>
      </c>
      <c r="F121" s="34" t="s">
        <v>18</v>
      </c>
      <c r="G121" s="57">
        <v>40912</v>
      </c>
      <c r="H121" s="57">
        <v>41364</v>
      </c>
      <c r="I121" s="34">
        <f t="shared" si="3"/>
        <v>14</v>
      </c>
      <c r="J121" s="34">
        <v>40</v>
      </c>
      <c r="K121" s="36">
        <v>650</v>
      </c>
      <c r="L121" s="34" t="s">
        <v>17</v>
      </c>
      <c r="M121" s="57">
        <v>32008</v>
      </c>
      <c r="N121" s="37">
        <f>(YEAR(TablaMadre[[#This Row],[ALTA]])-YEAR(M121))</f>
        <v>25</v>
      </c>
      <c r="O121" s="34" t="s">
        <v>350</v>
      </c>
      <c r="P121" s="34" t="s">
        <v>19</v>
      </c>
      <c r="Q121" s="34" t="s">
        <v>63</v>
      </c>
      <c r="R121" s="58" t="s">
        <v>30</v>
      </c>
      <c r="S121" s="34" t="s">
        <v>297</v>
      </c>
      <c r="T121" s="34"/>
      <c r="U121" s="34" t="s">
        <v>30</v>
      </c>
      <c r="V121" s="34" t="s">
        <v>56</v>
      </c>
      <c r="W121" s="34" t="s">
        <v>28</v>
      </c>
      <c r="X121" s="38" t="s">
        <v>173</v>
      </c>
      <c r="Y121" s="62"/>
      <c r="Z121" s="38" t="e">
        <f t="shared" si="4"/>
        <v>#NUM!</v>
      </c>
      <c r="AA121" s="38" t="s">
        <v>173</v>
      </c>
      <c r="AB121" s="34"/>
      <c r="AC121" s="34"/>
      <c r="AD121" s="38"/>
      <c r="AE121" s="59" t="str">
        <f t="shared" si="5"/>
        <v>SÍ</v>
      </c>
      <c r="AF121" s="38" t="e" cm="1">
        <f t="array" aca="1" ref="AF121" ca="1">MIN(100, MAX(0, (IF(R121="ESTUDIANTE", 31, 0)) + (IF(I121&lt;=3, 30, IF(I121&lt;=6, 20, 0))) +(IF(OR(E121="413 - Control de Costes y Enlace Construcción", E121="480 - Secretaría General del Consejo", E121="132 - Civil y estructuras", E121="136 - Mecánica", E121="412 - Planificación", E121="142 - Compras"), 25, 0)) +(IF(OR(S121="GRADO ING. MECÁNICA", S121="GRADO ING. ELÉCTRICA", S121="GRADO DERECHO", S121="GRADO ECONOMÍA", S121="GRADO ING. TECNOLOGÍAS INDUSTRIALES"), 24, 0)) + (IF(AND(K121&gt;=451, K121&lt;=700), 23, 0)) + (IF(AND(AB121&gt;=5, AB121&lt;=8), 17, 0)) +(IF(_xludf.OR(_xludf.AND(AC121&gt;=8, AC121&lt;=10), _xludf.AND(AC121&gt;=0, AC121&lt;=5)), 16, 0)) + (IF(F121="Madrid", 11, 0))))</f>
        <v>#NAME?</v>
      </c>
      <c r="AG121" s="68"/>
      <c r="AH121" s="71" t="s">
        <v>164</v>
      </c>
    </row>
    <row r="122" spans="1:34" ht="14.4" x14ac:dyDescent="0.3">
      <c r="A122" s="66" t="s">
        <v>1100</v>
      </c>
      <c r="B122" s="66" t="s">
        <v>3217</v>
      </c>
      <c r="C122" s="33">
        <v>121</v>
      </c>
      <c r="D122" s="33" t="s">
        <v>5395</v>
      </c>
      <c r="E122" s="34" t="s">
        <v>5219</v>
      </c>
      <c r="F122" s="34" t="s">
        <v>18</v>
      </c>
      <c r="G122" s="57">
        <v>40916</v>
      </c>
      <c r="H122" s="57">
        <v>41152</v>
      </c>
      <c r="I122" s="34">
        <f t="shared" si="3"/>
        <v>7</v>
      </c>
      <c r="J122" s="34">
        <v>40</v>
      </c>
      <c r="K122" s="36">
        <v>650</v>
      </c>
      <c r="L122" s="34" t="s">
        <v>17</v>
      </c>
      <c r="M122" s="57">
        <v>33013</v>
      </c>
      <c r="N122" s="37">
        <f>(YEAR(TablaMadre[[#This Row],[ALTA]])-YEAR(M122))</f>
        <v>22</v>
      </c>
      <c r="O122" s="34" t="s">
        <v>18</v>
      </c>
      <c r="P122" s="34" t="s">
        <v>19</v>
      </c>
      <c r="Q122" s="34" t="s">
        <v>39</v>
      </c>
      <c r="R122" s="58" t="s">
        <v>30</v>
      </c>
      <c r="S122" s="34" t="s">
        <v>960</v>
      </c>
      <c r="T122" s="34"/>
      <c r="U122" s="34" t="s">
        <v>30</v>
      </c>
      <c r="V122" s="34" t="s">
        <v>40</v>
      </c>
      <c r="W122" s="34" t="s">
        <v>91</v>
      </c>
      <c r="X122" s="38" t="s">
        <v>173</v>
      </c>
      <c r="Y122" s="62"/>
      <c r="Z122" s="62" t="e">
        <f t="shared" si="4"/>
        <v>#NUM!</v>
      </c>
      <c r="AA122" s="62"/>
      <c r="AB122" s="34" t="s">
        <v>53</v>
      </c>
      <c r="AC122" s="34" t="s">
        <v>24</v>
      </c>
      <c r="AD122" s="38"/>
      <c r="AE122" s="59" t="str">
        <f t="shared" si="5"/>
        <v>NO</v>
      </c>
      <c r="AF122" s="38" t="e" cm="1">
        <f t="array" aca="1" ref="AF122" ca="1">MIN(100, MAX(0, (IF(R122="ESTUDIANTE", 31, 0)) + (IF(I122&lt;=3, 30, IF(I122&lt;=6, 20, 0))) +(IF(OR(E122="413 - Control de Costes y Enlace Construcción", E122="480 - Secretaría General del Consejo", E122="132 - Civil y estructuras", E122="136 - Mecánica", E122="412 - Planificación", E122="142 - Compras"), 25, 0)) +(IF(OR(S122="GRADO ING. MECÁNICA", S122="GRADO ING. ELÉCTRICA", S122="GRADO DERECHO", S122="GRADO ECONOMÍA", S122="GRADO ING. TECNOLOGÍAS INDUSTRIALES"), 24, 0)) + (IF(AND(K122&gt;=451, K122&lt;=700), 23, 0)) + (IF(AND(AB122&gt;=5, AB122&lt;=8), 17, 0)) +(IF(_xludf.OR(_xludf.AND(AC122&gt;=8, AC122&lt;=10), _xludf.AND(AC122&gt;=0, AC122&lt;=5)), 16, 0)) + (IF(F122="Madrid", 11, 0))))</f>
        <v>#NAME?</v>
      </c>
      <c r="AG122" s="68"/>
      <c r="AH122" s="71" t="s">
        <v>164</v>
      </c>
    </row>
    <row r="123" spans="1:34" ht="14.4" x14ac:dyDescent="0.3">
      <c r="A123" s="66" t="s">
        <v>1101</v>
      </c>
      <c r="B123" s="66" t="s">
        <v>3218</v>
      </c>
      <c r="C123" s="33">
        <v>122</v>
      </c>
      <c r="D123" s="33" t="s">
        <v>5396</v>
      </c>
      <c r="E123" s="34" t="s">
        <v>5231</v>
      </c>
      <c r="F123" s="34" t="s">
        <v>18</v>
      </c>
      <c r="G123" s="57">
        <v>40916</v>
      </c>
      <c r="H123" s="57">
        <v>41205</v>
      </c>
      <c r="I123" s="34">
        <f t="shared" si="3"/>
        <v>9</v>
      </c>
      <c r="J123" s="34">
        <v>40</v>
      </c>
      <c r="K123" s="36">
        <v>1350</v>
      </c>
      <c r="L123" s="34" t="s">
        <v>17</v>
      </c>
      <c r="M123" s="57">
        <v>32772</v>
      </c>
      <c r="N123" s="37">
        <f>(YEAR(TablaMadre[[#This Row],[ALTA]])-YEAR(M123))</f>
        <v>23</v>
      </c>
      <c r="O123" s="34" t="s">
        <v>152</v>
      </c>
      <c r="P123" s="34" t="s">
        <v>152</v>
      </c>
      <c r="Q123" s="34" t="s">
        <v>96</v>
      </c>
      <c r="R123" s="34" t="s">
        <v>21</v>
      </c>
      <c r="S123" s="34" t="s">
        <v>136</v>
      </c>
      <c r="T123" s="34"/>
      <c r="U123" s="34" t="s">
        <v>42</v>
      </c>
      <c r="V123" s="34" t="s">
        <v>90</v>
      </c>
      <c r="W123" s="34" t="s">
        <v>23</v>
      </c>
      <c r="X123" s="38" t="s">
        <v>164</v>
      </c>
      <c r="Y123" s="62"/>
      <c r="Z123" s="62" t="e">
        <f t="shared" si="4"/>
        <v>#NUM!</v>
      </c>
      <c r="AA123" s="62"/>
      <c r="AB123" s="34" t="s">
        <v>24</v>
      </c>
      <c r="AC123" s="34" t="s">
        <v>24</v>
      </c>
      <c r="AD123" s="38"/>
      <c r="AE123" s="59" t="str">
        <f t="shared" si="5"/>
        <v>SÍ</v>
      </c>
      <c r="AF123" s="38" t="e" cm="1">
        <f t="array" aca="1" ref="AF123" ca="1">MIN(100, MAX(0, (IF(R123="ESTUDIANTE", 31, 0)) + (IF(I123&lt;=3, 30, IF(I123&lt;=6, 20, 0))) +(IF(OR(E123="413 - Control de Costes y Enlace Construcción", E123="480 - Secretaría General del Consejo", E123="132 - Civil y estructuras", E123="136 - Mecánica", E123="412 - Planificación", E123="142 - Compras"), 25, 0)) +(IF(OR(S123="GRADO ING. MECÁNICA", S123="GRADO ING. ELÉCTRICA", S123="GRADO DERECHO", S123="GRADO ECONOMÍA", S123="GRADO ING. TECNOLOGÍAS INDUSTRIALES"), 24, 0)) + (IF(AND(K123&gt;=451, K123&lt;=700), 23, 0)) + (IF(AND(AB123&gt;=5, AB123&lt;=8), 17, 0)) +(IF(_xludf.OR(_xludf.AND(AC123&gt;=8, AC123&lt;=10), _xludf.AND(AC123&gt;=0, AC123&lt;=5)), 16, 0)) + (IF(F123="Madrid", 11, 0))))</f>
        <v>#NAME?</v>
      </c>
      <c r="AG123" s="68"/>
      <c r="AH123" s="71" t="s">
        <v>164</v>
      </c>
    </row>
    <row r="124" spans="1:34" ht="14.4" x14ac:dyDescent="0.3">
      <c r="A124" s="66" t="s">
        <v>1102</v>
      </c>
      <c r="B124" s="66" t="s">
        <v>3219</v>
      </c>
      <c r="C124" s="33">
        <v>123</v>
      </c>
      <c r="D124" s="33" t="s">
        <v>5397</v>
      </c>
      <c r="E124" s="34" t="s">
        <v>5246</v>
      </c>
      <c r="F124" s="34" t="s">
        <v>18</v>
      </c>
      <c r="G124" s="57">
        <v>40916</v>
      </c>
      <c r="H124" s="57">
        <v>41305</v>
      </c>
      <c r="I124" s="34">
        <f t="shared" si="3"/>
        <v>12</v>
      </c>
      <c r="J124" s="34">
        <v>40</v>
      </c>
      <c r="K124" s="36">
        <v>900</v>
      </c>
      <c r="L124" s="34" t="s">
        <v>29</v>
      </c>
      <c r="M124" s="57">
        <v>31913</v>
      </c>
      <c r="N124" s="37">
        <f>(YEAR(TablaMadre[[#This Row],[ALTA]])-YEAR(M124))</f>
        <v>25</v>
      </c>
      <c r="O124" s="34" t="s">
        <v>18</v>
      </c>
      <c r="P124" s="34" t="s">
        <v>19</v>
      </c>
      <c r="Q124" s="34" t="s">
        <v>147</v>
      </c>
      <c r="R124" s="34" t="s">
        <v>21</v>
      </c>
      <c r="S124" s="34" t="s">
        <v>322</v>
      </c>
      <c r="T124" s="34"/>
      <c r="U124" s="34" t="s">
        <v>30</v>
      </c>
      <c r="V124" s="34" t="s">
        <v>137</v>
      </c>
      <c r="W124" s="34" t="s">
        <v>28</v>
      </c>
      <c r="X124" s="38" t="s">
        <v>164</v>
      </c>
      <c r="Y124" s="62">
        <v>44289</v>
      </c>
      <c r="Z124" s="38">
        <f t="shared" si="4"/>
        <v>8</v>
      </c>
      <c r="AA124" s="38"/>
      <c r="AB124" s="34"/>
      <c r="AC124" s="34"/>
      <c r="AD124" s="38"/>
      <c r="AE124" s="59" t="str">
        <f t="shared" si="5"/>
        <v>NO</v>
      </c>
      <c r="AF124" s="38" t="e" cm="1">
        <f t="array" aca="1" ref="AF124" ca="1">MIN(100, MAX(0, (IF(R124="ESTUDIANTE", 31, 0)) + (IF(I124&lt;=3, 30, IF(I124&lt;=6, 20, 0))) +(IF(OR(E124="413 - Control de Costes y Enlace Construcción", E124="480 - Secretaría General del Consejo", E124="132 - Civil y estructuras", E124="136 - Mecánica", E124="412 - Planificación", E124="142 - Compras"), 25, 0)) +(IF(OR(S124="GRADO ING. MECÁNICA", S124="GRADO ING. ELÉCTRICA", S124="GRADO DERECHO", S124="GRADO ECONOMÍA", S124="GRADO ING. TECNOLOGÍAS INDUSTRIALES"), 24, 0)) + (IF(AND(K124&gt;=451, K124&lt;=700), 23, 0)) + (IF(AND(AB124&gt;=5, AB124&lt;=8), 17, 0)) +(IF(_xludf.OR(_xludf.AND(AC124&gt;=8, AC124&lt;=10), _xludf.AND(AC124&gt;=0, AC124&lt;=5)), 16, 0)) + (IF(F124="Madrid", 11, 0))))</f>
        <v>#NAME?</v>
      </c>
      <c r="AG124" s="68"/>
      <c r="AH124" s="71" t="s">
        <v>164</v>
      </c>
    </row>
    <row r="125" spans="1:34" ht="14.4" x14ac:dyDescent="0.3">
      <c r="A125" s="66" t="s">
        <v>1103</v>
      </c>
      <c r="B125" s="66" t="s">
        <v>3220</v>
      </c>
      <c r="C125" s="33">
        <v>124</v>
      </c>
      <c r="D125" s="33" t="s">
        <v>5398</v>
      </c>
      <c r="E125" s="34" t="s">
        <v>5231</v>
      </c>
      <c r="F125" s="34" t="s">
        <v>18</v>
      </c>
      <c r="G125" s="57">
        <v>40916</v>
      </c>
      <c r="H125" s="57">
        <v>41305</v>
      </c>
      <c r="I125" s="34">
        <f t="shared" si="3"/>
        <v>12</v>
      </c>
      <c r="J125" s="34">
        <v>40</v>
      </c>
      <c r="K125" s="36">
        <v>825</v>
      </c>
      <c r="L125" s="34" t="s">
        <v>17</v>
      </c>
      <c r="M125" s="57">
        <v>32955</v>
      </c>
      <c r="N125" s="37">
        <f>(YEAR(TablaMadre[[#This Row],[ALTA]])-YEAR(M125))</f>
        <v>22</v>
      </c>
      <c r="O125" s="34" t="s">
        <v>18</v>
      </c>
      <c r="P125" s="34" t="s">
        <v>19</v>
      </c>
      <c r="Q125" s="34" t="s">
        <v>136</v>
      </c>
      <c r="R125" s="34" t="s">
        <v>21</v>
      </c>
      <c r="S125" s="34" t="s">
        <v>136</v>
      </c>
      <c r="T125" s="34"/>
      <c r="U125" s="34" t="s">
        <v>30</v>
      </c>
      <c r="V125" s="34" t="s">
        <v>67</v>
      </c>
      <c r="W125" s="34" t="s">
        <v>28</v>
      </c>
      <c r="X125" s="38" t="s">
        <v>164</v>
      </c>
      <c r="Y125" s="62">
        <v>45073</v>
      </c>
      <c r="Z125" s="38">
        <f t="shared" si="4"/>
        <v>10</v>
      </c>
      <c r="AA125" s="38"/>
      <c r="AB125" s="34"/>
      <c r="AC125" s="34"/>
      <c r="AD125" s="38"/>
      <c r="AE125" s="59" t="str">
        <f t="shared" si="5"/>
        <v>NO</v>
      </c>
      <c r="AF125" s="38" t="e" cm="1">
        <f t="array" aca="1" ref="AF125" ca="1">MIN(100, MAX(0, (IF(R125="ESTUDIANTE", 31, 0)) + (IF(I125&lt;=3, 30, IF(I125&lt;=6, 20, 0))) +(IF(OR(E125="413 - Control de Costes y Enlace Construcción", E125="480 - Secretaría General del Consejo", E125="132 - Civil y estructuras", E125="136 - Mecánica", E125="412 - Planificación", E125="142 - Compras"), 25, 0)) +(IF(OR(S125="GRADO ING. MECÁNICA", S125="GRADO ING. ELÉCTRICA", S125="GRADO DERECHO", S125="GRADO ECONOMÍA", S125="GRADO ING. TECNOLOGÍAS INDUSTRIALES"), 24, 0)) + (IF(AND(K125&gt;=451, K125&lt;=700), 23, 0)) + (IF(AND(AB125&gt;=5, AB125&lt;=8), 17, 0)) +(IF(_xludf.OR(_xludf.AND(AC125&gt;=8, AC125&lt;=10), _xludf.AND(AC125&gt;=0, AC125&lt;=5)), 16, 0)) + (IF(F125="Madrid", 11, 0))))</f>
        <v>#NAME?</v>
      </c>
      <c r="AG125" s="68"/>
      <c r="AH125" s="71" t="s">
        <v>164</v>
      </c>
    </row>
    <row r="126" spans="1:34" ht="14.4" x14ac:dyDescent="0.3">
      <c r="A126" s="66" t="s">
        <v>1104</v>
      </c>
      <c r="B126" s="66" t="s">
        <v>3221</v>
      </c>
      <c r="C126" s="33">
        <v>125</v>
      </c>
      <c r="D126" s="33" t="s">
        <v>5399</v>
      </c>
      <c r="E126" s="34" t="s">
        <v>5231</v>
      </c>
      <c r="F126" s="34" t="s">
        <v>18</v>
      </c>
      <c r="G126" s="57">
        <v>40916</v>
      </c>
      <c r="H126" s="57">
        <v>41486</v>
      </c>
      <c r="I126" s="34">
        <f t="shared" si="3"/>
        <v>18</v>
      </c>
      <c r="J126" s="34">
        <v>40</v>
      </c>
      <c r="K126" s="36">
        <v>900</v>
      </c>
      <c r="L126" s="34" t="s">
        <v>17</v>
      </c>
      <c r="M126" s="57">
        <v>33297</v>
      </c>
      <c r="N126" s="37">
        <f>(YEAR(TablaMadre[[#This Row],[ALTA]])-YEAR(M126))</f>
        <v>21</v>
      </c>
      <c r="O126" s="34" t="s">
        <v>211</v>
      </c>
      <c r="P126" s="34" t="s">
        <v>19</v>
      </c>
      <c r="Q126" s="34" t="s">
        <v>32</v>
      </c>
      <c r="R126" s="34" t="s">
        <v>21</v>
      </c>
      <c r="S126" s="34" t="s">
        <v>322</v>
      </c>
      <c r="T126" s="34"/>
      <c r="U126" s="34" t="s">
        <v>30</v>
      </c>
      <c r="V126" s="34" t="s">
        <v>50</v>
      </c>
      <c r="W126" s="34" t="s">
        <v>28</v>
      </c>
      <c r="X126" s="38" t="s">
        <v>164</v>
      </c>
      <c r="Y126" s="62">
        <v>44627</v>
      </c>
      <c r="Z126" s="38">
        <f t="shared" si="4"/>
        <v>8</v>
      </c>
      <c r="AA126" s="38"/>
      <c r="AB126" s="34"/>
      <c r="AC126" s="34"/>
      <c r="AD126" s="38"/>
      <c r="AE126" s="59" t="str">
        <f t="shared" si="5"/>
        <v>SÍ</v>
      </c>
      <c r="AF126" s="38" t="e" cm="1">
        <f t="array" aca="1" ref="AF126" ca="1">MIN(100, MAX(0, (IF(R126="ESTUDIANTE", 31, 0)) + (IF(I126&lt;=3, 30, IF(I126&lt;=6, 20, 0))) +(IF(OR(E126="413 - Control de Costes y Enlace Construcción", E126="480 - Secretaría General del Consejo", E126="132 - Civil y estructuras", E126="136 - Mecánica", E126="412 - Planificación", E126="142 - Compras"), 25, 0)) +(IF(OR(S126="GRADO ING. MECÁNICA", S126="GRADO ING. ELÉCTRICA", S126="GRADO DERECHO", S126="GRADO ECONOMÍA", S126="GRADO ING. TECNOLOGÍAS INDUSTRIALES"), 24, 0)) + (IF(AND(K126&gt;=451, K126&lt;=700), 23, 0)) + (IF(AND(AB126&gt;=5, AB126&lt;=8), 17, 0)) +(IF(_xludf.OR(_xludf.AND(AC126&gt;=8, AC126&lt;=10), _xludf.AND(AC126&gt;=0, AC126&lt;=5)), 16, 0)) + (IF(F126="Madrid", 11, 0))))</f>
        <v>#NAME?</v>
      </c>
      <c r="AG126" s="68"/>
      <c r="AH126" s="71" t="s">
        <v>164</v>
      </c>
    </row>
    <row r="127" spans="1:34" ht="14.4" x14ac:dyDescent="0.3">
      <c r="A127" s="66" t="s">
        <v>1105</v>
      </c>
      <c r="B127" s="66" t="s">
        <v>3222</v>
      </c>
      <c r="C127" s="33">
        <v>126</v>
      </c>
      <c r="D127" s="33" t="s">
        <v>5393</v>
      </c>
      <c r="E127" s="34" t="s">
        <v>5231</v>
      </c>
      <c r="F127" s="34" t="s">
        <v>18</v>
      </c>
      <c r="G127" s="57">
        <v>40916</v>
      </c>
      <c r="H127" s="57">
        <v>41486</v>
      </c>
      <c r="I127" s="34">
        <f t="shared" si="3"/>
        <v>18</v>
      </c>
      <c r="J127" s="34">
        <v>40</v>
      </c>
      <c r="K127" s="36">
        <v>750</v>
      </c>
      <c r="L127" s="34" t="s">
        <v>17</v>
      </c>
      <c r="M127" s="57">
        <v>32614</v>
      </c>
      <c r="N127" s="37">
        <f>(YEAR(TablaMadre[[#This Row],[ALTA]])-YEAR(M127))</f>
        <v>23</v>
      </c>
      <c r="O127" s="34" t="s">
        <v>68</v>
      </c>
      <c r="P127" s="34" t="s">
        <v>19</v>
      </c>
      <c r="Q127" s="34" t="s">
        <v>129</v>
      </c>
      <c r="R127" s="34" t="s">
        <v>21</v>
      </c>
      <c r="S127" s="34" t="s">
        <v>322</v>
      </c>
      <c r="T127" s="34"/>
      <c r="U127" s="34" t="s">
        <v>30</v>
      </c>
      <c r="V127" s="34" t="s">
        <v>131</v>
      </c>
      <c r="W127" s="34" t="s">
        <v>28</v>
      </c>
      <c r="X127" s="38" t="s">
        <v>164</v>
      </c>
      <c r="Y127" s="62">
        <v>43287</v>
      </c>
      <c r="Z127" s="38">
        <f t="shared" si="4"/>
        <v>4</v>
      </c>
      <c r="AA127" s="38"/>
      <c r="AB127" s="34"/>
      <c r="AC127" s="34"/>
      <c r="AD127" s="38"/>
      <c r="AE127" s="59" t="str">
        <f t="shared" si="5"/>
        <v>SÍ</v>
      </c>
      <c r="AF127" s="38" t="e" cm="1">
        <f t="array" aca="1" ref="AF127" ca="1">MIN(100, MAX(0, (IF(R127="ESTUDIANTE", 31, 0)) + (IF(I127&lt;=3, 30, IF(I127&lt;=6, 20, 0))) +(IF(OR(E127="413 - Control de Costes y Enlace Construcción", E127="480 - Secretaría General del Consejo", E127="132 - Civil y estructuras", E127="136 - Mecánica", E127="412 - Planificación", E127="142 - Compras"), 25, 0)) +(IF(OR(S127="GRADO ING. MECÁNICA", S127="GRADO ING. ELÉCTRICA", S127="GRADO DERECHO", S127="GRADO ECONOMÍA", S127="GRADO ING. TECNOLOGÍAS INDUSTRIALES"), 24, 0)) + (IF(AND(K127&gt;=451, K127&lt;=700), 23, 0)) + (IF(AND(AB127&gt;=5, AB127&lt;=8), 17, 0)) +(IF(_xludf.OR(_xludf.AND(AC127&gt;=8, AC127&lt;=10), _xludf.AND(AC127&gt;=0, AC127&lt;=5)), 16, 0)) + (IF(F127="Madrid", 11, 0))))</f>
        <v>#NAME?</v>
      </c>
      <c r="AG127" s="68"/>
      <c r="AH127" s="71" t="s">
        <v>164</v>
      </c>
    </row>
    <row r="128" spans="1:34" ht="14.4" x14ac:dyDescent="0.3">
      <c r="A128" s="66" t="s">
        <v>1106</v>
      </c>
      <c r="B128" s="66" t="s">
        <v>3223</v>
      </c>
      <c r="C128" s="33">
        <v>127</v>
      </c>
      <c r="D128" s="33" t="s">
        <v>5394</v>
      </c>
      <c r="E128" s="34" t="s">
        <v>5231</v>
      </c>
      <c r="F128" s="34" t="s">
        <v>18</v>
      </c>
      <c r="G128" s="57">
        <v>40916</v>
      </c>
      <c r="H128" s="57">
        <v>41486</v>
      </c>
      <c r="I128" s="34">
        <f t="shared" si="3"/>
        <v>18</v>
      </c>
      <c r="J128" s="34">
        <v>40</v>
      </c>
      <c r="K128" s="36">
        <v>800</v>
      </c>
      <c r="L128" s="34" t="s">
        <v>17</v>
      </c>
      <c r="M128" s="57">
        <v>32080</v>
      </c>
      <c r="N128" s="37">
        <f>(YEAR(TablaMadre[[#This Row],[ALTA]])-YEAR(M128))</f>
        <v>25</v>
      </c>
      <c r="O128" s="34" t="s">
        <v>18</v>
      </c>
      <c r="P128" s="34" t="s">
        <v>19</v>
      </c>
      <c r="Q128" s="34" t="s">
        <v>212</v>
      </c>
      <c r="R128" s="34" t="s">
        <v>21</v>
      </c>
      <c r="S128" s="34" t="s">
        <v>296</v>
      </c>
      <c r="T128" s="34"/>
      <c r="U128" s="34" t="s">
        <v>30</v>
      </c>
      <c r="V128" s="34" t="s">
        <v>142</v>
      </c>
      <c r="W128" s="34" t="s">
        <v>28</v>
      </c>
      <c r="X128" s="38" t="s">
        <v>164</v>
      </c>
      <c r="Y128" s="62">
        <v>44357</v>
      </c>
      <c r="Z128" s="38">
        <f t="shared" si="4"/>
        <v>7</v>
      </c>
      <c r="AA128" s="38"/>
      <c r="AB128" s="34"/>
      <c r="AC128" s="34"/>
      <c r="AD128" s="38"/>
      <c r="AE128" s="59" t="str">
        <f t="shared" si="5"/>
        <v>NO</v>
      </c>
      <c r="AF128" s="38" t="e" cm="1">
        <f t="array" aca="1" ref="AF128" ca="1">MIN(100, MAX(0, (IF(R128="ESTUDIANTE", 31, 0)) + (IF(I128&lt;=3, 30, IF(I128&lt;=6, 20, 0))) +(IF(OR(E128="413 - Control de Costes y Enlace Construcción", E128="480 - Secretaría General del Consejo", E128="132 - Civil y estructuras", E128="136 - Mecánica", E128="412 - Planificación", E128="142 - Compras"), 25, 0)) +(IF(OR(S128="GRADO ING. MECÁNICA", S128="GRADO ING. ELÉCTRICA", S128="GRADO DERECHO", S128="GRADO ECONOMÍA", S128="GRADO ING. TECNOLOGÍAS INDUSTRIALES"), 24, 0)) + (IF(AND(K128&gt;=451, K128&lt;=700), 23, 0)) + (IF(AND(AB128&gt;=5, AB128&lt;=8), 17, 0)) +(IF(_xludf.OR(_xludf.AND(AC128&gt;=8, AC128&lt;=10), _xludf.AND(AC128&gt;=0, AC128&lt;=5)), 16, 0)) + (IF(F128="Madrid", 11, 0))))</f>
        <v>#NAME?</v>
      </c>
      <c r="AG128" s="68"/>
      <c r="AH128" s="71" t="s">
        <v>164</v>
      </c>
    </row>
    <row r="129" spans="1:34" ht="14.4" x14ac:dyDescent="0.3">
      <c r="A129" s="66" t="s">
        <v>1107</v>
      </c>
      <c r="B129" s="66" t="s">
        <v>3224</v>
      </c>
      <c r="C129" s="33">
        <v>128</v>
      </c>
      <c r="D129" s="33" t="s">
        <v>5395</v>
      </c>
      <c r="E129" s="34" t="s">
        <v>5255</v>
      </c>
      <c r="F129" s="34" t="s">
        <v>18</v>
      </c>
      <c r="G129" s="57">
        <v>40916</v>
      </c>
      <c r="H129" s="57">
        <v>41486</v>
      </c>
      <c r="I129" s="34">
        <f t="shared" si="3"/>
        <v>18</v>
      </c>
      <c r="J129" s="34">
        <v>30</v>
      </c>
      <c r="K129" s="36">
        <v>600</v>
      </c>
      <c r="L129" s="34" t="s">
        <v>29</v>
      </c>
      <c r="M129" s="57">
        <v>32252</v>
      </c>
      <c r="N129" s="37">
        <f>(YEAR(TablaMadre[[#This Row],[ALTA]])-YEAR(M129))</f>
        <v>24</v>
      </c>
      <c r="O129" s="34" t="s">
        <v>18</v>
      </c>
      <c r="P129" s="34" t="s">
        <v>19</v>
      </c>
      <c r="Q129" s="34" t="s">
        <v>213</v>
      </c>
      <c r="R129" s="58" t="s">
        <v>30</v>
      </c>
      <c r="S129" s="34" t="s">
        <v>229</v>
      </c>
      <c r="T129" s="34"/>
      <c r="U129" s="34" t="s">
        <v>42</v>
      </c>
      <c r="V129" s="34" t="s">
        <v>67</v>
      </c>
      <c r="W129" s="34" t="s">
        <v>28</v>
      </c>
      <c r="X129" s="38" t="s">
        <v>164</v>
      </c>
      <c r="Y129" s="62">
        <v>44935</v>
      </c>
      <c r="Z129" s="38">
        <f t="shared" si="4"/>
        <v>9</v>
      </c>
      <c r="AA129" s="38"/>
      <c r="AB129" s="34"/>
      <c r="AC129" s="34"/>
      <c r="AD129" s="38"/>
      <c r="AE129" s="59" t="str">
        <f t="shared" si="5"/>
        <v>NO</v>
      </c>
      <c r="AF129" s="38" t="e" cm="1">
        <f t="array" aca="1" ref="AF129" ca="1">MIN(100, MAX(0, (IF(R129="ESTUDIANTE", 31, 0)) + (IF(I129&lt;=3, 30, IF(I129&lt;=6, 20, 0))) +(IF(OR(E129="413 - Control de Costes y Enlace Construcción", E129="480 - Secretaría General del Consejo", E129="132 - Civil y estructuras", E129="136 - Mecánica", E129="412 - Planificación", E129="142 - Compras"), 25, 0)) +(IF(OR(S129="GRADO ING. MECÁNICA", S129="GRADO ING. ELÉCTRICA", S129="GRADO DERECHO", S129="GRADO ECONOMÍA", S129="GRADO ING. TECNOLOGÍAS INDUSTRIALES"), 24, 0)) + (IF(AND(K129&gt;=451, K129&lt;=700), 23, 0)) + (IF(AND(AB129&gt;=5, AB129&lt;=8), 17, 0)) +(IF(_xludf.OR(_xludf.AND(AC129&gt;=8, AC129&lt;=10), _xludf.AND(AC129&gt;=0, AC129&lt;=5)), 16, 0)) + (IF(F129="Madrid", 11, 0))))</f>
        <v>#NAME?</v>
      </c>
      <c r="AG129" s="68"/>
      <c r="AH129" s="71" t="s">
        <v>164</v>
      </c>
    </row>
    <row r="130" spans="1:34" ht="14.4" x14ac:dyDescent="0.3">
      <c r="A130" s="66" t="s">
        <v>1108</v>
      </c>
      <c r="B130" s="66" t="s">
        <v>3225</v>
      </c>
      <c r="C130" s="33">
        <v>129</v>
      </c>
      <c r="D130" s="33" t="s">
        <v>5396</v>
      </c>
      <c r="E130" s="34" t="s">
        <v>5216</v>
      </c>
      <c r="F130" s="34" t="s">
        <v>18</v>
      </c>
      <c r="G130" s="57">
        <v>40916</v>
      </c>
      <c r="H130" s="57">
        <v>41486</v>
      </c>
      <c r="I130" s="34">
        <f t="shared" ref="I130:I193" si="6">DATEDIF(G130, H130, "M")</f>
        <v>18</v>
      </c>
      <c r="J130" s="34">
        <v>40</v>
      </c>
      <c r="K130" s="36">
        <v>900</v>
      </c>
      <c r="L130" s="34" t="s">
        <v>29</v>
      </c>
      <c r="M130" s="57">
        <v>33296</v>
      </c>
      <c r="N130" s="37">
        <f>(YEAR(TablaMadre[[#This Row],[ALTA]])-YEAR(M130))</f>
        <v>21</v>
      </c>
      <c r="O130" s="34" t="s">
        <v>18</v>
      </c>
      <c r="P130" s="34" t="s">
        <v>19</v>
      </c>
      <c r="Q130" s="34" t="s">
        <v>63</v>
      </c>
      <c r="R130" s="34" t="s">
        <v>21</v>
      </c>
      <c r="S130" s="34" t="s">
        <v>297</v>
      </c>
      <c r="T130" s="34"/>
      <c r="U130" s="34" t="s">
        <v>30</v>
      </c>
      <c r="V130" s="34" t="s">
        <v>56</v>
      </c>
      <c r="W130" s="34" t="s">
        <v>28</v>
      </c>
      <c r="X130" s="38" t="s">
        <v>164</v>
      </c>
      <c r="Y130" s="62">
        <v>42217</v>
      </c>
      <c r="Z130" s="38">
        <f t="shared" ref="Z130:Z193" si="7">DATEDIF(H130, Y130, "y")</f>
        <v>2</v>
      </c>
      <c r="AA130" s="38"/>
      <c r="AB130" s="34"/>
      <c r="AC130" s="34"/>
      <c r="AD130" s="38"/>
      <c r="AE130" s="59" t="str">
        <f t="shared" si="5"/>
        <v>NO</v>
      </c>
      <c r="AF130" s="38" t="e" cm="1">
        <f t="array" aca="1" ref="AF130" ca="1">MIN(100, MAX(0, (IF(R130="ESTUDIANTE", 31, 0)) + (IF(I130&lt;=3, 30, IF(I130&lt;=6, 20, 0))) +(IF(OR(E130="413 - Control de Costes y Enlace Construcción", E130="480 - Secretaría General del Consejo", E130="132 - Civil y estructuras", E130="136 - Mecánica", E130="412 - Planificación", E130="142 - Compras"), 25, 0)) +(IF(OR(S130="GRADO ING. MECÁNICA", S130="GRADO ING. ELÉCTRICA", S130="GRADO DERECHO", S130="GRADO ECONOMÍA", S130="GRADO ING. TECNOLOGÍAS INDUSTRIALES"), 24, 0)) + (IF(AND(K130&gt;=451, K130&lt;=700), 23, 0)) + (IF(AND(AB130&gt;=5, AB130&lt;=8), 17, 0)) +(IF(_xludf.OR(_xludf.AND(AC130&gt;=8, AC130&lt;=10), _xludf.AND(AC130&gt;=0, AC130&lt;=5)), 16, 0)) + (IF(F130="Madrid", 11, 0))))</f>
        <v>#NAME?</v>
      </c>
      <c r="AG130" s="68"/>
      <c r="AH130" s="71" t="s">
        <v>164</v>
      </c>
    </row>
    <row r="131" spans="1:34" ht="14.4" x14ac:dyDescent="0.3">
      <c r="A131" s="66" t="s">
        <v>1109</v>
      </c>
      <c r="B131" s="66" t="s">
        <v>3226</v>
      </c>
      <c r="C131" s="33">
        <v>130</v>
      </c>
      <c r="D131" s="33" t="s">
        <v>5397</v>
      </c>
      <c r="E131" s="34" t="s">
        <v>5233</v>
      </c>
      <c r="F131" s="34" t="s">
        <v>18</v>
      </c>
      <c r="G131" s="57">
        <v>40918</v>
      </c>
      <c r="H131" s="57">
        <v>41333</v>
      </c>
      <c r="I131" s="34">
        <f t="shared" si="6"/>
        <v>13</v>
      </c>
      <c r="J131" s="34">
        <v>40</v>
      </c>
      <c r="K131" s="36">
        <v>650</v>
      </c>
      <c r="L131" s="34" t="s">
        <v>29</v>
      </c>
      <c r="M131" s="57">
        <v>32127</v>
      </c>
      <c r="N131" s="37">
        <f>(YEAR(TablaMadre[[#This Row],[ALTA]])-YEAR(M131))</f>
        <v>25</v>
      </c>
      <c r="O131" s="34" t="s">
        <v>153</v>
      </c>
      <c r="P131" s="34" t="s">
        <v>153</v>
      </c>
      <c r="Q131" s="34" t="s">
        <v>96</v>
      </c>
      <c r="R131" s="58" t="s">
        <v>30</v>
      </c>
      <c r="S131" s="34" t="s">
        <v>136</v>
      </c>
      <c r="T131" s="34"/>
      <c r="U131" s="34" t="s">
        <v>42</v>
      </c>
      <c r="V131" s="34" t="s">
        <v>90</v>
      </c>
      <c r="W131" s="34" t="s">
        <v>91</v>
      </c>
      <c r="X131" s="38" t="s">
        <v>164</v>
      </c>
      <c r="Y131" s="62"/>
      <c r="Z131" s="62" t="e">
        <f t="shared" si="7"/>
        <v>#NUM!</v>
      </c>
      <c r="AA131" s="62"/>
      <c r="AB131" s="34" t="s">
        <v>24</v>
      </c>
      <c r="AC131" s="34"/>
      <c r="AD131" s="38"/>
      <c r="AE131" s="59" t="str">
        <f t="shared" ref="AE131:AE194" si="8">IF(F131=O131, "NO", "SÍ")</f>
        <v>SÍ</v>
      </c>
      <c r="AF131" s="38" t="e" cm="1">
        <f t="array" aca="1" ref="AF131" ca="1">MIN(100, MAX(0, (IF(R131="ESTUDIANTE", 31, 0)) + (IF(I131&lt;=3, 30, IF(I131&lt;=6, 20, 0))) +(IF(OR(E131="413 - Control de Costes y Enlace Construcción", E131="480 - Secretaría General del Consejo", E131="132 - Civil y estructuras", E131="136 - Mecánica", E131="412 - Planificación", E131="142 - Compras"), 25, 0)) +(IF(OR(S131="GRADO ING. MECÁNICA", S131="GRADO ING. ELÉCTRICA", S131="GRADO DERECHO", S131="GRADO ECONOMÍA", S131="GRADO ING. TECNOLOGÍAS INDUSTRIALES"), 24, 0)) + (IF(AND(K131&gt;=451, K131&lt;=700), 23, 0)) + (IF(AND(AB131&gt;=5, AB131&lt;=8), 17, 0)) +(IF(_xludf.OR(_xludf.AND(AC131&gt;=8, AC131&lt;=10), _xludf.AND(AC131&gt;=0, AC131&lt;=5)), 16, 0)) + (IF(F131="Madrid", 11, 0))))</f>
        <v>#NAME?</v>
      </c>
      <c r="AG131" s="68"/>
      <c r="AH131" s="71" t="s">
        <v>164</v>
      </c>
    </row>
    <row r="132" spans="1:34" ht="14.4" x14ac:dyDescent="0.3">
      <c r="A132" s="66" t="s">
        <v>1110</v>
      </c>
      <c r="B132" s="66" t="s">
        <v>3227</v>
      </c>
      <c r="C132" s="33">
        <v>131</v>
      </c>
      <c r="D132" s="33" t="s">
        <v>5398</v>
      </c>
      <c r="E132" s="34" t="s">
        <v>5237</v>
      </c>
      <c r="F132" s="34" t="s">
        <v>18</v>
      </c>
      <c r="G132" s="57">
        <v>40918</v>
      </c>
      <c r="H132" s="57">
        <v>41455</v>
      </c>
      <c r="I132" s="34">
        <f t="shared" si="6"/>
        <v>17</v>
      </c>
      <c r="J132" s="34">
        <v>25</v>
      </c>
      <c r="K132" s="36">
        <v>410</v>
      </c>
      <c r="L132" s="34" t="s">
        <v>29</v>
      </c>
      <c r="M132" s="57">
        <v>33967</v>
      </c>
      <c r="N132" s="37">
        <f>(YEAR(TablaMadre[[#This Row],[ALTA]])-YEAR(M132))</f>
        <v>20</v>
      </c>
      <c r="O132" s="34" t="s">
        <v>18</v>
      </c>
      <c r="P132" s="34" t="s">
        <v>19</v>
      </c>
      <c r="Q132" s="34" t="s">
        <v>49</v>
      </c>
      <c r="R132" s="58" t="s">
        <v>30</v>
      </c>
      <c r="S132" s="34" t="s">
        <v>297</v>
      </c>
      <c r="T132" s="34"/>
      <c r="U132" s="34" t="s">
        <v>30</v>
      </c>
      <c r="V132" s="34" t="s">
        <v>40</v>
      </c>
      <c r="W132" s="34" t="s">
        <v>23</v>
      </c>
      <c r="X132" s="38" t="s">
        <v>164</v>
      </c>
      <c r="Y132" s="62"/>
      <c r="Z132" s="62" t="e">
        <f t="shared" si="7"/>
        <v>#NUM!</v>
      </c>
      <c r="AA132" s="62"/>
      <c r="AB132" s="34"/>
      <c r="AC132" s="34"/>
      <c r="AD132" s="38"/>
      <c r="AE132" s="59" t="str">
        <f t="shared" si="8"/>
        <v>NO</v>
      </c>
      <c r="AF132" s="38" t="e" cm="1">
        <f t="array" aca="1" ref="AF132" ca="1">MIN(100, MAX(0, (IF(R132="ESTUDIANTE", 31, 0)) + (IF(I132&lt;=3, 30, IF(I132&lt;=6, 20, 0))) +(IF(OR(E132="413 - Control de Costes y Enlace Construcción", E132="480 - Secretaría General del Consejo", E132="132 - Civil y estructuras", E132="136 - Mecánica", E132="412 - Planificación", E132="142 - Compras"), 25, 0)) +(IF(OR(S132="GRADO ING. MECÁNICA", S132="GRADO ING. ELÉCTRICA", S132="GRADO DERECHO", S132="GRADO ECONOMÍA", S132="GRADO ING. TECNOLOGÍAS INDUSTRIALES"), 24, 0)) + (IF(AND(K132&gt;=451, K132&lt;=700), 23, 0)) + (IF(AND(AB132&gt;=5, AB132&lt;=8), 17, 0)) +(IF(_xludf.OR(_xludf.AND(AC132&gt;=8, AC132&lt;=10), _xludf.AND(AC132&gt;=0, AC132&lt;=5)), 16, 0)) + (IF(F132="Madrid", 11, 0))))</f>
        <v>#NAME?</v>
      </c>
      <c r="AG132" s="68"/>
      <c r="AH132" s="71" t="s">
        <v>164</v>
      </c>
    </row>
    <row r="133" spans="1:34" ht="14.4" x14ac:dyDescent="0.3">
      <c r="A133" s="66" t="s">
        <v>1111</v>
      </c>
      <c r="B133" s="66" t="s">
        <v>3228</v>
      </c>
      <c r="C133" s="33">
        <v>132</v>
      </c>
      <c r="D133" s="33" t="s">
        <v>5399</v>
      </c>
      <c r="E133" s="34" t="s">
        <v>5222</v>
      </c>
      <c r="F133" s="34" t="s">
        <v>18</v>
      </c>
      <c r="G133" s="57">
        <v>40918</v>
      </c>
      <c r="H133" s="57">
        <v>41455</v>
      </c>
      <c r="I133" s="34">
        <f t="shared" si="6"/>
        <v>17</v>
      </c>
      <c r="J133" s="34">
        <v>40</v>
      </c>
      <c r="K133" s="36">
        <v>2000</v>
      </c>
      <c r="L133" s="34" t="s">
        <v>17</v>
      </c>
      <c r="M133" s="57">
        <v>30419</v>
      </c>
      <c r="N133" s="37">
        <f>(YEAR(TablaMadre[[#This Row],[ALTA]])-YEAR(M133))</f>
        <v>29</v>
      </c>
      <c r="O133" s="34" t="s">
        <v>102</v>
      </c>
      <c r="P133" s="34" t="s">
        <v>103</v>
      </c>
      <c r="Q133" s="34" t="s">
        <v>63</v>
      </c>
      <c r="R133" s="34" t="s">
        <v>21</v>
      </c>
      <c r="S133" s="34" t="s">
        <v>297</v>
      </c>
      <c r="T133" s="34"/>
      <c r="U133" s="34" t="s">
        <v>42</v>
      </c>
      <c r="V133" s="34" t="s">
        <v>90</v>
      </c>
      <c r="W133" s="34" t="s">
        <v>23</v>
      </c>
      <c r="X133" s="38" t="s">
        <v>164</v>
      </c>
      <c r="Y133" s="62"/>
      <c r="Z133" s="62" t="e">
        <f t="shared" si="7"/>
        <v>#NUM!</v>
      </c>
      <c r="AA133" s="62"/>
      <c r="AB133" s="34"/>
      <c r="AC133" s="34"/>
      <c r="AD133" s="38"/>
      <c r="AE133" s="59" t="str">
        <f t="shared" si="8"/>
        <v>SÍ</v>
      </c>
      <c r="AF133" s="38" t="e" cm="1">
        <f t="array" aca="1" ref="AF133" ca="1">MIN(100, MAX(0, (IF(R133="ESTUDIANTE", 31, 0)) + (IF(I133&lt;=3, 30, IF(I133&lt;=6, 20, 0))) +(IF(OR(E133="413 - Control de Costes y Enlace Construcción", E133="480 - Secretaría General del Consejo", E133="132 - Civil y estructuras", E133="136 - Mecánica", E133="412 - Planificación", E133="142 - Compras"), 25, 0)) +(IF(OR(S133="GRADO ING. MECÁNICA", S133="GRADO ING. ELÉCTRICA", S133="GRADO DERECHO", S133="GRADO ECONOMÍA", S133="GRADO ING. TECNOLOGÍAS INDUSTRIALES"), 24, 0)) + (IF(AND(K133&gt;=451, K133&lt;=700), 23, 0)) + (IF(AND(AB133&gt;=5, AB133&lt;=8), 17, 0)) +(IF(_xludf.OR(_xludf.AND(AC133&gt;=8, AC133&lt;=10), _xludf.AND(AC133&gt;=0, AC133&lt;=5)), 16, 0)) + (IF(F133="Madrid", 11, 0))))</f>
        <v>#NAME?</v>
      </c>
      <c r="AG133" s="68"/>
      <c r="AH133" s="71" t="s">
        <v>164</v>
      </c>
    </row>
    <row r="134" spans="1:34" ht="14.4" x14ac:dyDescent="0.3">
      <c r="A134" s="66" t="s">
        <v>1112</v>
      </c>
      <c r="B134" s="66" t="s">
        <v>3229</v>
      </c>
      <c r="C134" s="33">
        <v>133</v>
      </c>
      <c r="D134" s="33" t="s">
        <v>5400</v>
      </c>
      <c r="E134" s="34" t="s">
        <v>5256</v>
      </c>
      <c r="F134" s="34" t="s">
        <v>18</v>
      </c>
      <c r="G134" s="57">
        <v>40918</v>
      </c>
      <c r="H134" s="57">
        <v>41459</v>
      </c>
      <c r="I134" s="34">
        <f t="shared" si="6"/>
        <v>17</v>
      </c>
      <c r="J134" s="34">
        <v>40</v>
      </c>
      <c r="K134" s="36">
        <v>900</v>
      </c>
      <c r="L134" s="34" t="s">
        <v>29</v>
      </c>
      <c r="M134" s="57">
        <v>32374</v>
      </c>
      <c r="N134" s="37">
        <f>(YEAR(TablaMadre[[#This Row],[ALTA]])-YEAR(M134))</f>
        <v>24</v>
      </c>
      <c r="O134" s="34" t="s">
        <v>18</v>
      </c>
      <c r="P134" s="34" t="s">
        <v>19</v>
      </c>
      <c r="Q134" s="34" t="s">
        <v>63</v>
      </c>
      <c r="R134" s="34" t="s">
        <v>21</v>
      </c>
      <c r="S134" s="34" t="s">
        <v>297</v>
      </c>
      <c r="T134" s="34"/>
      <c r="U134" s="34" t="s">
        <v>42</v>
      </c>
      <c r="V134" s="34" t="s">
        <v>56</v>
      </c>
      <c r="W134" s="34" t="s">
        <v>91</v>
      </c>
      <c r="X134" s="38" t="s">
        <v>164</v>
      </c>
      <c r="Y134" s="62"/>
      <c r="Z134" s="62" t="e">
        <f t="shared" si="7"/>
        <v>#NUM!</v>
      </c>
      <c r="AA134" s="62"/>
      <c r="AB134" s="34"/>
      <c r="AC134" s="34"/>
      <c r="AD134" s="38"/>
      <c r="AE134" s="59" t="str">
        <f t="shared" si="8"/>
        <v>NO</v>
      </c>
      <c r="AF134" s="38" t="e" cm="1">
        <f t="array" aca="1" ref="AF134" ca="1">MIN(100, MAX(0, (IF(R134="ESTUDIANTE", 31, 0)) + (IF(I134&lt;=3, 30, IF(I134&lt;=6, 20, 0))) +(IF(OR(E134="413 - Control de Costes y Enlace Construcción", E134="480 - Secretaría General del Consejo", E134="132 - Civil y estructuras", E134="136 - Mecánica", E134="412 - Planificación", E134="142 - Compras"), 25, 0)) +(IF(OR(S134="GRADO ING. MECÁNICA", S134="GRADO ING. ELÉCTRICA", S134="GRADO DERECHO", S134="GRADO ECONOMÍA", S134="GRADO ING. TECNOLOGÍAS INDUSTRIALES"), 24, 0)) + (IF(AND(K134&gt;=451, K134&lt;=700), 23, 0)) + (IF(AND(AB134&gt;=5, AB134&lt;=8), 17, 0)) +(IF(_xludf.OR(_xludf.AND(AC134&gt;=8, AC134&lt;=10), _xludf.AND(AC134&gt;=0, AC134&lt;=5)), 16, 0)) + (IF(F134="Madrid", 11, 0))))</f>
        <v>#NAME?</v>
      </c>
      <c r="AG134" s="68"/>
      <c r="AH134" s="71" t="s">
        <v>164</v>
      </c>
    </row>
    <row r="135" spans="1:34" ht="14.4" x14ac:dyDescent="0.3">
      <c r="A135" s="66" t="s">
        <v>1113</v>
      </c>
      <c r="B135" s="66" t="s">
        <v>3230</v>
      </c>
      <c r="C135" s="33">
        <v>134</v>
      </c>
      <c r="D135" s="33" t="s">
        <v>5401</v>
      </c>
      <c r="E135" s="34" t="s">
        <v>5252</v>
      </c>
      <c r="F135" s="34" t="s">
        <v>18</v>
      </c>
      <c r="G135" s="57">
        <v>40918</v>
      </c>
      <c r="H135" s="57">
        <v>41547</v>
      </c>
      <c r="I135" s="34">
        <f t="shared" si="6"/>
        <v>20</v>
      </c>
      <c r="J135" s="34">
        <v>40</v>
      </c>
      <c r="K135" s="36">
        <v>900</v>
      </c>
      <c r="L135" s="34" t="s">
        <v>29</v>
      </c>
      <c r="M135" s="57">
        <v>31587</v>
      </c>
      <c r="N135" s="37">
        <f>(YEAR(TablaMadre[[#This Row],[ALTA]])-YEAR(M135))</f>
        <v>26</v>
      </c>
      <c r="O135" s="34" t="s">
        <v>233</v>
      </c>
      <c r="P135" s="34" t="s">
        <v>19</v>
      </c>
      <c r="Q135" s="34" t="s">
        <v>63</v>
      </c>
      <c r="R135" s="34" t="s">
        <v>21</v>
      </c>
      <c r="S135" s="34" t="s">
        <v>297</v>
      </c>
      <c r="T135" s="34"/>
      <c r="U135" s="34" t="s">
        <v>30</v>
      </c>
      <c r="V135" s="34" t="s">
        <v>216</v>
      </c>
      <c r="W135" s="34" t="s">
        <v>28</v>
      </c>
      <c r="X135" s="38" t="s">
        <v>164</v>
      </c>
      <c r="Y135" s="62">
        <v>44455</v>
      </c>
      <c r="Z135" s="38">
        <f t="shared" si="7"/>
        <v>7</v>
      </c>
      <c r="AA135" s="38"/>
      <c r="AB135" s="34"/>
      <c r="AC135" s="34"/>
      <c r="AD135" s="38"/>
      <c r="AE135" s="59" t="str">
        <f t="shared" si="8"/>
        <v>SÍ</v>
      </c>
      <c r="AF135" s="38" t="e" cm="1">
        <f t="array" aca="1" ref="AF135" ca="1">MIN(100, MAX(0, (IF(R135="ESTUDIANTE", 31, 0)) + (IF(I135&lt;=3, 30, IF(I135&lt;=6, 20, 0))) +(IF(OR(E135="413 - Control de Costes y Enlace Construcción", E135="480 - Secretaría General del Consejo", E135="132 - Civil y estructuras", E135="136 - Mecánica", E135="412 - Planificación", E135="142 - Compras"), 25, 0)) +(IF(OR(S135="GRADO ING. MECÁNICA", S135="GRADO ING. ELÉCTRICA", S135="GRADO DERECHO", S135="GRADO ECONOMÍA", S135="GRADO ING. TECNOLOGÍAS INDUSTRIALES"), 24, 0)) + (IF(AND(K135&gt;=451, K135&lt;=700), 23, 0)) + (IF(AND(AB135&gt;=5, AB135&lt;=8), 17, 0)) +(IF(_xludf.OR(_xludf.AND(AC135&gt;=8, AC135&lt;=10), _xludf.AND(AC135&gt;=0, AC135&lt;=5)), 16, 0)) + (IF(F135="Madrid", 11, 0))))</f>
        <v>#NAME?</v>
      </c>
      <c r="AG135" s="68"/>
      <c r="AH135" s="71" t="s">
        <v>164</v>
      </c>
    </row>
    <row r="136" spans="1:34" ht="14.4" x14ac:dyDescent="0.3">
      <c r="A136" s="66" t="s">
        <v>1114</v>
      </c>
      <c r="B136" s="66" t="s">
        <v>3231</v>
      </c>
      <c r="C136" s="33">
        <v>135</v>
      </c>
      <c r="D136" s="33" t="s">
        <v>5402</v>
      </c>
      <c r="E136" s="34" t="s">
        <v>5244</v>
      </c>
      <c r="F136" s="34" t="s">
        <v>18</v>
      </c>
      <c r="G136" s="57">
        <v>40918</v>
      </c>
      <c r="H136" s="57">
        <v>41547</v>
      </c>
      <c r="I136" s="34">
        <f t="shared" si="6"/>
        <v>20</v>
      </c>
      <c r="J136" s="34">
        <v>40</v>
      </c>
      <c r="K136" s="36">
        <v>800</v>
      </c>
      <c r="L136" s="34" t="s">
        <v>17</v>
      </c>
      <c r="M136" s="57">
        <v>32987</v>
      </c>
      <c r="N136" s="37">
        <f>(YEAR(TablaMadre[[#This Row],[ALTA]])-YEAR(M136))</f>
        <v>22</v>
      </c>
      <c r="O136" s="34" t="s">
        <v>18</v>
      </c>
      <c r="P136" s="34" t="s">
        <v>19</v>
      </c>
      <c r="Q136" s="34" t="s">
        <v>58</v>
      </c>
      <c r="R136" s="34" t="s">
        <v>21</v>
      </c>
      <c r="S136" s="34" t="s">
        <v>229</v>
      </c>
      <c r="T136" s="34"/>
      <c r="U136" s="34" t="s">
        <v>30</v>
      </c>
      <c r="V136" s="34" t="s">
        <v>56</v>
      </c>
      <c r="W136" s="34" t="s">
        <v>28</v>
      </c>
      <c r="X136" s="38" t="s">
        <v>164</v>
      </c>
      <c r="Y136" s="62">
        <v>43277</v>
      </c>
      <c r="Z136" s="38">
        <f t="shared" si="7"/>
        <v>4</v>
      </c>
      <c r="AA136" s="38"/>
      <c r="AB136" s="34"/>
      <c r="AC136" s="34"/>
      <c r="AD136" s="38"/>
      <c r="AE136" s="59" t="str">
        <f t="shared" si="8"/>
        <v>NO</v>
      </c>
      <c r="AF136" s="38" t="e" cm="1">
        <f t="array" aca="1" ref="AF136" ca="1">MIN(100, MAX(0, (IF(R136="ESTUDIANTE", 31, 0)) + (IF(I136&lt;=3, 30, IF(I136&lt;=6, 20, 0))) +(IF(OR(E136="413 - Control de Costes y Enlace Construcción", E136="480 - Secretaría General del Consejo", E136="132 - Civil y estructuras", E136="136 - Mecánica", E136="412 - Planificación", E136="142 - Compras"), 25, 0)) +(IF(OR(S136="GRADO ING. MECÁNICA", S136="GRADO ING. ELÉCTRICA", S136="GRADO DERECHO", S136="GRADO ECONOMÍA", S136="GRADO ING. TECNOLOGÍAS INDUSTRIALES"), 24, 0)) + (IF(AND(K136&gt;=451, K136&lt;=700), 23, 0)) + (IF(AND(AB136&gt;=5, AB136&lt;=8), 17, 0)) +(IF(_xludf.OR(_xludf.AND(AC136&gt;=8, AC136&lt;=10), _xludf.AND(AC136&gt;=0, AC136&lt;=5)), 16, 0)) + (IF(F136="Madrid", 11, 0))))</f>
        <v>#NAME?</v>
      </c>
      <c r="AG136" s="68"/>
      <c r="AH136" s="71" t="s">
        <v>164</v>
      </c>
    </row>
    <row r="137" spans="1:34" ht="14.4" x14ac:dyDescent="0.3">
      <c r="A137" s="66" t="s">
        <v>1115</v>
      </c>
      <c r="B137" s="66" t="s">
        <v>3232</v>
      </c>
      <c r="C137" s="33">
        <v>136</v>
      </c>
      <c r="D137" s="33" t="s">
        <v>5393</v>
      </c>
      <c r="E137" s="34" t="s">
        <v>5257</v>
      </c>
      <c r="F137" s="34" t="s">
        <v>118</v>
      </c>
      <c r="G137" s="57">
        <v>40918</v>
      </c>
      <c r="H137" s="57">
        <v>41547</v>
      </c>
      <c r="I137" s="34">
        <f t="shared" si="6"/>
        <v>20</v>
      </c>
      <c r="J137" s="34">
        <v>40</v>
      </c>
      <c r="K137" s="36">
        <v>650</v>
      </c>
      <c r="L137" s="34" t="s">
        <v>29</v>
      </c>
      <c r="M137" s="57">
        <v>32289</v>
      </c>
      <c r="N137" s="37">
        <f>(YEAR(TablaMadre[[#This Row],[ALTA]])-YEAR(M137))</f>
        <v>24</v>
      </c>
      <c r="O137" s="34" t="s">
        <v>563</v>
      </c>
      <c r="P137" s="34" t="s">
        <v>19</v>
      </c>
      <c r="Q137" s="34" t="s">
        <v>209</v>
      </c>
      <c r="R137" s="58" t="s">
        <v>30</v>
      </c>
      <c r="S137" s="34" t="s">
        <v>397</v>
      </c>
      <c r="T137" s="34"/>
      <c r="U137" s="34" t="s">
        <v>30</v>
      </c>
      <c r="V137" s="34" t="s">
        <v>37</v>
      </c>
      <c r="W137" s="34" t="s">
        <v>28</v>
      </c>
      <c r="X137" s="38" t="s">
        <v>173</v>
      </c>
      <c r="Y137" s="62"/>
      <c r="Z137" s="38" t="e">
        <f t="shared" si="7"/>
        <v>#NUM!</v>
      </c>
      <c r="AA137" s="38"/>
      <c r="AB137" s="34"/>
      <c r="AC137" s="34"/>
      <c r="AD137" s="38"/>
      <c r="AE137" s="59" t="str">
        <f t="shared" si="8"/>
        <v>SÍ</v>
      </c>
      <c r="AF137" s="38" t="e" cm="1">
        <f t="array" aca="1" ref="AF137" ca="1">MIN(100, MAX(0, (IF(R137="ESTUDIANTE", 31, 0)) + (IF(I137&lt;=3, 30, IF(I137&lt;=6, 20, 0))) +(IF(OR(E137="413 - Control de Costes y Enlace Construcción", E137="480 - Secretaría General del Consejo", E137="132 - Civil y estructuras", E137="136 - Mecánica", E137="412 - Planificación", E137="142 - Compras"), 25, 0)) +(IF(OR(S137="GRADO ING. MECÁNICA", S137="GRADO ING. ELÉCTRICA", S137="GRADO DERECHO", S137="GRADO ECONOMÍA", S137="GRADO ING. TECNOLOGÍAS INDUSTRIALES"), 24, 0)) + (IF(AND(K137&gt;=451, K137&lt;=700), 23, 0)) + (IF(AND(AB137&gt;=5, AB137&lt;=8), 17, 0)) +(IF(_xludf.OR(_xludf.AND(AC137&gt;=8, AC137&lt;=10), _xludf.AND(AC137&gt;=0, AC137&lt;=5)), 16, 0)) + (IF(F137="Madrid", 11, 0))))</f>
        <v>#NAME?</v>
      </c>
      <c r="AG137" s="68"/>
      <c r="AH137" s="71" t="s">
        <v>164</v>
      </c>
    </row>
    <row r="138" spans="1:34" ht="14.4" x14ac:dyDescent="0.3">
      <c r="A138" s="66" t="s">
        <v>1116</v>
      </c>
      <c r="B138" s="66" t="s">
        <v>3233</v>
      </c>
      <c r="C138" s="33">
        <v>137</v>
      </c>
      <c r="D138" s="33" t="s">
        <v>5394</v>
      </c>
      <c r="E138" s="34" t="s">
        <v>5237</v>
      </c>
      <c r="F138" s="34" t="s">
        <v>18</v>
      </c>
      <c r="G138" s="57">
        <v>40940</v>
      </c>
      <c r="H138" s="57">
        <v>41394</v>
      </c>
      <c r="I138" s="34">
        <f t="shared" si="6"/>
        <v>14</v>
      </c>
      <c r="J138" s="34">
        <v>40</v>
      </c>
      <c r="K138" s="36">
        <v>900</v>
      </c>
      <c r="L138" s="34" t="s">
        <v>17</v>
      </c>
      <c r="M138" s="57">
        <v>33231</v>
      </c>
      <c r="N138" s="37">
        <f>(YEAR(TablaMadre[[#This Row],[ALTA]])-YEAR(M138))</f>
        <v>22</v>
      </c>
      <c r="O138" s="34" t="s">
        <v>18</v>
      </c>
      <c r="P138" s="34" t="s">
        <v>19</v>
      </c>
      <c r="Q138" s="34" t="s">
        <v>49</v>
      </c>
      <c r="R138" s="34" t="s">
        <v>21</v>
      </c>
      <c r="S138" s="34" t="s">
        <v>297</v>
      </c>
      <c r="T138" s="34"/>
      <c r="U138" s="34" t="s">
        <v>30</v>
      </c>
      <c r="V138" s="34" t="s">
        <v>22</v>
      </c>
      <c r="W138" s="34" t="s">
        <v>28</v>
      </c>
      <c r="X138" s="38" t="s">
        <v>173</v>
      </c>
      <c r="Y138" s="62"/>
      <c r="Z138" s="38" t="e">
        <f t="shared" si="7"/>
        <v>#NUM!</v>
      </c>
      <c r="AA138" s="38"/>
      <c r="AB138" s="34"/>
      <c r="AC138" s="34"/>
      <c r="AD138" s="38"/>
      <c r="AE138" s="59" t="str">
        <f t="shared" si="8"/>
        <v>NO</v>
      </c>
      <c r="AF138" s="38" t="e" cm="1">
        <f t="array" aca="1" ref="AF138" ca="1">MIN(100, MAX(0, (IF(R138="ESTUDIANTE", 31, 0)) + (IF(I138&lt;=3, 30, IF(I138&lt;=6, 20, 0))) +(IF(OR(E138="413 - Control de Costes y Enlace Construcción", E138="480 - Secretaría General del Consejo", E138="132 - Civil y estructuras", E138="136 - Mecánica", E138="412 - Planificación", E138="142 - Compras"), 25, 0)) +(IF(OR(S138="GRADO ING. MECÁNICA", S138="GRADO ING. ELÉCTRICA", S138="GRADO DERECHO", S138="GRADO ECONOMÍA", S138="GRADO ING. TECNOLOGÍAS INDUSTRIALES"), 24, 0)) + (IF(AND(K138&gt;=451, K138&lt;=700), 23, 0)) + (IF(AND(AB138&gt;=5, AB138&lt;=8), 17, 0)) +(IF(_xludf.OR(_xludf.AND(AC138&gt;=8, AC138&lt;=10), _xludf.AND(AC138&gt;=0, AC138&lt;=5)), 16, 0)) + (IF(F138="Madrid", 11, 0))))</f>
        <v>#NAME?</v>
      </c>
      <c r="AG138" s="68"/>
      <c r="AH138" s="71" t="s">
        <v>164</v>
      </c>
    </row>
    <row r="139" spans="1:34" ht="14.4" x14ac:dyDescent="0.3">
      <c r="A139" s="66" t="s">
        <v>1117</v>
      </c>
      <c r="B139" s="66" t="s">
        <v>3234</v>
      </c>
      <c r="C139" s="33">
        <v>188</v>
      </c>
      <c r="D139" s="33" t="s">
        <v>5395</v>
      </c>
      <c r="E139" s="34" t="s">
        <v>5222</v>
      </c>
      <c r="F139" s="34" t="s">
        <v>18</v>
      </c>
      <c r="G139" s="57">
        <v>40945</v>
      </c>
      <c r="H139" s="57">
        <v>41034</v>
      </c>
      <c r="I139" s="34">
        <f t="shared" si="6"/>
        <v>2</v>
      </c>
      <c r="J139" s="34">
        <v>25</v>
      </c>
      <c r="K139" s="36">
        <v>470</v>
      </c>
      <c r="L139" s="34" t="s">
        <v>29</v>
      </c>
      <c r="M139" s="57">
        <v>32561</v>
      </c>
      <c r="N139" s="37">
        <f>(YEAR(TablaMadre[[#This Row],[ALTA]])-YEAR(M139))</f>
        <v>23</v>
      </c>
      <c r="O139" s="34" t="s">
        <v>70</v>
      </c>
      <c r="P139" s="34" t="s">
        <v>19</v>
      </c>
      <c r="Q139" s="34" t="s">
        <v>71</v>
      </c>
      <c r="R139" s="58" t="s">
        <v>30</v>
      </c>
      <c r="S139" s="34" t="s">
        <v>297</v>
      </c>
      <c r="T139" s="34"/>
      <c r="U139" s="34"/>
      <c r="V139" s="34" t="s">
        <v>40</v>
      </c>
      <c r="W139" s="34" t="s">
        <v>28</v>
      </c>
      <c r="X139" s="38" t="s">
        <v>164</v>
      </c>
      <c r="Y139" s="62">
        <v>43825</v>
      </c>
      <c r="Z139" s="38">
        <f t="shared" si="7"/>
        <v>7</v>
      </c>
      <c r="AA139" s="38"/>
      <c r="AB139" s="34" t="s">
        <v>24</v>
      </c>
      <c r="AC139" s="34" t="s">
        <v>34</v>
      </c>
      <c r="AD139" s="38"/>
      <c r="AE139" s="59" t="str">
        <f t="shared" si="8"/>
        <v>SÍ</v>
      </c>
      <c r="AF139" s="38" t="e" cm="1">
        <f t="array" aca="1" ref="AF139" ca="1">MIN(100, MAX(0, (IF(R139="ESTUDIANTE", 31, 0)) + (IF(I139&lt;=3, 30, IF(I139&lt;=6, 20, 0))) +(IF(OR(E139="413 - Control de Costes y Enlace Construcción", E139="480 - Secretaría General del Consejo", E139="132 - Civil y estructuras", E139="136 - Mecánica", E139="412 - Planificación", E139="142 - Compras"), 25, 0)) +(IF(OR(S139="GRADO ING. MECÁNICA", S139="GRADO ING. ELÉCTRICA", S139="GRADO DERECHO", S139="GRADO ECONOMÍA", S139="GRADO ING. TECNOLOGÍAS INDUSTRIALES"), 24, 0)) + (IF(AND(K139&gt;=451, K139&lt;=700), 23, 0)) + (IF(AND(AB139&gt;=5, AB139&lt;=8), 17, 0)) +(IF(_xludf.OR(_xludf.AND(AC139&gt;=8, AC139&lt;=10), _xludf.AND(AC139&gt;=0, AC139&lt;=5)), 16, 0)) + (IF(F139="Madrid", 11, 0))))</f>
        <v>#NAME?</v>
      </c>
      <c r="AG139" s="68"/>
      <c r="AH139" s="71" t="s">
        <v>164</v>
      </c>
    </row>
    <row r="140" spans="1:34" ht="14.4" x14ac:dyDescent="0.3">
      <c r="A140" s="66" t="s">
        <v>1118</v>
      </c>
      <c r="B140" s="66" t="s">
        <v>3235</v>
      </c>
      <c r="C140" s="33">
        <v>138</v>
      </c>
      <c r="D140" s="33" t="s">
        <v>5396</v>
      </c>
      <c r="E140" s="34" t="s">
        <v>5227</v>
      </c>
      <c r="F140" s="34" t="s">
        <v>18</v>
      </c>
      <c r="G140" s="57">
        <v>40946</v>
      </c>
      <c r="H140" s="57">
        <v>41117</v>
      </c>
      <c r="I140" s="34">
        <f t="shared" si="6"/>
        <v>5</v>
      </c>
      <c r="J140" s="34">
        <v>40</v>
      </c>
      <c r="K140" s="36">
        <v>650</v>
      </c>
      <c r="L140" s="34" t="s">
        <v>29</v>
      </c>
      <c r="M140" s="57">
        <v>32710</v>
      </c>
      <c r="N140" s="37">
        <f>(YEAR(TablaMadre[[#This Row],[ALTA]])-YEAR(M140))</f>
        <v>23</v>
      </c>
      <c r="O140" s="34" t="s">
        <v>18</v>
      </c>
      <c r="P140" s="34" t="s">
        <v>19</v>
      </c>
      <c r="Q140" s="34" t="s">
        <v>116</v>
      </c>
      <c r="R140" s="58" t="s">
        <v>30</v>
      </c>
      <c r="S140" s="34" t="s">
        <v>349</v>
      </c>
      <c r="T140" s="34"/>
      <c r="U140" s="34" t="s">
        <v>42</v>
      </c>
      <c r="V140" s="34" t="s">
        <v>56</v>
      </c>
      <c r="W140" s="34" t="s">
        <v>23</v>
      </c>
      <c r="X140" s="38" t="s">
        <v>164</v>
      </c>
      <c r="Y140" s="62"/>
      <c r="Z140" s="62" t="e">
        <f t="shared" si="7"/>
        <v>#NUM!</v>
      </c>
      <c r="AA140" s="62"/>
      <c r="AB140" s="34" t="s">
        <v>53</v>
      </c>
      <c r="AC140" s="34" t="s">
        <v>24</v>
      </c>
      <c r="AD140" s="38"/>
      <c r="AE140" s="59" t="str">
        <f t="shared" si="8"/>
        <v>NO</v>
      </c>
      <c r="AF140" s="38" t="e" cm="1">
        <f t="array" aca="1" ref="AF140" ca="1">MIN(100, MAX(0, (IF(R140="ESTUDIANTE", 31, 0)) + (IF(I140&lt;=3, 30, IF(I140&lt;=6, 20, 0))) +(IF(OR(E140="413 - Control de Costes y Enlace Construcción", E140="480 - Secretaría General del Consejo", E140="132 - Civil y estructuras", E140="136 - Mecánica", E140="412 - Planificación", E140="142 - Compras"), 25, 0)) +(IF(OR(S140="GRADO ING. MECÁNICA", S140="GRADO ING. ELÉCTRICA", S140="GRADO DERECHO", S140="GRADO ECONOMÍA", S140="GRADO ING. TECNOLOGÍAS INDUSTRIALES"), 24, 0)) + (IF(AND(K140&gt;=451, K140&lt;=700), 23, 0)) + (IF(AND(AB140&gt;=5, AB140&lt;=8), 17, 0)) +(IF(_xludf.OR(_xludf.AND(AC140&gt;=8, AC140&lt;=10), _xludf.AND(AC140&gt;=0, AC140&lt;=5)), 16, 0)) + (IF(F140="Madrid", 11, 0))))</f>
        <v>#NAME?</v>
      </c>
      <c r="AG140" s="68"/>
      <c r="AH140" s="71" t="s">
        <v>164</v>
      </c>
    </row>
    <row r="141" spans="1:34" ht="14.4" x14ac:dyDescent="0.3">
      <c r="A141" s="66" t="s">
        <v>1119</v>
      </c>
      <c r="B141" s="66" t="s">
        <v>3236</v>
      </c>
      <c r="C141" s="33">
        <v>139</v>
      </c>
      <c r="D141" s="33" t="s">
        <v>5397</v>
      </c>
      <c r="E141" s="34" t="s">
        <v>5234</v>
      </c>
      <c r="F141" s="34" t="s">
        <v>18</v>
      </c>
      <c r="G141" s="57">
        <v>40946</v>
      </c>
      <c r="H141" s="57">
        <v>41121</v>
      </c>
      <c r="I141" s="34">
        <f t="shared" si="6"/>
        <v>5</v>
      </c>
      <c r="J141" s="34">
        <v>40</v>
      </c>
      <c r="K141" s="36">
        <v>650</v>
      </c>
      <c r="L141" s="34" t="s">
        <v>17</v>
      </c>
      <c r="M141" s="57">
        <v>33107</v>
      </c>
      <c r="N141" s="37">
        <f>(YEAR(TablaMadre[[#This Row],[ALTA]])-YEAR(M141))</f>
        <v>22</v>
      </c>
      <c r="O141" s="34" t="s">
        <v>803</v>
      </c>
      <c r="P141" s="34" t="s">
        <v>19</v>
      </c>
      <c r="Q141" s="34" t="s">
        <v>123</v>
      </c>
      <c r="R141" s="58" t="s">
        <v>30</v>
      </c>
      <c r="S141" s="34" t="s">
        <v>291</v>
      </c>
      <c r="T141" s="34"/>
      <c r="U141" s="34" t="s">
        <v>30</v>
      </c>
      <c r="V141" s="34" t="s">
        <v>124</v>
      </c>
      <c r="W141" s="34" t="s">
        <v>91</v>
      </c>
      <c r="X141" s="38" t="s">
        <v>164</v>
      </c>
      <c r="Y141" s="62"/>
      <c r="Z141" s="62" t="e">
        <f t="shared" si="7"/>
        <v>#NUM!</v>
      </c>
      <c r="AA141" s="62"/>
      <c r="AB141" s="34" t="s">
        <v>24</v>
      </c>
      <c r="AC141" s="34" t="s">
        <v>34</v>
      </c>
      <c r="AD141" s="38"/>
      <c r="AE141" s="59" t="str">
        <f t="shared" si="8"/>
        <v>SÍ</v>
      </c>
      <c r="AF141" s="38" t="e" cm="1">
        <f t="array" aca="1" ref="AF141" ca="1">MIN(100, MAX(0, (IF(R141="ESTUDIANTE", 31, 0)) + (IF(I141&lt;=3, 30, IF(I141&lt;=6, 20, 0))) +(IF(OR(E141="413 - Control de Costes y Enlace Construcción", E141="480 - Secretaría General del Consejo", E141="132 - Civil y estructuras", E141="136 - Mecánica", E141="412 - Planificación", E141="142 - Compras"), 25, 0)) +(IF(OR(S141="GRADO ING. MECÁNICA", S141="GRADO ING. ELÉCTRICA", S141="GRADO DERECHO", S141="GRADO ECONOMÍA", S141="GRADO ING. TECNOLOGÍAS INDUSTRIALES"), 24, 0)) + (IF(AND(K141&gt;=451, K141&lt;=700), 23, 0)) + (IF(AND(AB141&gt;=5, AB141&lt;=8), 17, 0)) +(IF(_xludf.OR(_xludf.AND(AC141&gt;=8, AC141&lt;=10), _xludf.AND(AC141&gt;=0, AC141&lt;=5)), 16, 0)) + (IF(F141="Madrid", 11, 0))))</f>
        <v>#NAME?</v>
      </c>
      <c r="AG141" s="68"/>
      <c r="AH141" s="71" t="s">
        <v>164</v>
      </c>
    </row>
    <row r="142" spans="1:34" ht="14.4" x14ac:dyDescent="0.3">
      <c r="A142" s="66" t="s">
        <v>1120</v>
      </c>
      <c r="B142" s="66" t="s">
        <v>3237</v>
      </c>
      <c r="C142" s="33">
        <v>140</v>
      </c>
      <c r="D142" s="33" t="s">
        <v>5398</v>
      </c>
      <c r="E142" s="34" t="s">
        <v>5244</v>
      </c>
      <c r="F142" s="34" t="s">
        <v>18</v>
      </c>
      <c r="G142" s="57">
        <v>40946</v>
      </c>
      <c r="H142" s="57">
        <v>41173</v>
      </c>
      <c r="I142" s="34">
        <f t="shared" si="6"/>
        <v>7</v>
      </c>
      <c r="J142" s="34">
        <v>40</v>
      </c>
      <c r="K142" s="36">
        <v>1350</v>
      </c>
      <c r="L142" s="34" t="s">
        <v>29</v>
      </c>
      <c r="M142" s="57">
        <v>32957</v>
      </c>
      <c r="N142" s="37">
        <f>(YEAR(TablaMadre[[#This Row],[ALTA]])-YEAR(M142))</f>
        <v>22</v>
      </c>
      <c r="O142" s="34" t="s">
        <v>149</v>
      </c>
      <c r="P142" s="34" t="s">
        <v>149</v>
      </c>
      <c r="Q142" s="34" t="s">
        <v>150</v>
      </c>
      <c r="R142" s="34" t="s">
        <v>21</v>
      </c>
      <c r="S142" s="34" t="s">
        <v>151</v>
      </c>
      <c r="T142" s="34"/>
      <c r="U142" s="34" t="s">
        <v>30</v>
      </c>
      <c r="V142" s="34" t="s">
        <v>90</v>
      </c>
      <c r="W142" s="34" t="s">
        <v>23</v>
      </c>
      <c r="X142" s="38" t="s">
        <v>164</v>
      </c>
      <c r="Y142" s="62"/>
      <c r="Z142" s="62" t="e">
        <f t="shared" si="7"/>
        <v>#NUM!</v>
      </c>
      <c r="AA142" s="62"/>
      <c r="AB142" s="34" t="s">
        <v>24</v>
      </c>
      <c r="AC142" s="34" t="s">
        <v>24</v>
      </c>
      <c r="AD142" s="38"/>
      <c r="AE142" s="59" t="str">
        <f t="shared" si="8"/>
        <v>SÍ</v>
      </c>
      <c r="AF142" s="38" t="e" cm="1">
        <f t="array" aca="1" ref="AF142" ca="1">MIN(100, MAX(0, (IF(R142="ESTUDIANTE", 31, 0)) + (IF(I142&lt;=3, 30, IF(I142&lt;=6, 20, 0))) +(IF(OR(E142="413 - Control de Costes y Enlace Construcción", E142="480 - Secretaría General del Consejo", E142="132 - Civil y estructuras", E142="136 - Mecánica", E142="412 - Planificación", E142="142 - Compras"), 25, 0)) +(IF(OR(S142="GRADO ING. MECÁNICA", S142="GRADO ING. ELÉCTRICA", S142="GRADO DERECHO", S142="GRADO ECONOMÍA", S142="GRADO ING. TECNOLOGÍAS INDUSTRIALES"), 24, 0)) + (IF(AND(K142&gt;=451, K142&lt;=700), 23, 0)) + (IF(AND(AB142&gt;=5, AB142&lt;=8), 17, 0)) +(IF(_xludf.OR(_xludf.AND(AC142&gt;=8, AC142&lt;=10), _xludf.AND(AC142&gt;=0, AC142&lt;=5)), 16, 0)) + (IF(F142="Madrid", 11, 0))))</f>
        <v>#NAME?</v>
      </c>
      <c r="AG142" s="68"/>
      <c r="AH142" s="71" t="s">
        <v>164</v>
      </c>
    </row>
    <row r="143" spans="1:34" ht="14.4" x14ac:dyDescent="0.3">
      <c r="A143" s="66" t="s">
        <v>1121</v>
      </c>
      <c r="B143" s="66" t="s">
        <v>3238</v>
      </c>
      <c r="C143" s="33">
        <v>141</v>
      </c>
      <c r="D143" s="33" t="s">
        <v>5399</v>
      </c>
      <c r="E143" s="34" t="s">
        <v>5257</v>
      </c>
      <c r="F143" s="34" t="s">
        <v>118</v>
      </c>
      <c r="G143" s="57">
        <v>40946</v>
      </c>
      <c r="H143" s="57">
        <v>41281</v>
      </c>
      <c r="I143" s="34">
        <f t="shared" si="6"/>
        <v>11</v>
      </c>
      <c r="J143" s="34">
        <v>40</v>
      </c>
      <c r="K143" s="36">
        <v>700</v>
      </c>
      <c r="L143" s="34" t="s">
        <v>17</v>
      </c>
      <c r="M143" s="57">
        <v>32320</v>
      </c>
      <c r="N143" s="37">
        <f>(YEAR(TablaMadre[[#This Row],[ALTA]])-YEAR(M143))</f>
        <v>24</v>
      </c>
      <c r="O143" s="34" t="s">
        <v>118</v>
      </c>
      <c r="P143" s="34" t="s">
        <v>19</v>
      </c>
      <c r="Q143" s="34" t="s">
        <v>171</v>
      </c>
      <c r="R143" s="58" t="s">
        <v>30</v>
      </c>
      <c r="S143" s="34" t="s">
        <v>26</v>
      </c>
      <c r="T143" s="34"/>
      <c r="U143" s="34" t="s">
        <v>30</v>
      </c>
      <c r="V143" s="34" t="s">
        <v>27</v>
      </c>
      <c r="W143" s="34" t="s">
        <v>28</v>
      </c>
      <c r="X143" s="38" t="s">
        <v>173</v>
      </c>
      <c r="Y143" s="62"/>
      <c r="Z143" s="38" t="e">
        <f t="shared" si="7"/>
        <v>#NUM!</v>
      </c>
      <c r="AA143" s="38"/>
      <c r="AB143" s="34"/>
      <c r="AC143" s="34"/>
      <c r="AD143" s="38"/>
      <c r="AE143" s="59" t="str">
        <f t="shared" si="8"/>
        <v>NO</v>
      </c>
      <c r="AF143" s="38" t="e" cm="1">
        <f t="array" aca="1" ref="AF143" ca="1">MIN(100, MAX(0, (IF(R143="ESTUDIANTE", 31, 0)) + (IF(I143&lt;=3, 30, IF(I143&lt;=6, 20, 0))) +(IF(OR(E143="413 - Control de Costes y Enlace Construcción", E143="480 - Secretaría General del Consejo", E143="132 - Civil y estructuras", E143="136 - Mecánica", E143="412 - Planificación", E143="142 - Compras"), 25, 0)) +(IF(OR(S143="GRADO ING. MECÁNICA", S143="GRADO ING. ELÉCTRICA", S143="GRADO DERECHO", S143="GRADO ECONOMÍA", S143="GRADO ING. TECNOLOGÍAS INDUSTRIALES"), 24, 0)) + (IF(AND(K143&gt;=451, K143&lt;=700), 23, 0)) + (IF(AND(AB143&gt;=5, AB143&lt;=8), 17, 0)) +(IF(_xludf.OR(_xludf.AND(AC143&gt;=8, AC143&lt;=10), _xludf.AND(AC143&gt;=0, AC143&lt;=5)), 16, 0)) + (IF(F143="Madrid", 11, 0))))</f>
        <v>#NAME?</v>
      </c>
      <c r="AG143" s="68"/>
      <c r="AH143" s="71" t="s">
        <v>164</v>
      </c>
    </row>
    <row r="144" spans="1:34" ht="14.4" x14ac:dyDescent="0.3">
      <c r="A144" s="66" t="s">
        <v>1122</v>
      </c>
      <c r="B144" s="66" t="s">
        <v>3239</v>
      </c>
      <c r="C144" s="33">
        <v>142</v>
      </c>
      <c r="D144" s="33" t="s">
        <v>5393</v>
      </c>
      <c r="E144" s="34" t="s">
        <v>5257</v>
      </c>
      <c r="F144" s="34" t="s">
        <v>118</v>
      </c>
      <c r="G144" s="57">
        <v>40946</v>
      </c>
      <c r="H144" s="57">
        <v>41281</v>
      </c>
      <c r="I144" s="34">
        <f t="shared" si="6"/>
        <v>11</v>
      </c>
      <c r="J144" s="34">
        <v>40</v>
      </c>
      <c r="K144" s="36">
        <v>700</v>
      </c>
      <c r="L144" s="34" t="s">
        <v>17</v>
      </c>
      <c r="M144" s="57">
        <v>30853</v>
      </c>
      <c r="N144" s="37">
        <f>(YEAR(TablaMadre[[#This Row],[ALTA]])-YEAR(M144))</f>
        <v>28</v>
      </c>
      <c r="O144" s="34" t="s">
        <v>511</v>
      </c>
      <c r="P144" s="34" t="s">
        <v>19</v>
      </c>
      <c r="Q144" s="34" t="s">
        <v>171</v>
      </c>
      <c r="R144" s="58" t="s">
        <v>30</v>
      </c>
      <c r="S144" s="34" t="s">
        <v>26</v>
      </c>
      <c r="T144" s="34"/>
      <c r="U144" s="34" t="s">
        <v>30</v>
      </c>
      <c r="V144" s="34" t="s">
        <v>27</v>
      </c>
      <c r="W144" s="34" t="s">
        <v>23</v>
      </c>
      <c r="X144" s="38" t="s">
        <v>164</v>
      </c>
      <c r="Y144" s="62"/>
      <c r="Z144" s="62" t="e">
        <f t="shared" si="7"/>
        <v>#NUM!</v>
      </c>
      <c r="AA144" s="62"/>
      <c r="AB144" s="34"/>
      <c r="AC144" s="34"/>
      <c r="AD144" s="38"/>
      <c r="AE144" s="59" t="str">
        <f t="shared" si="8"/>
        <v>SÍ</v>
      </c>
      <c r="AF144" s="38" t="e" cm="1">
        <f t="array" aca="1" ref="AF144" ca="1">MIN(100, MAX(0, (IF(R144="ESTUDIANTE", 31, 0)) + (IF(I144&lt;=3, 30, IF(I144&lt;=6, 20, 0))) +(IF(OR(E144="413 - Control de Costes y Enlace Construcción", E144="480 - Secretaría General del Consejo", E144="132 - Civil y estructuras", E144="136 - Mecánica", E144="412 - Planificación", E144="142 - Compras"), 25, 0)) +(IF(OR(S144="GRADO ING. MECÁNICA", S144="GRADO ING. ELÉCTRICA", S144="GRADO DERECHO", S144="GRADO ECONOMÍA", S144="GRADO ING. TECNOLOGÍAS INDUSTRIALES"), 24, 0)) + (IF(AND(K144&gt;=451, K144&lt;=700), 23, 0)) + (IF(AND(AB144&gt;=5, AB144&lt;=8), 17, 0)) +(IF(_xludf.OR(_xludf.AND(AC144&gt;=8, AC144&lt;=10), _xludf.AND(AC144&gt;=0, AC144&lt;=5)), 16, 0)) + (IF(F144="Madrid", 11, 0))))</f>
        <v>#NAME?</v>
      </c>
      <c r="AG144" s="68"/>
      <c r="AH144" s="71" t="s">
        <v>164</v>
      </c>
    </row>
    <row r="145" spans="1:34" ht="14.4" x14ac:dyDescent="0.3">
      <c r="A145" s="66" t="s">
        <v>1123</v>
      </c>
      <c r="B145" s="66" t="s">
        <v>3240</v>
      </c>
      <c r="C145" s="33">
        <v>143</v>
      </c>
      <c r="D145" s="33" t="s">
        <v>5394</v>
      </c>
      <c r="E145" s="34" t="s">
        <v>5216</v>
      </c>
      <c r="F145" s="34" t="s">
        <v>18</v>
      </c>
      <c r="G145" s="57">
        <v>40946</v>
      </c>
      <c r="H145" s="57">
        <v>41411</v>
      </c>
      <c r="I145" s="34">
        <f t="shared" si="6"/>
        <v>15</v>
      </c>
      <c r="J145" s="34">
        <v>40</v>
      </c>
      <c r="K145" s="36">
        <v>900</v>
      </c>
      <c r="L145" s="34" t="s">
        <v>17</v>
      </c>
      <c r="M145" s="57">
        <v>32586</v>
      </c>
      <c r="N145" s="37">
        <f>(YEAR(TablaMadre[[#This Row],[ALTA]])-YEAR(M145))</f>
        <v>23</v>
      </c>
      <c r="O145" s="34" t="s">
        <v>18</v>
      </c>
      <c r="P145" s="34" t="s">
        <v>19</v>
      </c>
      <c r="Q145" s="34" t="s">
        <v>63</v>
      </c>
      <c r="R145" s="34" t="s">
        <v>21</v>
      </c>
      <c r="S145" s="34" t="s">
        <v>297</v>
      </c>
      <c r="T145" s="34"/>
      <c r="U145" s="34" t="s">
        <v>30</v>
      </c>
      <c r="V145" s="34" t="s">
        <v>40</v>
      </c>
      <c r="W145" s="34" t="s">
        <v>91</v>
      </c>
      <c r="X145" s="38" t="s">
        <v>164</v>
      </c>
      <c r="Y145" s="62"/>
      <c r="Z145" s="62" t="e">
        <f t="shared" si="7"/>
        <v>#NUM!</v>
      </c>
      <c r="AA145" s="62"/>
      <c r="AB145" s="34"/>
      <c r="AC145" s="34"/>
      <c r="AD145" s="38"/>
      <c r="AE145" s="59" t="str">
        <f t="shared" si="8"/>
        <v>NO</v>
      </c>
      <c r="AF145" s="38" t="e" cm="1">
        <f t="array" aca="1" ref="AF145" ca="1">MIN(100, MAX(0, (IF(R145="ESTUDIANTE", 31, 0)) + (IF(I145&lt;=3, 30, IF(I145&lt;=6, 20, 0))) +(IF(OR(E145="413 - Control de Costes y Enlace Construcción", E145="480 - Secretaría General del Consejo", E145="132 - Civil y estructuras", E145="136 - Mecánica", E145="412 - Planificación", E145="142 - Compras"), 25, 0)) +(IF(OR(S145="GRADO ING. MECÁNICA", S145="GRADO ING. ELÉCTRICA", S145="GRADO DERECHO", S145="GRADO ECONOMÍA", S145="GRADO ING. TECNOLOGÍAS INDUSTRIALES"), 24, 0)) + (IF(AND(K145&gt;=451, K145&lt;=700), 23, 0)) + (IF(AND(AB145&gt;=5, AB145&lt;=8), 17, 0)) +(IF(_xludf.OR(_xludf.AND(AC145&gt;=8, AC145&lt;=10), _xludf.AND(AC145&gt;=0, AC145&lt;=5)), 16, 0)) + (IF(F145="Madrid", 11, 0))))</f>
        <v>#NAME?</v>
      </c>
      <c r="AG145" s="68"/>
      <c r="AH145" s="71" t="s">
        <v>164</v>
      </c>
    </row>
    <row r="146" spans="1:34" ht="14.4" x14ac:dyDescent="0.3">
      <c r="A146" s="66" t="s">
        <v>1124</v>
      </c>
      <c r="B146" s="66" t="s">
        <v>3241</v>
      </c>
      <c r="C146" s="33">
        <v>144</v>
      </c>
      <c r="D146" s="33" t="s">
        <v>5395</v>
      </c>
      <c r="E146" s="34" t="s">
        <v>5216</v>
      </c>
      <c r="F146" s="34" t="s">
        <v>18</v>
      </c>
      <c r="G146" s="57">
        <v>40946</v>
      </c>
      <c r="H146" s="57">
        <v>41455</v>
      </c>
      <c r="I146" s="34">
        <f t="shared" si="6"/>
        <v>16</v>
      </c>
      <c r="J146" s="34">
        <v>40</v>
      </c>
      <c r="K146" s="36">
        <v>900</v>
      </c>
      <c r="L146" s="34" t="s">
        <v>17</v>
      </c>
      <c r="M146" s="57">
        <v>32339</v>
      </c>
      <c r="N146" s="37">
        <f>(YEAR(TablaMadre[[#This Row],[ALTA]])-YEAR(M146))</f>
        <v>24</v>
      </c>
      <c r="O146" s="34" t="s">
        <v>18</v>
      </c>
      <c r="P146" s="34" t="s">
        <v>19</v>
      </c>
      <c r="Q146" s="34" t="s">
        <v>63</v>
      </c>
      <c r="R146" s="34" t="s">
        <v>21</v>
      </c>
      <c r="S146" s="34" t="s">
        <v>297</v>
      </c>
      <c r="T146" s="34"/>
      <c r="U146" s="34" t="s">
        <v>30</v>
      </c>
      <c r="V146" s="34" t="s">
        <v>40</v>
      </c>
      <c r="W146" s="34" t="s">
        <v>28</v>
      </c>
      <c r="X146" s="38" t="s">
        <v>173</v>
      </c>
      <c r="Y146" s="62"/>
      <c r="Z146" s="38" t="e">
        <f t="shared" si="7"/>
        <v>#NUM!</v>
      </c>
      <c r="AA146" s="38"/>
      <c r="AB146" s="34"/>
      <c r="AC146" s="34"/>
      <c r="AD146" s="38"/>
      <c r="AE146" s="59" t="str">
        <f t="shared" si="8"/>
        <v>NO</v>
      </c>
      <c r="AF146" s="38" t="e" cm="1">
        <f t="array" aca="1" ref="AF146" ca="1">MIN(100, MAX(0, (IF(R146="ESTUDIANTE", 31, 0)) + (IF(I146&lt;=3, 30, IF(I146&lt;=6, 20, 0))) +(IF(OR(E146="413 - Control de Costes y Enlace Construcción", E146="480 - Secretaría General del Consejo", E146="132 - Civil y estructuras", E146="136 - Mecánica", E146="412 - Planificación", E146="142 - Compras"), 25, 0)) +(IF(OR(S146="GRADO ING. MECÁNICA", S146="GRADO ING. ELÉCTRICA", S146="GRADO DERECHO", S146="GRADO ECONOMÍA", S146="GRADO ING. TECNOLOGÍAS INDUSTRIALES"), 24, 0)) + (IF(AND(K146&gt;=451, K146&lt;=700), 23, 0)) + (IF(AND(AB146&gt;=5, AB146&lt;=8), 17, 0)) +(IF(_xludf.OR(_xludf.AND(AC146&gt;=8, AC146&lt;=10), _xludf.AND(AC146&gt;=0, AC146&lt;=5)), 16, 0)) + (IF(F146="Madrid", 11, 0))))</f>
        <v>#NAME?</v>
      </c>
      <c r="AG146" s="68"/>
      <c r="AH146" s="71" t="s">
        <v>164</v>
      </c>
    </row>
    <row r="147" spans="1:34" ht="14.4" x14ac:dyDescent="0.3">
      <c r="A147" s="66" t="s">
        <v>1125</v>
      </c>
      <c r="B147" s="66" t="s">
        <v>3242</v>
      </c>
      <c r="C147" s="33">
        <v>145</v>
      </c>
      <c r="D147" s="33" t="s">
        <v>5396</v>
      </c>
      <c r="E147" s="34" t="s">
        <v>5218</v>
      </c>
      <c r="F147" s="34" t="s">
        <v>18</v>
      </c>
      <c r="G147" s="57">
        <v>40946</v>
      </c>
      <c r="H147" s="57">
        <v>41455</v>
      </c>
      <c r="I147" s="34">
        <f t="shared" si="6"/>
        <v>16</v>
      </c>
      <c r="J147" s="34">
        <v>40</v>
      </c>
      <c r="K147" s="36">
        <v>900</v>
      </c>
      <c r="L147" s="34" t="s">
        <v>17</v>
      </c>
      <c r="M147" s="57">
        <v>31982</v>
      </c>
      <c r="N147" s="37">
        <f>(YEAR(TablaMadre[[#This Row],[ALTA]])-YEAR(M147))</f>
        <v>25</v>
      </c>
      <c r="O147" s="34" t="s">
        <v>511</v>
      </c>
      <c r="P147" s="34" t="s">
        <v>19</v>
      </c>
      <c r="Q147" s="34" t="s">
        <v>20</v>
      </c>
      <c r="R147" s="34" t="s">
        <v>21</v>
      </c>
      <c r="S147" s="34" t="s">
        <v>151</v>
      </c>
      <c r="T147" s="34"/>
      <c r="U147" s="34" t="s">
        <v>30</v>
      </c>
      <c r="V147" s="34" t="s">
        <v>22</v>
      </c>
      <c r="W147" s="34" t="s">
        <v>28</v>
      </c>
      <c r="X147" s="38" t="s">
        <v>164</v>
      </c>
      <c r="Y147" s="62">
        <v>44378</v>
      </c>
      <c r="Z147" s="38">
        <f t="shared" si="7"/>
        <v>8</v>
      </c>
      <c r="AA147" s="38"/>
      <c r="AB147" s="34"/>
      <c r="AC147" s="34"/>
      <c r="AD147" s="38"/>
      <c r="AE147" s="59" t="str">
        <f t="shared" si="8"/>
        <v>SÍ</v>
      </c>
      <c r="AF147" s="38" t="e" cm="1">
        <f t="array" aca="1" ref="AF147" ca="1">MIN(100, MAX(0, (IF(R147="ESTUDIANTE", 31, 0)) + (IF(I147&lt;=3, 30, IF(I147&lt;=6, 20, 0))) +(IF(OR(E147="413 - Control de Costes y Enlace Construcción", E147="480 - Secretaría General del Consejo", E147="132 - Civil y estructuras", E147="136 - Mecánica", E147="412 - Planificación", E147="142 - Compras"), 25, 0)) +(IF(OR(S147="GRADO ING. MECÁNICA", S147="GRADO ING. ELÉCTRICA", S147="GRADO DERECHO", S147="GRADO ECONOMÍA", S147="GRADO ING. TECNOLOGÍAS INDUSTRIALES"), 24, 0)) + (IF(AND(K147&gt;=451, K147&lt;=700), 23, 0)) + (IF(AND(AB147&gt;=5, AB147&lt;=8), 17, 0)) +(IF(_xludf.OR(_xludf.AND(AC147&gt;=8, AC147&lt;=10), _xludf.AND(AC147&gt;=0, AC147&lt;=5)), 16, 0)) + (IF(F147="Madrid", 11, 0))))</f>
        <v>#NAME?</v>
      </c>
      <c r="AG147" s="68"/>
      <c r="AH147" s="71" t="s">
        <v>164</v>
      </c>
    </row>
    <row r="148" spans="1:34" ht="14.4" x14ac:dyDescent="0.3">
      <c r="A148" s="66" t="s">
        <v>1126</v>
      </c>
      <c r="B148" s="66" t="s">
        <v>3243</v>
      </c>
      <c r="C148" s="33">
        <v>146</v>
      </c>
      <c r="D148" s="33" t="s">
        <v>5397</v>
      </c>
      <c r="E148" s="34" t="s">
        <v>5216</v>
      </c>
      <c r="F148" s="34" t="s">
        <v>18</v>
      </c>
      <c r="G148" s="57">
        <v>40952</v>
      </c>
      <c r="H148" s="57">
        <v>41364</v>
      </c>
      <c r="I148" s="34">
        <f t="shared" si="6"/>
        <v>13</v>
      </c>
      <c r="J148" s="34">
        <v>40</v>
      </c>
      <c r="K148" s="36">
        <v>900</v>
      </c>
      <c r="L148" s="34" t="s">
        <v>29</v>
      </c>
      <c r="M148" s="57">
        <v>33403</v>
      </c>
      <c r="N148" s="37">
        <f>(YEAR(TablaMadre[[#This Row],[ALTA]])-YEAR(M148))</f>
        <v>21</v>
      </c>
      <c r="O148" s="34" t="s">
        <v>153</v>
      </c>
      <c r="P148" s="34" t="s">
        <v>19</v>
      </c>
      <c r="Q148" s="34" t="s">
        <v>154</v>
      </c>
      <c r="R148" s="34" t="s">
        <v>21</v>
      </c>
      <c r="S148" s="34" t="s">
        <v>297</v>
      </c>
      <c r="T148" s="34"/>
      <c r="U148" s="34" t="s">
        <v>30</v>
      </c>
      <c r="V148" s="34" t="s">
        <v>56</v>
      </c>
      <c r="W148" s="34" t="s">
        <v>28</v>
      </c>
      <c r="X148" s="38" t="s">
        <v>164</v>
      </c>
      <c r="Y148" s="62">
        <v>45164</v>
      </c>
      <c r="Z148" s="38">
        <f t="shared" si="7"/>
        <v>10</v>
      </c>
      <c r="AA148" s="38"/>
      <c r="AB148" s="34"/>
      <c r="AC148" s="34"/>
      <c r="AD148" s="38"/>
      <c r="AE148" s="59" t="str">
        <f t="shared" si="8"/>
        <v>SÍ</v>
      </c>
      <c r="AF148" s="38" t="e" cm="1">
        <f t="array" aca="1" ref="AF148" ca="1">MIN(100, MAX(0, (IF(R148="ESTUDIANTE", 31, 0)) + (IF(I148&lt;=3, 30, IF(I148&lt;=6, 20, 0))) +(IF(OR(E148="413 - Control de Costes y Enlace Construcción", E148="480 - Secretaría General del Consejo", E148="132 - Civil y estructuras", E148="136 - Mecánica", E148="412 - Planificación", E148="142 - Compras"), 25, 0)) +(IF(OR(S148="GRADO ING. MECÁNICA", S148="GRADO ING. ELÉCTRICA", S148="GRADO DERECHO", S148="GRADO ECONOMÍA", S148="GRADO ING. TECNOLOGÍAS INDUSTRIALES"), 24, 0)) + (IF(AND(K148&gt;=451, K148&lt;=700), 23, 0)) + (IF(AND(AB148&gt;=5, AB148&lt;=8), 17, 0)) +(IF(_xludf.OR(_xludf.AND(AC148&gt;=8, AC148&lt;=10), _xludf.AND(AC148&gt;=0, AC148&lt;=5)), 16, 0)) + (IF(F148="Madrid", 11, 0))))</f>
        <v>#NAME?</v>
      </c>
      <c r="AG148" s="68"/>
      <c r="AH148" s="71" t="s">
        <v>164</v>
      </c>
    </row>
    <row r="149" spans="1:34" ht="14.4" x14ac:dyDescent="0.3">
      <c r="A149" s="66" t="s">
        <v>1127</v>
      </c>
      <c r="B149" s="66" t="s">
        <v>3244</v>
      </c>
      <c r="C149" s="33">
        <v>147</v>
      </c>
      <c r="D149" s="33" t="s">
        <v>5393</v>
      </c>
      <c r="E149" s="34" t="s">
        <v>5222</v>
      </c>
      <c r="F149" s="34" t="s">
        <v>18</v>
      </c>
      <c r="G149" s="57">
        <v>40959</v>
      </c>
      <c r="H149" s="57">
        <v>41127</v>
      </c>
      <c r="I149" s="34">
        <f t="shared" si="6"/>
        <v>5</v>
      </c>
      <c r="J149" s="34">
        <v>40</v>
      </c>
      <c r="K149" s="36">
        <v>750</v>
      </c>
      <c r="L149" s="34" t="s">
        <v>29</v>
      </c>
      <c r="M149" s="57">
        <v>33083</v>
      </c>
      <c r="N149" s="37">
        <f>(YEAR(TablaMadre[[#This Row],[ALTA]])-YEAR(M149))</f>
        <v>22</v>
      </c>
      <c r="O149" s="34" t="s">
        <v>18</v>
      </c>
      <c r="P149" s="34" t="s">
        <v>19</v>
      </c>
      <c r="Q149" s="34" t="s">
        <v>132</v>
      </c>
      <c r="R149" s="34" t="s">
        <v>21</v>
      </c>
      <c r="S149" s="34" t="s">
        <v>321</v>
      </c>
      <c r="T149" s="34"/>
      <c r="U149" s="34" t="s">
        <v>30</v>
      </c>
      <c r="V149" s="34" t="s">
        <v>67</v>
      </c>
      <c r="W149" s="34" t="s">
        <v>28</v>
      </c>
      <c r="X149" s="38" t="s">
        <v>173</v>
      </c>
      <c r="Y149" s="62"/>
      <c r="Z149" s="38" t="e">
        <f t="shared" si="7"/>
        <v>#NUM!</v>
      </c>
      <c r="AA149" s="38"/>
      <c r="AB149" s="34" t="s">
        <v>24</v>
      </c>
      <c r="AC149" s="34" t="s">
        <v>34</v>
      </c>
      <c r="AD149" s="38"/>
      <c r="AE149" s="59" t="str">
        <f t="shared" si="8"/>
        <v>NO</v>
      </c>
      <c r="AF149" s="38" t="e" cm="1">
        <f t="array" aca="1" ref="AF149" ca="1">MIN(100, MAX(0, (IF(R149="ESTUDIANTE", 31, 0)) + (IF(I149&lt;=3, 30, IF(I149&lt;=6, 20, 0))) +(IF(OR(E149="413 - Control de Costes y Enlace Construcción", E149="480 - Secretaría General del Consejo", E149="132 - Civil y estructuras", E149="136 - Mecánica", E149="412 - Planificación", E149="142 - Compras"), 25, 0)) +(IF(OR(S149="GRADO ING. MECÁNICA", S149="GRADO ING. ELÉCTRICA", S149="GRADO DERECHO", S149="GRADO ECONOMÍA", S149="GRADO ING. TECNOLOGÍAS INDUSTRIALES"), 24, 0)) + (IF(AND(K149&gt;=451, K149&lt;=700), 23, 0)) + (IF(AND(AB149&gt;=5, AB149&lt;=8), 17, 0)) +(IF(_xludf.OR(_xludf.AND(AC149&gt;=8, AC149&lt;=10), _xludf.AND(AC149&gt;=0, AC149&lt;=5)), 16, 0)) + (IF(F149="Madrid", 11, 0))))</f>
        <v>#NAME?</v>
      </c>
      <c r="AG149" s="68"/>
      <c r="AH149" s="71" t="s">
        <v>164</v>
      </c>
    </row>
    <row r="150" spans="1:34" ht="14.4" x14ac:dyDescent="0.3">
      <c r="A150" s="66" t="s">
        <v>1128</v>
      </c>
      <c r="B150" s="66" t="s">
        <v>3245</v>
      </c>
      <c r="C150" s="33">
        <v>148</v>
      </c>
      <c r="D150" s="33" t="s">
        <v>5394</v>
      </c>
      <c r="E150" s="34" t="s">
        <v>5222</v>
      </c>
      <c r="F150" s="34" t="s">
        <v>18</v>
      </c>
      <c r="G150" s="57">
        <v>40973</v>
      </c>
      <c r="H150" s="57">
        <v>41394</v>
      </c>
      <c r="I150" s="34">
        <f t="shared" si="6"/>
        <v>13</v>
      </c>
      <c r="J150" s="34">
        <v>40</v>
      </c>
      <c r="K150" s="36">
        <v>900</v>
      </c>
      <c r="L150" s="34" t="s">
        <v>17</v>
      </c>
      <c r="M150" s="57">
        <v>33011</v>
      </c>
      <c r="N150" s="37">
        <f>(YEAR(TablaMadre[[#This Row],[ALTA]])-YEAR(M150))</f>
        <v>22</v>
      </c>
      <c r="O150" s="34" t="s">
        <v>18</v>
      </c>
      <c r="P150" s="34" t="s">
        <v>19</v>
      </c>
      <c r="Q150" s="34" t="s">
        <v>63</v>
      </c>
      <c r="R150" s="34" t="s">
        <v>21</v>
      </c>
      <c r="S150" s="34" t="s">
        <v>297</v>
      </c>
      <c r="T150" s="34"/>
      <c r="U150" s="34" t="s">
        <v>30</v>
      </c>
      <c r="V150" s="34" t="s">
        <v>56</v>
      </c>
      <c r="W150" s="34" t="s">
        <v>28</v>
      </c>
      <c r="X150" s="38" t="s">
        <v>173</v>
      </c>
      <c r="Y150" s="62"/>
      <c r="Z150" s="38" t="e">
        <f t="shared" si="7"/>
        <v>#NUM!</v>
      </c>
      <c r="AA150" s="38"/>
      <c r="AB150" s="34"/>
      <c r="AC150" s="34"/>
      <c r="AD150" s="38"/>
      <c r="AE150" s="59" t="str">
        <f t="shared" si="8"/>
        <v>NO</v>
      </c>
      <c r="AF150" s="38" t="e" cm="1">
        <f t="array" aca="1" ref="AF150" ca="1">MIN(100, MAX(0, (IF(R150="ESTUDIANTE", 31, 0)) + (IF(I150&lt;=3, 30, IF(I150&lt;=6, 20, 0))) +(IF(OR(E150="413 - Control de Costes y Enlace Construcción", E150="480 - Secretaría General del Consejo", E150="132 - Civil y estructuras", E150="136 - Mecánica", E150="412 - Planificación", E150="142 - Compras"), 25, 0)) +(IF(OR(S150="GRADO ING. MECÁNICA", S150="GRADO ING. ELÉCTRICA", S150="GRADO DERECHO", S150="GRADO ECONOMÍA", S150="GRADO ING. TECNOLOGÍAS INDUSTRIALES"), 24, 0)) + (IF(AND(K150&gt;=451, K150&lt;=700), 23, 0)) + (IF(AND(AB150&gt;=5, AB150&lt;=8), 17, 0)) +(IF(_xludf.OR(_xludf.AND(AC150&gt;=8, AC150&lt;=10), _xludf.AND(AC150&gt;=0, AC150&lt;=5)), 16, 0)) + (IF(F150="Madrid", 11, 0))))</f>
        <v>#NAME?</v>
      </c>
      <c r="AG150" s="68"/>
      <c r="AH150" s="71" t="s">
        <v>164</v>
      </c>
    </row>
    <row r="151" spans="1:34" ht="14.4" x14ac:dyDescent="0.3">
      <c r="A151" s="66" t="s">
        <v>1129</v>
      </c>
      <c r="B151" s="66" t="s">
        <v>3246</v>
      </c>
      <c r="C151" s="33">
        <v>149</v>
      </c>
      <c r="D151" s="33" t="s">
        <v>5395</v>
      </c>
      <c r="E151" s="34" t="s">
        <v>5241</v>
      </c>
      <c r="F151" s="34" t="s">
        <v>18</v>
      </c>
      <c r="G151" s="57">
        <v>40975</v>
      </c>
      <c r="H151" s="57">
        <v>41455</v>
      </c>
      <c r="I151" s="34">
        <f t="shared" si="6"/>
        <v>15</v>
      </c>
      <c r="J151" s="34">
        <v>40</v>
      </c>
      <c r="K151" s="36">
        <v>900</v>
      </c>
      <c r="L151" s="34" t="s">
        <v>17</v>
      </c>
      <c r="M151" s="57">
        <v>33384</v>
      </c>
      <c r="N151" s="37">
        <f>(YEAR(TablaMadre[[#This Row],[ALTA]])-YEAR(M151))</f>
        <v>21</v>
      </c>
      <c r="O151" s="34" t="s">
        <v>18</v>
      </c>
      <c r="P151" s="34" t="s">
        <v>19</v>
      </c>
      <c r="Q151" s="34" t="s">
        <v>61</v>
      </c>
      <c r="R151" s="34" t="s">
        <v>21</v>
      </c>
      <c r="S151" s="34" t="s">
        <v>322</v>
      </c>
      <c r="T151" s="34"/>
      <c r="U151" s="34" t="s">
        <v>30</v>
      </c>
      <c r="V151" s="34" t="s">
        <v>22</v>
      </c>
      <c r="W151" s="34" t="s">
        <v>28</v>
      </c>
      <c r="X151" s="38" t="s">
        <v>164</v>
      </c>
      <c r="Y151" s="62">
        <v>42917</v>
      </c>
      <c r="Z151" s="38">
        <f t="shared" si="7"/>
        <v>4</v>
      </c>
      <c r="AA151" s="38"/>
      <c r="AB151" s="34"/>
      <c r="AC151" s="34"/>
      <c r="AD151" s="38"/>
      <c r="AE151" s="59" t="str">
        <f t="shared" si="8"/>
        <v>NO</v>
      </c>
      <c r="AF151" s="38" t="e" cm="1">
        <f t="array" aca="1" ref="AF151" ca="1">MIN(100, MAX(0, (IF(R151="ESTUDIANTE", 31, 0)) + (IF(I151&lt;=3, 30, IF(I151&lt;=6, 20, 0))) +(IF(OR(E151="413 - Control de Costes y Enlace Construcción", E151="480 - Secretaría General del Consejo", E151="132 - Civil y estructuras", E151="136 - Mecánica", E151="412 - Planificación", E151="142 - Compras"), 25, 0)) +(IF(OR(S151="GRADO ING. MECÁNICA", S151="GRADO ING. ELÉCTRICA", S151="GRADO DERECHO", S151="GRADO ECONOMÍA", S151="GRADO ING. TECNOLOGÍAS INDUSTRIALES"), 24, 0)) + (IF(AND(K151&gt;=451, K151&lt;=700), 23, 0)) + (IF(AND(AB151&gt;=5, AB151&lt;=8), 17, 0)) +(IF(_xludf.OR(_xludf.AND(AC151&gt;=8, AC151&lt;=10), _xludf.AND(AC151&gt;=0, AC151&lt;=5)), 16, 0)) + (IF(F151="Madrid", 11, 0))))</f>
        <v>#NAME?</v>
      </c>
      <c r="AG151" s="68"/>
      <c r="AH151" s="71" t="s">
        <v>164</v>
      </c>
    </row>
    <row r="152" spans="1:34" ht="14.4" x14ac:dyDescent="0.3">
      <c r="A152" s="66" t="s">
        <v>1130</v>
      </c>
      <c r="B152" s="66" t="s">
        <v>3247</v>
      </c>
      <c r="C152" s="33">
        <v>150</v>
      </c>
      <c r="D152" s="33" t="s">
        <v>5396</v>
      </c>
      <c r="E152" s="34" t="s">
        <v>5258</v>
      </c>
      <c r="F152" s="34" t="s">
        <v>18</v>
      </c>
      <c r="G152" s="57">
        <v>40977</v>
      </c>
      <c r="H152" s="57">
        <v>41182</v>
      </c>
      <c r="I152" s="34">
        <f t="shared" si="6"/>
        <v>6</v>
      </c>
      <c r="J152" s="34">
        <v>40</v>
      </c>
      <c r="K152" s="36">
        <v>650</v>
      </c>
      <c r="L152" s="34" t="s">
        <v>17</v>
      </c>
      <c r="M152" s="57">
        <v>32195</v>
      </c>
      <c r="N152" s="37">
        <f>(YEAR(TablaMadre[[#This Row],[ALTA]])-YEAR(M152))</f>
        <v>24</v>
      </c>
      <c r="O152" s="34" t="s">
        <v>803</v>
      </c>
      <c r="P152" s="34" t="s">
        <v>19</v>
      </c>
      <c r="Q152" s="34" t="s">
        <v>123</v>
      </c>
      <c r="R152" s="58" t="s">
        <v>30</v>
      </c>
      <c r="S152" s="34" t="s">
        <v>291</v>
      </c>
      <c r="T152" s="34"/>
      <c r="U152" s="34" t="s">
        <v>30</v>
      </c>
      <c r="V152" s="34" t="s">
        <v>124</v>
      </c>
      <c r="W152" s="34" t="s">
        <v>91</v>
      </c>
      <c r="X152" s="38" t="s">
        <v>164</v>
      </c>
      <c r="Y152" s="62"/>
      <c r="Z152" s="62" t="e">
        <f t="shared" si="7"/>
        <v>#NUM!</v>
      </c>
      <c r="AA152" s="62"/>
      <c r="AB152" s="34" t="s">
        <v>24</v>
      </c>
      <c r="AC152" s="34" t="s">
        <v>53</v>
      </c>
      <c r="AD152" s="38"/>
      <c r="AE152" s="59" t="str">
        <f t="shared" si="8"/>
        <v>SÍ</v>
      </c>
      <c r="AF152" s="38" t="e" cm="1">
        <f t="array" aca="1" ref="AF152" ca="1">MIN(100, MAX(0, (IF(R152="ESTUDIANTE", 31, 0)) + (IF(I152&lt;=3, 30, IF(I152&lt;=6, 20, 0))) +(IF(OR(E152="413 - Control de Costes y Enlace Construcción", E152="480 - Secretaría General del Consejo", E152="132 - Civil y estructuras", E152="136 - Mecánica", E152="412 - Planificación", E152="142 - Compras"), 25, 0)) +(IF(OR(S152="GRADO ING. MECÁNICA", S152="GRADO ING. ELÉCTRICA", S152="GRADO DERECHO", S152="GRADO ECONOMÍA", S152="GRADO ING. TECNOLOGÍAS INDUSTRIALES"), 24, 0)) + (IF(AND(K152&gt;=451, K152&lt;=700), 23, 0)) + (IF(AND(AB152&gt;=5, AB152&lt;=8), 17, 0)) +(IF(_xludf.OR(_xludf.AND(AC152&gt;=8, AC152&lt;=10), _xludf.AND(AC152&gt;=0, AC152&lt;=5)), 16, 0)) + (IF(F152="Madrid", 11, 0))))</f>
        <v>#NAME?</v>
      </c>
      <c r="AG152" s="68"/>
      <c r="AH152" s="71" t="s">
        <v>164</v>
      </c>
    </row>
    <row r="153" spans="1:34" ht="14.4" x14ac:dyDescent="0.3">
      <c r="A153" s="66" t="s">
        <v>1131</v>
      </c>
      <c r="B153" s="66" t="s">
        <v>3248</v>
      </c>
      <c r="C153" s="33">
        <v>151</v>
      </c>
      <c r="D153" s="33" t="s">
        <v>5397</v>
      </c>
      <c r="E153" s="34" t="s">
        <v>5218</v>
      </c>
      <c r="F153" s="34" t="s">
        <v>18</v>
      </c>
      <c r="G153" s="57">
        <v>40977</v>
      </c>
      <c r="H153" s="57">
        <v>41314</v>
      </c>
      <c r="I153" s="34">
        <f t="shared" si="6"/>
        <v>11</v>
      </c>
      <c r="J153" s="34">
        <v>40</v>
      </c>
      <c r="K153" s="36">
        <v>900</v>
      </c>
      <c r="L153" s="34" t="s">
        <v>29</v>
      </c>
      <c r="M153" s="57">
        <v>31165</v>
      </c>
      <c r="N153" s="37">
        <f>(YEAR(TablaMadre[[#This Row],[ALTA]])-YEAR(M153))</f>
        <v>27</v>
      </c>
      <c r="O153" s="34" t="s">
        <v>257</v>
      </c>
      <c r="P153" s="34" t="s">
        <v>19</v>
      </c>
      <c r="Q153" s="34" t="s">
        <v>177</v>
      </c>
      <c r="R153" s="34" t="s">
        <v>21</v>
      </c>
      <c r="S153" s="34" t="s">
        <v>397</v>
      </c>
      <c r="T153" s="34"/>
      <c r="U153" s="34" t="s">
        <v>30</v>
      </c>
      <c r="V153" s="34" t="s">
        <v>179</v>
      </c>
      <c r="W153" s="34" t="s">
        <v>28</v>
      </c>
      <c r="X153" s="38" t="s">
        <v>164</v>
      </c>
      <c r="Y153" s="62">
        <v>43020</v>
      </c>
      <c r="Z153" s="38">
        <f t="shared" si="7"/>
        <v>4</v>
      </c>
      <c r="AA153" s="38"/>
      <c r="AB153" s="34"/>
      <c r="AC153" s="34"/>
      <c r="AD153" s="38"/>
      <c r="AE153" s="59" t="str">
        <f t="shared" si="8"/>
        <v>SÍ</v>
      </c>
      <c r="AF153" s="38" t="e" cm="1">
        <f t="array" aca="1" ref="AF153" ca="1">MIN(100, MAX(0, (IF(R153="ESTUDIANTE", 31, 0)) + (IF(I153&lt;=3, 30, IF(I153&lt;=6, 20, 0))) +(IF(OR(E153="413 - Control de Costes y Enlace Construcción", E153="480 - Secretaría General del Consejo", E153="132 - Civil y estructuras", E153="136 - Mecánica", E153="412 - Planificación", E153="142 - Compras"), 25, 0)) +(IF(OR(S153="GRADO ING. MECÁNICA", S153="GRADO ING. ELÉCTRICA", S153="GRADO DERECHO", S153="GRADO ECONOMÍA", S153="GRADO ING. TECNOLOGÍAS INDUSTRIALES"), 24, 0)) + (IF(AND(K153&gt;=451, K153&lt;=700), 23, 0)) + (IF(AND(AB153&gt;=5, AB153&lt;=8), 17, 0)) +(IF(_xludf.OR(_xludf.AND(AC153&gt;=8, AC153&lt;=10), _xludf.AND(AC153&gt;=0, AC153&lt;=5)), 16, 0)) + (IF(F153="Madrid", 11, 0))))</f>
        <v>#NAME?</v>
      </c>
      <c r="AG153" s="68"/>
      <c r="AH153" s="71" t="s">
        <v>164</v>
      </c>
    </row>
    <row r="154" spans="1:34" ht="14.4" x14ac:dyDescent="0.3">
      <c r="A154" s="66" t="s">
        <v>1132</v>
      </c>
      <c r="B154" s="66" t="s">
        <v>3249</v>
      </c>
      <c r="C154" s="33">
        <v>152</v>
      </c>
      <c r="D154" s="33" t="s">
        <v>5398</v>
      </c>
      <c r="E154" s="34" t="s">
        <v>5259</v>
      </c>
      <c r="F154" s="34" t="s">
        <v>18</v>
      </c>
      <c r="G154" s="57">
        <v>40977</v>
      </c>
      <c r="H154" s="57">
        <v>41373</v>
      </c>
      <c r="I154" s="34">
        <f t="shared" si="6"/>
        <v>13</v>
      </c>
      <c r="J154" s="34">
        <v>40</v>
      </c>
      <c r="K154" s="36">
        <v>650</v>
      </c>
      <c r="L154" s="34" t="s">
        <v>17</v>
      </c>
      <c r="M154" s="57">
        <v>34079</v>
      </c>
      <c r="N154" s="37">
        <f>(YEAR(TablaMadre[[#This Row],[ALTA]])-YEAR(M154))</f>
        <v>19</v>
      </c>
      <c r="O154" s="34" t="s">
        <v>18</v>
      </c>
      <c r="P154" s="34" t="s">
        <v>19</v>
      </c>
      <c r="Q154" s="34" t="s">
        <v>129</v>
      </c>
      <c r="R154" s="58" t="s">
        <v>30</v>
      </c>
      <c r="S154" s="34" t="s">
        <v>322</v>
      </c>
      <c r="T154" s="34"/>
      <c r="U154" s="34" t="s">
        <v>30</v>
      </c>
      <c r="V154" s="34" t="s">
        <v>137</v>
      </c>
      <c r="W154" s="34" t="s">
        <v>28</v>
      </c>
      <c r="X154" s="38" t="s">
        <v>164</v>
      </c>
      <c r="Y154" s="62">
        <v>42629</v>
      </c>
      <c r="Z154" s="38">
        <f t="shared" si="7"/>
        <v>3</v>
      </c>
      <c r="AA154" s="38"/>
      <c r="AB154" s="34"/>
      <c r="AC154" s="34"/>
      <c r="AD154" s="38"/>
      <c r="AE154" s="59" t="str">
        <f t="shared" si="8"/>
        <v>NO</v>
      </c>
      <c r="AF154" s="38" t="e" cm="1">
        <f t="array" aca="1" ref="AF154" ca="1">MIN(100, MAX(0, (IF(R154="ESTUDIANTE", 31, 0)) + (IF(I154&lt;=3, 30, IF(I154&lt;=6, 20, 0))) +(IF(OR(E154="413 - Control de Costes y Enlace Construcción", E154="480 - Secretaría General del Consejo", E154="132 - Civil y estructuras", E154="136 - Mecánica", E154="412 - Planificación", E154="142 - Compras"), 25, 0)) +(IF(OR(S154="GRADO ING. MECÁNICA", S154="GRADO ING. ELÉCTRICA", S154="GRADO DERECHO", S154="GRADO ECONOMÍA", S154="GRADO ING. TECNOLOGÍAS INDUSTRIALES"), 24, 0)) + (IF(AND(K154&gt;=451, K154&lt;=700), 23, 0)) + (IF(AND(AB154&gt;=5, AB154&lt;=8), 17, 0)) +(IF(_xludf.OR(_xludf.AND(AC154&gt;=8, AC154&lt;=10), _xludf.AND(AC154&gt;=0, AC154&lt;=5)), 16, 0)) + (IF(F154="Madrid", 11, 0))))</f>
        <v>#NAME?</v>
      </c>
      <c r="AG154" s="68"/>
      <c r="AH154" s="71" t="s">
        <v>164</v>
      </c>
    </row>
    <row r="155" spans="1:34" ht="14.4" x14ac:dyDescent="0.3">
      <c r="A155" s="66" t="s">
        <v>1133</v>
      </c>
      <c r="B155" s="66" t="s">
        <v>3250</v>
      </c>
      <c r="C155" s="33">
        <v>153</v>
      </c>
      <c r="D155" s="33" t="s">
        <v>5399</v>
      </c>
      <c r="E155" s="34" t="s">
        <v>5231</v>
      </c>
      <c r="F155" s="34" t="s">
        <v>18</v>
      </c>
      <c r="G155" s="57">
        <v>40977</v>
      </c>
      <c r="H155" s="57">
        <v>41389</v>
      </c>
      <c r="I155" s="34">
        <f t="shared" si="6"/>
        <v>13</v>
      </c>
      <c r="J155" s="34">
        <v>40</v>
      </c>
      <c r="K155" s="36">
        <v>900</v>
      </c>
      <c r="L155" s="34" t="s">
        <v>17</v>
      </c>
      <c r="M155" s="57">
        <v>33078</v>
      </c>
      <c r="N155" s="37">
        <f>(YEAR(TablaMadre[[#This Row],[ALTA]])-YEAR(M155))</f>
        <v>22</v>
      </c>
      <c r="O155" s="34" t="s">
        <v>153</v>
      </c>
      <c r="P155" s="34" t="s">
        <v>153</v>
      </c>
      <c r="Q155" s="34" t="s">
        <v>184</v>
      </c>
      <c r="R155" s="34" t="s">
        <v>21</v>
      </c>
      <c r="S155" s="34" t="s">
        <v>136</v>
      </c>
      <c r="T155" s="34"/>
      <c r="U155" s="34" t="s">
        <v>30</v>
      </c>
      <c r="V155" s="34" t="s">
        <v>67</v>
      </c>
      <c r="W155" s="34" t="s">
        <v>28</v>
      </c>
      <c r="X155" s="38" t="s">
        <v>173</v>
      </c>
      <c r="Y155" s="62"/>
      <c r="Z155" s="38" t="e">
        <f t="shared" si="7"/>
        <v>#NUM!</v>
      </c>
      <c r="AA155" s="38"/>
      <c r="AB155" s="34"/>
      <c r="AC155" s="34"/>
      <c r="AD155" s="38"/>
      <c r="AE155" s="59" t="str">
        <f t="shared" si="8"/>
        <v>SÍ</v>
      </c>
      <c r="AF155" s="38" t="e" cm="1">
        <f t="array" aca="1" ref="AF155" ca="1">MIN(100, MAX(0, (IF(R155="ESTUDIANTE", 31, 0)) + (IF(I155&lt;=3, 30, IF(I155&lt;=6, 20, 0))) +(IF(OR(E155="413 - Control de Costes y Enlace Construcción", E155="480 - Secretaría General del Consejo", E155="132 - Civil y estructuras", E155="136 - Mecánica", E155="412 - Planificación", E155="142 - Compras"), 25, 0)) +(IF(OR(S155="GRADO ING. MECÁNICA", S155="GRADO ING. ELÉCTRICA", S155="GRADO DERECHO", S155="GRADO ECONOMÍA", S155="GRADO ING. TECNOLOGÍAS INDUSTRIALES"), 24, 0)) + (IF(AND(K155&gt;=451, K155&lt;=700), 23, 0)) + (IF(AND(AB155&gt;=5, AB155&lt;=8), 17, 0)) +(IF(_xludf.OR(_xludf.AND(AC155&gt;=8, AC155&lt;=10), _xludf.AND(AC155&gt;=0, AC155&lt;=5)), 16, 0)) + (IF(F155="Madrid", 11, 0))))</f>
        <v>#NAME?</v>
      </c>
      <c r="AG155" s="68"/>
      <c r="AH155" s="71" t="s">
        <v>164</v>
      </c>
    </row>
    <row r="156" spans="1:34" ht="14.4" x14ac:dyDescent="0.3">
      <c r="A156" s="66" t="s">
        <v>1134</v>
      </c>
      <c r="B156" s="66" t="s">
        <v>3251</v>
      </c>
      <c r="C156" s="33">
        <v>154</v>
      </c>
      <c r="D156" s="33" t="s">
        <v>5400</v>
      </c>
      <c r="E156" s="34" t="s">
        <v>5245</v>
      </c>
      <c r="F156" s="34" t="s">
        <v>18</v>
      </c>
      <c r="G156" s="57">
        <v>40977</v>
      </c>
      <c r="H156" s="57">
        <v>41425</v>
      </c>
      <c r="I156" s="34">
        <f t="shared" si="6"/>
        <v>14</v>
      </c>
      <c r="J156" s="34">
        <v>40</v>
      </c>
      <c r="K156" s="36">
        <v>900</v>
      </c>
      <c r="L156" s="34" t="s">
        <v>29</v>
      </c>
      <c r="M156" s="57">
        <v>33932</v>
      </c>
      <c r="N156" s="37">
        <f>(YEAR(TablaMadre[[#This Row],[ALTA]])-YEAR(M156))</f>
        <v>20</v>
      </c>
      <c r="O156" s="34" t="s">
        <v>18</v>
      </c>
      <c r="P156" s="34" t="s">
        <v>19</v>
      </c>
      <c r="Q156" s="34" t="s">
        <v>194</v>
      </c>
      <c r="R156" s="34" t="s">
        <v>21</v>
      </c>
      <c r="S156" s="34" t="s">
        <v>960</v>
      </c>
      <c r="T156" s="34"/>
      <c r="U156" s="34" t="s">
        <v>42</v>
      </c>
      <c r="V156" s="34" t="s">
        <v>40</v>
      </c>
      <c r="W156" s="34" t="s">
        <v>28</v>
      </c>
      <c r="X156" s="38" t="s">
        <v>164</v>
      </c>
      <c r="Y156" s="62">
        <v>43660</v>
      </c>
      <c r="Z156" s="38">
        <f t="shared" si="7"/>
        <v>6</v>
      </c>
      <c r="AA156" s="38"/>
      <c r="AB156" s="34"/>
      <c r="AC156" s="34"/>
      <c r="AD156" s="38"/>
      <c r="AE156" s="59" t="str">
        <f t="shared" si="8"/>
        <v>NO</v>
      </c>
      <c r="AF156" s="38" t="e" cm="1">
        <f t="array" aca="1" ref="AF156" ca="1">MIN(100, MAX(0, (IF(R156="ESTUDIANTE", 31, 0)) + (IF(I156&lt;=3, 30, IF(I156&lt;=6, 20, 0))) +(IF(OR(E156="413 - Control de Costes y Enlace Construcción", E156="480 - Secretaría General del Consejo", E156="132 - Civil y estructuras", E156="136 - Mecánica", E156="412 - Planificación", E156="142 - Compras"), 25, 0)) +(IF(OR(S156="GRADO ING. MECÁNICA", S156="GRADO ING. ELÉCTRICA", S156="GRADO DERECHO", S156="GRADO ECONOMÍA", S156="GRADO ING. TECNOLOGÍAS INDUSTRIALES"), 24, 0)) + (IF(AND(K156&gt;=451, K156&lt;=700), 23, 0)) + (IF(AND(AB156&gt;=5, AB156&lt;=8), 17, 0)) +(IF(_xludf.OR(_xludf.AND(AC156&gt;=8, AC156&lt;=10), _xludf.AND(AC156&gt;=0, AC156&lt;=5)), 16, 0)) + (IF(F156="Madrid", 11, 0))))</f>
        <v>#NAME?</v>
      </c>
      <c r="AG156" s="68"/>
      <c r="AH156" s="71" t="s">
        <v>164</v>
      </c>
    </row>
    <row r="157" spans="1:34" ht="14.4" x14ac:dyDescent="0.3">
      <c r="A157" s="66" t="s">
        <v>1135</v>
      </c>
      <c r="B157" s="66" t="s">
        <v>3252</v>
      </c>
      <c r="C157" s="33">
        <v>155</v>
      </c>
      <c r="D157" s="33" t="s">
        <v>5401</v>
      </c>
      <c r="E157" s="34" t="s">
        <v>5260</v>
      </c>
      <c r="F157" s="34" t="s">
        <v>18</v>
      </c>
      <c r="G157" s="57">
        <v>40977</v>
      </c>
      <c r="H157" s="57">
        <v>41425</v>
      </c>
      <c r="I157" s="34">
        <f t="shared" si="6"/>
        <v>14</v>
      </c>
      <c r="J157" s="34">
        <v>40</v>
      </c>
      <c r="K157" s="36">
        <v>900</v>
      </c>
      <c r="L157" s="34" t="s">
        <v>17</v>
      </c>
      <c r="M157" s="57">
        <v>34477</v>
      </c>
      <c r="N157" s="37">
        <f>(YEAR(TablaMadre[[#This Row],[ALTA]])-YEAR(M157))</f>
        <v>18</v>
      </c>
      <c r="O157" s="34" t="s">
        <v>68</v>
      </c>
      <c r="P157" s="34" t="s">
        <v>19</v>
      </c>
      <c r="Q157" s="34" t="s">
        <v>85</v>
      </c>
      <c r="R157" s="34" t="s">
        <v>21</v>
      </c>
      <c r="S157" s="34" t="s">
        <v>322</v>
      </c>
      <c r="T157" s="34"/>
      <c r="U157" s="34" t="s">
        <v>30</v>
      </c>
      <c r="V157" s="34" t="s">
        <v>137</v>
      </c>
      <c r="W157" s="34" t="s">
        <v>28</v>
      </c>
      <c r="X157" s="38" t="s">
        <v>173</v>
      </c>
      <c r="Y157" s="62"/>
      <c r="Z157" s="38" t="e">
        <f t="shared" si="7"/>
        <v>#NUM!</v>
      </c>
      <c r="AA157" s="38"/>
      <c r="AB157" s="34"/>
      <c r="AC157" s="34"/>
      <c r="AD157" s="38"/>
      <c r="AE157" s="59" t="str">
        <f t="shared" si="8"/>
        <v>SÍ</v>
      </c>
      <c r="AF157" s="38" t="e" cm="1">
        <f t="array" aca="1" ref="AF157" ca="1">MIN(100, MAX(0, (IF(R157="ESTUDIANTE", 31, 0)) + (IF(I157&lt;=3, 30, IF(I157&lt;=6, 20, 0))) +(IF(OR(E157="413 - Control de Costes y Enlace Construcción", E157="480 - Secretaría General del Consejo", E157="132 - Civil y estructuras", E157="136 - Mecánica", E157="412 - Planificación", E157="142 - Compras"), 25, 0)) +(IF(OR(S157="GRADO ING. MECÁNICA", S157="GRADO ING. ELÉCTRICA", S157="GRADO DERECHO", S157="GRADO ECONOMÍA", S157="GRADO ING. TECNOLOGÍAS INDUSTRIALES"), 24, 0)) + (IF(AND(K157&gt;=451, K157&lt;=700), 23, 0)) + (IF(AND(AB157&gt;=5, AB157&lt;=8), 17, 0)) +(IF(_xludf.OR(_xludf.AND(AC157&gt;=8, AC157&lt;=10), _xludf.AND(AC157&gt;=0, AC157&lt;=5)), 16, 0)) + (IF(F157="Madrid", 11, 0))))</f>
        <v>#NAME?</v>
      </c>
      <c r="AG157" s="68"/>
      <c r="AH157" s="71" t="s">
        <v>164</v>
      </c>
    </row>
    <row r="158" spans="1:34" ht="14.4" x14ac:dyDescent="0.3">
      <c r="A158" s="66" t="s">
        <v>1136</v>
      </c>
      <c r="B158" s="66" t="s">
        <v>3253</v>
      </c>
      <c r="C158" s="33">
        <v>156</v>
      </c>
      <c r="D158" s="33" t="s">
        <v>5402</v>
      </c>
      <c r="E158" s="34" t="s">
        <v>5260</v>
      </c>
      <c r="F158" s="34" t="s">
        <v>18</v>
      </c>
      <c r="G158" s="57">
        <v>40977</v>
      </c>
      <c r="H158" s="57">
        <v>41425</v>
      </c>
      <c r="I158" s="34">
        <f t="shared" si="6"/>
        <v>14</v>
      </c>
      <c r="J158" s="34">
        <v>40</v>
      </c>
      <c r="K158" s="36">
        <v>900</v>
      </c>
      <c r="L158" s="34" t="s">
        <v>29</v>
      </c>
      <c r="M158" s="57">
        <v>32716</v>
      </c>
      <c r="N158" s="37">
        <f>(YEAR(TablaMadre[[#This Row],[ALTA]])-YEAR(M158))</f>
        <v>23</v>
      </c>
      <c r="O158" s="34" t="s">
        <v>18</v>
      </c>
      <c r="P158" s="34" t="s">
        <v>19</v>
      </c>
      <c r="Q158" s="34" t="s">
        <v>85</v>
      </c>
      <c r="R158" s="34" t="s">
        <v>21</v>
      </c>
      <c r="S158" s="34" t="s">
        <v>322</v>
      </c>
      <c r="T158" s="34"/>
      <c r="U158" s="34" t="s">
        <v>30</v>
      </c>
      <c r="V158" s="34" t="s">
        <v>137</v>
      </c>
      <c r="W158" s="34" t="s">
        <v>28</v>
      </c>
      <c r="X158" s="38" t="s">
        <v>164</v>
      </c>
      <c r="Y158" s="62">
        <v>44478</v>
      </c>
      <c r="Z158" s="38">
        <f t="shared" si="7"/>
        <v>8</v>
      </c>
      <c r="AA158" s="38"/>
      <c r="AB158" s="34"/>
      <c r="AC158" s="34"/>
      <c r="AD158" s="38"/>
      <c r="AE158" s="59" t="str">
        <f t="shared" si="8"/>
        <v>NO</v>
      </c>
      <c r="AF158" s="38" t="e" cm="1">
        <f t="array" aca="1" ref="AF158" ca="1">MIN(100, MAX(0, (IF(R158="ESTUDIANTE", 31, 0)) + (IF(I158&lt;=3, 30, IF(I158&lt;=6, 20, 0))) +(IF(OR(E158="413 - Control de Costes y Enlace Construcción", E158="480 - Secretaría General del Consejo", E158="132 - Civil y estructuras", E158="136 - Mecánica", E158="412 - Planificación", E158="142 - Compras"), 25, 0)) +(IF(OR(S158="GRADO ING. MECÁNICA", S158="GRADO ING. ELÉCTRICA", S158="GRADO DERECHO", S158="GRADO ECONOMÍA", S158="GRADO ING. TECNOLOGÍAS INDUSTRIALES"), 24, 0)) + (IF(AND(K158&gt;=451, K158&lt;=700), 23, 0)) + (IF(AND(AB158&gt;=5, AB158&lt;=8), 17, 0)) +(IF(_xludf.OR(_xludf.AND(AC158&gt;=8, AC158&lt;=10), _xludf.AND(AC158&gt;=0, AC158&lt;=5)), 16, 0)) + (IF(F158="Madrid", 11, 0))))</f>
        <v>#NAME?</v>
      </c>
      <c r="AG158" s="68"/>
      <c r="AH158" s="71" t="s">
        <v>164</v>
      </c>
    </row>
    <row r="159" spans="1:34" ht="14.4" x14ac:dyDescent="0.3">
      <c r="A159" s="66" t="s">
        <v>1137</v>
      </c>
      <c r="B159" s="66" t="s">
        <v>3254</v>
      </c>
      <c r="C159" s="33">
        <v>157</v>
      </c>
      <c r="D159" s="33" t="s">
        <v>5393</v>
      </c>
      <c r="E159" s="34" t="s">
        <v>5261</v>
      </c>
      <c r="F159" s="34" t="s">
        <v>18</v>
      </c>
      <c r="G159" s="57">
        <v>40977</v>
      </c>
      <c r="H159" s="57">
        <v>41517</v>
      </c>
      <c r="I159" s="34">
        <f t="shared" si="6"/>
        <v>17</v>
      </c>
      <c r="J159" s="34">
        <v>40</v>
      </c>
      <c r="K159" s="36">
        <v>900</v>
      </c>
      <c r="L159" s="34" t="s">
        <v>17</v>
      </c>
      <c r="M159" s="57">
        <v>33502</v>
      </c>
      <c r="N159" s="37">
        <f>(YEAR(TablaMadre[[#This Row],[ALTA]])-YEAR(M159))</f>
        <v>21</v>
      </c>
      <c r="O159" s="34" t="s">
        <v>118</v>
      </c>
      <c r="P159" s="34" t="s">
        <v>19</v>
      </c>
      <c r="Q159" s="34" t="s">
        <v>85</v>
      </c>
      <c r="R159" s="34" t="s">
        <v>21</v>
      </c>
      <c r="S159" s="34" t="s">
        <v>322</v>
      </c>
      <c r="T159" s="34"/>
      <c r="U159" s="34" t="s">
        <v>30</v>
      </c>
      <c r="V159" s="34" t="s">
        <v>122</v>
      </c>
      <c r="W159" s="34" t="s">
        <v>28</v>
      </c>
      <c r="X159" s="38" t="s">
        <v>173</v>
      </c>
      <c r="Y159" s="62"/>
      <c r="Z159" s="38" t="e">
        <f t="shared" si="7"/>
        <v>#NUM!</v>
      </c>
      <c r="AA159" s="38"/>
      <c r="AB159" s="34"/>
      <c r="AC159" s="34"/>
      <c r="AD159" s="38"/>
      <c r="AE159" s="59" t="str">
        <f t="shared" si="8"/>
        <v>SÍ</v>
      </c>
      <c r="AF159" s="38" t="e" cm="1">
        <f t="array" aca="1" ref="AF159" ca="1">MIN(100, MAX(0, (IF(R159="ESTUDIANTE", 31, 0)) + (IF(I159&lt;=3, 30, IF(I159&lt;=6, 20, 0))) +(IF(OR(E159="413 - Control de Costes y Enlace Construcción", E159="480 - Secretaría General del Consejo", E159="132 - Civil y estructuras", E159="136 - Mecánica", E159="412 - Planificación", E159="142 - Compras"), 25, 0)) +(IF(OR(S159="GRADO ING. MECÁNICA", S159="GRADO ING. ELÉCTRICA", S159="GRADO DERECHO", S159="GRADO ECONOMÍA", S159="GRADO ING. TECNOLOGÍAS INDUSTRIALES"), 24, 0)) + (IF(AND(K159&gt;=451, K159&lt;=700), 23, 0)) + (IF(AND(AB159&gt;=5, AB159&lt;=8), 17, 0)) +(IF(_xludf.OR(_xludf.AND(AC159&gt;=8, AC159&lt;=10), _xludf.AND(AC159&gt;=0, AC159&lt;=5)), 16, 0)) + (IF(F159="Madrid", 11, 0))))</f>
        <v>#NAME?</v>
      </c>
      <c r="AG159" s="68"/>
      <c r="AH159" s="71" t="s">
        <v>164</v>
      </c>
    </row>
    <row r="160" spans="1:34" ht="14.4" x14ac:dyDescent="0.3">
      <c r="A160" s="66" t="s">
        <v>1138</v>
      </c>
      <c r="B160" s="66" t="s">
        <v>3255</v>
      </c>
      <c r="C160" s="33">
        <v>158</v>
      </c>
      <c r="D160" s="33" t="s">
        <v>5394</v>
      </c>
      <c r="E160" s="34" t="s">
        <v>5261</v>
      </c>
      <c r="F160" s="34" t="s">
        <v>18</v>
      </c>
      <c r="G160" s="57">
        <v>40977</v>
      </c>
      <c r="H160" s="57">
        <v>41517</v>
      </c>
      <c r="I160" s="34">
        <f t="shared" si="6"/>
        <v>17</v>
      </c>
      <c r="J160" s="34">
        <v>40</v>
      </c>
      <c r="K160" s="36">
        <v>900</v>
      </c>
      <c r="L160" s="34" t="s">
        <v>29</v>
      </c>
      <c r="M160" s="57">
        <v>32312</v>
      </c>
      <c r="N160" s="37">
        <f>(YEAR(TablaMadre[[#This Row],[ALTA]])-YEAR(M160))</f>
        <v>24</v>
      </c>
      <c r="O160" s="34" t="s">
        <v>293</v>
      </c>
      <c r="P160" s="34" t="s">
        <v>19</v>
      </c>
      <c r="Q160" s="34" t="s">
        <v>85</v>
      </c>
      <c r="R160" s="34" t="s">
        <v>21</v>
      </c>
      <c r="S160" s="34" t="s">
        <v>322</v>
      </c>
      <c r="T160" s="34"/>
      <c r="U160" s="34" t="s">
        <v>30</v>
      </c>
      <c r="V160" s="34" t="s">
        <v>137</v>
      </c>
      <c r="W160" s="34" t="s">
        <v>28</v>
      </c>
      <c r="X160" s="38" t="s">
        <v>173</v>
      </c>
      <c r="Y160" s="62"/>
      <c r="Z160" s="38" t="e">
        <f t="shared" si="7"/>
        <v>#NUM!</v>
      </c>
      <c r="AA160" s="38"/>
      <c r="AB160" s="34"/>
      <c r="AC160" s="34"/>
      <c r="AD160" s="38"/>
      <c r="AE160" s="59" t="str">
        <f t="shared" si="8"/>
        <v>SÍ</v>
      </c>
      <c r="AF160" s="38" t="e" cm="1">
        <f t="array" aca="1" ref="AF160" ca="1">MIN(100, MAX(0, (IF(R160="ESTUDIANTE", 31, 0)) + (IF(I160&lt;=3, 30, IF(I160&lt;=6, 20, 0))) +(IF(OR(E160="413 - Control de Costes y Enlace Construcción", E160="480 - Secretaría General del Consejo", E160="132 - Civil y estructuras", E160="136 - Mecánica", E160="412 - Planificación", E160="142 - Compras"), 25, 0)) +(IF(OR(S160="GRADO ING. MECÁNICA", S160="GRADO ING. ELÉCTRICA", S160="GRADO DERECHO", S160="GRADO ECONOMÍA", S160="GRADO ING. TECNOLOGÍAS INDUSTRIALES"), 24, 0)) + (IF(AND(K160&gt;=451, K160&lt;=700), 23, 0)) + (IF(AND(AB160&gt;=5, AB160&lt;=8), 17, 0)) +(IF(_xludf.OR(_xludf.AND(AC160&gt;=8, AC160&lt;=10), _xludf.AND(AC160&gt;=0, AC160&lt;=5)), 16, 0)) + (IF(F160="Madrid", 11, 0))))</f>
        <v>#NAME?</v>
      </c>
      <c r="AG160" s="68"/>
      <c r="AH160" s="71" t="s">
        <v>164</v>
      </c>
    </row>
    <row r="161" spans="1:34" ht="14.4" x14ac:dyDescent="0.3">
      <c r="A161" s="66" t="s">
        <v>1139</v>
      </c>
      <c r="B161" s="66" t="s">
        <v>3256</v>
      </c>
      <c r="C161" s="33">
        <v>159</v>
      </c>
      <c r="D161" s="33" t="s">
        <v>5395</v>
      </c>
      <c r="E161" s="34" t="s">
        <v>5250</v>
      </c>
      <c r="F161" s="34" t="s">
        <v>18</v>
      </c>
      <c r="G161" s="57">
        <v>40977</v>
      </c>
      <c r="H161" s="57">
        <v>41517</v>
      </c>
      <c r="I161" s="34">
        <f t="shared" si="6"/>
        <v>17</v>
      </c>
      <c r="J161" s="34">
        <v>40</v>
      </c>
      <c r="K161" s="36">
        <v>900</v>
      </c>
      <c r="L161" s="34" t="s">
        <v>17</v>
      </c>
      <c r="M161" s="57">
        <v>34288</v>
      </c>
      <c r="N161" s="37">
        <f>(YEAR(TablaMadre[[#This Row],[ALTA]])-YEAR(M161))</f>
        <v>19</v>
      </c>
      <c r="O161" s="34" t="s">
        <v>18</v>
      </c>
      <c r="P161" s="34" t="s">
        <v>19</v>
      </c>
      <c r="Q161" s="34" t="s">
        <v>63</v>
      </c>
      <c r="R161" s="34" t="s">
        <v>21</v>
      </c>
      <c r="S161" s="34" t="s">
        <v>297</v>
      </c>
      <c r="T161" s="34"/>
      <c r="U161" s="34" t="s">
        <v>30</v>
      </c>
      <c r="V161" s="34" t="s">
        <v>56</v>
      </c>
      <c r="W161" s="34" t="s">
        <v>28</v>
      </c>
      <c r="X161" s="38" t="s">
        <v>164</v>
      </c>
      <c r="Y161" s="62">
        <v>42084</v>
      </c>
      <c r="Z161" s="38">
        <f t="shared" si="7"/>
        <v>1</v>
      </c>
      <c r="AA161" s="38"/>
      <c r="AB161" s="34"/>
      <c r="AC161" s="34"/>
      <c r="AD161" s="38"/>
      <c r="AE161" s="59" t="str">
        <f t="shared" si="8"/>
        <v>NO</v>
      </c>
      <c r="AF161" s="38" t="e" cm="1">
        <f t="array" aca="1" ref="AF161" ca="1">MIN(100, MAX(0, (IF(R161="ESTUDIANTE", 31, 0)) + (IF(I161&lt;=3, 30, IF(I161&lt;=6, 20, 0))) +(IF(OR(E161="413 - Control de Costes y Enlace Construcción", E161="480 - Secretaría General del Consejo", E161="132 - Civil y estructuras", E161="136 - Mecánica", E161="412 - Planificación", E161="142 - Compras"), 25, 0)) +(IF(OR(S161="GRADO ING. MECÁNICA", S161="GRADO ING. ELÉCTRICA", S161="GRADO DERECHO", S161="GRADO ECONOMÍA", S161="GRADO ING. TECNOLOGÍAS INDUSTRIALES"), 24, 0)) + (IF(AND(K161&gt;=451, K161&lt;=700), 23, 0)) + (IF(AND(AB161&gt;=5, AB161&lt;=8), 17, 0)) +(IF(_xludf.OR(_xludf.AND(AC161&gt;=8, AC161&lt;=10), _xludf.AND(AC161&gt;=0, AC161&lt;=5)), 16, 0)) + (IF(F161="Madrid", 11, 0))))</f>
        <v>#NAME?</v>
      </c>
      <c r="AG161" s="68"/>
      <c r="AH161" s="71" t="s">
        <v>164</v>
      </c>
    </row>
    <row r="162" spans="1:34" ht="14.4" x14ac:dyDescent="0.3">
      <c r="A162" s="66" t="s">
        <v>1224</v>
      </c>
      <c r="B162" s="66" t="s">
        <v>3341</v>
      </c>
      <c r="C162" s="33">
        <v>160</v>
      </c>
      <c r="D162" s="33" t="s">
        <v>5396</v>
      </c>
      <c r="E162" s="34" t="s">
        <v>5247</v>
      </c>
      <c r="F162" s="34" t="s">
        <v>18</v>
      </c>
      <c r="G162" s="57">
        <v>40978</v>
      </c>
      <c r="H162" s="57">
        <v>41257</v>
      </c>
      <c r="I162" s="34">
        <f t="shared" si="6"/>
        <v>9</v>
      </c>
      <c r="J162" s="34">
        <v>40</v>
      </c>
      <c r="K162" s="36">
        <v>450</v>
      </c>
      <c r="L162" s="34" t="s">
        <v>29</v>
      </c>
      <c r="M162" s="57">
        <v>32992</v>
      </c>
      <c r="N162" s="37">
        <f>(YEAR(TablaMadre[[#This Row],[ALTA]])-YEAR(M162))</f>
        <v>22</v>
      </c>
      <c r="O162" s="34" t="s">
        <v>18</v>
      </c>
      <c r="P162" s="34" t="s">
        <v>19</v>
      </c>
      <c r="Q162" s="34" t="s">
        <v>106</v>
      </c>
      <c r="R162" s="58" t="s">
        <v>30</v>
      </c>
      <c r="S162" s="34" t="s">
        <v>26</v>
      </c>
      <c r="T162" s="34"/>
      <c r="U162" s="34"/>
      <c r="V162" s="34" t="s">
        <v>27</v>
      </c>
      <c r="W162" s="34" t="s">
        <v>23</v>
      </c>
      <c r="X162" s="38" t="s">
        <v>164</v>
      </c>
      <c r="Y162" s="62"/>
      <c r="Z162" s="62" t="e">
        <f t="shared" si="7"/>
        <v>#NUM!</v>
      </c>
      <c r="AA162" s="62"/>
      <c r="AB162" s="34"/>
      <c r="AC162" s="34"/>
      <c r="AD162" s="38"/>
      <c r="AE162" s="59" t="str">
        <f t="shared" si="8"/>
        <v>NO</v>
      </c>
      <c r="AF162" s="38" t="e" cm="1">
        <f t="array" aca="1" ref="AF162" ca="1">MIN(100, MAX(0, (IF(R162="ESTUDIANTE", 31, 0)) + (IF(I162&lt;=3, 30, IF(I162&lt;=6, 20, 0))) +(IF(OR(E162="413 - Control de Costes y Enlace Construcción", E162="480 - Secretaría General del Consejo", E162="132 - Civil y estructuras", E162="136 - Mecánica", E162="412 - Planificación", E162="142 - Compras"), 25, 0)) +(IF(OR(S162="GRADO ING. MECÁNICA", S162="GRADO ING. ELÉCTRICA", S162="GRADO DERECHO", S162="GRADO ECONOMÍA", S162="GRADO ING. TECNOLOGÍAS INDUSTRIALES"), 24, 0)) + (IF(AND(K162&gt;=451, K162&lt;=700), 23, 0)) + (IF(AND(AB162&gt;=5, AB162&lt;=8), 17, 0)) +(IF(_xludf.OR(_xludf.AND(AC162&gt;=8, AC162&lt;=10), _xludf.AND(AC162&gt;=0, AC162&lt;=5)), 16, 0)) + (IF(F162="Madrid", 11, 0))))</f>
        <v>#NAME?</v>
      </c>
      <c r="AG162" s="68"/>
      <c r="AH162" s="71" t="s">
        <v>164</v>
      </c>
    </row>
    <row r="163" spans="1:34" ht="14.4" x14ac:dyDescent="0.3">
      <c r="A163" s="66" t="s">
        <v>1141</v>
      </c>
      <c r="B163" s="66" t="s">
        <v>3258</v>
      </c>
      <c r="C163" s="33">
        <v>161</v>
      </c>
      <c r="D163" s="33" t="s">
        <v>5397</v>
      </c>
      <c r="E163" s="34" t="s">
        <v>5218</v>
      </c>
      <c r="F163" s="34" t="s">
        <v>18</v>
      </c>
      <c r="G163" s="57">
        <v>40983</v>
      </c>
      <c r="H163" s="57">
        <v>41347</v>
      </c>
      <c r="I163" s="34">
        <f t="shared" si="6"/>
        <v>11</v>
      </c>
      <c r="J163" s="34">
        <v>40</v>
      </c>
      <c r="K163" s="36">
        <v>900</v>
      </c>
      <c r="L163" s="34" t="s">
        <v>17</v>
      </c>
      <c r="M163" s="57">
        <v>32410</v>
      </c>
      <c r="N163" s="37">
        <f>(YEAR(TablaMadre[[#This Row],[ALTA]])-YEAR(M163))</f>
        <v>24</v>
      </c>
      <c r="O163" s="34" t="s">
        <v>100</v>
      </c>
      <c r="P163" s="34" t="s">
        <v>19</v>
      </c>
      <c r="Q163" s="34" t="s">
        <v>20</v>
      </c>
      <c r="R163" s="34" t="s">
        <v>21</v>
      </c>
      <c r="S163" s="34" t="s">
        <v>151</v>
      </c>
      <c r="T163" s="34"/>
      <c r="U163" s="34"/>
      <c r="V163" s="34" t="s">
        <v>22</v>
      </c>
      <c r="W163" s="34" t="s">
        <v>28</v>
      </c>
      <c r="X163" s="38" t="s">
        <v>164</v>
      </c>
      <c r="Y163" s="62">
        <v>44326</v>
      </c>
      <c r="Z163" s="38">
        <f t="shared" si="7"/>
        <v>8</v>
      </c>
      <c r="AA163" s="38"/>
      <c r="AB163" s="34"/>
      <c r="AC163" s="34"/>
      <c r="AD163" s="38"/>
      <c r="AE163" s="59" t="str">
        <f t="shared" si="8"/>
        <v>SÍ</v>
      </c>
      <c r="AF163" s="38" t="e" cm="1">
        <f t="array" aca="1" ref="AF163" ca="1">MIN(100, MAX(0, (IF(R163="ESTUDIANTE", 31, 0)) + (IF(I163&lt;=3, 30, IF(I163&lt;=6, 20, 0))) +(IF(OR(E163="413 - Control de Costes y Enlace Construcción", E163="480 - Secretaría General del Consejo", E163="132 - Civil y estructuras", E163="136 - Mecánica", E163="412 - Planificación", E163="142 - Compras"), 25, 0)) +(IF(OR(S163="GRADO ING. MECÁNICA", S163="GRADO ING. ELÉCTRICA", S163="GRADO DERECHO", S163="GRADO ECONOMÍA", S163="GRADO ING. TECNOLOGÍAS INDUSTRIALES"), 24, 0)) + (IF(AND(K163&gt;=451, K163&lt;=700), 23, 0)) + (IF(AND(AB163&gt;=5, AB163&lt;=8), 17, 0)) +(IF(_xludf.OR(_xludf.AND(AC163&gt;=8, AC163&lt;=10), _xludf.AND(AC163&gt;=0, AC163&lt;=5)), 16, 0)) + (IF(F163="Madrid", 11, 0))))</f>
        <v>#NAME?</v>
      </c>
      <c r="AG163" s="68"/>
      <c r="AH163" s="71" t="s">
        <v>164</v>
      </c>
    </row>
    <row r="164" spans="1:34" ht="14.4" x14ac:dyDescent="0.3">
      <c r="A164" s="66" t="s">
        <v>1143</v>
      </c>
      <c r="B164" s="66" t="s">
        <v>3260</v>
      </c>
      <c r="C164" s="33">
        <v>163</v>
      </c>
      <c r="D164" s="33" t="s">
        <v>5398</v>
      </c>
      <c r="E164" s="34" t="s">
        <v>5231</v>
      </c>
      <c r="F164" s="34" t="s">
        <v>18</v>
      </c>
      <c r="G164" s="57">
        <v>40988</v>
      </c>
      <c r="H164" s="57">
        <v>41357</v>
      </c>
      <c r="I164" s="34">
        <f t="shared" si="6"/>
        <v>12</v>
      </c>
      <c r="J164" s="34">
        <v>40</v>
      </c>
      <c r="K164" s="36">
        <v>650</v>
      </c>
      <c r="L164" s="34" t="s">
        <v>29</v>
      </c>
      <c r="M164" s="57">
        <v>31582</v>
      </c>
      <c r="N164" s="37">
        <f>(YEAR(TablaMadre[[#This Row],[ALTA]])-YEAR(M164))</f>
        <v>26</v>
      </c>
      <c r="O164" s="34" t="s">
        <v>18</v>
      </c>
      <c r="P164" s="34" t="s">
        <v>19</v>
      </c>
      <c r="Q164" s="34" t="s">
        <v>36</v>
      </c>
      <c r="R164" s="58" t="s">
        <v>30</v>
      </c>
      <c r="S164" s="34" t="s">
        <v>307</v>
      </c>
      <c r="T164" s="34"/>
      <c r="U164" s="34" t="s">
        <v>30</v>
      </c>
      <c r="V164" s="34" t="s">
        <v>22</v>
      </c>
      <c r="W164" s="34" t="s">
        <v>28</v>
      </c>
      <c r="X164" s="38" t="s">
        <v>164</v>
      </c>
      <c r="Y164" s="62">
        <v>42819</v>
      </c>
      <c r="Z164" s="38">
        <f t="shared" si="7"/>
        <v>4</v>
      </c>
      <c r="AA164" s="38"/>
      <c r="AB164" s="34"/>
      <c r="AC164" s="34"/>
      <c r="AD164" s="38"/>
      <c r="AE164" s="59" t="str">
        <f t="shared" si="8"/>
        <v>NO</v>
      </c>
      <c r="AF164" s="38" t="e" cm="1">
        <f t="array" aca="1" ref="AF164" ca="1">MIN(100, MAX(0, (IF(R164="ESTUDIANTE", 31, 0)) + (IF(I164&lt;=3, 30, IF(I164&lt;=6, 20, 0))) +(IF(OR(E164="413 - Control de Costes y Enlace Construcción", E164="480 - Secretaría General del Consejo", E164="132 - Civil y estructuras", E164="136 - Mecánica", E164="412 - Planificación", E164="142 - Compras"), 25, 0)) +(IF(OR(S164="GRADO ING. MECÁNICA", S164="GRADO ING. ELÉCTRICA", S164="GRADO DERECHO", S164="GRADO ECONOMÍA", S164="GRADO ING. TECNOLOGÍAS INDUSTRIALES"), 24, 0)) + (IF(AND(K164&gt;=451, K164&lt;=700), 23, 0)) + (IF(AND(AB164&gt;=5, AB164&lt;=8), 17, 0)) +(IF(_xludf.OR(_xludf.AND(AC164&gt;=8, AC164&lt;=10), _xludf.AND(AC164&gt;=0, AC164&lt;=5)), 16, 0)) + (IF(F164="Madrid", 11, 0))))</f>
        <v>#NAME?</v>
      </c>
      <c r="AG164" s="68"/>
      <c r="AH164" s="71" t="s">
        <v>164</v>
      </c>
    </row>
    <row r="165" spans="1:34" ht="14.4" x14ac:dyDescent="0.3">
      <c r="A165" s="66" t="s">
        <v>1144</v>
      </c>
      <c r="B165" s="66" t="s">
        <v>3261</v>
      </c>
      <c r="C165" s="33">
        <v>164</v>
      </c>
      <c r="D165" s="33" t="s">
        <v>5399</v>
      </c>
      <c r="E165" s="34" t="s">
        <v>5222</v>
      </c>
      <c r="F165" s="34" t="s">
        <v>18</v>
      </c>
      <c r="G165" s="57">
        <v>40988</v>
      </c>
      <c r="H165" s="57">
        <v>41435</v>
      </c>
      <c r="I165" s="34">
        <f t="shared" si="6"/>
        <v>14</v>
      </c>
      <c r="J165" s="34">
        <v>40</v>
      </c>
      <c r="K165" s="36">
        <v>700</v>
      </c>
      <c r="L165" s="34" t="s">
        <v>17</v>
      </c>
      <c r="M165" s="57">
        <v>33807</v>
      </c>
      <c r="N165" s="37">
        <f>(YEAR(TablaMadre[[#This Row],[ALTA]])-YEAR(M165))</f>
        <v>20</v>
      </c>
      <c r="O165" s="34" t="s">
        <v>18</v>
      </c>
      <c r="P165" s="34" t="s">
        <v>19</v>
      </c>
      <c r="Q165" s="34" t="s">
        <v>43</v>
      </c>
      <c r="R165" s="58" t="s">
        <v>30</v>
      </c>
      <c r="S165" s="34" t="s">
        <v>26</v>
      </c>
      <c r="T165" s="34"/>
      <c r="U165" s="34" t="s">
        <v>30</v>
      </c>
      <c r="V165" s="34" t="s">
        <v>27</v>
      </c>
      <c r="W165" s="34" t="s">
        <v>28</v>
      </c>
      <c r="X165" s="38" t="s">
        <v>164</v>
      </c>
      <c r="Y165" s="62">
        <v>42896</v>
      </c>
      <c r="Z165" s="38">
        <f t="shared" si="7"/>
        <v>4</v>
      </c>
      <c r="AA165" s="38"/>
      <c r="AB165" s="34"/>
      <c r="AC165" s="34"/>
      <c r="AD165" s="38"/>
      <c r="AE165" s="59" t="str">
        <f t="shared" si="8"/>
        <v>NO</v>
      </c>
      <c r="AF165" s="38" t="e" cm="1">
        <f t="array" aca="1" ref="AF165" ca="1">MIN(100, MAX(0, (IF(R165="ESTUDIANTE", 31, 0)) + (IF(I165&lt;=3, 30, IF(I165&lt;=6, 20, 0))) +(IF(OR(E165="413 - Control de Costes y Enlace Construcción", E165="480 - Secretaría General del Consejo", E165="132 - Civil y estructuras", E165="136 - Mecánica", E165="412 - Planificación", E165="142 - Compras"), 25, 0)) +(IF(OR(S165="GRADO ING. MECÁNICA", S165="GRADO ING. ELÉCTRICA", S165="GRADO DERECHO", S165="GRADO ECONOMÍA", S165="GRADO ING. TECNOLOGÍAS INDUSTRIALES"), 24, 0)) + (IF(AND(K165&gt;=451, K165&lt;=700), 23, 0)) + (IF(AND(AB165&gt;=5, AB165&lt;=8), 17, 0)) +(IF(_xludf.OR(_xludf.AND(AC165&gt;=8, AC165&lt;=10), _xludf.AND(AC165&gt;=0, AC165&lt;=5)), 16, 0)) + (IF(F165="Madrid", 11, 0))))</f>
        <v>#NAME?</v>
      </c>
      <c r="AG165" s="68"/>
      <c r="AH165" s="71" t="s">
        <v>164</v>
      </c>
    </row>
    <row r="166" spans="1:34" ht="14.4" x14ac:dyDescent="0.3">
      <c r="A166" s="66" t="s">
        <v>1145</v>
      </c>
      <c r="B166" s="66" t="s">
        <v>3262</v>
      </c>
      <c r="C166" s="33">
        <v>165</v>
      </c>
      <c r="D166" s="33" t="s">
        <v>5400</v>
      </c>
      <c r="E166" s="34" t="s">
        <v>5222</v>
      </c>
      <c r="F166" s="34" t="s">
        <v>18</v>
      </c>
      <c r="G166" s="57">
        <v>40988</v>
      </c>
      <c r="H166" s="57">
        <v>41435</v>
      </c>
      <c r="I166" s="34">
        <f t="shared" si="6"/>
        <v>14</v>
      </c>
      <c r="J166" s="34">
        <v>40</v>
      </c>
      <c r="K166" s="36">
        <v>700</v>
      </c>
      <c r="L166" s="34" t="s">
        <v>17</v>
      </c>
      <c r="M166" s="57">
        <v>31914</v>
      </c>
      <c r="N166" s="37">
        <f>(YEAR(TablaMadre[[#This Row],[ALTA]])-YEAR(M166))</f>
        <v>25</v>
      </c>
      <c r="O166" s="34" t="s">
        <v>18</v>
      </c>
      <c r="P166" s="34" t="s">
        <v>19</v>
      </c>
      <c r="Q166" s="34" t="s">
        <v>43</v>
      </c>
      <c r="R166" s="58" t="s">
        <v>30</v>
      </c>
      <c r="S166" s="34" t="s">
        <v>26</v>
      </c>
      <c r="T166" s="34"/>
      <c r="U166" s="34" t="s">
        <v>30</v>
      </c>
      <c r="V166" s="34" t="s">
        <v>27</v>
      </c>
      <c r="W166" s="34" t="s">
        <v>28</v>
      </c>
      <c r="X166" s="38" t="s">
        <v>164</v>
      </c>
      <c r="Y166" s="62">
        <v>42461</v>
      </c>
      <c r="Z166" s="38">
        <f t="shared" si="7"/>
        <v>2</v>
      </c>
      <c r="AA166" s="38"/>
      <c r="AB166" s="34"/>
      <c r="AC166" s="34"/>
      <c r="AD166" s="38"/>
      <c r="AE166" s="59" t="str">
        <f t="shared" si="8"/>
        <v>NO</v>
      </c>
      <c r="AF166" s="38" t="e" cm="1">
        <f t="array" aca="1" ref="AF166" ca="1">MIN(100, MAX(0, (IF(R166="ESTUDIANTE", 31, 0)) + (IF(I166&lt;=3, 30, IF(I166&lt;=6, 20, 0))) +(IF(OR(E166="413 - Control de Costes y Enlace Construcción", E166="480 - Secretaría General del Consejo", E166="132 - Civil y estructuras", E166="136 - Mecánica", E166="412 - Planificación", E166="142 - Compras"), 25, 0)) +(IF(OR(S166="GRADO ING. MECÁNICA", S166="GRADO ING. ELÉCTRICA", S166="GRADO DERECHO", S166="GRADO ECONOMÍA", S166="GRADO ING. TECNOLOGÍAS INDUSTRIALES"), 24, 0)) + (IF(AND(K166&gt;=451, K166&lt;=700), 23, 0)) + (IF(AND(AB166&gt;=5, AB166&lt;=8), 17, 0)) +(IF(_xludf.OR(_xludf.AND(AC166&gt;=8, AC166&lt;=10), _xludf.AND(AC166&gt;=0, AC166&lt;=5)), 16, 0)) + (IF(F166="Madrid", 11, 0))))</f>
        <v>#NAME?</v>
      </c>
      <c r="AG166" s="68"/>
      <c r="AH166" s="71" t="s">
        <v>164</v>
      </c>
    </row>
    <row r="167" spans="1:34" ht="14.4" x14ac:dyDescent="0.3">
      <c r="A167" s="66" t="s">
        <v>1147</v>
      </c>
      <c r="B167" s="66" t="s">
        <v>3264</v>
      </c>
      <c r="C167" s="33">
        <v>167</v>
      </c>
      <c r="D167" s="33" t="s">
        <v>5401</v>
      </c>
      <c r="E167" s="34" t="s">
        <v>5231</v>
      </c>
      <c r="F167" s="34" t="s">
        <v>18</v>
      </c>
      <c r="G167" s="57">
        <v>40988</v>
      </c>
      <c r="H167" s="57">
        <v>41448</v>
      </c>
      <c r="I167" s="34">
        <f t="shared" si="6"/>
        <v>15</v>
      </c>
      <c r="J167" s="34">
        <v>40</v>
      </c>
      <c r="K167" s="36">
        <v>700</v>
      </c>
      <c r="L167" s="34" t="s">
        <v>17</v>
      </c>
      <c r="M167" s="57">
        <v>33478</v>
      </c>
      <c r="N167" s="37">
        <f>(YEAR(TablaMadre[[#This Row],[ALTA]])-YEAR(M167))</f>
        <v>21</v>
      </c>
      <c r="O167" s="34" t="s">
        <v>18</v>
      </c>
      <c r="P167" s="34" t="s">
        <v>19</v>
      </c>
      <c r="Q167" s="34" t="s">
        <v>198</v>
      </c>
      <c r="R167" s="58" t="s">
        <v>30</v>
      </c>
      <c r="S167" s="34" t="s">
        <v>26</v>
      </c>
      <c r="T167" s="34"/>
      <c r="U167" s="34" t="s">
        <v>30</v>
      </c>
      <c r="V167" s="34" t="s">
        <v>27</v>
      </c>
      <c r="W167" s="34" t="s">
        <v>28</v>
      </c>
      <c r="X167" s="38" t="s">
        <v>164</v>
      </c>
      <c r="Y167" s="62">
        <v>42545</v>
      </c>
      <c r="Z167" s="38">
        <f t="shared" si="7"/>
        <v>3</v>
      </c>
      <c r="AA167" s="38"/>
      <c r="AB167" s="34"/>
      <c r="AC167" s="34"/>
      <c r="AD167" s="38"/>
      <c r="AE167" s="59" t="str">
        <f t="shared" si="8"/>
        <v>NO</v>
      </c>
      <c r="AF167" s="38" t="e" cm="1">
        <f t="array" aca="1" ref="AF167" ca="1">MIN(100, MAX(0, (IF(R167="ESTUDIANTE", 31, 0)) + (IF(I167&lt;=3, 30, IF(I167&lt;=6, 20, 0))) +(IF(OR(E167="413 - Control de Costes y Enlace Construcción", E167="480 - Secretaría General del Consejo", E167="132 - Civil y estructuras", E167="136 - Mecánica", E167="412 - Planificación", E167="142 - Compras"), 25, 0)) +(IF(OR(S167="GRADO ING. MECÁNICA", S167="GRADO ING. ELÉCTRICA", S167="GRADO DERECHO", S167="GRADO ECONOMÍA", S167="GRADO ING. TECNOLOGÍAS INDUSTRIALES"), 24, 0)) + (IF(AND(K167&gt;=451, K167&lt;=700), 23, 0)) + (IF(AND(AB167&gt;=5, AB167&lt;=8), 17, 0)) +(IF(_xludf.OR(_xludf.AND(AC167&gt;=8, AC167&lt;=10), _xludf.AND(AC167&gt;=0, AC167&lt;=5)), 16, 0)) + (IF(F167="Madrid", 11, 0))))</f>
        <v>#NAME?</v>
      </c>
      <c r="AG167" s="68"/>
      <c r="AH167" s="71" t="s">
        <v>164</v>
      </c>
    </row>
    <row r="168" spans="1:34" ht="14.4" x14ac:dyDescent="0.3">
      <c r="A168" s="66" t="s">
        <v>1155</v>
      </c>
      <c r="B168" s="66" t="s">
        <v>3272</v>
      </c>
      <c r="C168" s="33">
        <v>166</v>
      </c>
      <c r="D168" s="33" t="s">
        <v>5402</v>
      </c>
      <c r="E168" s="34" t="s">
        <v>5231</v>
      </c>
      <c r="F168" s="34" t="s">
        <v>18</v>
      </c>
      <c r="G168" s="57">
        <v>40988</v>
      </c>
      <c r="H168" s="57">
        <v>41436</v>
      </c>
      <c r="I168" s="34">
        <f t="shared" si="6"/>
        <v>14</v>
      </c>
      <c r="J168" s="34">
        <v>40</v>
      </c>
      <c r="K168" s="36">
        <v>700</v>
      </c>
      <c r="L168" s="34" t="s">
        <v>29</v>
      </c>
      <c r="M168" s="57">
        <v>34229</v>
      </c>
      <c r="N168" s="37">
        <f>(YEAR(TablaMadre[[#This Row],[ALTA]])-YEAR(M168))</f>
        <v>19</v>
      </c>
      <c r="O168" s="34" t="s">
        <v>197</v>
      </c>
      <c r="P168" s="34" t="s">
        <v>197</v>
      </c>
      <c r="Q168" s="34" t="s">
        <v>198</v>
      </c>
      <c r="R168" s="58" t="s">
        <v>30</v>
      </c>
      <c r="S168" s="34" t="s">
        <v>26</v>
      </c>
      <c r="T168" s="34"/>
      <c r="U168" s="34" t="s">
        <v>30</v>
      </c>
      <c r="V168" s="34" t="s">
        <v>27</v>
      </c>
      <c r="W168" s="34" t="s">
        <v>23</v>
      </c>
      <c r="X168" s="38" t="s">
        <v>164</v>
      </c>
      <c r="Y168" s="62"/>
      <c r="Z168" s="62" t="e">
        <f t="shared" si="7"/>
        <v>#NUM!</v>
      </c>
      <c r="AA168" s="62"/>
      <c r="AB168" s="34"/>
      <c r="AC168" s="34"/>
      <c r="AD168" s="38"/>
      <c r="AE168" s="59" t="str">
        <f t="shared" si="8"/>
        <v>SÍ</v>
      </c>
      <c r="AF168" s="38" t="e" cm="1">
        <f t="array" aca="1" ref="AF168" ca="1">MIN(100, MAX(0, (IF(R168="ESTUDIANTE", 31, 0)) + (IF(I168&lt;=3, 30, IF(I168&lt;=6, 20, 0))) +(IF(OR(E168="413 - Control de Costes y Enlace Construcción", E168="480 - Secretaría General del Consejo", E168="132 - Civil y estructuras", E168="136 - Mecánica", E168="412 - Planificación", E168="142 - Compras"), 25, 0)) +(IF(OR(S168="GRADO ING. MECÁNICA", S168="GRADO ING. ELÉCTRICA", S168="GRADO DERECHO", S168="GRADO ECONOMÍA", S168="GRADO ING. TECNOLOGÍAS INDUSTRIALES"), 24, 0)) + (IF(AND(K168&gt;=451, K168&lt;=700), 23, 0)) + (IF(AND(AB168&gt;=5, AB168&lt;=8), 17, 0)) +(IF(_xludf.OR(_xludf.AND(AC168&gt;=8, AC168&lt;=10), _xludf.AND(AC168&gt;=0, AC168&lt;=5)), 16, 0)) + (IF(F168="Madrid", 11, 0))))</f>
        <v>#NAME?</v>
      </c>
      <c r="AG168" s="68"/>
      <c r="AH168" s="71" t="s">
        <v>164</v>
      </c>
    </row>
    <row r="169" spans="1:34" ht="14.4" x14ac:dyDescent="0.3">
      <c r="A169" s="66" t="s">
        <v>1158</v>
      </c>
      <c r="B169" s="66" t="s">
        <v>3275</v>
      </c>
      <c r="C169" s="33">
        <v>162</v>
      </c>
      <c r="D169" s="33" t="s">
        <v>5393</v>
      </c>
      <c r="E169" s="34" t="s">
        <v>5222</v>
      </c>
      <c r="F169" s="34" t="s">
        <v>18</v>
      </c>
      <c r="G169" s="57">
        <v>40988</v>
      </c>
      <c r="H169" s="57">
        <v>41068</v>
      </c>
      <c r="I169" s="34">
        <f t="shared" si="6"/>
        <v>2</v>
      </c>
      <c r="J169" s="34">
        <v>40</v>
      </c>
      <c r="K169" s="36">
        <v>450</v>
      </c>
      <c r="L169" s="34" t="s">
        <v>17</v>
      </c>
      <c r="M169" s="57">
        <v>31880</v>
      </c>
      <c r="N169" s="37">
        <f>(YEAR(TablaMadre[[#This Row],[ALTA]])-YEAR(M169))</f>
        <v>25</v>
      </c>
      <c r="O169" s="34" t="s">
        <v>18</v>
      </c>
      <c r="P169" s="34" t="s">
        <v>19</v>
      </c>
      <c r="Q169" s="34" t="s">
        <v>43</v>
      </c>
      <c r="R169" s="58" t="s">
        <v>30</v>
      </c>
      <c r="S169" s="34" t="s">
        <v>26</v>
      </c>
      <c r="T169" s="34"/>
      <c r="U169" s="34" t="s">
        <v>30</v>
      </c>
      <c r="V169" s="34" t="s">
        <v>27</v>
      </c>
      <c r="W169" s="34" t="s">
        <v>91</v>
      </c>
      <c r="X169" s="38" t="s">
        <v>164</v>
      </c>
      <c r="Y169" s="62"/>
      <c r="Z169" s="62" t="e">
        <f t="shared" si="7"/>
        <v>#NUM!</v>
      </c>
      <c r="AA169" s="62"/>
      <c r="AB169" s="34" t="s">
        <v>53</v>
      </c>
      <c r="AC169" s="34" t="s">
        <v>24</v>
      </c>
      <c r="AD169" s="38"/>
      <c r="AE169" s="59" t="str">
        <f t="shared" si="8"/>
        <v>NO</v>
      </c>
      <c r="AF169" s="38" t="e" cm="1">
        <f t="array" aca="1" ref="AF169" ca="1">MIN(100, MAX(0, (IF(R169="ESTUDIANTE", 31, 0)) + (IF(I169&lt;=3, 30, IF(I169&lt;=6, 20, 0))) +(IF(OR(E169="413 - Control de Costes y Enlace Construcción", E169="480 - Secretaría General del Consejo", E169="132 - Civil y estructuras", E169="136 - Mecánica", E169="412 - Planificación", E169="142 - Compras"), 25, 0)) +(IF(OR(S169="GRADO ING. MECÁNICA", S169="GRADO ING. ELÉCTRICA", S169="GRADO DERECHO", S169="GRADO ECONOMÍA", S169="GRADO ING. TECNOLOGÍAS INDUSTRIALES"), 24, 0)) + (IF(AND(K169&gt;=451, K169&lt;=700), 23, 0)) + (IF(AND(AB169&gt;=5, AB169&lt;=8), 17, 0)) +(IF(_xludf.OR(_xludf.AND(AC169&gt;=8, AC169&lt;=10), _xludf.AND(AC169&gt;=0, AC169&lt;=5)), 16, 0)) + (IF(F169="Madrid", 11, 0))))</f>
        <v>#NAME?</v>
      </c>
      <c r="AG169" s="68"/>
      <c r="AH169" s="71" t="s">
        <v>164</v>
      </c>
    </row>
    <row r="170" spans="1:34" ht="14.4" x14ac:dyDescent="0.3">
      <c r="A170" s="66" t="s">
        <v>1171</v>
      </c>
      <c r="B170" s="66" t="s">
        <v>3288</v>
      </c>
      <c r="C170" s="33">
        <v>168</v>
      </c>
      <c r="D170" s="33" t="s">
        <v>5394</v>
      </c>
      <c r="E170" s="34" t="s">
        <v>5225</v>
      </c>
      <c r="F170" s="34" t="s">
        <v>18</v>
      </c>
      <c r="G170" s="57">
        <v>40994</v>
      </c>
      <c r="H170" s="57">
        <v>41074</v>
      </c>
      <c r="I170" s="34">
        <f t="shared" si="6"/>
        <v>2</v>
      </c>
      <c r="J170" s="34">
        <v>40</v>
      </c>
      <c r="K170" s="36">
        <v>450</v>
      </c>
      <c r="L170" s="34" t="s">
        <v>29</v>
      </c>
      <c r="M170" s="57">
        <v>26740</v>
      </c>
      <c r="N170" s="37">
        <f>(YEAR(TablaMadre[[#This Row],[ALTA]])-YEAR(M170))</f>
        <v>39</v>
      </c>
      <c r="O170" s="34" t="s">
        <v>18</v>
      </c>
      <c r="P170" s="34" t="s">
        <v>19</v>
      </c>
      <c r="Q170" s="34" t="s">
        <v>25</v>
      </c>
      <c r="R170" s="34" t="s">
        <v>30</v>
      </c>
      <c r="S170" s="34" t="s">
        <v>26</v>
      </c>
      <c r="T170" s="34" t="s">
        <v>806</v>
      </c>
      <c r="U170" s="34" t="s">
        <v>16</v>
      </c>
      <c r="V170" s="34" t="s">
        <v>27</v>
      </c>
      <c r="W170" s="34" t="s">
        <v>23</v>
      </c>
      <c r="X170" s="38" t="s">
        <v>164</v>
      </c>
      <c r="Y170" s="62"/>
      <c r="Z170" s="62" t="e">
        <f t="shared" si="7"/>
        <v>#NUM!</v>
      </c>
      <c r="AA170" s="62"/>
      <c r="AB170" s="34" t="s">
        <v>53</v>
      </c>
      <c r="AC170" s="34" t="s">
        <v>24</v>
      </c>
      <c r="AD170" s="38"/>
      <c r="AE170" s="59" t="str">
        <f t="shared" si="8"/>
        <v>NO</v>
      </c>
      <c r="AF170" s="38" t="e" cm="1">
        <f t="array" aca="1" ref="AF170" ca="1">MIN(100, MAX(0, (IF(R170="ESTUDIANTE", 31, 0)) + (IF(I170&lt;=3, 30, IF(I170&lt;=6, 20, 0))) +(IF(OR(E170="413 - Control de Costes y Enlace Construcción", E170="480 - Secretaría General del Consejo", E170="132 - Civil y estructuras", E170="136 - Mecánica", E170="412 - Planificación", E170="142 - Compras"), 25, 0)) +(IF(OR(S170="GRADO ING. MECÁNICA", S170="GRADO ING. ELÉCTRICA", S170="GRADO DERECHO", S170="GRADO ECONOMÍA", S170="GRADO ING. TECNOLOGÍAS INDUSTRIALES"), 24, 0)) + (IF(AND(K170&gt;=451, K170&lt;=700), 23, 0)) + (IF(AND(AB170&gt;=5, AB170&lt;=8), 17, 0)) +(IF(_xludf.OR(_xludf.AND(AC170&gt;=8, AC170&lt;=10), _xludf.AND(AC170&gt;=0, AC170&lt;=5)), 16, 0)) + (IF(F170="Madrid", 11, 0))))</f>
        <v>#NAME?</v>
      </c>
      <c r="AG170" s="68"/>
      <c r="AH170" s="71" t="s">
        <v>164</v>
      </c>
    </row>
    <row r="171" spans="1:34" ht="14.4" x14ac:dyDescent="0.3">
      <c r="A171" s="66" t="s">
        <v>1151</v>
      </c>
      <c r="B171" s="66" t="s">
        <v>3268</v>
      </c>
      <c r="C171" s="33">
        <v>171</v>
      </c>
      <c r="D171" s="33" t="s">
        <v>5395</v>
      </c>
      <c r="E171" s="34" t="s">
        <v>5218</v>
      </c>
      <c r="F171" s="34" t="s">
        <v>18</v>
      </c>
      <c r="G171" s="57">
        <v>41005</v>
      </c>
      <c r="H171" s="57">
        <v>41243</v>
      </c>
      <c r="I171" s="34">
        <f t="shared" si="6"/>
        <v>7</v>
      </c>
      <c r="J171" s="34">
        <v>40</v>
      </c>
      <c r="K171" s="36">
        <v>900</v>
      </c>
      <c r="L171" s="34" t="s">
        <v>17</v>
      </c>
      <c r="M171" s="57">
        <v>35270</v>
      </c>
      <c r="N171" s="37">
        <f>(YEAR(TablaMadre[[#This Row],[ALTA]])-YEAR(M171))</f>
        <v>16</v>
      </c>
      <c r="O171" s="34" t="s">
        <v>18</v>
      </c>
      <c r="P171" s="34" t="s">
        <v>19</v>
      </c>
      <c r="Q171" s="34" t="s">
        <v>20</v>
      </c>
      <c r="R171" s="34" t="s">
        <v>21</v>
      </c>
      <c r="S171" s="34" t="s">
        <v>151</v>
      </c>
      <c r="T171" s="34"/>
      <c r="U171" s="34" t="s">
        <v>30</v>
      </c>
      <c r="V171" s="34" t="s">
        <v>22</v>
      </c>
      <c r="W171" s="34" t="s">
        <v>28</v>
      </c>
      <c r="X171" s="38" t="s">
        <v>164</v>
      </c>
      <c r="Y171" s="62">
        <v>43519</v>
      </c>
      <c r="Z171" s="38">
        <f t="shared" si="7"/>
        <v>6</v>
      </c>
      <c r="AA171" s="38"/>
      <c r="AB171" s="34"/>
      <c r="AC171" s="34"/>
      <c r="AD171" s="38"/>
      <c r="AE171" s="59" t="str">
        <f t="shared" si="8"/>
        <v>NO</v>
      </c>
      <c r="AF171" s="38" t="e" cm="1">
        <f t="array" aca="1" ref="AF171" ca="1">MIN(100, MAX(0, (IF(R171="ESTUDIANTE", 31, 0)) + (IF(I171&lt;=3, 30, IF(I171&lt;=6, 20, 0))) +(IF(OR(E171="413 - Control de Costes y Enlace Construcción", E171="480 - Secretaría General del Consejo", E171="132 - Civil y estructuras", E171="136 - Mecánica", E171="412 - Planificación", E171="142 - Compras"), 25, 0)) +(IF(OR(S171="GRADO ING. MECÁNICA", S171="GRADO ING. ELÉCTRICA", S171="GRADO DERECHO", S171="GRADO ECONOMÍA", S171="GRADO ING. TECNOLOGÍAS INDUSTRIALES"), 24, 0)) + (IF(AND(K171&gt;=451, K171&lt;=700), 23, 0)) + (IF(AND(AB171&gt;=5, AB171&lt;=8), 17, 0)) +(IF(_xludf.OR(_xludf.AND(AC171&gt;=8, AC171&lt;=10), _xludf.AND(AC171&gt;=0, AC171&lt;=5)), 16, 0)) + (IF(F171="Madrid", 11, 0))))</f>
        <v>#NAME?</v>
      </c>
      <c r="AG171" s="68"/>
      <c r="AH171" s="71" t="s">
        <v>164</v>
      </c>
    </row>
    <row r="172" spans="1:34" ht="14.4" x14ac:dyDescent="0.3">
      <c r="A172" s="66" t="s">
        <v>1152</v>
      </c>
      <c r="B172" s="66" t="s">
        <v>3269</v>
      </c>
      <c r="C172" s="33">
        <v>172</v>
      </c>
      <c r="D172" s="33" t="s">
        <v>5396</v>
      </c>
      <c r="E172" s="34" t="s">
        <v>5235</v>
      </c>
      <c r="F172" s="34" t="s">
        <v>18</v>
      </c>
      <c r="G172" s="57">
        <v>41005</v>
      </c>
      <c r="H172" s="57">
        <v>41425</v>
      </c>
      <c r="I172" s="34">
        <f t="shared" si="6"/>
        <v>13</v>
      </c>
      <c r="J172" s="34">
        <v>40</v>
      </c>
      <c r="K172" s="36">
        <v>900</v>
      </c>
      <c r="L172" s="34" t="s">
        <v>29</v>
      </c>
      <c r="M172" s="57">
        <v>32705</v>
      </c>
      <c r="N172" s="37">
        <f>(YEAR(TablaMadre[[#This Row],[ALTA]])-YEAR(M172))</f>
        <v>23</v>
      </c>
      <c r="O172" s="34" t="s">
        <v>18</v>
      </c>
      <c r="P172" s="34" t="s">
        <v>19</v>
      </c>
      <c r="Q172" s="34" t="s">
        <v>61</v>
      </c>
      <c r="R172" s="34" t="s">
        <v>21</v>
      </c>
      <c r="S172" s="34" t="s">
        <v>322</v>
      </c>
      <c r="T172" s="34"/>
      <c r="U172" s="34" t="s">
        <v>30</v>
      </c>
      <c r="V172" s="34" t="s">
        <v>22</v>
      </c>
      <c r="W172" s="34" t="s">
        <v>28</v>
      </c>
      <c r="X172" s="38" t="s">
        <v>164</v>
      </c>
      <c r="Y172" s="62">
        <v>44742</v>
      </c>
      <c r="Z172" s="38">
        <f t="shared" si="7"/>
        <v>9</v>
      </c>
      <c r="AA172" s="38"/>
      <c r="AB172" s="34"/>
      <c r="AC172" s="34"/>
      <c r="AD172" s="38"/>
      <c r="AE172" s="59" t="str">
        <f t="shared" si="8"/>
        <v>NO</v>
      </c>
      <c r="AF172" s="38" t="e" cm="1">
        <f t="array" aca="1" ref="AF172" ca="1">MIN(100, MAX(0, (IF(R172="ESTUDIANTE", 31, 0)) + (IF(I172&lt;=3, 30, IF(I172&lt;=6, 20, 0))) +(IF(OR(E172="413 - Control de Costes y Enlace Construcción", E172="480 - Secretaría General del Consejo", E172="132 - Civil y estructuras", E172="136 - Mecánica", E172="412 - Planificación", E172="142 - Compras"), 25, 0)) +(IF(OR(S172="GRADO ING. MECÁNICA", S172="GRADO ING. ELÉCTRICA", S172="GRADO DERECHO", S172="GRADO ECONOMÍA", S172="GRADO ING. TECNOLOGÍAS INDUSTRIALES"), 24, 0)) + (IF(AND(K172&gt;=451, K172&lt;=700), 23, 0)) + (IF(AND(AB172&gt;=5, AB172&lt;=8), 17, 0)) +(IF(_xludf.OR(_xludf.AND(AC172&gt;=8, AC172&lt;=10), _xludf.AND(AC172&gt;=0, AC172&lt;=5)), 16, 0)) + (IF(F172="Madrid", 11, 0))))</f>
        <v>#NAME?</v>
      </c>
      <c r="AG172" s="68"/>
      <c r="AH172" s="71" t="s">
        <v>164</v>
      </c>
    </row>
    <row r="173" spans="1:34" ht="14.4" x14ac:dyDescent="0.3">
      <c r="A173" s="66" t="s">
        <v>1153</v>
      </c>
      <c r="B173" s="66" t="s">
        <v>3270</v>
      </c>
      <c r="C173" s="33">
        <v>173</v>
      </c>
      <c r="D173" s="33" t="s">
        <v>5397</v>
      </c>
      <c r="E173" s="34" t="s">
        <v>5246</v>
      </c>
      <c r="F173" s="34" t="s">
        <v>18</v>
      </c>
      <c r="G173" s="57">
        <v>41005</v>
      </c>
      <c r="H173" s="57">
        <v>41486</v>
      </c>
      <c r="I173" s="34">
        <f t="shared" si="6"/>
        <v>15</v>
      </c>
      <c r="J173" s="34">
        <v>20</v>
      </c>
      <c r="K173" s="36">
        <v>325</v>
      </c>
      <c r="L173" s="34" t="s">
        <v>29</v>
      </c>
      <c r="M173" s="57">
        <v>32956</v>
      </c>
      <c r="N173" s="37">
        <f>(YEAR(TablaMadre[[#This Row],[ALTA]])-YEAR(M173))</f>
        <v>22</v>
      </c>
      <c r="O173" s="34" t="s">
        <v>18</v>
      </c>
      <c r="P173" s="34" t="s">
        <v>19</v>
      </c>
      <c r="Q173" s="34" t="s">
        <v>147</v>
      </c>
      <c r="R173" s="58" t="s">
        <v>30</v>
      </c>
      <c r="S173" s="34" t="s">
        <v>322</v>
      </c>
      <c r="T173" s="34"/>
      <c r="U173" s="34" t="s">
        <v>42</v>
      </c>
      <c r="V173" s="34" t="s">
        <v>137</v>
      </c>
      <c r="W173" s="34" t="s">
        <v>28</v>
      </c>
      <c r="X173" s="38" t="s">
        <v>164</v>
      </c>
      <c r="Y173" s="62">
        <v>41487</v>
      </c>
      <c r="Z173" s="38">
        <f t="shared" si="7"/>
        <v>0</v>
      </c>
      <c r="AA173" s="38"/>
      <c r="AB173" s="34"/>
      <c r="AC173" s="34"/>
      <c r="AD173" s="38"/>
      <c r="AE173" s="59" t="str">
        <f t="shared" si="8"/>
        <v>NO</v>
      </c>
      <c r="AF173" s="38" t="e" cm="1">
        <f t="array" aca="1" ref="AF173" ca="1">MIN(100, MAX(0, (IF(R173="ESTUDIANTE", 31, 0)) + (IF(I173&lt;=3, 30, IF(I173&lt;=6, 20, 0))) +(IF(OR(E173="413 - Control de Costes y Enlace Construcción", E173="480 - Secretaría General del Consejo", E173="132 - Civil y estructuras", E173="136 - Mecánica", E173="412 - Planificación", E173="142 - Compras"), 25, 0)) +(IF(OR(S173="GRADO ING. MECÁNICA", S173="GRADO ING. ELÉCTRICA", S173="GRADO DERECHO", S173="GRADO ECONOMÍA", S173="GRADO ING. TECNOLOGÍAS INDUSTRIALES"), 24, 0)) + (IF(AND(K173&gt;=451, K173&lt;=700), 23, 0)) + (IF(AND(AB173&gt;=5, AB173&lt;=8), 17, 0)) +(IF(_xludf.OR(_xludf.AND(AC173&gt;=8, AC173&lt;=10), _xludf.AND(AC173&gt;=0, AC173&lt;=5)), 16, 0)) + (IF(F173="Madrid", 11, 0))))</f>
        <v>#NAME?</v>
      </c>
      <c r="AG173" s="68"/>
      <c r="AH173" s="71" t="s">
        <v>164</v>
      </c>
    </row>
    <row r="174" spans="1:34" ht="14.4" x14ac:dyDescent="0.3">
      <c r="A174" s="66" t="s">
        <v>1193</v>
      </c>
      <c r="B174" s="66" t="s">
        <v>3310</v>
      </c>
      <c r="C174" s="33">
        <v>170</v>
      </c>
      <c r="D174" s="33" t="s">
        <v>5398</v>
      </c>
      <c r="E174" s="34" t="s">
        <v>5246</v>
      </c>
      <c r="F174" s="34" t="s">
        <v>18</v>
      </c>
      <c r="G174" s="57">
        <v>41005</v>
      </c>
      <c r="H174" s="57">
        <v>41152</v>
      </c>
      <c r="I174" s="34">
        <f t="shared" si="6"/>
        <v>4</v>
      </c>
      <c r="J174" s="34">
        <v>40</v>
      </c>
      <c r="K174" s="36">
        <v>650</v>
      </c>
      <c r="L174" s="34" t="s">
        <v>17</v>
      </c>
      <c r="M174" s="57">
        <v>32920</v>
      </c>
      <c r="N174" s="37">
        <f>(YEAR(TablaMadre[[#This Row],[ALTA]])-YEAR(M174))</f>
        <v>22</v>
      </c>
      <c r="O174" s="34" t="s">
        <v>18</v>
      </c>
      <c r="P174" s="34" t="s">
        <v>19</v>
      </c>
      <c r="Q174" s="34" t="s">
        <v>147</v>
      </c>
      <c r="R174" s="58" t="s">
        <v>30</v>
      </c>
      <c r="S174" s="34" t="s">
        <v>322</v>
      </c>
      <c r="T174" s="34"/>
      <c r="U174" s="34" t="s">
        <v>30</v>
      </c>
      <c r="V174" s="34" t="s">
        <v>137</v>
      </c>
      <c r="W174" s="34" t="s">
        <v>91</v>
      </c>
      <c r="X174" s="38" t="s">
        <v>164</v>
      </c>
      <c r="Y174" s="62"/>
      <c r="Z174" s="62" t="e">
        <f t="shared" si="7"/>
        <v>#NUM!</v>
      </c>
      <c r="AA174" s="62"/>
      <c r="AB174" s="34" t="s">
        <v>53</v>
      </c>
      <c r="AC174" s="34" t="s">
        <v>24</v>
      </c>
      <c r="AD174" s="38"/>
      <c r="AE174" s="59" t="str">
        <f t="shared" si="8"/>
        <v>NO</v>
      </c>
      <c r="AF174" s="38" t="e" cm="1">
        <f t="array" aca="1" ref="AF174" ca="1">MIN(100, MAX(0, (IF(R174="ESTUDIANTE", 31, 0)) + (IF(I174&lt;=3, 30, IF(I174&lt;=6, 20, 0))) +(IF(OR(E174="413 - Control de Costes y Enlace Construcción", E174="480 - Secretaría General del Consejo", E174="132 - Civil y estructuras", E174="136 - Mecánica", E174="412 - Planificación", E174="142 - Compras"), 25, 0)) +(IF(OR(S174="GRADO ING. MECÁNICA", S174="GRADO ING. ELÉCTRICA", S174="GRADO DERECHO", S174="GRADO ECONOMÍA", S174="GRADO ING. TECNOLOGÍAS INDUSTRIALES"), 24, 0)) + (IF(AND(K174&gt;=451, K174&lt;=700), 23, 0)) + (IF(AND(AB174&gt;=5, AB174&lt;=8), 17, 0)) +(IF(_xludf.OR(_xludf.AND(AC174&gt;=8, AC174&lt;=10), _xludf.AND(AC174&gt;=0, AC174&lt;=5)), 16, 0)) + (IF(F174="Madrid", 11, 0))))</f>
        <v>#NAME?</v>
      </c>
      <c r="AG174" s="68"/>
      <c r="AH174" s="71" t="s">
        <v>164</v>
      </c>
    </row>
    <row r="175" spans="1:34" ht="14.4" x14ac:dyDescent="0.3">
      <c r="A175" s="66" t="s">
        <v>1196</v>
      </c>
      <c r="B175" s="66" t="s">
        <v>3313</v>
      </c>
      <c r="C175" s="33">
        <v>169</v>
      </c>
      <c r="D175" s="33" t="s">
        <v>5399</v>
      </c>
      <c r="E175" s="34" t="s">
        <v>5225</v>
      </c>
      <c r="F175" s="34" t="s">
        <v>18</v>
      </c>
      <c r="G175" s="57">
        <v>41005</v>
      </c>
      <c r="H175" s="57">
        <v>41136</v>
      </c>
      <c r="I175" s="34">
        <f t="shared" si="6"/>
        <v>4</v>
      </c>
      <c r="J175" s="34">
        <v>40</v>
      </c>
      <c r="K175" s="36">
        <v>650</v>
      </c>
      <c r="L175" s="34" t="s">
        <v>17</v>
      </c>
      <c r="M175" s="57">
        <v>27112</v>
      </c>
      <c r="N175" s="37">
        <f>(YEAR(TablaMadre[[#This Row],[ALTA]])-YEAR(M175))</f>
        <v>38</v>
      </c>
      <c r="O175" s="34" t="s">
        <v>18</v>
      </c>
      <c r="P175" s="34" t="s">
        <v>19</v>
      </c>
      <c r="Q175" s="34" t="s">
        <v>32</v>
      </c>
      <c r="R175" s="58" t="s">
        <v>30</v>
      </c>
      <c r="S175" s="34" t="s">
        <v>322</v>
      </c>
      <c r="T175" s="34"/>
      <c r="U175" s="34" t="s">
        <v>30</v>
      </c>
      <c r="V175" s="34" t="s">
        <v>137</v>
      </c>
      <c r="W175" s="34" t="s">
        <v>91</v>
      </c>
      <c r="X175" s="38" t="s">
        <v>164</v>
      </c>
      <c r="Y175" s="62"/>
      <c r="Z175" s="62" t="e">
        <f t="shared" si="7"/>
        <v>#NUM!</v>
      </c>
      <c r="AA175" s="62"/>
      <c r="AB175" s="34" t="s">
        <v>24</v>
      </c>
      <c r="AC175" s="34" t="s">
        <v>24</v>
      </c>
      <c r="AD175" s="38"/>
      <c r="AE175" s="59" t="str">
        <f t="shared" si="8"/>
        <v>NO</v>
      </c>
      <c r="AF175" s="38" t="e" cm="1">
        <f t="array" aca="1" ref="AF175" ca="1">MIN(100, MAX(0, (IF(R175="ESTUDIANTE", 31, 0)) + (IF(I175&lt;=3, 30, IF(I175&lt;=6, 20, 0))) +(IF(OR(E175="413 - Control de Costes y Enlace Construcción", E175="480 - Secretaría General del Consejo", E175="132 - Civil y estructuras", E175="136 - Mecánica", E175="412 - Planificación", E175="142 - Compras"), 25, 0)) +(IF(OR(S175="GRADO ING. MECÁNICA", S175="GRADO ING. ELÉCTRICA", S175="GRADO DERECHO", S175="GRADO ECONOMÍA", S175="GRADO ING. TECNOLOGÍAS INDUSTRIALES"), 24, 0)) + (IF(AND(K175&gt;=451, K175&lt;=700), 23, 0)) + (IF(AND(AB175&gt;=5, AB175&lt;=8), 17, 0)) +(IF(_xludf.OR(_xludf.AND(AC175&gt;=8, AC175&lt;=10), _xludf.AND(AC175&gt;=0, AC175&lt;=5)), 16, 0)) + (IF(F175="Madrid", 11, 0))))</f>
        <v>#NAME?</v>
      </c>
      <c r="AG175" s="68"/>
      <c r="AH175" s="71" t="s">
        <v>164</v>
      </c>
    </row>
    <row r="176" spans="1:34" ht="14.4" x14ac:dyDescent="0.3">
      <c r="A176" s="66" t="s">
        <v>1154</v>
      </c>
      <c r="B176" s="66" t="s">
        <v>3271</v>
      </c>
      <c r="C176" s="33">
        <v>174</v>
      </c>
      <c r="D176" s="33" t="s">
        <v>5393</v>
      </c>
      <c r="E176" s="34" t="s">
        <v>5246</v>
      </c>
      <c r="F176" s="34" t="s">
        <v>18</v>
      </c>
      <c r="G176" s="57">
        <v>41011</v>
      </c>
      <c r="H176" s="57">
        <v>42524</v>
      </c>
      <c r="I176" s="34">
        <f t="shared" si="6"/>
        <v>49</v>
      </c>
      <c r="J176" s="34">
        <v>40</v>
      </c>
      <c r="K176" s="36">
        <v>650</v>
      </c>
      <c r="L176" s="34" t="s">
        <v>17</v>
      </c>
      <c r="M176" s="57">
        <v>33287</v>
      </c>
      <c r="N176" s="37">
        <f>(YEAR(TablaMadre[[#This Row],[ALTA]])-YEAR(M176))</f>
        <v>21</v>
      </c>
      <c r="O176" s="34" t="s">
        <v>18</v>
      </c>
      <c r="P176" s="34" t="s">
        <v>19</v>
      </c>
      <c r="Q176" s="34" t="s">
        <v>206</v>
      </c>
      <c r="R176" s="58" t="s">
        <v>30</v>
      </c>
      <c r="S176" s="34" t="s">
        <v>281</v>
      </c>
      <c r="T176" s="34"/>
      <c r="U176" s="34" t="s">
        <v>30</v>
      </c>
      <c r="V176" s="34" t="s">
        <v>22</v>
      </c>
      <c r="W176" s="34" t="s">
        <v>28</v>
      </c>
      <c r="X176" s="38" t="s">
        <v>164</v>
      </c>
      <c r="Y176" s="62">
        <v>44454</v>
      </c>
      <c r="Z176" s="38">
        <f t="shared" si="7"/>
        <v>5</v>
      </c>
      <c r="AA176" s="38"/>
      <c r="AB176" s="34"/>
      <c r="AC176" s="34"/>
      <c r="AD176" s="38"/>
      <c r="AE176" s="59" t="str">
        <f t="shared" si="8"/>
        <v>NO</v>
      </c>
      <c r="AF176" s="38" t="e" cm="1">
        <f t="array" aca="1" ref="AF176" ca="1">MIN(100, MAX(0, (IF(R176="ESTUDIANTE", 31, 0)) + (IF(I176&lt;=3, 30, IF(I176&lt;=6, 20, 0))) +(IF(OR(E176="413 - Control de Costes y Enlace Construcción", E176="480 - Secretaría General del Consejo", E176="132 - Civil y estructuras", E176="136 - Mecánica", E176="412 - Planificación", E176="142 - Compras"), 25, 0)) +(IF(OR(S176="GRADO ING. MECÁNICA", S176="GRADO ING. ELÉCTRICA", S176="GRADO DERECHO", S176="GRADO ECONOMÍA", S176="GRADO ING. TECNOLOGÍAS INDUSTRIALES"), 24, 0)) + (IF(AND(K176&gt;=451, K176&lt;=700), 23, 0)) + (IF(AND(AB176&gt;=5, AB176&lt;=8), 17, 0)) +(IF(_xludf.OR(_xludf.AND(AC176&gt;=8, AC176&lt;=10), _xludf.AND(AC176&gt;=0, AC176&lt;=5)), 16, 0)) + (IF(F176="Madrid", 11, 0))))</f>
        <v>#NAME?</v>
      </c>
      <c r="AG176" s="68"/>
      <c r="AH176" s="71" t="s">
        <v>164</v>
      </c>
    </row>
    <row r="177" spans="1:34" ht="14.4" x14ac:dyDescent="0.3">
      <c r="A177" s="66" t="s">
        <v>1183</v>
      </c>
      <c r="B177" s="66" t="s">
        <v>3300</v>
      </c>
      <c r="C177" s="33">
        <v>175</v>
      </c>
      <c r="D177" s="33" t="s">
        <v>5394</v>
      </c>
      <c r="E177" s="34" t="s">
        <v>5231</v>
      </c>
      <c r="F177" s="34" t="s">
        <v>18</v>
      </c>
      <c r="G177" s="57">
        <v>41015</v>
      </c>
      <c r="H177" s="57">
        <v>41130</v>
      </c>
      <c r="I177" s="34">
        <f t="shared" si="6"/>
        <v>3</v>
      </c>
      <c r="J177" s="34">
        <v>30</v>
      </c>
      <c r="K177" s="36">
        <v>490</v>
      </c>
      <c r="L177" s="34" t="s">
        <v>17</v>
      </c>
      <c r="M177" s="57">
        <v>33737</v>
      </c>
      <c r="N177" s="37">
        <f>(YEAR(TablaMadre[[#This Row],[ALTA]])-YEAR(M177))</f>
        <v>20</v>
      </c>
      <c r="O177" s="34" t="s">
        <v>153</v>
      </c>
      <c r="P177" s="34" t="s">
        <v>135</v>
      </c>
      <c r="Q177" s="34" t="s">
        <v>136</v>
      </c>
      <c r="R177" s="58" t="s">
        <v>30</v>
      </c>
      <c r="S177" s="34" t="s">
        <v>136</v>
      </c>
      <c r="T177" s="34"/>
      <c r="U177" s="34" t="s">
        <v>42</v>
      </c>
      <c r="V177" s="34" t="s">
        <v>74</v>
      </c>
      <c r="W177" s="34" t="s">
        <v>47</v>
      </c>
      <c r="X177" s="38" t="s">
        <v>164</v>
      </c>
      <c r="Y177" s="62"/>
      <c r="Z177" s="62" t="e">
        <f t="shared" si="7"/>
        <v>#NUM!</v>
      </c>
      <c r="AA177" s="62"/>
      <c r="AB177" s="34" t="s">
        <v>53</v>
      </c>
      <c r="AC177" s="34" t="s">
        <v>24</v>
      </c>
      <c r="AD177" s="38"/>
      <c r="AE177" s="59" t="str">
        <f t="shared" si="8"/>
        <v>SÍ</v>
      </c>
      <c r="AF177" s="38" t="e" cm="1">
        <f t="array" aca="1" ref="AF177" ca="1">MIN(100, MAX(0, (IF(R177="ESTUDIANTE", 31, 0)) + (IF(I177&lt;=3, 30, IF(I177&lt;=6, 20, 0))) +(IF(OR(E177="413 - Control de Costes y Enlace Construcción", E177="480 - Secretaría General del Consejo", E177="132 - Civil y estructuras", E177="136 - Mecánica", E177="412 - Planificación", E177="142 - Compras"), 25, 0)) +(IF(OR(S177="GRADO ING. MECÁNICA", S177="GRADO ING. ELÉCTRICA", S177="GRADO DERECHO", S177="GRADO ECONOMÍA", S177="GRADO ING. TECNOLOGÍAS INDUSTRIALES"), 24, 0)) + (IF(AND(K177&gt;=451, K177&lt;=700), 23, 0)) + (IF(AND(AB177&gt;=5, AB177&lt;=8), 17, 0)) +(IF(_xludf.OR(_xludf.AND(AC177&gt;=8, AC177&lt;=10), _xludf.AND(AC177&gt;=0, AC177&lt;=5)), 16, 0)) + (IF(F177="Madrid", 11, 0))))</f>
        <v>#NAME?</v>
      </c>
      <c r="AG177" s="68"/>
      <c r="AH177" s="71" t="s">
        <v>164</v>
      </c>
    </row>
    <row r="178" spans="1:34" ht="14.4" x14ac:dyDescent="0.3">
      <c r="A178" s="66" t="s">
        <v>1156</v>
      </c>
      <c r="B178" s="66" t="s">
        <v>3273</v>
      </c>
      <c r="C178" s="33">
        <v>176</v>
      </c>
      <c r="D178" s="33" t="s">
        <v>5395</v>
      </c>
      <c r="E178" s="34" t="s">
        <v>5227</v>
      </c>
      <c r="F178" s="34" t="s">
        <v>18</v>
      </c>
      <c r="G178" s="57">
        <v>41018</v>
      </c>
      <c r="H178" s="57">
        <v>41394</v>
      </c>
      <c r="I178" s="34">
        <f t="shared" si="6"/>
        <v>12</v>
      </c>
      <c r="J178" s="34">
        <v>40</v>
      </c>
      <c r="K178" s="36">
        <v>825</v>
      </c>
      <c r="L178" s="34" t="s">
        <v>17</v>
      </c>
      <c r="M178" s="57">
        <v>30463</v>
      </c>
      <c r="N178" s="37">
        <f>(YEAR(TablaMadre[[#This Row],[ALTA]])-YEAR(M178))</f>
        <v>29</v>
      </c>
      <c r="O178" s="34" t="s">
        <v>176</v>
      </c>
      <c r="P178" s="34" t="s">
        <v>19</v>
      </c>
      <c r="Q178" s="34" t="s">
        <v>186</v>
      </c>
      <c r="R178" s="34" t="s">
        <v>21</v>
      </c>
      <c r="S178" s="34" t="s">
        <v>322</v>
      </c>
      <c r="T178" s="34"/>
      <c r="U178" s="34" t="s">
        <v>21</v>
      </c>
      <c r="V178" s="34" t="s">
        <v>122</v>
      </c>
      <c r="W178" s="34" t="s">
        <v>28</v>
      </c>
      <c r="X178" s="38" t="s">
        <v>164</v>
      </c>
      <c r="Y178" s="62">
        <v>44075</v>
      </c>
      <c r="Z178" s="38">
        <f t="shared" si="7"/>
        <v>7</v>
      </c>
      <c r="AA178" s="38"/>
      <c r="AB178" s="34"/>
      <c r="AC178" s="34"/>
      <c r="AD178" s="38"/>
      <c r="AE178" s="59" t="str">
        <f t="shared" si="8"/>
        <v>SÍ</v>
      </c>
      <c r="AF178" s="38" t="e" cm="1">
        <f t="array" aca="1" ref="AF178" ca="1">MIN(100, MAX(0, (IF(R178="ESTUDIANTE", 31, 0)) + (IF(I178&lt;=3, 30, IF(I178&lt;=6, 20, 0))) +(IF(OR(E178="413 - Control de Costes y Enlace Construcción", E178="480 - Secretaría General del Consejo", E178="132 - Civil y estructuras", E178="136 - Mecánica", E178="412 - Planificación", E178="142 - Compras"), 25, 0)) +(IF(OR(S178="GRADO ING. MECÁNICA", S178="GRADO ING. ELÉCTRICA", S178="GRADO DERECHO", S178="GRADO ECONOMÍA", S178="GRADO ING. TECNOLOGÍAS INDUSTRIALES"), 24, 0)) + (IF(AND(K178&gt;=451, K178&lt;=700), 23, 0)) + (IF(AND(AB178&gt;=5, AB178&lt;=8), 17, 0)) +(IF(_xludf.OR(_xludf.AND(AC178&gt;=8, AC178&lt;=10), _xludf.AND(AC178&gt;=0, AC178&lt;=5)), 16, 0)) + (IF(F178="Madrid", 11, 0))))</f>
        <v>#NAME?</v>
      </c>
      <c r="AG178" s="68"/>
      <c r="AH178" s="71" t="s">
        <v>164</v>
      </c>
    </row>
    <row r="179" spans="1:34" ht="14.4" x14ac:dyDescent="0.3">
      <c r="A179" s="66" t="s">
        <v>1157</v>
      </c>
      <c r="B179" s="66" t="s">
        <v>3274</v>
      </c>
      <c r="C179" s="33">
        <v>177</v>
      </c>
      <c r="D179" s="33" t="s">
        <v>5396</v>
      </c>
      <c r="E179" s="34" t="s">
        <v>5237</v>
      </c>
      <c r="F179" s="34" t="s">
        <v>18</v>
      </c>
      <c r="G179" s="57">
        <v>41024</v>
      </c>
      <c r="H179" s="57">
        <v>41388</v>
      </c>
      <c r="I179" s="34">
        <f t="shared" si="6"/>
        <v>11</v>
      </c>
      <c r="J179" s="34">
        <v>40</v>
      </c>
      <c r="K179" s="36">
        <v>700</v>
      </c>
      <c r="L179" s="34" t="s">
        <v>17</v>
      </c>
      <c r="M179" s="57">
        <v>32381</v>
      </c>
      <c r="N179" s="37">
        <f>(YEAR(TablaMadre[[#This Row],[ALTA]])-YEAR(M179))</f>
        <v>24</v>
      </c>
      <c r="O179" s="34" t="s">
        <v>18</v>
      </c>
      <c r="P179" s="34" t="s">
        <v>19</v>
      </c>
      <c r="Q179" s="34" t="s">
        <v>52</v>
      </c>
      <c r="R179" s="58" t="s">
        <v>30</v>
      </c>
      <c r="S179" s="34" t="s">
        <v>26</v>
      </c>
      <c r="T179" s="34"/>
      <c r="U179" s="34" t="s">
        <v>30</v>
      </c>
      <c r="V179" s="34" t="s">
        <v>27</v>
      </c>
      <c r="W179" s="34" t="s">
        <v>28</v>
      </c>
      <c r="X179" s="38" t="s">
        <v>164</v>
      </c>
      <c r="Y179" s="62">
        <v>44378</v>
      </c>
      <c r="Z179" s="38">
        <f t="shared" si="7"/>
        <v>8</v>
      </c>
      <c r="AA179" s="38"/>
      <c r="AB179" s="34"/>
      <c r="AC179" s="34"/>
      <c r="AD179" s="38"/>
      <c r="AE179" s="59" t="str">
        <f t="shared" si="8"/>
        <v>NO</v>
      </c>
      <c r="AF179" s="38" t="e" cm="1">
        <f t="array" aca="1" ref="AF179" ca="1">MIN(100, MAX(0, (IF(R179="ESTUDIANTE", 31, 0)) + (IF(I179&lt;=3, 30, IF(I179&lt;=6, 20, 0))) +(IF(OR(E179="413 - Control de Costes y Enlace Construcción", E179="480 - Secretaría General del Consejo", E179="132 - Civil y estructuras", E179="136 - Mecánica", E179="412 - Planificación", E179="142 - Compras"), 25, 0)) +(IF(OR(S179="GRADO ING. MECÁNICA", S179="GRADO ING. ELÉCTRICA", S179="GRADO DERECHO", S179="GRADO ECONOMÍA", S179="GRADO ING. TECNOLOGÍAS INDUSTRIALES"), 24, 0)) + (IF(AND(K179&gt;=451, K179&lt;=700), 23, 0)) + (IF(AND(AB179&gt;=5, AB179&lt;=8), 17, 0)) +(IF(_xludf.OR(_xludf.AND(AC179&gt;=8, AC179&lt;=10), _xludf.AND(AC179&gt;=0, AC179&lt;=5)), 16, 0)) + (IF(F179="Madrid", 11, 0))))</f>
        <v>#NAME?</v>
      </c>
      <c r="AG179" s="68"/>
      <c r="AH179" s="71" t="s">
        <v>164</v>
      </c>
    </row>
    <row r="180" spans="1:34" ht="14.4" x14ac:dyDescent="0.3">
      <c r="A180" s="66" t="s">
        <v>1150</v>
      </c>
      <c r="B180" s="66" t="s">
        <v>3267</v>
      </c>
      <c r="C180" s="33">
        <v>178</v>
      </c>
      <c r="D180" s="33" t="s">
        <v>5397</v>
      </c>
      <c r="E180" s="34" t="s">
        <v>5262</v>
      </c>
      <c r="F180" s="34" t="s">
        <v>18</v>
      </c>
      <c r="G180" s="57">
        <v>41032</v>
      </c>
      <c r="H180" s="57">
        <v>41075</v>
      </c>
      <c r="I180" s="34">
        <f t="shared" si="6"/>
        <v>1</v>
      </c>
      <c r="J180" s="34">
        <v>30</v>
      </c>
      <c r="K180" s="36">
        <v>340</v>
      </c>
      <c r="L180" s="34" t="s">
        <v>17</v>
      </c>
      <c r="M180" s="57">
        <v>32836</v>
      </c>
      <c r="N180" s="37">
        <f>(YEAR(TablaMadre[[#This Row],[ALTA]])-YEAR(M180))</f>
        <v>23</v>
      </c>
      <c r="O180" s="34" t="s">
        <v>80</v>
      </c>
      <c r="P180" s="34" t="s">
        <v>19</v>
      </c>
      <c r="Q180" s="34" t="s">
        <v>94</v>
      </c>
      <c r="R180" s="58" t="s">
        <v>30</v>
      </c>
      <c r="S180" s="34" t="s">
        <v>26</v>
      </c>
      <c r="T180" s="34"/>
      <c r="U180" s="34" t="s">
        <v>30</v>
      </c>
      <c r="V180" s="34" t="s">
        <v>27</v>
      </c>
      <c r="W180" s="34" t="s">
        <v>23</v>
      </c>
      <c r="X180" s="38" t="s">
        <v>164</v>
      </c>
      <c r="Y180" s="62"/>
      <c r="Z180" s="62" t="e">
        <f t="shared" si="7"/>
        <v>#NUM!</v>
      </c>
      <c r="AA180" s="62"/>
      <c r="AB180" s="34" t="s">
        <v>53</v>
      </c>
      <c r="AC180" s="34" t="s">
        <v>53</v>
      </c>
      <c r="AD180" s="38"/>
      <c r="AE180" s="59" t="str">
        <f t="shared" si="8"/>
        <v>SÍ</v>
      </c>
      <c r="AF180" s="38" t="e" cm="1">
        <f t="array" aca="1" ref="AF180" ca="1">MIN(100, MAX(0, (IF(R180="ESTUDIANTE", 31, 0)) + (IF(I180&lt;=3, 30, IF(I180&lt;=6, 20, 0))) +(IF(OR(E180="413 - Control de Costes y Enlace Construcción", E180="480 - Secretaría General del Consejo", E180="132 - Civil y estructuras", E180="136 - Mecánica", E180="412 - Planificación", E180="142 - Compras"), 25, 0)) +(IF(OR(S180="GRADO ING. MECÁNICA", S180="GRADO ING. ELÉCTRICA", S180="GRADO DERECHO", S180="GRADO ECONOMÍA", S180="GRADO ING. TECNOLOGÍAS INDUSTRIALES"), 24, 0)) + (IF(AND(K180&gt;=451, K180&lt;=700), 23, 0)) + (IF(AND(AB180&gt;=5, AB180&lt;=8), 17, 0)) +(IF(_xludf.OR(_xludf.AND(AC180&gt;=8, AC180&lt;=10), _xludf.AND(AC180&gt;=0, AC180&lt;=5)), 16, 0)) + (IF(F180="Madrid", 11, 0))))</f>
        <v>#NAME?</v>
      </c>
      <c r="AG180" s="68"/>
      <c r="AH180" s="71" t="s">
        <v>164</v>
      </c>
    </row>
    <row r="181" spans="1:34" ht="14.4" x14ac:dyDescent="0.3">
      <c r="A181" s="66" t="s">
        <v>1159</v>
      </c>
      <c r="B181" s="66" t="s">
        <v>3276</v>
      </c>
      <c r="C181" s="33">
        <v>179</v>
      </c>
      <c r="D181" s="33" t="s">
        <v>5398</v>
      </c>
      <c r="E181" s="34" t="s">
        <v>5263</v>
      </c>
      <c r="F181" s="34" t="s">
        <v>18</v>
      </c>
      <c r="G181" s="57">
        <v>41040</v>
      </c>
      <c r="H181" s="57">
        <v>41578</v>
      </c>
      <c r="I181" s="34">
        <f t="shared" si="6"/>
        <v>17</v>
      </c>
      <c r="J181" s="34">
        <v>40</v>
      </c>
      <c r="K181" s="36">
        <v>800</v>
      </c>
      <c r="L181" s="34" t="s">
        <v>29</v>
      </c>
      <c r="M181" s="57">
        <v>33439</v>
      </c>
      <c r="N181" s="37">
        <f>(YEAR(TablaMadre[[#This Row],[ALTA]])-YEAR(M181))</f>
        <v>21</v>
      </c>
      <c r="O181" s="34" t="s">
        <v>75</v>
      </c>
      <c r="P181" s="34" t="s">
        <v>19</v>
      </c>
      <c r="Q181" s="34" t="s">
        <v>231</v>
      </c>
      <c r="R181" s="34" t="s">
        <v>21</v>
      </c>
      <c r="S181" s="34" t="s">
        <v>291</v>
      </c>
      <c r="T181" s="34"/>
      <c r="U181" s="34" t="s">
        <v>30</v>
      </c>
      <c r="V181" s="34" t="s">
        <v>81</v>
      </c>
      <c r="W181" s="34" t="s">
        <v>28</v>
      </c>
      <c r="X181" s="38" t="s">
        <v>173</v>
      </c>
      <c r="Y181" s="62"/>
      <c r="Z181" s="38" t="e">
        <f t="shared" si="7"/>
        <v>#NUM!</v>
      </c>
      <c r="AA181" s="38"/>
      <c r="AB181" s="34" t="s">
        <v>230</v>
      </c>
      <c r="AC181" s="34" t="s">
        <v>232</v>
      </c>
      <c r="AD181" s="38"/>
      <c r="AE181" s="59" t="str">
        <f t="shared" si="8"/>
        <v>SÍ</v>
      </c>
      <c r="AF181" s="38" t="e" cm="1">
        <f t="array" aca="1" ref="AF181" ca="1">MIN(100, MAX(0, (IF(R181="ESTUDIANTE", 31, 0)) + (IF(I181&lt;=3, 30, IF(I181&lt;=6, 20, 0))) +(IF(OR(E181="413 - Control de Costes y Enlace Construcción", E181="480 - Secretaría General del Consejo", E181="132 - Civil y estructuras", E181="136 - Mecánica", E181="412 - Planificación", E181="142 - Compras"), 25, 0)) +(IF(OR(S181="GRADO ING. MECÁNICA", S181="GRADO ING. ELÉCTRICA", S181="GRADO DERECHO", S181="GRADO ECONOMÍA", S181="GRADO ING. TECNOLOGÍAS INDUSTRIALES"), 24, 0)) + (IF(AND(K181&gt;=451, K181&lt;=700), 23, 0)) + (IF(AND(AB181&gt;=5, AB181&lt;=8), 17, 0)) +(IF(_xludf.OR(_xludf.AND(AC181&gt;=8, AC181&lt;=10), _xludf.AND(AC181&gt;=0, AC181&lt;=5)), 16, 0)) + (IF(F181="Madrid", 11, 0))))</f>
        <v>#NAME?</v>
      </c>
      <c r="AG181" s="68"/>
      <c r="AH181" s="71" t="s">
        <v>164</v>
      </c>
    </row>
    <row r="182" spans="1:34" ht="14.4" x14ac:dyDescent="0.3">
      <c r="A182" s="66" t="s">
        <v>1160</v>
      </c>
      <c r="B182" s="66" t="s">
        <v>3277</v>
      </c>
      <c r="C182" s="33">
        <v>180</v>
      </c>
      <c r="D182" s="33" t="s">
        <v>5399</v>
      </c>
      <c r="E182" s="34" t="s">
        <v>5219</v>
      </c>
      <c r="F182" s="34" t="s">
        <v>18</v>
      </c>
      <c r="G182" s="57">
        <v>41040</v>
      </c>
      <c r="H182" s="57">
        <v>41578</v>
      </c>
      <c r="I182" s="34">
        <f t="shared" si="6"/>
        <v>17</v>
      </c>
      <c r="J182" s="34">
        <v>40</v>
      </c>
      <c r="K182" s="36">
        <v>900</v>
      </c>
      <c r="L182" s="34" t="s">
        <v>17</v>
      </c>
      <c r="M182" s="57">
        <v>32621</v>
      </c>
      <c r="N182" s="37">
        <f>(YEAR(TablaMadre[[#This Row],[ALTA]])-YEAR(M182))</f>
        <v>23</v>
      </c>
      <c r="O182" s="34" t="s">
        <v>18</v>
      </c>
      <c r="P182" s="34" t="s">
        <v>19</v>
      </c>
      <c r="Q182" s="34" t="s">
        <v>63</v>
      </c>
      <c r="R182" s="34" t="s">
        <v>21</v>
      </c>
      <c r="S182" s="34" t="s">
        <v>297</v>
      </c>
      <c r="T182" s="34"/>
      <c r="U182" s="34"/>
      <c r="V182" s="34" t="s">
        <v>40</v>
      </c>
      <c r="W182" s="34" t="s">
        <v>28</v>
      </c>
      <c r="X182" s="38" t="s">
        <v>164</v>
      </c>
      <c r="Y182" s="62">
        <v>41579</v>
      </c>
      <c r="Z182" s="38">
        <f t="shared" si="7"/>
        <v>0</v>
      </c>
      <c r="AA182" s="38"/>
      <c r="AB182" s="34" t="s">
        <v>230</v>
      </c>
      <c r="AC182" s="34" t="s">
        <v>230</v>
      </c>
      <c r="AD182" s="38"/>
      <c r="AE182" s="59" t="str">
        <f t="shared" si="8"/>
        <v>NO</v>
      </c>
      <c r="AF182" s="38" t="e" cm="1">
        <f t="array" aca="1" ref="AF182" ca="1">MIN(100, MAX(0, (IF(R182="ESTUDIANTE", 31, 0)) + (IF(I182&lt;=3, 30, IF(I182&lt;=6, 20, 0))) +(IF(OR(E182="413 - Control de Costes y Enlace Construcción", E182="480 - Secretaría General del Consejo", E182="132 - Civil y estructuras", E182="136 - Mecánica", E182="412 - Planificación", E182="142 - Compras"), 25, 0)) +(IF(OR(S182="GRADO ING. MECÁNICA", S182="GRADO ING. ELÉCTRICA", S182="GRADO DERECHO", S182="GRADO ECONOMÍA", S182="GRADO ING. TECNOLOGÍAS INDUSTRIALES"), 24, 0)) + (IF(AND(K182&gt;=451, K182&lt;=700), 23, 0)) + (IF(AND(AB182&gt;=5, AB182&lt;=8), 17, 0)) +(IF(_xludf.OR(_xludf.AND(AC182&gt;=8, AC182&lt;=10), _xludf.AND(AC182&gt;=0, AC182&lt;=5)), 16, 0)) + (IF(F182="Madrid", 11, 0))))</f>
        <v>#NAME?</v>
      </c>
      <c r="AG182" s="68"/>
      <c r="AH182" s="71" t="s">
        <v>164</v>
      </c>
    </row>
    <row r="183" spans="1:34" ht="14.4" x14ac:dyDescent="0.3">
      <c r="A183" s="66" t="s">
        <v>1161</v>
      </c>
      <c r="B183" s="66" t="s">
        <v>3278</v>
      </c>
      <c r="C183" s="33">
        <v>181</v>
      </c>
      <c r="D183" s="33" t="s">
        <v>5400</v>
      </c>
      <c r="E183" s="34" t="s">
        <v>5235</v>
      </c>
      <c r="F183" s="34" t="s">
        <v>18</v>
      </c>
      <c r="G183" s="57">
        <v>41045</v>
      </c>
      <c r="H183" s="57">
        <v>41228</v>
      </c>
      <c r="I183" s="34">
        <f t="shared" si="6"/>
        <v>5</v>
      </c>
      <c r="J183" s="34">
        <v>40</v>
      </c>
      <c r="K183" s="36">
        <v>900</v>
      </c>
      <c r="L183" s="34" t="s">
        <v>29</v>
      </c>
      <c r="M183" s="57">
        <v>32647</v>
      </c>
      <c r="N183" s="37">
        <f>(YEAR(TablaMadre[[#This Row],[ALTA]])-YEAR(M183))</f>
        <v>23</v>
      </c>
      <c r="O183" s="34" t="s">
        <v>293</v>
      </c>
      <c r="P183" s="34" t="s">
        <v>19</v>
      </c>
      <c r="Q183" s="34" t="s">
        <v>61</v>
      </c>
      <c r="R183" s="34" t="s">
        <v>21</v>
      </c>
      <c r="S183" s="34" t="s">
        <v>322</v>
      </c>
      <c r="T183" s="34"/>
      <c r="U183" s="34"/>
      <c r="V183" s="34" t="s">
        <v>22</v>
      </c>
      <c r="W183" s="34" t="s">
        <v>28</v>
      </c>
      <c r="X183" s="38" t="s">
        <v>164</v>
      </c>
      <c r="Y183" s="62">
        <v>41377</v>
      </c>
      <c r="Z183" s="38">
        <f t="shared" si="7"/>
        <v>0</v>
      </c>
      <c r="AA183" s="38"/>
      <c r="AB183" s="34"/>
      <c r="AC183" s="34"/>
      <c r="AD183" s="38"/>
      <c r="AE183" s="59" t="str">
        <f t="shared" si="8"/>
        <v>SÍ</v>
      </c>
      <c r="AF183" s="38" t="e" cm="1">
        <f t="array" aca="1" ref="AF183" ca="1">MIN(100, MAX(0, (IF(R183="ESTUDIANTE", 31, 0)) + (IF(I183&lt;=3, 30, IF(I183&lt;=6, 20, 0))) +(IF(OR(E183="413 - Control de Costes y Enlace Construcción", E183="480 - Secretaría General del Consejo", E183="132 - Civil y estructuras", E183="136 - Mecánica", E183="412 - Planificación", E183="142 - Compras"), 25, 0)) +(IF(OR(S183="GRADO ING. MECÁNICA", S183="GRADO ING. ELÉCTRICA", S183="GRADO DERECHO", S183="GRADO ECONOMÍA", S183="GRADO ING. TECNOLOGÍAS INDUSTRIALES"), 24, 0)) + (IF(AND(K183&gt;=451, K183&lt;=700), 23, 0)) + (IF(AND(AB183&gt;=5, AB183&lt;=8), 17, 0)) +(IF(_xludf.OR(_xludf.AND(AC183&gt;=8, AC183&lt;=10), _xludf.AND(AC183&gt;=0, AC183&lt;=5)), 16, 0)) + (IF(F183="Madrid", 11, 0))))</f>
        <v>#NAME?</v>
      </c>
      <c r="AG183" s="68"/>
      <c r="AH183" s="71" t="s">
        <v>164</v>
      </c>
    </row>
    <row r="184" spans="1:34" ht="14.4" x14ac:dyDescent="0.3">
      <c r="A184" s="66" t="s">
        <v>1162</v>
      </c>
      <c r="B184" s="66" t="s">
        <v>3279</v>
      </c>
      <c r="C184" s="33">
        <v>182</v>
      </c>
      <c r="D184" s="33" t="s">
        <v>5401</v>
      </c>
      <c r="E184" s="34" t="s">
        <v>5243</v>
      </c>
      <c r="F184" s="34" t="s">
        <v>18</v>
      </c>
      <c r="G184" s="57">
        <v>41045</v>
      </c>
      <c r="H184" s="57">
        <v>41409</v>
      </c>
      <c r="I184" s="34">
        <f t="shared" si="6"/>
        <v>11</v>
      </c>
      <c r="J184" s="34">
        <v>40</v>
      </c>
      <c r="K184" s="36">
        <v>565</v>
      </c>
      <c r="L184" s="34" t="s">
        <v>17</v>
      </c>
      <c r="M184" s="57">
        <v>33190</v>
      </c>
      <c r="N184" s="37">
        <f>(YEAR(TablaMadre[[#This Row],[ALTA]])-YEAR(M184))</f>
        <v>22</v>
      </c>
      <c r="O184" s="34" t="s">
        <v>18</v>
      </c>
      <c r="P184" s="34" t="s">
        <v>19</v>
      </c>
      <c r="Q184" s="34" t="s">
        <v>85</v>
      </c>
      <c r="R184" s="58" t="s">
        <v>30</v>
      </c>
      <c r="S184" s="34" t="s">
        <v>322</v>
      </c>
      <c r="T184" s="34"/>
      <c r="U184" s="34"/>
      <c r="V184" s="34" t="s">
        <v>22</v>
      </c>
      <c r="W184" s="34" t="s">
        <v>28</v>
      </c>
      <c r="X184" s="38" t="s">
        <v>164</v>
      </c>
      <c r="Y184" s="62">
        <v>42887</v>
      </c>
      <c r="Z184" s="38">
        <f t="shared" si="7"/>
        <v>4</v>
      </c>
      <c r="AA184" s="38"/>
      <c r="AB184" s="34"/>
      <c r="AC184" s="34"/>
      <c r="AD184" s="38"/>
      <c r="AE184" s="59" t="str">
        <f t="shared" si="8"/>
        <v>NO</v>
      </c>
      <c r="AF184" s="38" t="e" cm="1">
        <f t="array" aca="1" ref="AF184" ca="1">MIN(100, MAX(0, (IF(R184="ESTUDIANTE", 31, 0)) + (IF(I184&lt;=3, 30, IF(I184&lt;=6, 20, 0))) +(IF(OR(E184="413 - Control de Costes y Enlace Construcción", E184="480 - Secretaría General del Consejo", E184="132 - Civil y estructuras", E184="136 - Mecánica", E184="412 - Planificación", E184="142 - Compras"), 25, 0)) +(IF(OR(S184="GRADO ING. MECÁNICA", S184="GRADO ING. ELÉCTRICA", S184="GRADO DERECHO", S184="GRADO ECONOMÍA", S184="GRADO ING. TECNOLOGÍAS INDUSTRIALES"), 24, 0)) + (IF(AND(K184&gt;=451, K184&lt;=700), 23, 0)) + (IF(AND(AB184&gt;=5, AB184&lt;=8), 17, 0)) +(IF(_xludf.OR(_xludf.AND(AC184&gt;=8, AC184&lt;=10), _xludf.AND(AC184&gt;=0, AC184&lt;=5)), 16, 0)) + (IF(F184="Madrid", 11, 0))))</f>
        <v>#NAME?</v>
      </c>
      <c r="AG184" s="68"/>
      <c r="AH184" s="71" t="s">
        <v>164</v>
      </c>
    </row>
    <row r="185" spans="1:34" ht="14.4" x14ac:dyDescent="0.3">
      <c r="A185" s="66" t="s">
        <v>1163</v>
      </c>
      <c r="B185" s="66" t="s">
        <v>3280</v>
      </c>
      <c r="C185" s="33">
        <v>183</v>
      </c>
      <c r="D185" s="33" t="s">
        <v>5402</v>
      </c>
      <c r="E185" s="34" t="s">
        <v>5237</v>
      </c>
      <c r="F185" s="34" t="s">
        <v>18</v>
      </c>
      <c r="G185" s="57">
        <v>41045</v>
      </c>
      <c r="H185" s="57">
        <v>41409</v>
      </c>
      <c r="I185" s="34">
        <f t="shared" si="6"/>
        <v>11</v>
      </c>
      <c r="J185" s="34">
        <v>40</v>
      </c>
      <c r="K185" s="36">
        <v>900</v>
      </c>
      <c r="L185" s="34" t="s">
        <v>29</v>
      </c>
      <c r="M185" s="57">
        <v>33480</v>
      </c>
      <c r="N185" s="37">
        <f>(YEAR(TablaMadre[[#This Row],[ALTA]])-YEAR(M185))</f>
        <v>21</v>
      </c>
      <c r="O185" s="34" t="s">
        <v>191</v>
      </c>
      <c r="P185" s="34" t="s">
        <v>191</v>
      </c>
      <c r="Q185" s="34" t="s">
        <v>154</v>
      </c>
      <c r="R185" s="34" t="s">
        <v>21</v>
      </c>
      <c r="S185" s="34" t="s">
        <v>297</v>
      </c>
      <c r="T185" s="34"/>
      <c r="U185" s="34"/>
      <c r="V185" s="34" t="s">
        <v>56</v>
      </c>
      <c r="W185" s="34" t="s">
        <v>28</v>
      </c>
      <c r="X185" s="38" t="s">
        <v>164</v>
      </c>
      <c r="Y185" s="62">
        <v>43493</v>
      </c>
      <c r="Z185" s="38">
        <f t="shared" si="7"/>
        <v>5</v>
      </c>
      <c r="AA185" s="38"/>
      <c r="AB185" s="34"/>
      <c r="AC185" s="34"/>
      <c r="AD185" s="38"/>
      <c r="AE185" s="59" t="str">
        <f t="shared" si="8"/>
        <v>SÍ</v>
      </c>
      <c r="AF185" s="38" t="e" cm="1">
        <f t="array" aca="1" ref="AF185" ca="1">MIN(100, MAX(0, (IF(R185="ESTUDIANTE", 31, 0)) + (IF(I185&lt;=3, 30, IF(I185&lt;=6, 20, 0))) +(IF(OR(E185="413 - Control de Costes y Enlace Construcción", E185="480 - Secretaría General del Consejo", E185="132 - Civil y estructuras", E185="136 - Mecánica", E185="412 - Planificación", E185="142 - Compras"), 25, 0)) +(IF(OR(S185="GRADO ING. MECÁNICA", S185="GRADO ING. ELÉCTRICA", S185="GRADO DERECHO", S185="GRADO ECONOMÍA", S185="GRADO ING. TECNOLOGÍAS INDUSTRIALES"), 24, 0)) + (IF(AND(K185&gt;=451, K185&lt;=700), 23, 0)) + (IF(AND(AB185&gt;=5, AB185&lt;=8), 17, 0)) +(IF(_xludf.OR(_xludf.AND(AC185&gt;=8, AC185&lt;=10), _xludf.AND(AC185&gt;=0, AC185&lt;=5)), 16, 0)) + (IF(F185="Madrid", 11, 0))))</f>
        <v>#NAME?</v>
      </c>
      <c r="AG185" s="68"/>
      <c r="AH185" s="71" t="s">
        <v>164</v>
      </c>
    </row>
    <row r="186" spans="1:34" ht="14.4" x14ac:dyDescent="0.3">
      <c r="A186" s="66" t="s">
        <v>1165</v>
      </c>
      <c r="B186" s="66" t="s">
        <v>3282</v>
      </c>
      <c r="C186" s="33">
        <v>185</v>
      </c>
      <c r="D186" s="33" t="s">
        <v>5393</v>
      </c>
      <c r="E186" s="34" t="s">
        <v>5215</v>
      </c>
      <c r="F186" s="34" t="s">
        <v>118</v>
      </c>
      <c r="G186" s="57">
        <v>41050</v>
      </c>
      <c r="H186" s="57">
        <v>41414</v>
      </c>
      <c r="I186" s="34">
        <f t="shared" si="6"/>
        <v>11</v>
      </c>
      <c r="J186" s="34">
        <v>40</v>
      </c>
      <c r="K186" s="36">
        <v>700</v>
      </c>
      <c r="L186" s="34" t="s">
        <v>17</v>
      </c>
      <c r="M186" s="57">
        <v>29004</v>
      </c>
      <c r="N186" s="37">
        <f>(YEAR(TablaMadre[[#This Row],[ALTA]])-YEAR(M186))</f>
        <v>33</v>
      </c>
      <c r="O186" s="34" t="s">
        <v>118</v>
      </c>
      <c r="P186" s="34" t="s">
        <v>19</v>
      </c>
      <c r="Q186" s="34" t="s">
        <v>101</v>
      </c>
      <c r="R186" s="58" t="s">
        <v>30</v>
      </c>
      <c r="S186" s="34" t="s">
        <v>26</v>
      </c>
      <c r="T186" s="34"/>
      <c r="U186" s="34"/>
      <c r="V186" s="34" t="s">
        <v>27</v>
      </c>
      <c r="W186" s="34" t="s">
        <v>28</v>
      </c>
      <c r="X186" s="38" t="s">
        <v>173</v>
      </c>
      <c r="Y186" s="62"/>
      <c r="Z186" s="38" t="e">
        <f t="shared" si="7"/>
        <v>#NUM!</v>
      </c>
      <c r="AA186" s="38"/>
      <c r="AB186" s="34"/>
      <c r="AC186" s="34"/>
      <c r="AD186" s="38"/>
      <c r="AE186" s="59" t="str">
        <f t="shared" si="8"/>
        <v>NO</v>
      </c>
      <c r="AF186" s="38" t="e" cm="1">
        <f t="array" aca="1" ref="AF186" ca="1">MIN(100, MAX(0, (IF(R186="ESTUDIANTE", 31, 0)) + (IF(I186&lt;=3, 30, IF(I186&lt;=6, 20, 0))) +(IF(OR(E186="413 - Control de Costes y Enlace Construcción", E186="480 - Secretaría General del Consejo", E186="132 - Civil y estructuras", E186="136 - Mecánica", E186="412 - Planificación", E186="142 - Compras"), 25, 0)) +(IF(OR(S186="GRADO ING. MECÁNICA", S186="GRADO ING. ELÉCTRICA", S186="GRADO DERECHO", S186="GRADO ECONOMÍA", S186="GRADO ING. TECNOLOGÍAS INDUSTRIALES"), 24, 0)) + (IF(AND(K186&gt;=451, K186&lt;=700), 23, 0)) + (IF(AND(AB186&gt;=5, AB186&lt;=8), 17, 0)) +(IF(_xludf.OR(_xludf.AND(AC186&gt;=8, AC186&lt;=10), _xludf.AND(AC186&gt;=0, AC186&lt;=5)), 16, 0)) + (IF(F186="Madrid", 11, 0))))</f>
        <v>#NAME?</v>
      </c>
      <c r="AG186" s="68"/>
      <c r="AH186" s="71" t="s">
        <v>164</v>
      </c>
    </row>
    <row r="187" spans="1:34" ht="14.4" x14ac:dyDescent="0.3">
      <c r="A187" s="66" t="s">
        <v>1166</v>
      </c>
      <c r="B187" s="66" t="s">
        <v>3283</v>
      </c>
      <c r="C187" s="33">
        <v>184</v>
      </c>
      <c r="D187" s="33" t="s">
        <v>5394</v>
      </c>
      <c r="E187" s="34" t="s">
        <v>5215</v>
      </c>
      <c r="F187" s="34" t="s">
        <v>118</v>
      </c>
      <c r="G187" s="57">
        <v>41050</v>
      </c>
      <c r="H187" s="57">
        <v>41414</v>
      </c>
      <c r="I187" s="34">
        <f t="shared" si="6"/>
        <v>11</v>
      </c>
      <c r="J187" s="34">
        <v>40</v>
      </c>
      <c r="K187" s="36">
        <v>900</v>
      </c>
      <c r="L187" s="34" t="s">
        <v>17</v>
      </c>
      <c r="M187" s="57">
        <v>34045</v>
      </c>
      <c r="N187" s="37">
        <f>(YEAR(TablaMadre[[#This Row],[ALTA]])-YEAR(M187))</f>
        <v>19</v>
      </c>
      <c r="O187" s="34" t="s">
        <v>118</v>
      </c>
      <c r="P187" s="34" t="s">
        <v>19</v>
      </c>
      <c r="Q187" s="34" t="s">
        <v>192</v>
      </c>
      <c r="R187" s="34" t="s">
        <v>21</v>
      </c>
      <c r="S187" s="34" t="s">
        <v>322</v>
      </c>
      <c r="T187" s="34"/>
      <c r="U187" s="34"/>
      <c r="V187" s="34" t="s">
        <v>37</v>
      </c>
      <c r="W187" s="34" t="s">
        <v>28</v>
      </c>
      <c r="X187" s="38" t="s">
        <v>173</v>
      </c>
      <c r="Y187" s="62"/>
      <c r="Z187" s="38" t="e">
        <f t="shared" si="7"/>
        <v>#NUM!</v>
      </c>
      <c r="AA187" s="38" t="s">
        <v>173</v>
      </c>
      <c r="AB187" s="34"/>
      <c r="AC187" s="34"/>
      <c r="AD187" s="38"/>
      <c r="AE187" s="59" t="str">
        <f t="shared" si="8"/>
        <v>NO</v>
      </c>
      <c r="AF187" s="38" t="e" cm="1">
        <f t="array" aca="1" ref="AF187" ca="1">MIN(100, MAX(0, (IF(R187="ESTUDIANTE", 31, 0)) + (IF(I187&lt;=3, 30, IF(I187&lt;=6, 20, 0))) +(IF(OR(E187="413 - Control de Costes y Enlace Construcción", E187="480 - Secretaría General del Consejo", E187="132 - Civil y estructuras", E187="136 - Mecánica", E187="412 - Planificación", E187="142 - Compras"), 25, 0)) +(IF(OR(S187="GRADO ING. MECÁNICA", S187="GRADO ING. ELÉCTRICA", S187="GRADO DERECHO", S187="GRADO ECONOMÍA", S187="GRADO ING. TECNOLOGÍAS INDUSTRIALES"), 24, 0)) + (IF(AND(K187&gt;=451, K187&lt;=700), 23, 0)) + (IF(AND(AB187&gt;=5, AB187&lt;=8), 17, 0)) +(IF(_xludf.OR(_xludf.AND(AC187&gt;=8, AC187&lt;=10), _xludf.AND(AC187&gt;=0, AC187&lt;=5)), 16, 0)) + (IF(F187="Madrid", 11, 0))))</f>
        <v>#NAME?</v>
      </c>
      <c r="AG187" s="68"/>
      <c r="AH187" s="71" t="s">
        <v>164</v>
      </c>
    </row>
    <row r="188" spans="1:34" ht="14.4" x14ac:dyDescent="0.3">
      <c r="A188" s="66" t="s">
        <v>1175</v>
      </c>
      <c r="B188" s="66" t="s">
        <v>3292</v>
      </c>
      <c r="C188" s="33">
        <v>186</v>
      </c>
      <c r="D188" s="33" t="s">
        <v>5395</v>
      </c>
      <c r="E188" s="34" t="s">
        <v>5215</v>
      </c>
      <c r="F188" s="34" t="s">
        <v>118</v>
      </c>
      <c r="G188" s="57">
        <v>41050</v>
      </c>
      <c r="H188" s="57">
        <v>41414</v>
      </c>
      <c r="I188" s="34">
        <f t="shared" si="6"/>
        <v>11</v>
      </c>
      <c r="J188" s="34">
        <v>40</v>
      </c>
      <c r="K188" s="36">
        <v>900</v>
      </c>
      <c r="L188" s="34" t="s">
        <v>17</v>
      </c>
      <c r="M188" s="57">
        <v>32775</v>
      </c>
      <c r="N188" s="37">
        <f>(YEAR(TablaMadre[[#This Row],[ALTA]])-YEAR(M188))</f>
        <v>23</v>
      </c>
      <c r="O188" s="34" t="s">
        <v>118</v>
      </c>
      <c r="P188" s="34" t="s">
        <v>19</v>
      </c>
      <c r="Q188" s="34" t="s">
        <v>20</v>
      </c>
      <c r="R188" s="34" t="s">
        <v>21</v>
      </c>
      <c r="S188" s="34" t="s">
        <v>151</v>
      </c>
      <c r="T188" s="34"/>
      <c r="U188" s="34"/>
      <c r="V188" s="34" t="s">
        <v>193</v>
      </c>
      <c r="W188" s="34" t="s">
        <v>28</v>
      </c>
      <c r="X188" s="38" t="s">
        <v>173</v>
      </c>
      <c r="Y188" s="62"/>
      <c r="Z188" s="38" t="e">
        <f t="shared" si="7"/>
        <v>#NUM!</v>
      </c>
      <c r="AA188" s="38" t="s">
        <v>173</v>
      </c>
      <c r="AB188" s="34"/>
      <c r="AC188" s="34"/>
      <c r="AD188" s="38"/>
      <c r="AE188" s="59" t="str">
        <f t="shared" si="8"/>
        <v>NO</v>
      </c>
      <c r="AF188" s="38" t="e" cm="1">
        <f t="array" aca="1" ref="AF188" ca="1">MIN(100, MAX(0, (IF(R188="ESTUDIANTE", 31, 0)) + (IF(I188&lt;=3, 30, IF(I188&lt;=6, 20, 0))) +(IF(OR(E188="413 - Control de Costes y Enlace Construcción", E188="480 - Secretaría General del Consejo", E188="132 - Civil y estructuras", E188="136 - Mecánica", E188="412 - Planificación", E188="142 - Compras"), 25, 0)) +(IF(OR(S188="GRADO ING. MECÁNICA", S188="GRADO ING. ELÉCTRICA", S188="GRADO DERECHO", S188="GRADO ECONOMÍA", S188="GRADO ING. TECNOLOGÍAS INDUSTRIALES"), 24, 0)) + (IF(AND(K188&gt;=451, K188&lt;=700), 23, 0)) + (IF(AND(AB188&gt;=5, AB188&lt;=8), 17, 0)) +(IF(_xludf.OR(_xludf.AND(AC188&gt;=8, AC188&lt;=10), _xludf.AND(AC188&gt;=0, AC188&lt;=5)), 16, 0)) + (IF(F188="Madrid", 11, 0))))</f>
        <v>#NAME?</v>
      </c>
      <c r="AG188" s="68"/>
      <c r="AH188" s="71" t="s">
        <v>164</v>
      </c>
    </row>
    <row r="189" spans="1:34" ht="14.4" x14ac:dyDescent="0.3">
      <c r="A189" s="66" t="s">
        <v>1167</v>
      </c>
      <c r="B189" s="66" t="s">
        <v>3284</v>
      </c>
      <c r="C189" s="33">
        <v>187</v>
      </c>
      <c r="D189" s="33" t="s">
        <v>5396</v>
      </c>
      <c r="E189" s="34" t="s">
        <v>5215</v>
      </c>
      <c r="F189" s="34" t="s">
        <v>118</v>
      </c>
      <c r="G189" s="57">
        <v>41051</v>
      </c>
      <c r="H189" s="57">
        <v>41415</v>
      </c>
      <c r="I189" s="34">
        <f t="shared" si="6"/>
        <v>11</v>
      </c>
      <c r="J189" s="34">
        <v>40</v>
      </c>
      <c r="K189" s="36">
        <v>700</v>
      </c>
      <c r="L189" s="34" t="s">
        <v>17</v>
      </c>
      <c r="M189" s="57">
        <v>32500</v>
      </c>
      <c r="N189" s="37">
        <f>(YEAR(TablaMadre[[#This Row],[ALTA]])-YEAR(M189))</f>
        <v>24</v>
      </c>
      <c r="O189" s="34" t="s">
        <v>118</v>
      </c>
      <c r="P189" s="34" t="s">
        <v>19</v>
      </c>
      <c r="Q189" s="34" t="s">
        <v>101</v>
      </c>
      <c r="R189" s="58" t="s">
        <v>30</v>
      </c>
      <c r="S189" s="34" t="s">
        <v>26</v>
      </c>
      <c r="T189" s="34"/>
      <c r="U189" s="34"/>
      <c r="V189" s="34" t="s">
        <v>27</v>
      </c>
      <c r="W189" s="34" t="s">
        <v>28</v>
      </c>
      <c r="X189" s="38" t="s">
        <v>164</v>
      </c>
      <c r="Y189" s="62">
        <v>42146</v>
      </c>
      <c r="Z189" s="38">
        <f t="shared" si="7"/>
        <v>2</v>
      </c>
      <c r="AA189" s="38"/>
      <c r="AB189" s="34"/>
      <c r="AC189" s="34"/>
      <c r="AD189" s="38"/>
      <c r="AE189" s="59" t="str">
        <f t="shared" si="8"/>
        <v>NO</v>
      </c>
      <c r="AF189" s="38" t="e" cm="1">
        <f t="array" aca="1" ref="AF189" ca="1">MIN(100, MAX(0, (IF(R189="ESTUDIANTE", 31, 0)) + (IF(I189&lt;=3, 30, IF(I189&lt;=6, 20, 0))) +(IF(OR(E189="413 - Control de Costes y Enlace Construcción", E189="480 - Secretaría General del Consejo", E189="132 - Civil y estructuras", E189="136 - Mecánica", E189="412 - Planificación", E189="142 - Compras"), 25, 0)) +(IF(OR(S189="GRADO ING. MECÁNICA", S189="GRADO ING. ELÉCTRICA", S189="GRADO DERECHO", S189="GRADO ECONOMÍA", S189="GRADO ING. TECNOLOGÍAS INDUSTRIALES"), 24, 0)) + (IF(AND(K189&gt;=451, K189&lt;=700), 23, 0)) + (IF(AND(AB189&gt;=5, AB189&lt;=8), 17, 0)) +(IF(_xludf.OR(_xludf.AND(AC189&gt;=8, AC189&lt;=10), _xludf.AND(AC189&gt;=0, AC189&lt;=5)), 16, 0)) + (IF(F189="Madrid", 11, 0))))</f>
        <v>#NAME?</v>
      </c>
      <c r="AG189" s="68"/>
      <c r="AH189" s="71" t="s">
        <v>164</v>
      </c>
    </row>
    <row r="190" spans="1:34" ht="14.4" x14ac:dyDescent="0.3">
      <c r="A190" s="66" t="s">
        <v>1168</v>
      </c>
      <c r="B190" s="66" t="s">
        <v>3285</v>
      </c>
      <c r="C190" s="33">
        <v>189</v>
      </c>
      <c r="D190" s="33" t="s">
        <v>5397</v>
      </c>
      <c r="E190" s="34" t="s">
        <v>5218</v>
      </c>
      <c r="F190" s="34" t="s">
        <v>18</v>
      </c>
      <c r="G190" s="57">
        <v>41062</v>
      </c>
      <c r="H190" s="57">
        <v>41305</v>
      </c>
      <c r="I190" s="34">
        <f t="shared" si="6"/>
        <v>7</v>
      </c>
      <c r="J190" s="34">
        <v>40</v>
      </c>
      <c r="K190" s="36">
        <v>900</v>
      </c>
      <c r="L190" s="34" t="s">
        <v>29</v>
      </c>
      <c r="M190" s="57">
        <v>34200</v>
      </c>
      <c r="N190" s="37">
        <f>(YEAR(TablaMadre[[#This Row],[ALTA]])-YEAR(M190))</f>
        <v>19</v>
      </c>
      <c r="O190" s="34" t="s">
        <v>176</v>
      </c>
      <c r="P190" s="34" t="s">
        <v>19</v>
      </c>
      <c r="Q190" s="34" t="s">
        <v>140</v>
      </c>
      <c r="R190" s="34" t="s">
        <v>21</v>
      </c>
      <c r="S190" s="34" t="s">
        <v>151</v>
      </c>
      <c r="T190" s="34"/>
      <c r="U190" s="34"/>
      <c r="V190" s="34" t="s">
        <v>69</v>
      </c>
      <c r="W190" s="34" t="s">
        <v>28</v>
      </c>
      <c r="X190" s="38" t="s">
        <v>164</v>
      </c>
      <c r="Y190" s="62">
        <v>43071</v>
      </c>
      <c r="Z190" s="38">
        <f t="shared" si="7"/>
        <v>4</v>
      </c>
      <c r="AA190" s="38"/>
      <c r="AB190" s="34"/>
      <c r="AC190" s="34"/>
      <c r="AD190" s="38"/>
      <c r="AE190" s="59" t="str">
        <f t="shared" si="8"/>
        <v>SÍ</v>
      </c>
      <c r="AF190" s="38" t="e" cm="1">
        <f t="array" aca="1" ref="AF190" ca="1">MIN(100, MAX(0, (IF(R190="ESTUDIANTE", 31, 0)) + (IF(I190&lt;=3, 30, IF(I190&lt;=6, 20, 0))) +(IF(OR(E190="413 - Control de Costes y Enlace Construcción", E190="480 - Secretaría General del Consejo", E190="132 - Civil y estructuras", E190="136 - Mecánica", E190="412 - Planificación", E190="142 - Compras"), 25, 0)) +(IF(OR(S190="GRADO ING. MECÁNICA", S190="GRADO ING. ELÉCTRICA", S190="GRADO DERECHO", S190="GRADO ECONOMÍA", S190="GRADO ING. TECNOLOGÍAS INDUSTRIALES"), 24, 0)) + (IF(AND(K190&gt;=451, K190&lt;=700), 23, 0)) + (IF(AND(AB190&gt;=5, AB190&lt;=8), 17, 0)) +(IF(_xludf.OR(_xludf.AND(AC190&gt;=8, AC190&lt;=10), _xludf.AND(AC190&gt;=0, AC190&lt;=5)), 16, 0)) + (IF(F190="Madrid", 11, 0))))</f>
        <v>#NAME?</v>
      </c>
      <c r="AG190" s="68"/>
      <c r="AH190" s="71" t="s">
        <v>164</v>
      </c>
    </row>
    <row r="191" spans="1:34" ht="14.4" x14ac:dyDescent="0.3">
      <c r="A191" s="66" t="s">
        <v>1169</v>
      </c>
      <c r="B191" s="66" t="s">
        <v>3286</v>
      </c>
      <c r="C191" s="33">
        <v>190</v>
      </c>
      <c r="D191" s="33" t="s">
        <v>5398</v>
      </c>
      <c r="E191" s="34" t="s">
        <v>5241</v>
      </c>
      <c r="F191" s="34" t="s">
        <v>18</v>
      </c>
      <c r="G191" s="57">
        <v>41068</v>
      </c>
      <c r="H191" s="57">
        <v>41486</v>
      </c>
      <c r="I191" s="34">
        <f t="shared" si="6"/>
        <v>13</v>
      </c>
      <c r="J191" s="34">
        <v>40</v>
      </c>
      <c r="K191" s="36">
        <v>900</v>
      </c>
      <c r="L191" s="34" t="s">
        <v>17</v>
      </c>
      <c r="M191" s="57">
        <v>33351</v>
      </c>
      <c r="N191" s="37">
        <f>(YEAR(TablaMadre[[#This Row],[ALTA]])-YEAR(M191))</f>
        <v>21</v>
      </c>
      <c r="O191" s="34" t="s">
        <v>18</v>
      </c>
      <c r="P191" s="34" t="s">
        <v>19</v>
      </c>
      <c r="Q191" s="34" t="s">
        <v>210</v>
      </c>
      <c r="R191" s="34" t="s">
        <v>21</v>
      </c>
      <c r="S191" s="34" t="s">
        <v>307</v>
      </c>
      <c r="T191" s="34"/>
      <c r="U191" s="34"/>
      <c r="V191" s="34" t="s">
        <v>22</v>
      </c>
      <c r="W191" s="34" t="s">
        <v>28</v>
      </c>
      <c r="X191" s="38" t="s">
        <v>173</v>
      </c>
      <c r="Y191" s="62"/>
      <c r="Z191" s="38" t="e">
        <f t="shared" si="7"/>
        <v>#NUM!</v>
      </c>
      <c r="AA191" s="38"/>
      <c r="AB191" s="34"/>
      <c r="AC191" s="34"/>
      <c r="AD191" s="38"/>
      <c r="AE191" s="59" t="str">
        <f t="shared" si="8"/>
        <v>NO</v>
      </c>
      <c r="AF191" s="38" t="e" cm="1">
        <f t="array" aca="1" ref="AF191" ca="1">MIN(100, MAX(0, (IF(R191="ESTUDIANTE", 31, 0)) + (IF(I191&lt;=3, 30, IF(I191&lt;=6, 20, 0))) +(IF(OR(E191="413 - Control de Costes y Enlace Construcción", E191="480 - Secretaría General del Consejo", E191="132 - Civil y estructuras", E191="136 - Mecánica", E191="412 - Planificación", E191="142 - Compras"), 25, 0)) +(IF(OR(S191="GRADO ING. MECÁNICA", S191="GRADO ING. ELÉCTRICA", S191="GRADO DERECHO", S191="GRADO ECONOMÍA", S191="GRADO ING. TECNOLOGÍAS INDUSTRIALES"), 24, 0)) + (IF(AND(K191&gt;=451, K191&lt;=700), 23, 0)) + (IF(AND(AB191&gt;=5, AB191&lt;=8), 17, 0)) +(IF(_xludf.OR(_xludf.AND(AC191&gt;=8, AC191&lt;=10), _xludf.AND(AC191&gt;=0, AC191&lt;=5)), 16, 0)) + (IF(F191="Madrid", 11, 0))))</f>
        <v>#NAME?</v>
      </c>
      <c r="AG191" s="68"/>
      <c r="AH191" s="71" t="s">
        <v>164</v>
      </c>
    </row>
    <row r="192" spans="1:34" ht="14.4" x14ac:dyDescent="0.3">
      <c r="A192" s="66" t="s">
        <v>1170</v>
      </c>
      <c r="B192" s="66" t="s">
        <v>3287</v>
      </c>
      <c r="C192" s="33">
        <v>191</v>
      </c>
      <c r="D192" s="33" t="s">
        <v>5399</v>
      </c>
      <c r="E192" s="34" t="s">
        <v>5235</v>
      </c>
      <c r="F192" s="34" t="s">
        <v>18</v>
      </c>
      <c r="G192" s="57">
        <v>41068</v>
      </c>
      <c r="H192" s="57">
        <v>41486</v>
      </c>
      <c r="I192" s="34">
        <f t="shared" si="6"/>
        <v>13</v>
      </c>
      <c r="J192" s="34">
        <v>40</v>
      </c>
      <c r="K192" s="36">
        <v>900</v>
      </c>
      <c r="L192" s="34" t="s">
        <v>17</v>
      </c>
      <c r="M192" s="57">
        <v>33343</v>
      </c>
      <c r="N192" s="37">
        <f>(YEAR(TablaMadre[[#This Row],[ALTA]])-YEAR(M192))</f>
        <v>21</v>
      </c>
      <c r="O192" s="34" t="s">
        <v>18</v>
      </c>
      <c r="P192" s="34" t="s">
        <v>19</v>
      </c>
      <c r="Q192" s="34" t="s">
        <v>214</v>
      </c>
      <c r="R192" s="34" t="s">
        <v>21</v>
      </c>
      <c r="S192" s="34" t="s">
        <v>960</v>
      </c>
      <c r="T192" s="34"/>
      <c r="U192" s="34"/>
      <c r="V192" s="34" t="s">
        <v>40</v>
      </c>
      <c r="W192" s="34" t="s">
        <v>28</v>
      </c>
      <c r="X192" s="38" t="s">
        <v>173</v>
      </c>
      <c r="Y192" s="62"/>
      <c r="Z192" s="38" t="e">
        <f t="shared" si="7"/>
        <v>#NUM!</v>
      </c>
      <c r="AA192" s="38"/>
      <c r="AB192" s="34"/>
      <c r="AC192" s="34">
        <v>9</v>
      </c>
      <c r="AD192" s="38"/>
      <c r="AE192" s="59" t="str">
        <f t="shared" si="8"/>
        <v>NO</v>
      </c>
      <c r="AF192" s="38" t="e" cm="1">
        <f t="array" aca="1" ref="AF192" ca="1">MIN(100, MAX(0, (IF(R192="ESTUDIANTE", 31, 0)) + (IF(I192&lt;=3, 30, IF(I192&lt;=6, 20, 0))) +(IF(OR(E192="413 - Control de Costes y Enlace Construcción", E192="480 - Secretaría General del Consejo", E192="132 - Civil y estructuras", E192="136 - Mecánica", E192="412 - Planificación", E192="142 - Compras"), 25, 0)) +(IF(OR(S192="GRADO ING. MECÁNICA", S192="GRADO ING. ELÉCTRICA", S192="GRADO DERECHO", S192="GRADO ECONOMÍA", S192="GRADO ING. TECNOLOGÍAS INDUSTRIALES"), 24, 0)) + (IF(AND(K192&gt;=451, K192&lt;=700), 23, 0)) + (IF(AND(AB192&gt;=5, AB192&lt;=8), 17, 0)) +(IF(_xludf.OR(_xludf.AND(AC192&gt;=8, AC192&lt;=10), _xludf.AND(AC192&gt;=0, AC192&lt;=5)), 16, 0)) + (IF(F192="Madrid", 11, 0))))</f>
        <v>#NAME?</v>
      </c>
      <c r="AG192" s="68"/>
      <c r="AH192" s="71" t="s">
        <v>164</v>
      </c>
    </row>
    <row r="193" spans="1:34" ht="14.4" x14ac:dyDescent="0.3">
      <c r="A193" s="66" t="s">
        <v>1200</v>
      </c>
      <c r="B193" s="66" t="s">
        <v>3317</v>
      </c>
      <c r="C193" s="33">
        <v>192</v>
      </c>
      <c r="D193" s="33" t="s">
        <v>5393</v>
      </c>
      <c r="E193" s="34" t="s">
        <v>5218</v>
      </c>
      <c r="F193" s="34" t="s">
        <v>18</v>
      </c>
      <c r="G193" s="57">
        <v>41075</v>
      </c>
      <c r="H193" s="57">
        <v>41166</v>
      </c>
      <c r="I193" s="34">
        <f t="shared" si="6"/>
        <v>2</v>
      </c>
      <c r="J193" s="34">
        <v>40</v>
      </c>
      <c r="K193" s="36">
        <v>900</v>
      </c>
      <c r="L193" s="34" t="s">
        <v>17</v>
      </c>
      <c r="M193" s="57">
        <v>34025</v>
      </c>
      <c r="N193" s="37">
        <f>(YEAR(TablaMadre[[#This Row],[ALTA]])-YEAR(M193))</f>
        <v>19</v>
      </c>
      <c r="O193" s="34" t="s">
        <v>18</v>
      </c>
      <c r="P193" s="34" t="s">
        <v>19</v>
      </c>
      <c r="Q193" s="34" t="s">
        <v>20</v>
      </c>
      <c r="R193" s="34" t="s">
        <v>21</v>
      </c>
      <c r="S193" s="34" t="s">
        <v>151</v>
      </c>
      <c r="T193" s="34"/>
      <c r="U193" s="34"/>
      <c r="V193" s="34" t="s">
        <v>22</v>
      </c>
      <c r="W193" s="34" t="s">
        <v>91</v>
      </c>
      <c r="X193" s="38" t="s">
        <v>164</v>
      </c>
      <c r="Y193" s="62"/>
      <c r="Z193" s="62" t="e">
        <f t="shared" si="7"/>
        <v>#NUM!</v>
      </c>
      <c r="AA193" s="62"/>
      <c r="AB193" s="34" t="s">
        <v>24</v>
      </c>
      <c r="AC193" s="34" t="s">
        <v>24</v>
      </c>
      <c r="AD193" s="38"/>
      <c r="AE193" s="59" t="str">
        <f t="shared" si="8"/>
        <v>NO</v>
      </c>
      <c r="AF193" s="38" t="e" cm="1">
        <f t="array" aca="1" ref="AF193" ca="1">MIN(100, MAX(0, (IF(R193="ESTUDIANTE", 31, 0)) + (IF(I193&lt;=3, 30, IF(I193&lt;=6, 20, 0))) +(IF(OR(E193="413 - Control de Costes y Enlace Construcción", E193="480 - Secretaría General del Consejo", E193="132 - Civil y estructuras", E193="136 - Mecánica", E193="412 - Planificación", E193="142 - Compras"), 25, 0)) +(IF(OR(S193="GRADO ING. MECÁNICA", S193="GRADO ING. ELÉCTRICA", S193="GRADO DERECHO", S193="GRADO ECONOMÍA", S193="GRADO ING. TECNOLOGÍAS INDUSTRIALES"), 24, 0)) + (IF(AND(K193&gt;=451, K193&lt;=700), 23, 0)) + (IF(AND(AB193&gt;=5, AB193&lt;=8), 17, 0)) +(IF(_xludf.OR(_xludf.AND(AC193&gt;=8, AC193&lt;=10), _xludf.AND(AC193&gt;=0, AC193&lt;=5)), 16, 0)) + (IF(F193="Madrid", 11, 0))))</f>
        <v>#NAME?</v>
      </c>
      <c r="AG193" s="68"/>
      <c r="AH193" s="71" t="s">
        <v>164</v>
      </c>
    </row>
    <row r="194" spans="1:34" ht="14.4" x14ac:dyDescent="0.3">
      <c r="A194" s="66" t="s">
        <v>1172</v>
      </c>
      <c r="B194" s="66" t="s">
        <v>3289</v>
      </c>
      <c r="C194" s="33">
        <v>193</v>
      </c>
      <c r="D194" s="33" t="s">
        <v>5394</v>
      </c>
      <c r="E194" s="34" t="s">
        <v>5252</v>
      </c>
      <c r="F194" s="34" t="s">
        <v>18</v>
      </c>
      <c r="G194" s="57">
        <v>41078</v>
      </c>
      <c r="H194" s="57">
        <v>41148</v>
      </c>
      <c r="I194" s="34">
        <f t="shared" ref="I194:I257" si="9">DATEDIF(G194, H194, "M")</f>
        <v>2</v>
      </c>
      <c r="J194" s="34">
        <v>20</v>
      </c>
      <c r="K194" s="36">
        <v>375</v>
      </c>
      <c r="L194" s="34" t="s">
        <v>17</v>
      </c>
      <c r="M194" s="57">
        <v>33654</v>
      </c>
      <c r="N194" s="37">
        <f>(YEAR(TablaMadre[[#This Row],[ALTA]])-YEAR(M194))</f>
        <v>20</v>
      </c>
      <c r="O194" s="34" t="s">
        <v>18</v>
      </c>
      <c r="P194" s="34" t="s">
        <v>19</v>
      </c>
      <c r="Q194" s="34" t="s">
        <v>140</v>
      </c>
      <c r="R194" s="58" t="s">
        <v>30</v>
      </c>
      <c r="S194" s="34" t="s">
        <v>151</v>
      </c>
      <c r="T194" s="34"/>
      <c r="U194" s="34"/>
      <c r="V194" s="34" t="s">
        <v>20</v>
      </c>
      <c r="W194" s="34" t="s">
        <v>28</v>
      </c>
      <c r="X194" s="38" t="s">
        <v>164</v>
      </c>
      <c r="Y194" s="62">
        <v>41720</v>
      </c>
      <c r="Z194" s="38">
        <f t="shared" ref="Z194:Z257" si="10">DATEDIF(H194, Y194, "y")</f>
        <v>1</v>
      </c>
      <c r="AA194" s="38"/>
      <c r="AB194" s="34" t="s">
        <v>24</v>
      </c>
      <c r="AC194" s="34" t="s">
        <v>34</v>
      </c>
      <c r="AD194" s="38"/>
      <c r="AE194" s="59" t="str">
        <f t="shared" si="8"/>
        <v>NO</v>
      </c>
      <c r="AF194" s="38" t="e" cm="1">
        <f t="array" aca="1" ref="AF194" ca="1">MIN(100, MAX(0, (IF(R194="ESTUDIANTE", 31, 0)) + (IF(I194&lt;=3, 30, IF(I194&lt;=6, 20, 0))) +(IF(OR(E194="413 - Control de Costes y Enlace Construcción", E194="480 - Secretaría General del Consejo", E194="132 - Civil y estructuras", E194="136 - Mecánica", E194="412 - Planificación", E194="142 - Compras"), 25, 0)) +(IF(OR(S194="GRADO ING. MECÁNICA", S194="GRADO ING. ELÉCTRICA", S194="GRADO DERECHO", S194="GRADO ECONOMÍA", S194="GRADO ING. TECNOLOGÍAS INDUSTRIALES"), 24, 0)) + (IF(AND(K194&gt;=451, K194&lt;=700), 23, 0)) + (IF(AND(AB194&gt;=5, AB194&lt;=8), 17, 0)) +(IF(_xludf.OR(_xludf.AND(AC194&gt;=8, AC194&lt;=10), _xludf.AND(AC194&gt;=0, AC194&lt;=5)), 16, 0)) + (IF(F194="Madrid", 11, 0))))</f>
        <v>#NAME?</v>
      </c>
      <c r="AG194" s="68"/>
      <c r="AH194" s="71" t="s">
        <v>164</v>
      </c>
    </row>
    <row r="195" spans="1:34" ht="14.4" x14ac:dyDescent="0.3">
      <c r="A195" s="66" t="s">
        <v>1173</v>
      </c>
      <c r="B195" s="66" t="s">
        <v>3290</v>
      </c>
      <c r="C195" s="33">
        <v>194</v>
      </c>
      <c r="D195" s="33" t="s">
        <v>5395</v>
      </c>
      <c r="E195" s="34" t="s">
        <v>5252</v>
      </c>
      <c r="F195" s="34" t="s">
        <v>18</v>
      </c>
      <c r="G195" s="57">
        <v>41078</v>
      </c>
      <c r="H195" s="57">
        <v>41148</v>
      </c>
      <c r="I195" s="34">
        <f t="shared" si="9"/>
        <v>2</v>
      </c>
      <c r="J195" s="34">
        <v>20</v>
      </c>
      <c r="K195" s="36">
        <v>375</v>
      </c>
      <c r="L195" s="34" t="s">
        <v>17</v>
      </c>
      <c r="M195" s="57">
        <v>33504</v>
      </c>
      <c r="N195" s="37">
        <f>(YEAR(TablaMadre[[#This Row],[ALTA]])-YEAR(M195))</f>
        <v>21</v>
      </c>
      <c r="O195" s="34" t="s">
        <v>68</v>
      </c>
      <c r="P195" s="34" t="s">
        <v>19</v>
      </c>
      <c r="Q195" s="34" t="s">
        <v>141</v>
      </c>
      <c r="R195" s="58" t="s">
        <v>30</v>
      </c>
      <c r="S195" s="34" t="s">
        <v>322</v>
      </c>
      <c r="T195" s="34"/>
      <c r="U195" s="34"/>
      <c r="V195" s="34" t="s">
        <v>79</v>
      </c>
      <c r="W195" s="34" t="s">
        <v>28</v>
      </c>
      <c r="X195" s="38" t="s">
        <v>164</v>
      </c>
      <c r="Y195" s="62">
        <v>41334</v>
      </c>
      <c r="Z195" s="38">
        <f t="shared" si="10"/>
        <v>0</v>
      </c>
      <c r="AA195" s="38"/>
      <c r="AB195" s="34" t="s">
        <v>24</v>
      </c>
      <c r="AC195" s="34" t="s">
        <v>34</v>
      </c>
      <c r="AD195" s="38"/>
      <c r="AE195" s="59" t="str">
        <f t="shared" ref="AE195:AE258" si="11">IF(F195=O195, "NO", "SÍ")</f>
        <v>SÍ</v>
      </c>
      <c r="AF195" s="38" t="e" cm="1">
        <f t="array" aca="1" ref="AF195" ca="1">MIN(100, MAX(0, (IF(R195="ESTUDIANTE", 31, 0)) + (IF(I195&lt;=3, 30, IF(I195&lt;=6, 20, 0))) +(IF(OR(E195="413 - Control de Costes y Enlace Construcción", E195="480 - Secretaría General del Consejo", E195="132 - Civil y estructuras", E195="136 - Mecánica", E195="412 - Planificación", E195="142 - Compras"), 25, 0)) +(IF(OR(S195="GRADO ING. MECÁNICA", S195="GRADO ING. ELÉCTRICA", S195="GRADO DERECHO", S195="GRADO ECONOMÍA", S195="GRADO ING. TECNOLOGÍAS INDUSTRIALES"), 24, 0)) + (IF(AND(K195&gt;=451, K195&lt;=700), 23, 0)) + (IF(AND(AB195&gt;=5, AB195&lt;=8), 17, 0)) +(IF(_xludf.OR(_xludf.AND(AC195&gt;=8, AC195&lt;=10), _xludf.AND(AC195&gt;=0, AC195&lt;=5)), 16, 0)) + (IF(F195="Madrid", 11, 0))))</f>
        <v>#NAME?</v>
      </c>
      <c r="AG195" s="68"/>
      <c r="AH195" s="71" t="s">
        <v>164</v>
      </c>
    </row>
    <row r="196" spans="1:34" ht="14.4" x14ac:dyDescent="0.3">
      <c r="A196" s="66" t="s">
        <v>1174</v>
      </c>
      <c r="B196" s="66" t="s">
        <v>3291</v>
      </c>
      <c r="C196" s="33">
        <v>195</v>
      </c>
      <c r="D196" s="33" t="s">
        <v>5396</v>
      </c>
      <c r="E196" s="34" t="s">
        <v>5252</v>
      </c>
      <c r="F196" s="34" t="s">
        <v>18</v>
      </c>
      <c r="G196" s="57">
        <v>41078</v>
      </c>
      <c r="H196" s="57">
        <v>41148</v>
      </c>
      <c r="I196" s="34">
        <f t="shared" si="9"/>
        <v>2</v>
      </c>
      <c r="J196" s="34">
        <v>20</v>
      </c>
      <c r="K196" s="36">
        <v>325</v>
      </c>
      <c r="L196" s="34" t="s">
        <v>29</v>
      </c>
      <c r="M196" s="57">
        <v>34163</v>
      </c>
      <c r="N196" s="37">
        <f>(YEAR(TablaMadre[[#This Row],[ALTA]])-YEAR(M196))</f>
        <v>19</v>
      </c>
      <c r="O196" s="34" t="s">
        <v>62</v>
      </c>
      <c r="P196" s="34" t="s">
        <v>19</v>
      </c>
      <c r="Q196" s="34" t="s">
        <v>20</v>
      </c>
      <c r="R196" s="58" t="s">
        <v>30</v>
      </c>
      <c r="S196" s="34" t="s">
        <v>151</v>
      </c>
      <c r="T196" s="34"/>
      <c r="U196" s="34"/>
      <c r="V196" s="34" t="s">
        <v>142</v>
      </c>
      <c r="W196" s="34" t="s">
        <v>28</v>
      </c>
      <c r="X196" s="38" t="s">
        <v>164</v>
      </c>
      <c r="Y196" s="62">
        <v>44113</v>
      </c>
      <c r="Z196" s="38">
        <f t="shared" si="10"/>
        <v>8</v>
      </c>
      <c r="AA196" s="38"/>
      <c r="AB196" s="34" t="s">
        <v>24</v>
      </c>
      <c r="AC196" s="34" t="s">
        <v>34</v>
      </c>
      <c r="AD196" s="38"/>
      <c r="AE196" s="59" t="str">
        <f t="shared" si="11"/>
        <v>SÍ</v>
      </c>
      <c r="AF196" s="38" t="e" cm="1">
        <f t="array" aca="1" ref="AF196" ca="1">MIN(100, MAX(0, (IF(R196="ESTUDIANTE", 31, 0)) + (IF(I196&lt;=3, 30, IF(I196&lt;=6, 20, 0))) +(IF(OR(E196="413 - Control de Costes y Enlace Construcción", E196="480 - Secretaría General del Consejo", E196="132 - Civil y estructuras", E196="136 - Mecánica", E196="412 - Planificación", E196="142 - Compras"), 25, 0)) +(IF(OR(S196="GRADO ING. MECÁNICA", S196="GRADO ING. ELÉCTRICA", S196="GRADO DERECHO", S196="GRADO ECONOMÍA", S196="GRADO ING. TECNOLOGÍAS INDUSTRIALES"), 24, 0)) + (IF(AND(K196&gt;=451, K196&lt;=700), 23, 0)) + (IF(AND(AB196&gt;=5, AB196&lt;=8), 17, 0)) +(IF(_xludf.OR(_xludf.AND(AC196&gt;=8, AC196&lt;=10), _xludf.AND(AC196&gt;=0, AC196&lt;=5)), 16, 0)) + (IF(F196="Madrid", 11, 0))))</f>
        <v>#NAME?</v>
      </c>
      <c r="AG196" s="68"/>
      <c r="AH196" s="71" t="s">
        <v>164</v>
      </c>
    </row>
    <row r="197" spans="1:34" ht="14.4" x14ac:dyDescent="0.3">
      <c r="A197" s="66" t="s">
        <v>1176</v>
      </c>
      <c r="B197" s="66" t="s">
        <v>3293</v>
      </c>
      <c r="C197" s="33">
        <v>197</v>
      </c>
      <c r="D197" s="33" t="s">
        <v>5397</v>
      </c>
      <c r="E197" s="34" t="s">
        <v>5252</v>
      </c>
      <c r="F197" s="34" t="s">
        <v>18</v>
      </c>
      <c r="G197" s="57">
        <v>41078</v>
      </c>
      <c r="H197" s="57">
        <v>41148</v>
      </c>
      <c r="I197" s="34">
        <f t="shared" si="9"/>
        <v>2</v>
      </c>
      <c r="J197" s="34">
        <v>20</v>
      </c>
      <c r="K197" s="36">
        <v>450</v>
      </c>
      <c r="L197" s="34" t="s">
        <v>17</v>
      </c>
      <c r="M197" s="57">
        <v>34197</v>
      </c>
      <c r="N197" s="37">
        <f>(YEAR(TablaMadre[[#This Row],[ALTA]])-YEAR(M197))</f>
        <v>19</v>
      </c>
      <c r="O197" s="34" t="s">
        <v>68</v>
      </c>
      <c r="P197" s="34" t="s">
        <v>19</v>
      </c>
      <c r="Q197" s="34" t="s">
        <v>36</v>
      </c>
      <c r="R197" s="58" t="s">
        <v>30</v>
      </c>
      <c r="S197" s="34" t="s">
        <v>307</v>
      </c>
      <c r="T197" s="34"/>
      <c r="U197" s="34"/>
      <c r="V197" s="34" t="s">
        <v>131</v>
      </c>
      <c r="W197" s="34" t="s">
        <v>28</v>
      </c>
      <c r="X197" s="38" t="s">
        <v>173</v>
      </c>
      <c r="Y197" s="62"/>
      <c r="Z197" s="38" t="e">
        <f t="shared" si="10"/>
        <v>#NUM!</v>
      </c>
      <c r="AA197" s="38"/>
      <c r="AB197" s="34" t="s">
        <v>24</v>
      </c>
      <c r="AC197" s="34" t="s">
        <v>34</v>
      </c>
      <c r="AD197" s="38"/>
      <c r="AE197" s="59" t="str">
        <f t="shared" si="11"/>
        <v>SÍ</v>
      </c>
      <c r="AF197" s="38" t="e" cm="1">
        <f t="array" aca="1" ref="AF197" ca="1">MIN(100, MAX(0, (IF(R197="ESTUDIANTE", 31, 0)) + (IF(I197&lt;=3, 30, IF(I197&lt;=6, 20, 0))) +(IF(OR(E197="413 - Control de Costes y Enlace Construcción", E197="480 - Secretaría General del Consejo", E197="132 - Civil y estructuras", E197="136 - Mecánica", E197="412 - Planificación", E197="142 - Compras"), 25, 0)) +(IF(OR(S197="GRADO ING. MECÁNICA", S197="GRADO ING. ELÉCTRICA", S197="GRADO DERECHO", S197="GRADO ECONOMÍA", S197="GRADO ING. TECNOLOGÍAS INDUSTRIALES"), 24, 0)) + (IF(AND(K197&gt;=451, K197&lt;=700), 23, 0)) + (IF(AND(AB197&gt;=5, AB197&lt;=8), 17, 0)) +(IF(_xludf.OR(_xludf.AND(AC197&gt;=8, AC197&lt;=10), _xludf.AND(AC197&gt;=0, AC197&lt;=5)), 16, 0)) + (IF(F197="Madrid", 11, 0))))</f>
        <v>#NAME?</v>
      </c>
      <c r="AG197" s="68"/>
      <c r="AH197" s="71" t="s">
        <v>164</v>
      </c>
    </row>
    <row r="198" spans="1:34" ht="14.4" x14ac:dyDescent="0.3">
      <c r="A198" s="66" t="s">
        <v>1177</v>
      </c>
      <c r="B198" s="66" t="s">
        <v>3294</v>
      </c>
      <c r="C198" s="33">
        <v>198</v>
      </c>
      <c r="D198" s="33" t="s">
        <v>5393</v>
      </c>
      <c r="E198" s="34" t="s">
        <v>5252</v>
      </c>
      <c r="F198" s="34" t="s">
        <v>18</v>
      </c>
      <c r="G198" s="57">
        <v>41078</v>
      </c>
      <c r="H198" s="57">
        <v>41148</v>
      </c>
      <c r="I198" s="34">
        <f t="shared" si="9"/>
        <v>2</v>
      </c>
      <c r="J198" s="34">
        <v>20</v>
      </c>
      <c r="K198" s="36">
        <v>450</v>
      </c>
      <c r="L198" s="34" t="s">
        <v>17</v>
      </c>
      <c r="M198" s="57">
        <v>32950</v>
      </c>
      <c r="N198" s="37">
        <f>(YEAR(TablaMadre[[#This Row],[ALTA]])-YEAR(M198))</f>
        <v>22</v>
      </c>
      <c r="O198" s="34" t="s">
        <v>411</v>
      </c>
      <c r="P198" s="34" t="s">
        <v>19</v>
      </c>
      <c r="Q198" s="34" t="s">
        <v>32</v>
      </c>
      <c r="R198" s="58" t="s">
        <v>30</v>
      </c>
      <c r="S198" s="34" t="s">
        <v>322</v>
      </c>
      <c r="T198" s="34"/>
      <c r="U198" s="34"/>
      <c r="V198" s="34" t="s">
        <v>32</v>
      </c>
      <c r="W198" s="34" t="s">
        <v>28</v>
      </c>
      <c r="X198" s="38" t="s">
        <v>164</v>
      </c>
      <c r="Y198" s="62">
        <v>43310</v>
      </c>
      <c r="Z198" s="38">
        <f t="shared" si="10"/>
        <v>5</v>
      </c>
      <c r="AA198" s="38"/>
      <c r="AB198" s="34" t="s">
        <v>24</v>
      </c>
      <c r="AC198" s="34" t="s">
        <v>34</v>
      </c>
      <c r="AD198" s="38"/>
      <c r="AE198" s="59" t="str">
        <f t="shared" si="11"/>
        <v>SÍ</v>
      </c>
      <c r="AF198" s="38" t="e" cm="1">
        <f t="array" aca="1" ref="AF198" ca="1">MIN(100, MAX(0, (IF(R198="ESTUDIANTE", 31, 0)) + (IF(I198&lt;=3, 30, IF(I198&lt;=6, 20, 0))) +(IF(OR(E198="413 - Control de Costes y Enlace Construcción", E198="480 - Secretaría General del Consejo", E198="132 - Civil y estructuras", E198="136 - Mecánica", E198="412 - Planificación", E198="142 - Compras"), 25, 0)) +(IF(OR(S198="GRADO ING. MECÁNICA", S198="GRADO ING. ELÉCTRICA", S198="GRADO DERECHO", S198="GRADO ECONOMÍA", S198="GRADO ING. TECNOLOGÍAS INDUSTRIALES"), 24, 0)) + (IF(AND(K198&gt;=451, K198&lt;=700), 23, 0)) + (IF(AND(AB198&gt;=5, AB198&lt;=8), 17, 0)) +(IF(_xludf.OR(_xludf.AND(AC198&gt;=8, AC198&lt;=10), _xludf.AND(AC198&gt;=0, AC198&lt;=5)), 16, 0)) + (IF(F198="Madrid", 11, 0))))</f>
        <v>#NAME?</v>
      </c>
      <c r="AG198" s="68"/>
      <c r="AH198" s="71" t="s">
        <v>164</v>
      </c>
    </row>
    <row r="199" spans="1:34" ht="14.4" x14ac:dyDescent="0.3">
      <c r="A199" s="66" t="s">
        <v>1291</v>
      </c>
      <c r="B199" s="66" t="s">
        <v>3408</v>
      </c>
      <c r="C199" s="33">
        <v>196</v>
      </c>
      <c r="D199" s="33" t="s">
        <v>5394</v>
      </c>
      <c r="E199" s="34" t="s">
        <v>5252</v>
      </c>
      <c r="F199" s="34" t="s">
        <v>18</v>
      </c>
      <c r="G199" s="57">
        <v>41078</v>
      </c>
      <c r="H199" s="57">
        <v>41148</v>
      </c>
      <c r="I199" s="34">
        <f t="shared" si="9"/>
        <v>2</v>
      </c>
      <c r="J199" s="34">
        <v>20</v>
      </c>
      <c r="K199" s="36">
        <v>450</v>
      </c>
      <c r="L199" s="34" t="s">
        <v>29</v>
      </c>
      <c r="M199" s="57">
        <v>32620</v>
      </c>
      <c r="N199" s="37">
        <f>(YEAR(TablaMadre[[#This Row],[ALTA]])-YEAR(M199))</f>
        <v>23</v>
      </c>
      <c r="O199" s="34" t="s">
        <v>143</v>
      </c>
      <c r="P199" s="34" t="s">
        <v>19</v>
      </c>
      <c r="Q199" s="34" t="s">
        <v>63</v>
      </c>
      <c r="R199" s="58" t="s">
        <v>30</v>
      </c>
      <c r="S199" s="34" t="s">
        <v>297</v>
      </c>
      <c r="T199" s="34"/>
      <c r="U199" s="34"/>
      <c r="V199" s="34" t="s">
        <v>40</v>
      </c>
      <c r="W199" s="34" t="s">
        <v>28</v>
      </c>
      <c r="X199" s="38" t="s">
        <v>173</v>
      </c>
      <c r="Y199" s="62"/>
      <c r="Z199" s="38" t="e">
        <f t="shared" si="10"/>
        <v>#NUM!</v>
      </c>
      <c r="AA199" s="38" t="s">
        <v>173</v>
      </c>
      <c r="AB199" s="34" t="s">
        <v>24</v>
      </c>
      <c r="AC199" s="34" t="s">
        <v>34</v>
      </c>
      <c r="AD199" s="38"/>
      <c r="AE199" s="59" t="str">
        <f t="shared" si="11"/>
        <v>SÍ</v>
      </c>
      <c r="AF199" s="38" t="e" cm="1">
        <f t="array" aca="1" ref="AF199" ca="1">MIN(100, MAX(0, (IF(R199="ESTUDIANTE", 31, 0)) + (IF(I199&lt;=3, 30, IF(I199&lt;=6, 20, 0))) +(IF(OR(E199="413 - Control de Costes y Enlace Construcción", E199="480 - Secretaría General del Consejo", E199="132 - Civil y estructuras", E199="136 - Mecánica", E199="412 - Planificación", E199="142 - Compras"), 25, 0)) +(IF(OR(S199="GRADO ING. MECÁNICA", S199="GRADO ING. ELÉCTRICA", S199="GRADO DERECHO", S199="GRADO ECONOMÍA", S199="GRADO ING. TECNOLOGÍAS INDUSTRIALES"), 24, 0)) + (IF(AND(K199&gt;=451, K199&lt;=700), 23, 0)) + (IF(AND(AB199&gt;=5, AB199&lt;=8), 17, 0)) +(IF(_xludf.OR(_xludf.AND(AC199&gt;=8, AC199&lt;=10), _xludf.AND(AC199&gt;=0, AC199&lt;=5)), 16, 0)) + (IF(F199="Madrid", 11, 0))))</f>
        <v>#NAME?</v>
      </c>
      <c r="AG199" s="68"/>
      <c r="AH199" s="71" t="s">
        <v>164</v>
      </c>
    </row>
    <row r="200" spans="1:34" ht="14.4" x14ac:dyDescent="0.3">
      <c r="A200" s="66" t="s">
        <v>1180</v>
      </c>
      <c r="B200" s="66" t="s">
        <v>3297</v>
      </c>
      <c r="C200" s="33">
        <v>201</v>
      </c>
      <c r="D200" s="33" t="s">
        <v>5395</v>
      </c>
      <c r="E200" s="34" t="s">
        <v>5216</v>
      </c>
      <c r="F200" s="34" t="s">
        <v>18</v>
      </c>
      <c r="G200" s="57">
        <v>41085</v>
      </c>
      <c r="H200" s="57">
        <v>41264</v>
      </c>
      <c r="I200" s="34">
        <f t="shared" si="9"/>
        <v>5</v>
      </c>
      <c r="J200" s="34">
        <v>40</v>
      </c>
      <c r="K200" s="36">
        <v>900</v>
      </c>
      <c r="L200" s="34" t="s">
        <v>17</v>
      </c>
      <c r="M200" s="57">
        <v>32192</v>
      </c>
      <c r="N200" s="37">
        <f>(YEAR(TablaMadre[[#This Row],[ALTA]])-YEAR(M200))</f>
        <v>24</v>
      </c>
      <c r="O200" s="34" t="s">
        <v>18</v>
      </c>
      <c r="P200" s="34" t="s">
        <v>19</v>
      </c>
      <c r="Q200" s="34" t="s">
        <v>38</v>
      </c>
      <c r="R200" s="34" t="s">
        <v>21</v>
      </c>
      <c r="S200" s="34" t="s">
        <v>960</v>
      </c>
      <c r="T200" s="34"/>
      <c r="U200" s="34"/>
      <c r="V200" s="34" t="s">
        <v>40</v>
      </c>
      <c r="W200" s="34" t="s">
        <v>28</v>
      </c>
      <c r="X200" s="38" t="s">
        <v>164</v>
      </c>
      <c r="Y200" s="62">
        <v>41695</v>
      </c>
      <c r="Z200" s="38">
        <f t="shared" si="10"/>
        <v>1</v>
      </c>
      <c r="AA200" s="38"/>
      <c r="AB200" s="34"/>
      <c r="AC200" s="34"/>
      <c r="AD200" s="38"/>
      <c r="AE200" s="59" t="str">
        <f t="shared" si="11"/>
        <v>NO</v>
      </c>
      <c r="AF200" s="38" t="e" cm="1">
        <f t="array" aca="1" ref="AF200" ca="1">MIN(100, MAX(0, (IF(R200="ESTUDIANTE", 31, 0)) + (IF(I200&lt;=3, 30, IF(I200&lt;=6, 20, 0))) +(IF(OR(E200="413 - Control de Costes y Enlace Construcción", E200="480 - Secretaría General del Consejo", E200="132 - Civil y estructuras", E200="136 - Mecánica", E200="412 - Planificación", E200="142 - Compras"), 25, 0)) +(IF(OR(S200="GRADO ING. MECÁNICA", S200="GRADO ING. ELÉCTRICA", S200="GRADO DERECHO", S200="GRADO ECONOMÍA", S200="GRADO ING. TECNOLOGÍAS INDUSTRIALES"), 24, 0)) + (IF(AND(K200&gt;=451, K200&lt;=700), 23, 0)) + (IF(AND(AB200&gt;=5, AB200&lt;=8), 17, 0)) +(IF(_xludf.OR(_xludf.AND(AC200&gt;=8, AC200&lt;=10), _xludf.AND(AC200&gt;=0, AC200&lt;=5)), 16, 0)) + (IF(F200="Madrid", 11, 0))))</f>
        <v>#NAME?</v>
      </c>
      <c r="AG200" s="68"/>
      <c r="AH200" s="71" t="s">
        <v>164</v>
      </c>
    </row>
    <row r="201" spans="1:34" ht="14.4" x14ac:dyDescent="0.3">
      <c r="A201" s="66" t="s">
        <v>1201</v>
      </c>
      <c r="B201" s="66" t="s">
        <v>3318</v>
      </c>
      <c r="C201" s="33">
        <v>199</v>
      </c>
      <c r="D201" s="33" t="s">
        <v>5396</v>
      </c>
      <c r="E201" s="34" t="s">
        <v>5241</v>
      </c>
      <c r="F201" s="34" t="s">
        <v>18</v>
      </c>
      <c r="G201" s="57">
        <v>41085</v>
      </c>
      <c r="H201" s="57">
        <v>41145</v>
      </c>
      <c r="I201" s="34">
        <f t="shared" si="9"/>
        <v>1</v>
      </c>
      <c r="J201" s="34">
        <v>40</v>
      </c>
      <c r="K201" s="36">
        <v>1350</v>
      </c>
      <c r="L201" s="34" t="s">
        <v>17</v>
      </c>
      <c r="M201" s="57">
        <v>35790</v>
      </c>
      <c r="N201" s="37">
        <f>(YEAR(TablaMadre[[#This Row],[ALTA]])-YEAR(M201))</f>
        <v>15</v>
      </c>
      <c r="O201" s="34" t="s">
        <v>414</v>
      </c>
      <c r="P201" s="34" t="s">
        <v>139</v>
      </c>
      <c r="Q201" s="34" t="s">
        <v>63</v>
      </c>
      <c r="R201" s="34" t="s">
        <v>21</v>
      </c>
      <c r="S201" s="34" t="s">
        <v>297</v>
      </c>
      <c r="T201" s="34"/>
      <c r="U201" s="34"/>
      <c r="V201" s="34" t="s">
        <v>90</v>
      </c>
      <c r="W201" s="34" t="s">
        <v>91</v>
      </c>
      <c r="X201" s="38" t="s">
        <v>164</v>
      </c>
      <c r="Y201" s="62"/>
      <c r="Z201" s="62" t="e">
        <f t="shared" si="10"/>
        <v>#NUM!</v>
      </c>
      <c r="AA201" s="62"/>
      <c r="AB201" s="34" t="s">
        <v>24</v>
      </c>
      <c r="AC201" s="34" t="s">
        <v>24</v>
      </c>
      <c r="AD201" s="38"/>
      <c r="AE201" s="59" t="str">
        <f t="shared" si="11"/>
        <v>SÍ</v>
      </c>
      <c r="AF201" s="38" t="e" cm="1">
        <f t="array" aca="1" ref="AF201" ca="1">MIN(100, MAX(0, (IF(R201="ESTUDIANTE", 31, 0)) + (IF(I201&lt;=3, 30, IF(I201&lt;=6, 20, 0))) +(IF(OR(E201="413 - Control de Costes y Enlace Construcción", E201="480 - Secretaría General del Consejo", E201="132 - Civil y estructuras", E201="136 - Mecánica", E201="412 - Planificación", E201="142 - Compras"), 25, 0)) +(IF(OR(S201="GRADO ING. MECÁNICA", S201="GRADO ING. ELÉCTRICA", S201="GRADO DERECHO", S201="GRADO ECONOMÍA", S201="GRADO ING. TECNOLOGÍAS INDUSTRIALES"), 24, 0)) + (IF(AND(K201&gt;=451, K201&lt;=700), 23, 0)) + (IF(AND(AB201&gt;=5, AB201&lt;=8), 17, 0)) +(IF(_xludf.OR(_xludf.AND(AC201&gt;=8, AC201&lt;=10), _xludf.AND(AC201&gt;=0, AC201&lt;=5)), 16, 0)) + (IF(F201="Madrid", 11, 0))))</f>
        <v>#NAME?</v>
      </c>
      <c r="AG201" s="68"/>
      <c r="AH201" s="71" t="s">
        <v>164</v>
      </c>
    </row>
    <row r="202" spans="1:34" ht="14.4" x14ac:dyDescent="0.3">
      <c r="A202" s="66" t="s">
        <v>1203</v>
      </c>
      <c r="B202" s="66" t="s">
        <v>3320</v>
      </c>
      <c r="C202" s="33">
        <v>200</v>
      </c>
      <c r="D202" s="33" t="s">
        <v>5397</v>
      </c>
      <c r="E202" s="34" t="s">
        <v>5258</v>
      </c>
      <c r="F202" s="34" t="s">
        <v>18</v>
      </c>
      <c r="G202" s="57">
        <v>41085</v>
      </c>
      <c r="H202" s="57">
        <v>41180</v>
      </c>
      <c r="I202" s="34">
        <f t="shared" si="9"/>
        <v>3</v>
      </c>
      <c r="J202" s="34">
        <v>40</v>
      </c>
      <c r="K202" s="36">
        <v>650</v>
      </c>
      <c r="L202" s="34" t="s">
        <v>17</v>
      </c>
      <c r="M202" s="57">
        <v>33907</v>
      </c>
      <c r="N202" s="37">
        <f>(YEAR(TablaMadre[[#This Row],[ALTA]])-YEAR(M202))</f>
        <v>20</v>
      </c>
      <c r="O202" s="34" t="s">
        <v>18</v>
      </c>
      <c r="P202" s="34" t="s">
        <v>19</v>
      </c>
      <c r="Q202" s="34" t="s">
        <v>58</v>
      </c>
      <c r="R202" s="58" t="s">
        <v>30</v>
      </c>
      <c r="S202" s="34" t="s">
        <v>229</v>
      </c>
      <c r="T202" s="34"/>
      <c r="U202" s="34"/>
      <c r="V202" s="34" t="s">
        <v>56</v>
      </c>
      <c r="W202" s="34" t="s">
        <v>91</v>
      </c>
      <c r="X202" s="38" t="s">
        <v>164</v>
      </c>
      <c r="Y202" s="62"/>
      <c r="Z202" s="62" t="e">
        <f t="shared" si="10"/>
        <v>#NUM!</v>
      </c>
      <c r="AA202" s="62"/>
      <c r="AB202" s="34" t="s">
        <v>24</v>
      </c>
      <c r="AC202" s="34" t="s">
        <v>24</v>
      </c>
      <c r="AD202" s="38"/>
      <c r="AE202" s="59" t="str">
        <f t="shared" si="11"/>
        <v>NO</v>
      </c>
      <c r="AF202" s="38" t="e" cm="1">
        <f t="array" aca="1" ref="AF202" ca="1">MIN(100, MAX(0, (IF(R202="ESTUDIANTE", 31, 0)) + (IF(I202&lt;=3, 30, IF(I202&lt;=6, 20, 0))) +(IF(OR(E202="413 - Control de Costes y Enlace Construcción", E202="480 - Secretaría General del Consejo", E202="132 - Civil y estructuras", E202="136 - Mecánica", E202="412 - Planificación", E202="142 - Compras"), 25, 0)) +(IF(OR(S202="GRADO ING. MECÁNICA", S202="GRADO ING. ELÉCTRICA", S202="GRADO DERECHO", S202="GRADO ECONOMÍA", S202="GRADO ING. TECNOLOGÍAS INDUSTRIALES"), 24, 0)) + (IF(AND(K202&gt;=451, K202&lt;=700), 23, 0)) + (IF(AND(AB202&gt;=5, AB202&lt;=8), 17, 0)) +(IF(_xludf.OR(_xludf.AND(AC202&gt;=8, AC202&lt;=10), _xludf.AND(AC202&gt;=0, AC202&lt;=5)), 16, 0)) + (IF(F202="Madrid", 11, 0))))</f>
        <v>#NAME?</v>
      </c>
      <c r="AG202" s="68"/>
      <c r="AH202" s="71" t="s">
        <v>164</v>
      </c>
    </row>
    <row r="203" spans="1:34" ht="14.4" x14ac:dyDescent="0.3">
      <c r="A203" s="66" t="s">
        <v>1181</v>
      </c>
      <c r="B203" s="66" t="s">
        <v>3298</v>
      </c>
      <c r="C203" s="33">
        <v>202</v>
      </c>
      <c r="D203" s="33" t="s">
        <v>5398</v>
      </c>
      <c r="E203" s="34" t="s">
        <v>5216</v>
      </c>
      <c r="F203" s="34" t="s">
        <v>18</v>
      </c>
      <c r="G203" s="57">
        <v>41098</v>
      </c>
      <c r="H203" s="57">
        <v>41455</v>
      </c>
      <c r="I203" s="34">
        <f t="shared" si="9"/>
        <v>11</v>
      </c>
      <c r="J203" s="34">
        <v>40</v>
      </c>
      <c r="K203" s="36">
        <v>900</v>
      </c>
      <c r="L203" s="34" t="s">
        <v>17</v>
      </c>
      <c r="M203" s="57">
        <v>35176</v>
      </c>
      <c r="N203" s="37">
        <f>(YEAR(TablaMadre[[#This Row],[ALTA]])-YEAR(M203))</f>
        <v>16</v>
      </c>
      <c r="O203" s="34" t="s">
        <v>18</v>
      </c>
      <c r="P203" s="34" t="s">
        <v>19</v>
      </c>
      <c r="Q203" s="34" t="s">
        <v>63</v>
      </c>
      <c r="R203" s="34" t="s">
        <v>21</v>
      </c>
      <c r="S203" s="34" t="s">
        <v>297</v>
      </c>
      <c r="T203" s="34"/>
      <c r="U203" s="34"/>
      <c r="V203" s="34" t="s">
        <v>40</v>
      </c>
      <c r="W203" s="34" t="s">
        <v>28</v>
      </c>
      <c r="X203" s="38" t="s">
        <v>164</v>
      </c>
      <c r="Y203" s="62">
        <v>44882</v>
      </c>
      <c r="Z203" s="38">
        <f t="shared" si="10"/>
        <v>9</v>
      </c>
      <c r="AA203" s="38"/>
      <c r="AB203" s="34"/>
      <c r="AC203" s="34"/>
      <c r="AD203" s="38"/>
      <c r="AE203" s="59" t="str">
        <f t="shared" si="11"/>
        <v>NO</v>
      </c>
      <c r="AF203" s="38" t="e" cm="1">
        <f t="array" aca="1" ref="AF203" ca="1">MIN(100, MAX(0, (IF(R203="ESTUDIANTE", 31, 0)) + (IF(I203&lt;=3, 30, IF(I203&lt;=6, 20, 0))) +(IF(OR(E203="413 - Control de Costes y Enlace Construcción", E203="480 - Secretaría General del Consejo", E203="132 - Civil y estructuras", E203="136 - Mecánica", E203="412 - Planificación", E203="142 - Compras"), 25, 0)) +(IF(OR(S203="GRADO ING. MECÁNICA", S203="GRADO ING. ELÉCTRICA", S203="GRADO DERECHO", S203="GRADO ECONOMÍA", S203="GRADO ING. TECNOLOGÍAS INDUSTRIALES"), 24, 0)) + (IF(AND(K203&gt;=451, K203&lt;=700), 23, 0)) + (IF(AND(AB203&gt;=5, AB203&lt;=8), 17, 0)) +(IF(_xludf.OR(_xludf.AND(AC203&gt;=8, AC203&lt;=10), _xludf.AND(AC203&gt;=0, AC203&lt;=5)), 16, 0)) + (IF(F203="Madrid", 11, 0))))</f>
        <v>#NAME?</v>
      </c>
      <c r="AG203" s="68"/>
      <c r="AH203" s="71" t="s">
        <v>164</v>
      </c>
    </row>
    <row r="204" spans="1:34" ht="14.4" x14ac:dyDescent="0.3">
      <c r="A204" s="66" t="s">
        <v>1184</v>
      </c>
      <c r="B204" s="66" t="s">
        <v>3301</v>
      </c>
      <c r="C204" s="33">
        <v>205</v>
      </c>
      <c r="D204" s="33" t="s">
        <v>5399</v>
      </c>
      <c r="E204" s="34" t="s">
        <v>5216</v>
      </c>
      <c r="F204" s="34" t="s">
        <v>18</v>
      </c>
      <c r="G204" s="57">
        <v>41106</v>
      </c>
      <c r="H204" s="57">
        <v>41289</v>
      </c>
      <c r="I204" s="34">
        <f t="shared" si="9"/>
        <v>5</v>
      </c>
      <c r="J204" s="34">
        <v>40</v>
      </c>
      <c r="K204" s="36">
        <v>900</v>
      </c>
      <c r="L204" s="34" t="s">
        <v>17</v>
      </c>
      <c r="M204" s="57">
        <v>34773</v>
      </c>
      <c r="N204" s="37">
        <f>(YEAR(TablaMadre[[#This Row],[ALTA]])-YEAR(M204))</f>
        <v>17</v>
      </c>
      <c r="O204" s="34" t="s">
        <v>558</v>
      </c>
      <c r="P204" s="34" t="s">
        <v>19</v>
      </c>
      <c r="Q204" s="34" t="s">
        <v>63</v>
      </c>
      <c r="R204" s="34" t="s">
        <v>21</v>
      </c>
      <c r="S204" s="34" t="s">
        <v>297</v>
      </c>
      <c r="T204" s="34"/>
      <c r="U204" s="34"/>
      <c r="V204" s="34" t="s">
        <v>51</v>
      </c>
      <c r="W204" s="34" t="s">
        <v>28</v>
      </c>
      <c r="X204" s="38" t="s">
        <v>164</v>
      </c>
      <c r="Y204" s="62">
        <v>44784</v>
      </c>
      <c r="Z204" s="38">
        <f t="shared" si="10"/>
        <v>9</v>
      </c>
      <c r="AA204" s="38"/>
      <c r="AB204" s="34"/>
      <c r="AC204" s="34"/>
      <c r="AD204" s="38"/>
      <c r="AE204" s="59" t="str">
        <f t="shared" si="11"/>
        <v>SÍ</v>
      </c>
      <c r="AF204" s="38" t="e" cm="1">
        <f t="array" aca="1" ref="AF204" ca="1">MIN(100, MAX(0, (IF(R204="ESTUDIANTE", 31, 0)) + (IF(I204&lt;=3, 30, IF(I204&lt;=6, 20, 0))) +(IF(OR(E204="413 - Control de Costes y Enlace Construcción", E204="480 - Secretaría General del Consejo", E204="132 - Civil y estructuras", E204="136 - Mecánica", E204="412 - Planificación", E204="142 - Compras"), 25, 0)) +(IF(OR(S204="GRADO ING. MECÁNICA", S204="GRADO ING. ELÉCTRICA", S204="GRADO DERECHO", S204="GRADO ECONOMÍA", S204="GRADO ING. TECNOLOGÍAS INDUSTRIALES"), 24, 0)) + (IF(AND(K204&gt;=451, K204&lt;=700), 23, 0)) + (IF(AND(AB204&gt;=5, AB204&lt;=8), 17, 0)) +(IF(_xludf.OR(_xludf.AND(AC204&gt;=8, AC204&lt;=10), _xludf.AND(AC204&gt;=0, AC204&lt;=5)), 16, 0)) + (IF(F204="Madrid", 11, 0))))</f>
        <v>#NAME?</v>
      </c>
      <c r="AG204" s="68"/>
      <c r="AH204" s="71" t="s">
        <v>164</v>
      </c>
    </row>
    <row r="205" spans="1:34" ht="14.4" x14ac:dyDescent="0.3">
      <c r="A205" s="66" t="s">
        <v>1185</v>
      </c>
      <c r="B205" s="66" t="s">
        <v>3302</v>
      </c>
      <c r="C205" s="33">
        <v>206</v>
      </c>
      <c r="D205" s="33" t="s">
        <v>5400</v>
      </c>
      <c r="E205" s="34" t="s">
        <v>5235</v>
      </c>
      <c r="F205" s="34" t="s">
        <v>18</v>
      </c>
      <c r="G205" s="57">
        <v>41106</v>
      </c>
      <c r="H205" s="57">
        <v>41406</v>
      </c>
      <c r="I205" s="34">
        <f t="shared" si="9"/>
        <v>9</v>
      </c>
      <c r="J205" s="34">
        <v>40</v>
      </c>
      <c r="K205" s="36">
        <v>900</v>
      </c>
      <c r="L205" s="34" t="s">
        <v>29</v>
      </c>
      <c r="M205" s="57">
        <v>36061</v>
      </c>
      <c r="N205" s="37">
        <f>(YEAR(TablaMadre[[#This Row],[ALTA]])-YEAR(M205))</f>
        <v>14</v>
      </c>
      <c r="O205" s="34" t="s">
        <v>70</v>
      </c>
      <c r="P205" s="34" t="s">
        <v>19</v>
      </c>
      <c r="Q205" s="34" t="s">
        <v>190</v>
      </c>
      <c r="R205" s="34" t="s">
        <v>21</v>
      </c>
      <c r="S205" s="34" t="s">
        <v>354</v>
      </c>
      <c r="T205" s="34"/>
      <c r="U205" s="34"/>
      <c r="V205" s="34" t="s">
        <v>188</v>
      </c>
      <c r="W205" s="34" t="s">
        <v>28</v>
      </c>
      <c r="X205" s="38" t="s">
        <v>164</v>
      </c>
      <c r="Y205" s="62">
        <v>44233</v>
      </c>
      <c r="Z205" s="38">
        <f t="shared" si="10"/>
        <v>7</v>
      </c>
      <c r="AA205" s="38"/>
      <c r="AB205" s="34"/>
      <c r="AC205" s="34"/>
      <c r="AD205" s="38"/>
      <c r="AE205" s="59" t="str">
        <f t="shared" si="11"/>
        <v>SÍ</v>
      </c>
      <c r="AF205" s="38" t="e" cm="1">
        <f t="array" aca="1" ref="AF205" ca="1">MIN(100, MAX(0, (IF(R205="ESTUDIANTE", 31, 0)) + (IF(I205&lt;=3, 30, IF(I205&lt;=6, 20, 0))) +(IF(OR(E205="413 - Control de Costes y Enlace Construcción", E205="480 - Secretaría General del Consejo", E205="132 - Civil y estructuras", E205="136 - Mecánica", E205="412 - Planificación", E205="142 - Compras"), 25, 0)) +(IF(OR(S205="GRADO ING. MECÁNICA", S205="GRADO ING. ELÉCTRICA", S205="GRADO DERECHO", S205="GRADO ECONOMÍA", S205="GRADO ING. TECNOLOGÍAS INDUSTRIALES"), 24, 0)) + (IF(AND(K205&gt;=451, K205&lt;=700), 23, 0)) + (IF(AND(AB205&gt;=5, AB205&lt;=8), 17, 0)) +(IF(_xludf.OR(_xludf.AND(AC205&gt;=8, AC205&lt;=10), _xludf.AND(AC205&gt;=0, AC205&lt;=5)), 16, 0)) + (IF(F205="Madrid", 11, 0))))</f>
        <v>#NAME?</v>
      </c>
      <c r="AG205" s="68"/>
      <c r="AH205" s="71" t="s">
        <v>164</v>
      </c>
    </row>
    <row r="206" spans="1:34" ht="14.4" x14ac:dyDescent="0.3">
      <c r="A206" s="66" t="s">
        <v>1186</v>
      </c>
      <c r="B206" s="66" t="s">
        <v>3303</v>
      </c>
      <c r="C206" s="33">
        <v>207</v>
      </c>
      <c r="D206" s="33" t="s">
        <v>5401</v>
      </c>
      <c r="E206" s="34" t="s">
        <v>5235</v>
      </c>
      <c r="F206" s="34" t="s">
        <v>18</v>
      </c>
      <c r="G206" s="57">
        <v>41106</v>
      </c>
      <c r="H206" s="57">
        <v>41470</v>
      </c>
      <c r="I206" s="34">
        <f t="shared" si="9"/>
        <v>11</v>
      </c>
      <c r="J206" s="34">
        <v>40</v>
      </c>
      <c r="K206" s="36">
        <v>900</v>
      </c>
      <c r="L206" s="34" t="s">
        <v>17</v>
      </c>
      <c r="M206" s="57">
        <v>33708</v>
      </c>
      <c r="N206" s="37">
        <f>(YEAR(TablaMadre[[#This Row],[ALTA]])-YEAR(M206))</f>
        <v>20</v>
      </c>
      <c r="O206" s="34" t="s">
        <v>70</v>
      </c>
      <c r="P206" s="34" t="s">
        <v>19</v>
      </c>
      <c r="Q206" s="34" t="s">
        <v>61</v>
      </c>
      <c r="R206" s="34" t="s">
        <v>21</v>
      </c>
      <c r="S206" s="34" t="s">
        <v>322</v>
      </c>
      <c r="T206" s="34"/>
      <c r="U206" s="34"/>
      <c r="V206" s="34" t="s">
        <v>69</v>
      </c>
      <c r="W206" s="34" t="s">
        <v>28</v>
      </c>
      <c r="X206" s="38" t="s">
        <v>164</v>
      </c>
      <c r="Y206" s="62">
        <v>41809</v>
      </c>
      <c r="Z206" s="38">
        <f t="shared" si="10"/>
        <v>0</v>
      </c>
      <c r="AA206" s="38"/>
      <c r="AB206" s="34"/>
      <c r="AC206" s="34"/>
      <c r="AD206" s="38"/>
      <c r="AE206" s="59" t="str">
        <f t="shared" si="11"/>
        <v>SÍ</v>
      </c>
      <c r="AF206" s="38" t="e" cm="1">
        <f t="array" aca="1" ref="AF206" ca="1">MIN(100, MAX(0, (IF(R206="ESTUDIANTE", 31, 0)) + (IF(I206&lt;=3, 30, IF(I206&lt;=6, 20, 0))) +(IF(OR(E206="413 - Control de Costes y Enlace Construcción", E206="480 - Secretaría General del Consejo", E206="132 - Civil y estructuras", E206="136 - Mecánica", E206="412 - Planificación", E206="142 - Compras"), 25, 0)) +(IF(OR(S206="GRADO ING. MECÁNICA", S206="GRADO ING. ELÉCTRICA", S206="GRADO DERECHO", S206="GRADO ECONOMÍA", S206="GRADO ING. TECNOLOGÍAS INDUSTRIALES"), 24, 0)) + (IF(AND(K206&gt;=451, K206&lt;=700), 23, 0)) + (IF(AND(AB206&gt;=5, AB206&lt;=8), 17, 0)) +(IF(_xludf.OR(_xludf.AND(AC206&gt;=8, AC206&lt;=10), _xludf.AND(AC206&gt;=0, AC206&lt;=5)), 16, 0)) + (IF(F206="Madrid", 11, 0))))</f>
        <v>#NAME?</v>
      </c>
      <c r="AG206" s="68"/>
      <c r="AH206" s="71" t="s">
        <v>164</v>
      </c>
    </row>
    <row r="207" spans="1:34" ht="14.4" x14ac:dyDescent="0.3">
      <c r="A207" s="66" t="s">
        <v>1187</v>
      </c>
      <c r="B207" s="66" t="s">
        <v>3304</v>
      </c>
      <c r="C207" s="33">
        <v>208</v>
      </c>
      <c r="D207" s="33" t="s">
        <v>5402</v>
      </c>
      <c r="E207" s="34" t="s">
        <v>5221</v>
      </c>
      <c r="F207" s="34" t="s">
        <v>118</v>
      </c>
      <c r="G207" s="57">
        <v>41106</v>
      </c>
      <c r="H207" s="57">
        <v>41470</v>
      </c>
      <c r="I207" s="34">
        <f t="shared" si="9"/>
        <v>11</v>
      </c>
      <c r="J207" s="34">
        <v>40</v>
      </c>
      <c r="K207" s="36">
        <v>900</v>
      </c>
      <c r="L207" s="34" t="s">
        <v>29</v>
      </c>
      <c r="M207" s="57">
        <v>33716</v>
      </c>
      <c r="N207" s="37">
        <f>(YEAR(TablaMadre[[#This Row],[ALTA]])-YEAR(M207))</f>
        <v>20</v>
      </c>
      <c r="O207" s="34" t="s">
        <v>118</v>
      </c>
      <c r="P207" s="34" t="s">
        <v>19</v>
      </c>
      <c r="Q207" s="34" t="s">
        <v>63</v>
      </c>
      <c r="R207" s="34" t="s">
        <v>21</v>
      </c>
      <c r="S207" s="34" t="s">
        <v>297</v>
      </c>
      <c r="T207" s="34"/>
      <c r="U207" s="34"/>
      <c r="V207" s="34" t="s">
        <v>119</v>
      </c>
      <c r="W207" s="34" t="s">
        <v>28</v>
      </c>
      <c r="X207" s="38" t="s">
        <v>173</v>
      </c>
      <c r="Y207" s="62"/>
      <c r="Z207" s="38" t="e">
        <f t="shared" si="10"/>
        <v>#NUM!</v>
      </c>
      <c r="AA207" s="38"/>
      <c r="AB207" s="34"/>
      <c r="AC207" s="34"/>
      <c r="AD207" s="38"/>
      <c r="AE207" s="59" t="str">
        <f t="shared" si="11"/>
        <v>NO</v>
      </c>
      <c r="AF207" s="38" t="e" cm="1">
        <f t="array" aca="1" ref="AF207" ca="1">MIN(100, MAX(0, (IF(R207="ESTUDIANTE", 31, 0)) + (IF(I207&lt;=3, 30, IF(I207&lt;=6, 20, 0))) +(IF(OR(E207="413 - Control de Costes y Enlace Construcción", E207="480 - Secretaría General del Consejo", E207="132 - Civil y estructuras", E207="136 - Mecánica", E207="412 - Planificación", E207="142 - Compras"), 25, 0)) +(IF(OR(S207="GRADO ING. MECÁNICA", S207="GRADO ING. ELÉCTRICA", S207="GRADO DERECHO", S207="GRADO ECONOMÍA", S207="GRADO ING. TECNOLOGÍAS INDUSTRIALES"), 24, 0)) + (IF(AND(K207&gt;=451, K207&lt;=700), 23, 0)) + (IF(AND(AB207&gt;=5, AB207&lt;=8), 17, 0)) +(IF(_xludf.OR(_xludf.AND(AC207&gt;=8, AC207&lt;=10), _xludf.AND(AC207&gt;=0, AC207&lt;=5)), 16, 0)) + (IF(F207="Madrid", 11, 0))))</f>
        <v>#NAME?</v>
      </c>
      <c r="AG207" s="68"/>
      <c r="AH207" s="71" t="s">
        <v>164</v>
      </c>
    </row>
    <row r="208" spans="1:34" ht="14.4" x14ac:dyDescent="0.3">
      <c r="A208" s="66" t="s">
        <v>1210</v>
      </c>
      <c r="B208" s="66" t="s">
        <v>3327</v>
      </c>
      <c r="C208" s="33">
        <v>203</v>
      </c>
      <c r="D208" s="33" t="s">
        <v>5393</v>
      </c>
      <c r="E208" s="34" t="s">
        <v>5235</v>
      </c>
      <c r="F208" s="34" t="s">
        <v>18</v>
      </c>
      <c r="G208" s="57">
        <v>41106</v>
      </c>
      <c r="H208" s="57">
        <v>41124</v>
      </c>
      <c r="I208" s="34">
        <f t="shared" si="9"/>
        <v>0</v>
      </c>
      <c r="J208" s="34">
        <v>40</v>
      </c>
      <c r="K208" s="36">
        <v>900</v>
      </c>
      <c r="L208" s="34" t="s">
        <v>17</v>
      </c>
      <c r="M208" s="57">
        <v>35052</v>
      </c>
      <c r="N208" s="37">
        <f>(YEAR(TablaMadre[[#This Row],[ALTA]])-YEAR(M208))</f>
        <v>17</v>
      </c>
      <c r="O208" s="34" t="s">
        <v>18</v>
      </c>
      <c r="P208" s="34" t="s">
        <v>19</v>
      </c>
      <c r="Q208" s="34" t="s">
        <v>61</v>
      </c>
      <c r="R208" s="34" t="s">
        <v>21</v>
      </c>
      <c r="S208" s="34" t="s">
        <v>322</v>
      </c>
      <c r="T208" s="34"/>
      <c r="U208" s="34"/>
      <c r="V208" s="34" t="s">
        <v>69</v>
      </c>
      <c r="W208" s="34" t="s">
        <v>47</v>
      </c>
      <c r="X208" s="38" t="s">
        <v>164</v>
      </c>
      <c r="Y208" s="62"/>
      <c r="Z208" s="62" t="e">
        <f t="shared" si="10"/>
        <v>#NUM!</v>
      </c>
      <c r="AA208" s="62"/>
      <c r="AB208" s="34" t="s">
        <v>24</v>
      </c>
      <c r="AC208" s="34" t="s">
        <v>24</v>
      </c>
      <c r="AD208" s="38"/>
      <c r="AE208" s="59" t="str">
        <f t="shared" si="11"/>
        <v>NO</v>
      </c>
      <c r="AF208" s="38" t="e" cm="1">
        <f t="array" aca="1" ref="AF208" ca="1">MIN(100, MAX(0, (IF(R208="ESTUDIANTE", 31, 0)) + (IF(I208&lt;=3, 30, IF(I208&lt;=6, 20, 0))) +(IF(OR(E208="413 - Control de Costes y Enlace Construcción", E208="480 - Secretaría General del Consejo", E208="132 - Civil y estructuras", E208="136 - Mecánica", E208="412 - Planificación", E208="142 - Compras"), 25, 0)) +(IF(OR(S208="GRADO ING. MECÁNICA", S208="GRADO ING. ELÉCTRICA", S208="GRADO DERECHO", S208="GRADO ECONOMÍA", S208="GRADO ING. TECNOLOGÍAS INDUSTRIALES"), 24, 0)) + (IF(AND(K208&gt;=451, K208&lt;=700), 23, 0)) + (IF(AND(AB208&gt;=5, AB208&lt;=8), 17, 0)) +(IF(_xludf.OR(_xludf.AND(AC208&gt;=8, AC208&lt;=10), _xludf.AND(AC208&gt;=0, AC208&lt;=5)), 16, 0)) + (IF(F208="Madrid", 11, 0))))</f>
        <v>#NAME?</v>
      </c>
      <c r="AG208" s="68"/>
      <c r="AH208" s="71" t="s">
        <v>164</v>
      </c>
    </row>
    <row r="209" spans="1:34" ht="14.4" x14ac:dyDescent="0.3">
      <c r="A209" s="66" t="s">
        <v>1215</v>
      </c>
      <c r="B209" s="66" t="s">
        <v>3332</v>
      </c>
      <c r="C209" s="33">
        <v>204</v>
      </c>
      <c r="D209" s="33" t="s">
        <v>5394</v>
      </c>
      <c r="E209" s="34" t="s">
        <v>5231</v>
      </c>
      <c r="F209" s="34" t="s">
        <v>18</v>
      </c>
      <c r="G209" s="57">
        <v>41106</v>
      </c>
      <c r="H209" s="57">
        <v>41187</v>
      </c>
      <c r="I209" s="34">
        <f t="shared" si="9"/>
        <v>2</v>
      </c>
      <c r="J209" s="34">
        <v>40</v>
      </c>
      <c r="K209" s="36">
        <v>1350</v>
      </c>
      <c r="L209" s="34" t="s">
        <v>17</v>
      </c>
      <c r="M209" s="57">
        <v>33349</v>
      </c>
      <c r="N209" s="37">
        <f>(YEAR(TablaMadre[[#This Row],[ALTA]])-YEAR(M209))</f>
        <v>21</v>
      </c>
      <c r="O209" s="34" t="s">
        <v>159</v>
      </c>
      <c r="P209" s="34" t="s">
        <v>159</v>
      </c>
      <c r="Q209" s="34" t="s">
        <v>96</v>
      </c>
      <c r="R209" s="34" t="s">
        <v>21</v>
      </c>
      <c r="S209" s="34" t="s">
        <v>136</v>
      </c>
      <c r="T209" s="34"/>
      <c r="U209" s="34"/>
      <c r="V209" s="34" t="s">
        <v>90</v>
      </c>
      <c r="W209" s="34" t="s">
        <v>47</v>
      </c>
      <c r="X209" s="38" t="s">
        <v>164</v>
      </c>
      <c r="Y209" s="62"/>
      <c r="Z209" s="62" t="e">
        <f t="shared" si="10"/>
        <v>#NUM!</v>
      </c>
      <c r="AA209" s="62"/>
      <c r="AB209" s="34"/>
      <c r="AC209" s="34"/>
      <c r="AD209" s="38"/>
      <c r="AE209" s="59" t="str">
        <f t="shared" si="11"/>
        <v>SÍ</v>
      </c>
      <c r="AF209" s="38" t="e" cm="1">
        <f t="array" aca="1" ref="AF209" ca="1">MIN(100, MAX(0, (IF(R209="ESTUDIANTE", 31, 0)) + (IF(I209&lt;=3, 30, IF(I209&lt;=6, 20, 0))) +(IF(OR(E209="413 - Control de Costes y Enlace Construcción", E209="480 - Secretaría General del Consejo", E209="132 - Civil y estructuras", E209="136 - Mecánica", E209="412 - Planificación", E209="142 - Compras"), 25, 0)) +(IF(OR(S209="GRADO ING. MECÁNICA", S209="GRADO ING. ELÉCTRICA", S209="GRADO DERECHO", S209="GRADO ECONOMÍA", S209="GRADO ING. TECNOLOGÍAS INDUSTRIALES"), 24, 0)) + (IF(AND(K209&gt;=451, K209&lt;=700), 23, 0)) + (IF(AND(AB209&gt;=5, AB209&lt;=8), 17, 0)) +(IF(_xludf.OR(_xludf.AND(AC209&gt;=8, AC209&lt;=10), _xludf.AND(AC209&gt;=0, AC209&lt;=5)), 16, 0)) + (IF(F209="Madrid", 11, 0))))</f>
        <v>#NAME?</v>
      </c>
      <c r="AG209" s="68"/>
      <c r="AH209" s="71" t="s">
        <v>164</v>
      </c>
    </row>
    <row r="210" spans="1:34" ht="14.4" x14ac:dyDescent="0.3">
      <c r="A210" s="66" t="s">
        <v>1188</v>
      </c>
      <c r="B210" s="66" t="s">
        <v>3305</v>
      </c>
      <c r="C210" s="33">
        <v>209</v>
      </c>
      <c r="D210" s="33" t="s">
        <v>5395</v>
      </c>
      <c r="E210" s="34" t="s">
        <v>5244</v>
      </c>
      <c r="F210" s="34" t="s">
        <v>18</v>
      </c>
      <c r="G210" s="57">
        <v>41108</v>
      </c>
      <c r="H210" s="57">
        <v>41472</v>
      </c>
      <c r="I210" s="34">
        <f t="shared" si="9"/>
        <v>11</v>
      </c>
      <c r="J210" s="34">
        <v>40</v>
      </c>
      <c r="K210" s="36">
        <v>825</v>
      </c>
      <c r="L210" s="34" t="s">
        <v>17</v>
      </c>
      <c r="M210" s="57">
        <v>35199</v>
      </c>
      <c r="N210" s="37">
        <f>(YEAR(TablaMadre[[#This Row],[ALTA]])-YEAR(M210))</f>
        <v>16</v>
      </c>
      <c r="O210" s="34" t="s">
        <v>205</v>
      </c>
      <c r="P210" s="34" t="s">
        <v>19</v>
      </c>
      <c r="Q210" s="34" t="s">
        <v>206</v>
      </c>
      <c r="R210" s="34" t="s">
        <v>21</v>
      </c>
      <c r="S210" s="34" t="s">
        <v>206</v>
      </c>
      <c r="T210" s="34"/>
      <c r="U210" s="34"/>
      <c r="V210" s="34" t="s">
        <v>207</v>
      </c>
      <c r="W210" s="34" t="s">
        <v>28</v>
      </c>
      <c r="X210" s="38" t="s">
        <v>173</v>
      </c>
      <c r="Y210" s="62"/>
      <c r="Z210" s="38" t="e">
        <f t="shared" si="10"/>
        <v>#NUM!</v>
      </c>
      <c r="AA210" s="38"/>
      <c r="AB210" s="34"/>
      <c r="AC210" s="34"/>
      <c r="AD210" s="38"/>
      <c r="AE210" s="59" t="str">
        <f t="shared" si="11"/>
        <v>SÍ</v>
      </c>
      <c r="AF210" s="38" t="e" cm="1">
        <f t="array" aca="1" ref="AF210" ca="1">MIN(100, MAX(0, (IF(R210="ESTUDIANTE", 31, 0)) + (IF(I210&lt;=3, 30, IF(I210&lt;=6, 20, 0))) +(IF(OR(E210="413 - Control de Costes y Enlace Construcción", E210="480 - Secretaría General del Consejo", E210="132 - Civil y estructuras", E210="136 - Mecánica", E210="412 - Planificación", E210="142 - Compras"), 25, 0)) +(IF(OR(S210="GRADO ING. MECÁNICA", S210="GRADO ING. ELÉCTRICA", S210="GRADO DERECHO", S210="GRADO ECONOMÍA", S210="GRADO ING. TECNOLOGÍAS INDUSTRIALES"), 24, 0)) + (IF(AND(K210&gt;=451, K210&lt;=700), 23, 0)) + (IF(AND(AB210&gt;=5, AB210&lt;=8), 17, 0)) +(IF(_xludf.OR(_xludf.AND(AC210&gt;=8, AC210&lt;=10), _xludf.AND(AC210&gt;=0, AC210&lt;=5)), 16, 0)) + (IF(F210="Madrid", 11, 0))))</f>
        <v>#NAME?</v>
      </c>
      <c r="AG210" s="68"/>
      <c r="AH210" s="71" t="s">
        <v>164</v>
      </c>
    </row>
    <row r="211" spans="1:34" ht="14.4" x14ac:dyDescent="0.3">
      <c r="A211" s="66" t="s">
        <v>1190</v>
      </c>
      <c r="B211" s="66" t="s">
        <v>3307</v>
      </c>
      <c r="C211" s="33">
        <v>211</v>
      </c>
      <c r="D211" s="33" t="s">
        <v>5396</v>
      </c>
      <c r="E211" s="34" t="s">
        <v>5218</v>
      </c>
      <c r="F211" s="34" t="s">
        <v>18</v>
      </c>
      <c r="G211" s="57">
        <v>41113</v>
      </c>
      <c r="H211" s="57">
        <v>41477</v>
      </c>
      <c r="I211" s="34">
        <f t="shared" si="9"/>
        <v>11</v>
      </c>
      <c r="J211" s="34">
        <v>40</v>
      </c>
      <c r="K211" s="36">
        <v>750</v>
      </c>
      <c r="L211" s="34" t="s">
        <v>17</v>
      </c>
      <c r="M211" s="57">
        <v>35514</v>
      </c>
      <c r="N211" s="37">
        <f>(YEAR(TablaMadre[[#This Row],[ALTA]])-YEAR(M211))</f>
        <v>15</v>
      </c>
      <c r="O211" s="34" t="s">
        <v>18</v>
      </c>
      <c r="P211" s="34" t="s">
        <v>19</v>
      </c>
      <c r="Q211" s="34" t="s">
        <v>208</v>
      </c>
      <c r="R211" s="34" t="s">
        <v>21</v>
      </c>
      <c r="S211" s="34" t="s">
        <v>151</v>
      </c>
      <c r="T211" s="34"/>
      <c r="U211" s="34"/>
      <c r="V211" s="34" t="s">
        <v>22</v>
      </c>
      <c r="W211" s="34" t="s">
        <v>28</v>
      </c>
      <c r="X211" s="38" t="s">
        <v>164</v>
      </c>
      <c r="Y211" s="62">
        <v>42208</v>
      </c>
      <c r="Z211" s="38">
        <f t="shared" si="10"/>
        <v>2</v>
      </c>
      <c r="AA211" s="38"/>
      <c r="AB211" s="34"/>
      <c r="AC211" s="34"/>
      <c r="AD211" s="38"/>
      <c r="AE211" s="59" t="str">
        <f t="shared" si="11"/>
        <v>NO</v>
      </c>
      <c r="AF211" s="38" t="e" cm="1">
        <f t="array" aca="1" ref="AF211" ca="1">MIN(100, MAX(0, (IF(R211="ESTUDIANTE", 31, 0)) + (IF(I211&lt;=3, 30, IF(I211&lt;=6, 20, 0))) +(IF(OR(E211="413 - Control de Costes y Enlace Construcción", E211="480 - Secretaría General del Consejo", E211="132 - Civil y estructuras", E211="136 - Mecánica", E211="412 - Planificación", E211="142 - Compras"), 25, 0)) +(IF(OR(S211="GRADO ING. MECÁNICA", S211="GRADO ING. ELÉCTRICA", S211="GRADO DERECHO", S211="GRADO ECONOMÍA", S211="GRADO ING. TECNOLOGÍAS INDUSTRIALES"), 24, 0)) + (IF(AND(K211&gt;=451, K211&lt;=700), 23, 0)) + (IF(AND(AB211&gt;=5, AB211&lt;=8), 17, 0)) +(IF(_xludf.OR(_xludf.AND(AC211&gt;=8, AC211&lt;=10), _xludf.AND(AC211&gt;=0, AC211&lt;=5)), 16, 0)) + (IF(F211="Madrid", 11, 0))))</f>
        <v>#NAME?</v>
      </c>
      <c r="AG211" s="68"/>
      <c r="AH211" s="71" t="s">
        <v>164</v>
      </c>
    </row>
    <row r="212" spans="1:34" ht="14.4" x14ac:dyDescent="0.3">
      <c r="A212" s="66" t="s">
        <v>1216</v>
      </c>
      <c r="B212" s="66" t="s">
        <v>3333</v>
      </c>
      <c r="C212" s="33">
        <v>210</v>
      </c>
      <c r="D212" s="33" t="s">
        <v>5397</v>
      </c>
      <c r="E212" s="34" t="s">
        <v>5222</v>
      </c>
      <c r="F212" s="34" t="s">
        <v>18</v>
      </c>
      <c r="G212" s="57">
        <v>41113</v>
      </c>
      <c r="H212" s="57">
        <v>41138</v>
      </c>
      <c r="I212" s="34">
        <f t="shared" si="9"/>
        <v>0</v>
      </c>
      <c r="J212" s="34">
        <v>40</v>
      </c>
      <c r="K212" s="36">
        <v>1350</v>
      </c>
      <c r="L212" s="34" t="s">
        <v>29</v>
      </c>
      <c r="M212" s="57">
        <v>36113</v>
      </c>
      <c r="N212" s="37">
        <f>(YEAR(TablaMadre[[#This Row],[ALTA]])-YEAR(M212))</f>
        <v>14</v>
      </c>
      <c r="O212" s="34" t="s">
        <v>138</v>
      </c>
      <c r="P212" s="34" t="s">
        <v>138</v>
      </c>
      <c r="Q212" s="34" t="s">
        <v>133</v>
      </c>
      <c r="R212" s="34" t="s">
        <v>21</v>
      </c>
      <c r="S212" s="34" t="s">
        <v>321</v>
      </c>
      <c r="T212" s="34"/>
      <c r="U212" s="34"/>
      <c r="V212" s="34" t="s">
        <v>90</v>
      </c>
      <c r="W212" s="34" t="s">
        <v>91</v>
      </c>
      <c r="X212" s="38" t="s">
        <v>164</v>
      </c>
      <c r="Y212" s="62"/>
      <c r="Z212" s="62" t="e">
        <f t="shared" si="10"/>
        <v>#NUM!</v>
      </c>
      <c r="AA212" s="62"/>
      <c r="AB212" s="34" t="s">
        <v>24</v>
      </c>
      <c r="AC212" s="34" t="s">
        <v>53</v>
      </c>
      <c r="AD212" s="38"/>
      <c r="AE212" s="59" t="str">
        <f t="shared" si="11"/>
        <v>SÍ</v>
      </c>
      <c r="AF212" s="38" t="e" cm="1">
        <f t="array" aca="1" ref="AF212" ca="1">MIN(100, MAX(0, (IF(R212="ESTUDIANTE", 31, 0)) + (IF(I212&lt;=3, 30, IF(I212&lt;=6, 20, 0))) +(IF(OR(E212="413 - Control de Costes y Enlace Construcción", E212="480 - Secretaría General del Consejo", E212="132 - Civil y estructuras", E212="136 - Mecánica", E212="412 - Planificación", E212="142 - Compras"), 25, 0)) +(IF(OR(S212="GRADO ING. MECÁNICA", S212="GRADO ING. ELÉCTRICA", S212="GRADO DERECHO", S212="GRADO ECONOMÍA", S212="GRADO ING. TECNOLOGÍAS INDUSTRIALES"), 24, 0)) + (IF(AND(K212&gt;=451, K212&lt;=700), 23, 0)) + (IF(AND(AB212&gt;=5, AB212&lt;=8), 17, 0)) +(IF(_xludf.OR(_xludf.AND(AC212&gt;=8, AC212&lt;=10), _xludf.AND(AC212&gt;=0, AC212&lt;=5)), 16, 0)) + (IF(F212="Madrid", 11, 0))))</f>
        <v>#NAME?</v>
      </c>
      <c r="AG212" s="68"/>
      <c r="AH212" s="71" t="s">
        <v>164</v>
      </c>
    </row>
    <row r="213" spans="1:34" ht="14.4" x14ac:dyDescent="0.3">
      <c r="A213" s="66" t="s">
        <v>1435</v>
      </c>
      <c r="B213" s="66" t="s">
        <v>3552</v>
      </c>
      <c r="C213" s="33">
        <v>212</v>
      </c>
      <c r="D213" s="33" t="s">
        <v>5398</v>
      </c>
      <c r="E213" s="34" t="s">
        <v>5244</v>
      </c>
      <c r="F213" s="34" t="s">
        <v>18</v>
      </c>
      <c r="G213" s="57">
        <v>41113</v>
      </c>
      <c r="H213" s="57">
        <v>41477</v>
      </c>
      <c r="I213" s="34">
        <f t="shared" si="9"/>
        <v>11</v>
      </c>
      <c r="J213" s="34">
        <v>40</v>
      </c>
      <c r="K213" s="36">
        <v>750</v>
      </c>
      <c r="L213" s="34" t="s">
        <v>29</v>
      </c>
      <c r="M213" s="57">
        <v>35412</v>
      </c>
      <c r="N213" s="37">
        <f>(YEAR(TablaMadre[[#This Row],[ALTA]])-YEAR(M213))</f>
        <v>16</v>
      </c>
      <c r="O213" s="34" t="s">
        <v>511</v>
      </c>
      <c r="P213" s="34" t="s">
        <v>19</v>
      </c>
      <c r="Q213" s="34" t="s">
        <v>209</v>
      </c>
      <c r="R213" s="34" t="s">
        <v>21</v>
      </c>
      <c r="S213" s="34" t="s">
        <v>397</v>
      </c>
      <c r="T213" s="34"/>
      <c r="U213" s="34"/>
      <c r="V213" s="34" t="s">
        <v>81</v>
      </c>
      <c r="W213" s="34" t="s">
        <v>28</v>
      </c>
      <c r="X213" s="38" t="s">
        <v>173</v>
      </c>
      <c r="Y213" s="62"/>
      <c r="Z213" s="38" t="e">
        <f t="shared" si="10"/>
        <v>#NUM!</v>
      </c>
      <c r="AA213" s="38" t="s">
        <v>173</v>
      </c>
      <c r="AB213" s="34"/>
      <c r="AC213" s="34"/>
      <c r="AD213" s="38"/>
      <c r="AE213" s="59" t="str">
        <f t="shared" si="11"/>
        <v>SÍ</v>
      </c>
      <c r="AF213" s="38" t="e" cm="1">
        <f t="array" aca="1" ref="AF213" ca="1">MIN(100, MAX(0, (IF(R213="ESTUDIANTE", 31, 0)) + (IF(I213&lt;=3, 30, IF(I213&lt;=6, 20, 0))) +(IF(OR(E213="413 - Control de Costes y Enlace Construcción", E213="480 - Secretaría General del Consejo", E213="132 - Civil y estructuras", E213="136 - Mecánica", E213="412 - Planificación", E213="142 - Compras"), 25, 0)) +(IF(OR(S213="GRADO ING. MECÁNICA", S213="GRADO ING. ELÉCTRICA", S213="GRADO DERECHO", S213="GRADO ECONOMÍA", S213="GRADO ING. TECNOLOGÍAS INDUSTRIALES"), 24, 0)) + (IF(AND(K213&gt;=451, K213&lt;=700), 23, 0)) + (IF(AND(AB213&gt;=5, AB213&lt;=8), 17, 0)) +(IF(_xludf.OR(_xludf.AND(AC213&gt;=8, AC213&lt;=10), _xludf.AND(AC213&gt;=0, AC213&lt;=5)), 16, 0)) + (IF(F213="Madrid", 11, 0))))</f>
        <v>#NAME?</v>
      </c>
      <c r="AG213" s="68"/>
      <c r="AH213" s="71" t="s">
        <v>164</v>
      </c>
    </row>
    <row r="214" spans="1:34" ht="14.4" x14ac:dyDescent="0.3">
      <c r="A214" s="66" t="s">
        <v>1192</v>
      </c>
      <c r="B214" s="66" t="s">
        <v>3309</v>
      </c>
      <c r="C214" s="33">
        <v>213</v>
      </c>
      <c r="D214" s="33" t="s">
        <v>5399</v>
      </c>
      <c r="E214" s="34" t="s">
        <v>5241</v>
      </c>
      <c r="F214" s="34" t="s">
        <v>18</v>
      </c>
      <c r="G214" s="57">
        <v>41114</v>
      </c>
      <c r="H214" s="57">
        <v>41478</v>
      </c>
      <c r="I214" s="34">
        <f t="shared" si="9"/>
        <v>11</v>
      </c>
      <c r="J214" s="34">
        <v>40</v>
      </c>
      <c r="K214" s="36">
        <v>900</v>
      </c>
      <c r="L214" s="34" t="s">
        <v>17</v>
      </c>
      <c r="M214" s="57">
        <v>33012</v>
      </c>
      <c r="N214" s="37">
        <f>(YEAR(TablaMadre[[#This Row],[ALTA]])-YEAR(M214))</f>
        <v>22</v>
      </c>
      <c r="O214" s="34" t="s">
        <v>953</v>
      </c>
      <c r="P214" s="34" t="s">
        <v>19</v>
      </c>
      <c r="Q214" s="34" t="s">
        <v>210</v>
      </c>
      <c r="R214" s="34" t="s">
        <v>21</v>
      </c>
      <c r="S214" s="34" t="s">
        <v>307</v>
      </c>
      <c r="T214" s="34"/>
      <c r="U214" s="34"/>
      <c r="V214" s="34" t="s">
        <v>22</v>
      </c>
      <c r="W214" s="34" t="s">
        <v>28</v>
      </c>
      <c r="X214" s="38" t="s">
        <v>164</v>
      </c>
      <c r="Y214" s="62">
        <v>43263</v>
      </c>
      <c r="Z214" s="38">
        <f t="shared" si="10"/>
        <v>4</v>
      </c>
      <c r="AA214" s="38"/>
      <c r="AB214" s="34"/>
      <c r="AC214" s="34"/>
      <c r="AD214" s="38"/>
      <c r="AE214" s="59" t="str">
        <f t="shared" si="11"/>
        <v>SÍ</v>
      </c>
      <c r="AF214" s="38" t="e" cm="1">
        <f t="array" aca="1" ref="AF214" ca="1">MIN(100, MAX(0, (IF(R214="ESTUDIANTE", 31, 0)) + (IF(I214&lt;=3, 30, IF(I214&lt;=6, 20, 0))) +(IF(OR(E214="413 - Control de Costes y Enlace Construcción", E214="480 - Secretaría General del Consejo", E214="132 - Civil y estructuras", E214="136 - Mecánica", E214="412 - Planificación", E214="142 - Compras"), 25, 0)) +(IF(OR(S214="GRADO ING. MECÁNICA", S214="GRADO ING. ELÉCTRICA", S214="GRADO DERECHO", S214="GRADO ECONOMÍA", S214="GRADO ING. TECNOLOGÍAS INDUSTRIALES"), 24, 0)) + (IF(AND(K214&gt;=451, K214&lt;=700), 23, 0)) + (IF(AND(AB214&gt;=5, AB214&lt;=8), 17, 0)) +(IF(_xludf.OR(_xludf.AND(AC214&gt;=8, AC214&lt;=10), _xludf.AND(AC214&gt;=0, AC214&lt;=5)), 16, 0)) + (IF(F214="Madrid", 11, 0))))</f>
        <v>#NAME?</v>
      </c>
      <c r="AG214" s="68"/>
      <c r="AH214" s="71" t="s">
        <v>164</v>
      </c>
    </row>
    <row r="215" spans="1:34" ht="14.4" x14ac:dyDescent="0.3">
      <c r="A215" s="66" t="s">
        <v>1223</v>
      </c>
      <c r="B215" s="66" t="s">
        <v>3340</v>
      </c>
      <c r="C215" s="33">
        <v>214</v>
      </c>
      <c r="D215" s="33" t="s">
        <v>5393</v>
      </c>
      <c r="E215" s="34" t="s">
        <v>5222</v>
      </c>
      <c r="F215" s="34" t="s">
        <v>18</v>
      </c>
      <c r="G215" s="57">
        <v>41120</v>
      </c>
      <c r="H215" s="57">
        <v>41173</v>
      </c>
      <c r="I215" s="34">
        <f t="shared" si="9"/>
        <v>1</v>
      </c>
      <c r="J215" s="34">
        <v>40</v>
      </c>
      <c r="K215" s="36">
        <v>1350</v>
      </c>
      <c r="L215" s="34" t="s">
        <v>29</v>
      </c>
      <c r="M215" s="57">
        <v>35176</v>
      </c>
      <c r="N215" s="37">
        <f>(YEAR(TablaMadre[[#This Row],[ALTA]])-YEAR(M215))</f>
        <v>16</v>
      </c>
      <c r="O215" s="34" t="s">
        <v>152</v>
      </c>
      <c r="P215" s="34" t="s">
        <v>152</v>
      </c>
      <c r="Q215" s="34" t="s">
        <v>63</v>
      </c>
      <c r="R215" s="34" t="s">
        <v>21</v>
      </c>
      <c r="S215" s="34" t="s">
        <v>297</v>
      </c>
      <c r="T215" s="34"/>
      <c r="U215" s="34"/>
      <c r="V215" s="34" t="s">
        <v>90</v>
      </c>
      <c r="W215" s="34" t="s">
        <v>91</v>
      </c>
      <c r="X215" s="38" t="s">
        <v>164</v>
      </c>
      <c r="Y215" s="62"/>
      <c r="Z215" s="62" t="e">
        <f t="shared" si="10"/>
        <v>#NUM!</v>
      </c>
      <c r="AA215" s="62"/>
      <c r="AB215" s="34" t="s">
        <v>24</v>
      </c>
      <c r="AC215" s="34" t="s">
        <v>53</v>
      </c>
      <c r="AD215" s="38"/>
      <c r="AE215" s="59" t="str">
        <f t="shared" si="11"/>
        <v>SÍ</v>
      </c>
      <c r="AF215" s="38" t="e" cm="1">
        <f t="array" aca="1" ref="AF215" ca="1">MIN(100, MAX(0, (IF(R215="ESTUDIANTE", 31, 0)) + (IF(I215&lt;=3, 30, IF(I215&lt;=6, 20, 0))) +(IF(OR(E215="413 - Control de Costes y Enlace Construcción", E215="480 - Secretaría General del Consejo", E215="132 - Civil y estructuras", E215="136 - Mecánica", E215="412 - Planificación", E215="142 - Compras"), 25, 0)) +(IF(OR(S215="GRADO ING. MECÁNICA", S215="GRADO ING. ELÉCTRICA", S215="GRADO DERECHO", S215="GRADO ECONOMÍA", S215="GRADO ING. TECNOLOGÍAS INDUSTRIALES"), 24, 0)) + (IF(AND(K215&gt;=451, K215&lt;=700), 23, 0)) + (IF(AND(AB215&gt;=5, AB215&lt;=8), 17, 0)) +(IF(_xludf.OR(_xludf.AND(AC215&gt;=8, AC215&lt;=10), _xludf.AND(AC215&gt;=0, AC215&lt;=5)), 16, 0)) + (IF(F215="Madrid", 11, 0))))</f>
        <v>#NAME?</v>
      </c>
      <c r="AG215" s="68"/>
      <c r="AH215" s="71" t="s">
        <v>164</v>
      </c>
    </row>
    <row r="216" spans="1:34" ht="14.4" x14ac:dyDescent="0.3">
      <c r="A216" s="66" t="s">
        <v>1194</v>
      </c>
      <c r="B216" s="66" t="s">
        <v>3311</v>
      </c>
      <c r="C216" s="33">
        <v>215</v>
      </c>
      <c r="D216" s="33" t="s">
        <v>5394</v>
      </c>
      <c r="E216" s="34" t="s">
        <v>5233</v>
      </c>
      <c r="F216" s="34" t="s">
        <v>18</v>
      </c>
      <c r="G216" s="57">
        <v>41137</v>
      </c>
      <c r="H216" s="57">
        <v>41320</v>
      </c>
      <c r="I216" s="34">
        <f t="shared" si="9"/>
        <v>5</v>
      </c>
      <c r="J216" s="34">
        <v>40</v>
      </c>
      <c r="K216" s="36">
        <v>900</v>
      </c>
      <c r="L216" s="34" t="s">
        <v>17</v>
      </c>
      <c r="M216" s="57">
        <v>33343</v>
      </c>
      <c r="N216" s="37">
        <f>(YEAR(TablaMadre[[#This Row],[ALTA]])-YEAR(M216))</f>
        <v>21</v>
      </c>
      <c r="O216" s="34" t="s">
        <v>153</v>
      </c>
      <c r="P216" s="34" t="s">
        <v>19</v>
      </c>
      <c r="Q216" s="34" t="s">
        <v>96</v>
      </c>
      <c r="R216" s="34" t="s">
        <v>21</v>
      </c>
      <c r="S216" s="34" t="s">
        <v>136</v>
      </c>
      <c r="T216" s="34"/>
      <c r="U216" s="34"/>
      <c r="V216" s="34" t="s">
        <v>90</v>
      </c>
      <c r="W216" s="34" t="s">
        <v>28</v>
      </c>
      <c r="X216" s="38" t="s">
        <v>164</v>
      </c>
      <c r="Y216" s="62">
        <v>43757</v>
      </c>
      <c r="Z216" s="38">
        <f t="shared" si="10"/>
        <v>6</v>
      </c>
      <c r="AA216" s="38"/>
      <c r="AB216" s="34"/>
      <c r="AC216" s="34"/>
      <c r="AD216" s="38"/>
      <c r="AE216" s="59" t="str">
        <f t="shared" si="11"/>
        <v>SÍ</v>
      </c>
      <c r="AF216" s="38" t="e" cm="1">
        <f t="array" aca="1" ref="AF216" ca="1">MIN(100, MAX(0, (IF(R216="ESTUDIANTE", 31, 0)) + (IF(I216&lt;=3, 30, IF(I216&lt;=6, 20, 0))) +(IF(OR(E216="413 - Control de Costes y Enlace Construcción", E216="480 - Secretaría General del Consejo", E216="132 - Civil y estructuras", E216="136 - Mecánica", E216="412 - Planificación", E216="142 - Compras"), 25, 0)) +(IF(OR(S216="GRADO ING. MECÁNICA", S216="GRADO ING. ELÉCTRICA", S216="GRADO DERECHO", S216="GRADO ECONOMÍA", S216="GRADO ING. TECNOLOGÍAS INDUSTRIALES"), 24, 0)) + (IF(AND(K216&gt;=451, K216&lt;=700), 23, 0)) + (IF(AND(AB216&gt;=5, AB216&lt;=8), 17, 0)) +(IF(_xludf.OR(_xludf.AND(AC216&gt;=8, AC216&lt;=10), _xludf.AND(AC216&gt;=0, AC216&lt;=5)), 16, 0)) + (IF(F216="Madrid", 11, 0))))</f>
        <v>#NAME?</v>
      </c>
      <c r="AG216" s="68"/>
      <c r="AH216" s="71" t="s">
        <v>164</v>
      </c>
    </row>
    <row r="217" spans="1:34" ht="14.4" x14ac:dyDescent="0.3">
      <c r="A217" s="66" t="s">
        <v>1149</v>
      </c>
      <c r="B217" s="66" t="s">
        <v>3266</v>
      </c>
      <c r="C217" s="33">
        <v>217</v>
      </c>
      <c r="D217" s="33" t="s">
        <v>5395</v>
      </c>
      <c r="E217" s="34" t="s">
        <v>5235</v>
      </c>
      <c r="F217" s="34" t="s">
        <v>18</v>
      </c>
      <c r="G217" s="57">
        <v>41153</v>
      </c>
      <c r="H217" s="57">
        <v>41455</v>
      </c>
      <c r="I217" s="34">
        <f t="shared" si="9"/>
        <v>9</v>
      </c>
      <c r="J217" s="34">
        <v>25</v>
      </c>
      <c r="K217" s="36">
        <v>470</v>
      </c>
      <c r="L217" s="34" t="s">
        <v>29</v>
      </c>
      <c r="M217" s="57">
        <v>34144</v>
      </c>
      <c r="N217" s="37">
        <f>(YEAR(TablaMadre[[#This Row],[ALTA]])-YEAR(M217))</f>
        <v>19</v>
      </c>
      <c r="O217" s="34" t="s">
        <v>110</v>
      </c>
      <c r="P217" s="34" t="s">
        <v>110</v>
      </c>
      <c r="Q217" s="34" t="s">
        <v>111</v>
      </c>
      <c r="R217" s="58" t="s">
        <v>30</v>
      </c>
      <c r="S217" s="34" t="s">
        <v>322</v>
      </c>
      <c r="T217" s="34"/>
      <c r="U217" s="34"/>
      <c r="V217" s="34" t="s">
        <v>22</v>
      </c>
      <c r="W217" s="34" t="s">
        <v>91</v>
      </c>
      <c r="X217" s="38" t="s">
        <v>164</v>
      </c>
      <c r="Y217" s="62"/>
      <c r="Z217" s="62" t="e">
        <f t="shared" si="10"/>
        <v>#NUM!</v>
      </c>
      <c r="AA217" s="62"/>
      <c r="AB217" s="34" t="s">
        <v>24</v>
      </c>
      <c r="AC217" s="34" t="s">
        <v>24</v>
      </c>
      <c r="AD217" s="38"/>
      <c r="AE217" s="59" t="str">
        <f t="shared" si="11"/>
        <v>SÍ</v>
      </c>
      <c r="AF217" s="38" t="e" cm="1">
        <f t="array" aca="1" ref="AF217" ca="1">MIN(100, MAX(0, (IF(R217="ESTUDIANTE", 31, 0)) + (IF(I217&lt;=3, 30, IF(I217&lt;=6, 20, 0))) +(IF(OR(E217="413 - Control de Costes y Enlace Construcción", E217="480 - Secretaría General del Consejo", E217="132 - Civil y estructuras", E217="136 - Mecánica", E217="412 - Planificación", E217="142 - Compras"), 25, 0)) +(IF(OR(S217="GRADO ING. MECÁNICA", S217="GRADO ING. ELÉCTRICA", S217="GRADO DERECHO", S217="GRADO ECONOMÍA", S217="GRADO ING. TECNOLOGÍAS INDUSTRIALES"), 24, 0)) + (IF(AND(K217&gt;=451, K217&lt;=700), 23, 0)) + (IF(AND(AB217&gt;=5, AB217&lt;=8), 17, 0)) +(IF(_xludf.OR(_xludf.AND(AC217&gt;=8, AC217&lt;=10), _xludf.AND(AC217&gt;=0, AC217&lt;=5)), 16, 0)) + (IF(F217="Madrid", 11, 0))))</f>
        <v>#NAME?</v>
      </c>
      <c r="AG217" s="68"/>
      <c r="AH217" s="71" t="s">
        <v>164</v>
      </c>
    </row>
    <row r="218" spans="1:34" ht="14.4" x14ac:dyDescent="0.3">
      <c r="A218" s="66" t="s">
        <v>1195</v>
      </c>
      <c r="B218" s="66" t="s">
        <v>3312</v>
      </c>
      <c r="C218" s="33">
        <v>216</v>
      </c>
      <c r="D218" s="33" t="s">
        <v>5396</v>
      </c>
      <c r="E218" s="34" t="s">
        <v>5215</v>
      </c>
      <c r="F218" s="34" t="s">
        <v>118</v>
      </c>
      <c r="G218" s="57">
        <v>41153</v>
      </c>
      <c r="H218" s="57">
        <v>41449</v>
      </c>
      <c r="I218" s="34">
        <f t="shared" si="9"/>
        <v>9</v>
      </c>
      <c r="J218" s="34">
        <v>40</v>
      </c>
      <c r="K218" s="36">
        <v>700</v>
      </c>
      <c r="L218" s="34" t="s">
        <v>29</v>
      </c>
      <c r="M218" s="57">
        <v>34529</v>
      </c>
      <c r="N218" s="37">
        <f>(YEAR(TablaMadre[[#This Row],[ALTA]])-YEAR(M218))</f>
        <v>18</v>
      </c>
      <c r="O218" s="34" t="s">
        <v>118</v>
      </c>
      <c r="P218" s="34" t="s">
        <v>19</v>
      </c>
      <c r="Q218" s="34" t="s">
        <v>101</v>
      </c>
      <c r="R218" s="58" t="s">
        <v>30</v>
      </c>
      <c r="S218" s="34" t="s">
        <v>26</v>
      </c>
      <c r="T218" s="34"/>
      <c r="U218" s="34"/>
      <c r="V218" s="34" t="s">
        <v>27</v>
      </c>
      <c r="W218" s="34" t="s">
        <v>28</v>
      </c>
      <c r="X218" s="38" t="s">
        <v>173</v>
      </c>
      <c r="Y218" s="62"/>
      <c r="Z218" s="38" t="e">
        <f t="shared" si="10"/>
        <v>#NUM!</v>
      </c>
      <c r="AA218" s="38"/>
      <c r="AB218" s="34" t="s">
        <v>24</v>
      </c>
      <c r="AC218" s="34" t="s">
        <v>34</v>
      </c>
      <c r="AD218" s="38"/>
      <c r="AE218" s="59" t="str">
        <f t="shared" si="11"/>
        <v>NO</v>
      </c>
      <c r="AF218" s="38" t="e" cm="1">
        <f t="array" aca="1" ref="AF218" ca="1">MIN(100, MAX(0, (IF(R218="ESTUDIANTE", 31, 0)) + (IF(I218&lt;=3, 30, IF(I218&lt;=6, 20, 0))) +(IF(OR(E218="413 - Control de Costes y Enlace Construcción", E218="480 - Secretaría General del Consejo", E218="132 - Civil y estructuras", E218="136 - Mecánica", E218="412 - Planificación", E218="142 - Compras"), 25, 0)) +(IF(OR(S218="GRADO ING. MECÁNICA", S218="GRADO ING. ELÉCTRICA", S218="GRADO DERECHO", S218="GRADO ECONOMÍA", S218="GRADO ING. TECNOLOGÍAS INDUSTRIALES"), 24, 0)) + (IF(AND(K218&gt;=451, K218&lt;=700), 23, 0)) + (IF(AND(AB218&gt;=5, AB218&lt;=8), 17, 0)) +(IF(_xludf.OR(_xludf.AND(AC218&gt;=8, AC218&lt;=10), _xludf.AND(AC218&gt;=0, AC218&lt;=5)), 16, 0)) + (IF(F218="Madrid", 11, 0))))</f>
        <v>#NAME?</v>
      </c>
      <c r="AG218" s="68"/>
      <c r="AH218" s="71" t="s">
        <v>164</v>
      </c>
    </row>
    <row r="219" spans="1:34" ht="14.4" x14ac:dyDescent="0.3">
      <c r="A219" s="66" t="s">
        <v>1197</v>
      </c>
      <c r="B219" s="66" t="s">
        <v>3314</v>
      </c>
      <c r="C219" s="33">
        <v>218</v>
      </c>
      <c r="D219" s="33" t="s">
        <v>5397</v>
      </c>
      <c r="E219" s="34" t="s">
        <v>5244</v>
      </c>
      <c r="F219" s="34" t="s">
        <v>18</v>
      </c>
      <c r="G219" s="57">
        <v>41153</v>
      </c>
      <c r="H219" s="57">
        <v>41487</v>
      </c>
      <c r="I219" s="34">
        <f t="shared" si="9"/>
        <v>11</v>
      </c>
      <c r="J219" s="34">
        <v>40</v>
      </c>
      <c r="K219" s="36">
        <v>900</v>
      </c>
      <c r="L219" s="34" t="s">
        <v>29</v>
      </c>
      <c r="M219" s="57">
        <v>34109</v>
      </c>
      <c r="N219" s="37">
        <f>(YEAR(TablaMadre[[#This Row],[ALTA]])-YEAR(M219))</f>
        <v>19</v>
      </c>
      <c r="O219" s="34" t="s">
        <v>525</v>
      </c>
      <c r="P219" s="34" t="s">
        <v>19</v>
      </c>
      <c r="Q219" s="34" t="s">
        <v>61</v>
      </c>
      <c r="R219" s="34" t="s">
        <v>21</v>
      </c>
      <c r="S219" s="34" t="s">
        <v>322</v>
      </c>
      <c r="T219" s="34"/>
      <c r="U219" s="34"/>
      <c r="V219" s="34" t="s">
        <v>216</v>
      </c>
      <c r="W219" s="34" t="s">
        <v>28</v>
      </c>
      <c r="X219" s="38" t="s">
        <v>164</v>
      </c>
      <c r="Y219" s="62">
        <v>41365</v>
      </c>
      <c r="Z219" s="38" t="e">
        <f t="shared" si="10"/>
        <v>#NUM!</v>
      </c>
      <c r="AA219" s="38"/>
      <c r="AB219" s="34"/>
      <c r="AC219" s="34"/>
      <c r="AD219" s="38"/>
      <c r="AE219" s="59" t="str">
        <f t="shared" si="11"/>
        <v>SÍ</v>
      </c>
      <c r="AF219" s="38" t="e" cm="1">
        <f t="array" aca="1" ref="AF219" ca="1">MIN(100, MAX(0, (IF(R219="ESTUDIANTE", 31, 0)) + (IF(I219&lt;=3, 30, IF(I219&lt;=6, 20, 0))) +(IF(OR(E219="413 - Control de Costes y Enlace Construcción", E219="480 - Secretaría General del Consejo", E219="132 - Civil y estructuras", E219="136 - Mecánica", E219="412 - Planificación", E219="142 - Compras"), 25, 0)) +(IF(OR(S219="GRADO ING. MECÁNICA", S219="GRADO ING. ELÉCTRICA", S219="GRADO DERECHO", S219="GRADO ECONOMÍA", S219="GRADO ING. TECNOLOGÍAS INDUSTRIALES"), 24, 0)) + (IF(AND(K219&gt;=451, K219&lt;=700), 23, 0)) + (IF(AND(AB219&gt;=5, AB219&lt;=8), 17, 0)) +(IF(_xludf.OR(_xludf.AND(AC219&gt;=8, AC219&lt;=10), _xludf.AND(AC219&gt;=0, AC219&lt;=5)), 16, 0)) + (IF(F219="Madrid", 11, 0))))</f>
        <v>#NAME?</v>
      </c>
      <c r="AG219" s="68"/>
      <c r="AH219" s="71" t="s">
        <v>164</v>
      </c>
    </row>
    <row r="220" spans="1:34" ht="14.4" x14ac:dyDescent="0.3">
      <c r="A220" s="66" t="s">
        <v>1198</v>
      </c>
      <c r="B220" s="66" t="s">
        <v>3315</v>
      </c>
      <c r="C220" s="33">
        <v>219</v>
      </c>
      <c r="D220" s="33" t="s">
        <v>5398</v>
      </c>
      <c r="E220" s="34" t="s">
        <v>5215</v>
      </c>
      <c r="F220" s="34" t="s">
        <v>118</v>
      </c>
      <c r="G220" s="57">
        <v>41153</v>
      </c>
      <c r="H220" s="57">
        <v>41487</v>
      </c>
      <c r="I220" s="34">
        <f t="shared" si="9"/>
        <v>11</v>
      </c>
      <c r="J220" s="34">
        <v>40</v>
      </c>
      <c r="K220" s="36">
        <v>700</v>
      </c>
      <c r="L220" s="34" t="s">
        <v>29</v>
      </c>
      <c r="M220" s="57">
        <v>34927</v>
      </c>
      <c r="N220" s="37">
        <f>(YEAR(TablaMadre[[#This Row],[ALTA]])-YEAR(M220))</f>
        <v>17</v>
      </c>
      <c r="O220" s="34" t="s">
        <v>118</v>
      </c>
      <c r="P220" s="34" t="s">
        <v>19</v>
      </c>
      <c r="Q220" s="34" t="s">
        <v>101</v>
      </c>
      <c r="R220" s="58" t="s">
        <v>30</v>
      </c>
      <c r="S220" s="34" t="s">
        <v>26</v>
      </c>
      <c r="T220" s="34"/>
      <c r="U220" s="34"/>
      <c r="V220" s="34" t="s">
        <v>27</v>
      </c>
      <c r="W220" s="34" t="s">
        <v>28</v>
      </c>
      <c r="X220" s="38" t="s">
        <v>164</v>
      </c>
      <c r="Y220" s="62">
        <v>42378</v>
      </c>
      <c r="Z220" s="38">
        <f t="shared" si="10"/>
        <v>2</v>
      </c>
      <c r="AA220" s="38"/>
      <c r="AB220" s="34"/>
      <c r="AC220" s="34"/>
      <c r="AD220" s="38"/>
      <c r="AE220" s="59" t="str">
        <f t="shared" si="11"/>
        <v>NO</v>
      </c>
      <c r="AF220" s="38" t="e" cm="1">
        <f t="array" aca="1" ref="AF220" ca="1">MIN(100, MAX(0, (IF(R220="ESTUDIANTE", 31, 0)) + (IF(I220&lt;=3, 30, IF(I220&lt;=6, 20, 0))) +(IF(OR(E220="413 - Control de Costes y Enlace Construcción", E220="480 - Secretaría General del Consejo", E220="132 - Civil y estructuras", E220="136 - Mecánica", E220="412 - Planificación", E220="142 - Compras"), 25, 0)) +(IF(OR(S220="GRADO ING. MECÁNICA", S220="GRADO ING. ELÉCTRICA", S220="GRADO DERECHO", S220="GRADO ECONOMÍA", S220="GRADO ING. TECNOLOGÍAS INDUSTRIALES"), 24, 0)) + (IF(AND(K220&gt;=451, K220&lt;=700), 23, 0)) + (IF(AND(AB220&gt;=5, AB220&lt;=8), 17, 0)) +(IF(_xludf.OR(_xludf.AND(AC220&gt;=8, AC220&lt;=10), _xludf.AND(AC220&gt;=0, AC220&lt;=5)), 16, 0)) + (IF(F220="Madrid", 11, 0))))</f>
        <v>#NAME?</v>
      </c>
      <c r="AG220" s="68"/>
      <c r="AH220" s="71" t="s">
        <v>164</v>
      </c>
    </row>
    <row r="221" spans="1:34" ht="14.4" x14ac:dyDescent="0.3">
      <c r="A221" s="66" t="s">
        <v>1199</v>
      </c>
      <c r="B221" s="66" t="s">
        <v>3316</v>
      </c>
      <c r="C221" s="33">
        <v>220</v>
      </c>
      <c r="D221" s="33" t="s">
        <v>5399</v>
      </c>
      <c r="E221" s="34" t="s">
        <v>5215</v>
      </c>
      <c r="F221" s="34" t="s">
        <v>118</v>
      </c>
      <c r="G221" s="57">
        <v>41153</v>
      </c>
      <c r="H221" s="57">
        <v>41487</v>
      </c>
      <c r="I221" s="34">
        <f t="shared" si="9"/>
        <v>11</v>
      </c>
      <c r="J221" s="34">
        <v>40</v>
      </c>
      <c r="K221" s="36">
        <v>900</v>
      </c>
      <c r="L221" s="34" t="s">
        <v>17</v>
      </c>
      <c r="M221" s="57">
        <v>34334</v>
      </c>
      <c r="N221" s="37">
        <f>(YEAR(TablaMadre[[#This Row],[ALTA]])-YEAR(M221))</f>
        <v>19</v>
      </c>
      <c r="O221" s="34" t="s">
        <v>217</v>
      </c>
      <c r="P221" s="34" t="s">
        <v>19</v>
      </c>
      <c r="Q221" s="34" t="s">
        <v>20</v>
      </c>
      <c r="R221" s="34" t="s">
        <v>21</v>
      </c>
      <c r="S221" s="34" t="s">
        <v>151</v>
      </c>
      <c r="T221" s="34"/>
      <c r="U221" s="34"/>
      <c r="V221" s="34" t="s">
        <v>107</v>
      </c>
      <c r="W221" s="34" t="s">
        <v>28</v>
      </c>
      <c r="X221" s="38" t="s">
        <v>173</v>
      </c>
      <c r="Y221" s="62"/>
      <c r="Z221" s="38" t="e">
        <f t="shared" si="10"/>
        <v>#NUM!</v>
      </c>
      <c r="AA221" s="38"/>
      <c r="AB221" s="34"/>
      <c r="AC221" s="34"/>
      <c r="AD221" s="38"/>
      <c r="AE221" s="59" t="str">
        <f t="shared" si="11"/>
        <v>SÍ</v>
      </c>
      <c r="AF221" s="38" t="e" cm="1">
        <f t="array" aca="1" ref="AF221" ca="1">MIN(100, MAX(0, (IF(R221="ESTUDIANTE", 31, 0)) + (IF(I221&lt;=3, 30, IF(I221&lt;=6, 20, 0))) +(IF(OR(E221="413 - Control de Costes y Enlace Construcción", E221="480 - Secretaría General del Consejo", E221="132 - Civil y estructuras", E221="136 - Mecánica", E221="412 - Planificación", E221="142 - Compras"), 25, 0)) +(IF(OR(S221="GRADO ING. MECÁNICA", S221="GRADO ING. ELÉCTRICA", S221="GRADO DERECHO", S221="GRADO ECONOMÍA", S221="GRADO ING. TECNOLOGÍAS INDUSTRIALES"), 24, 0)) + (IF(AND(K221&gt;=451, K221&lt;=700), 23, 0)) + (IF(AND(AB221&gt;=5, AB221&lt;=8), 17, 0)) +(IF(_xludf.OR(_xludf.AND(AC221&gt;=8, AC221&lt;=10), _xludf.AND(AC221&gt;=0, AC221&lt;=5)), 16, 0)) + (IF(F221="Madrid", 11, 0))))</f>
        <v>#NAME?</v>
      </c>
      <c r="AG221" s="68"/>
      <c r="AH221" s="71" t="s">
        <v>164</v>
      </c>
    </row>
    <row r="222" spans="1:34" ht="14.4" x14ac:dyDescent="0.3">
      <c r="A222" s="66" t="s">
        <v>1179</v>
      </c>
      <c r="B222" s="66" t="s">
        <v>3296</v>
      </c>
      <c r="C222" s="33">
        <v>221</v>
      </c>
      <c r="D222" s="33" t="s">
        <v>5400</v>
      </c>
      <c r="E222" s="34" t="s">
        <v>5264</v>
      </c>
      <c r="F222" s="34" t="s">
        <v>18</v>
      </c>
      <c r="G222" s="57">
        <v>41156</v>
      </c>
      <c r="H222" s="57">
        <v>41472</v>
      </c>
      <c r="I222" s="34">
        <f t="shared" si="9"/>
        <v>10</v>
      </c>
      <c r="J222" s="34">
        <v>25</v>
      </c>
      <c r="K222" s="36">
        <v>440</v>
      </c>
      <c r="L222" s="34" t="s">
        <v>17</v>
      </c>
      <c r="M222" s="57">
        <v>34504</v>
      </c>
      <c r="N222" s="37">
        <f>(YEAR(TablaMadre[[#This Row],[ALTA]])-YEAR(M222))</f>
        <v>18</v>
      </c>
      <c r="O222" s="34" t="s">
        <v>18</v>
      </c>
      <c r="P222" s="34" t="s">
        <v>19</v>
      </c>
      <c r="Q222" s="34" t="s">
        <v>58</v>
      </c>
      <c r="R222" s="58" t="s">
        <v>30</v>
      </c>
      <c r="S222" s="34" t="s">
        <v>229</v>
      </c>
      <c r="T222" s="34"/>
      <c r="U222" s="34"/>
      <c r="V222" s="34" t="s">
        <v>56</v>
      </c>
      <c r="W222" s="34" t="s">
        <v>91</v>
      </c>
      <c r="X222" s="38" t="s">
        <v>164</v>
      </c>
      <c r="Y222" s="62"/>
      <c r="Z222" s="62" t="e">
        <f t="shared" si="10"/>
        <v>#NUM!</v>
      </c>
      <c r="AA222" s="62"/>
      <c r="AB222" s="34" t="s">
        <v>24</v>
      </c>
      <c r="AC222" s="34" t="s">
        <v>34</v>
      </c>
      <c r="AD222" s="38"/>
      <c r="AE222" s="59" t="str">
        <f t="shared" si="11"/>
        <v>NO</v>
      </c>
      <c r="AF222" s="38" t="e" cm="1">
        <f t="array" aca="1" ref="AF222" ca="1">MIN(100, MAX(0, (IF(R222="ESTUDIANTE", 31, 0)) + (IF(I222&lt;=3, 30, IF(I222&lt;=6, 20, 0))) +(IF(OR(E222="413 - Control de Costes y Enlace Construcción", E222="480 - Secretaría General del Consejo", E222="132 - Civil y estructuras", E222="136 - Mecánica", E222="412 - Planificación", E222="142 - Compras"), 25, 0)) +(IF(OR(S222="GRADO ING. MECÁNICA", S222="GRADO ING. ELÉCTRICA", S222="GRADO DERECHO", S222="GRADO ECONOMÍA", S222="GRADO ING. TECNOLOGÍAS INDUSTRIALES"), 24, 0)) + (IF(AND(K222&gt;=451, K222&lt;=700), 23, 0)) + (IF(AND(AB222&gt;=5, AB222&lt;=8), 17, 0)) +(IF(_xludf.OR(_xludf.AND(AC222&gt;=8, AC222&lt;=10), _xludf.AND(AC222&gt;=0, AC222&lt;=5)), 16, 0)) + (IF(F222="Madrid", 11, 0))))</f>
        <v>#NAME?</v>
      </c>
      <c r="AG222" s="68"/>
      <c r="AH222" s="71" t="s">
        <v>164</v>
      </c>
    </row>
    <row r="223" spans="1:34" ht="14.4" x14ac:dyDescent="0.3">
      <c r="A223" s="66" t="s">
        <v>1182</v>
      </c>
      <c r="B223" s="66" t="s">
        <v>3299</v>
      </c>
      <c r="C223" s="33">
        <v>222</v>
      </c>
      <c r="D223" s="33" t="s">
        <v>5401</v>
      </c>
      <c r="E223" s="34" t="s">
        <v>5220</v>
      </c>
      <c r="F223" s="34" t="s">
        <v>18</v>
      </c>
      <c r="G223" s="57">
        <v>41156</v>
      </c>
      <c r="H223" s="57">
        <v>41493</v>
      </c>
      <c r="I223" s="34">
        <f t="shared" si="9"/>
        <v>11</v>
      </c>
      <c r="J223" s="34">
        <v>20</v>
      </c>
      <c r="K223" s="36">
        <v>450</v>
      </c>
      <c r="L223" s="34" t="s">
        <v>29</v>
      </c>
      <c r="M223" s="57">
        <v>34318</v>
      </c>
      <c r="N223" s="37">
        <f>(YEAR(TablaMadre[[#This Row],[ALTA]])-YEAR(M223))</f>
        <v>19</v>
      </c>
      <c r="O223" s="34" t="s">
        <v>99</v>
      </c>
      <c r="P223" s="34" t="s">
        <v>99</v>
      </c>
      <c r="Q223" s="34" t="s">
        <v>134</v>
      </c>
      <c r="R223" s="58" t="s">
        <v>30</v>
      </c>
      <c r="S223" s="34" t="s">
        <v>429</v>
      </c>
      <c r="T223" s="34"/>
      <c r="U223" s="34"/>
      <c r="V223" s="34" t="s">
        <v>84</v>
      </c>
      <c r="W223" s="34" t="s">
        <v>23</v>
      </c>
      <c r="X223" s="38" t="s">
        <v>164</v>
      </c>
      <c r="Y223" s="62"/>
      <c r="Z223" s="62" t="e">
        <f t="shared" si="10"/>
        <v>#NUM!</v>
      </c>
      <c r="AA223" s="62"/>
      <c r="AB223" s="34" t="s">
        <v>24</v>
      </c>
      <c r="AC223" s="34" t="s">
        <v>24</v>
      </c>
      <c r="AD223" s="38"/>
      <c r="AE223" s="59" t="str">
        <f t="shared" si="11"/>
        <v>SÍ</v>
      </c>
      <c r="AF223" s="38" t="e" cm="1">
        <f t="array" aca="1" ref="AF223" ca="1">MIN(100, MAX(0, (IF(R223="ESTUDIANTE", 31, 0)) + (IF(I223&lt;=3, 30, IF(I223&lt;=6, 20, 0))) +(IF(OR(E223="413 - Control de Costes y Enlace Construcción", E223="480 - Secretaría General del Consejo", E223="132 - Civil y estructuras", E223="136 - Mecánica", E223="412 - Planificación", E223="142 - Compras"), 25, 0)) +(IF(OR(S223="GRADO ING. MECÁNICA", S223="GRADO ING. ELÉCTRICA", S223="GRADO DERECHO", S223="GRADO ECONOMÍA", S223="GRADO ING. TECNOLOGÍAS INDUSTRIALES"), 24, 0)) + (IF(AND(K223&gt;=451, K223&lt;=700), 23, 0)) + (IF(AND(AB223&gt;=5, AB223&lt;=8), 17, 0)) +(IF(_xludf.OR(_xludf.AND(AC223&gt;=8, AC223&lt;=10), _xludf.AND(AC223&gt;=0, AC223&lt;=5)), 16, 0)) + (IF(F223="Madrid", 11, 0))))</f>
        <v>#NAME?</v>
      </c>
      <c r="AG223" s="68"/>
      <c r="AH223" s="71" t="s">
        <v>164</v>
      </c>
    </row>
    <row r="224" spans="1:34" ht="14.4" x14ac:dyDescent="0.3">
      <c r="A224" s="66" t="s">
        <v>1202</v>
      </c>
      <c r="B224" s="66" t="s">
        <v>3319</v>
      </c>
      <c r="C224" s="33">
        <v>223</v>
      </c>
      <c r="D224" s="33" t="s">
        <v>5402</v>
      </c>
      <c r="E224" s="34" t="s">
        <v>5265</v>
      </c>
      <c r="F224" s="34" t="s">
        <v>18</v>
      </c>
      <c r="G224" s="57">
        <v>41156</v>
      </c>
      <c r="H224" s="57">
        <v>41364</v>
      </c>
      <c r="I224" s="34">
        <f t="shared" si="9"/>
        <v>6</v>
      </c>
      <c r="J224" s="34">
        <v>40</v>
      </c>
      <c r="K224" s="36">
        <v>800</v>
      </c>
      <c r="L224" s="34" t="s">
        <v>17</v>
      </c>
      <c r="M224" s="57">
        <v>33227</v>
      </c>
      <c r="N224" s="37">
        <f>(YEAR(TablaMadre[[#This Row],[ALTA]])-YEAR(M224))</f>
        <v>22</v>
      </c>
      <c r="O224" s="34" t="s">
        <v>18</v>
      </c>
      <c r="P224" s="34" t="s">
        <v>19</v>
      </c>
      <c r="Q224" s="34" t="s">
        <v>58</v>
      </c>
      <c r="R224" s="34" t="s">
        <v>21</v>
      </c>
      <c r="S224" s="34" t="s">
        <v>229</v>
      </c>
      <c r="T224" s="34"/>
      <c r="U224" s="34"/>
      <c r="V224" s="34" t="s">
        <v>56</v>
      </c>
      <c r="W224" s="34" t="s">
        <v>28</v>
      </c>
      <c r="X224" s="38" t="s">
        <v>164</v>
      </c>
      <c r="Y224" s="62">
        <v>44166</v>
      </c>
      <c r="Z224" s="38">
        <f t="shared" si="10"/>
        <v>7</v>
      </c>
      <c r="AA224" s="38"/>
      <c r="AB224" s="34"/>
      <c r="AC224" s="34"/>
      <c r="AD224" s="38"/>
      <c r="AE224" s="59" t="str">
        <f t="shared" si="11"/>
        <v>NO</v>
      </c>
      <c r="AF224" s="38" t="e" cm="1">
        <f t="array" aca="1" ref="AF224" ca="1">MIN(100, MAX(0, (IF(R224="ESTUDIANTE", 31, 0)) + (IF(I224&lt;=3, 30, IF(I224&lt;=6, 20, 0))) +(IF(OR(E224="413 - Control de Costes y Enlace Construcción", E224="480 - Secretaría General del Consejo", E224="132 - Civil y estructuras", E224="136 - Mecánica", E224="412 - Planificación", E224="142 - Compras"), 25, 0)) +(IF(OR(S224="GRADO ING. MECÁNICA", S224="GRADO ING. ELÉCTRICA", S224="GRADO DERECHO", S224="GRADO ECONOMÍA", S224="GRADO ING. TECNOLOGÍAS INDUSTRIALES"), 24, 0)) + (IF(AND(K224&gt;=451, K224&lt;=700), 23, 0)) + (IF(AND(AB224&gt;=5, AB224&lt;=8), 17, 0)) +(IF(_xludf.OR(_xludf.AND(AC224&gt;=8, AC224&lt;=10), _xludf.AND(AC224&gt;=0, AC224&lt;=5)), 16, 0)) + (IF(F224="Madrid", 11, 0))))</f>
        <v>#NAME?</v>
      </c>
      <c r="AG224" s="68"/>
      <c r="AH224" s="71" t="s">
        <v>164</v>
      </c>
    </row>
    <row r="225" spans="1:34" ht="14.4" x14ac:dyDescent="0.3">
      <c r="A225" s="66" t="s">
        <v>1204</v>
      </c>
      <c r="B225" s="66" t="s">
        <v>3321</v>
      </c>
      <c r="C225" s="33">
        <v>225</v>
      </c>
      <c r="D225" s="33" t="s">
        <v>5393</v>
      </c>
      <c r="E225" s="34" t="s">
        <v>5241</v>
      </c>
      <c r="F225" s="34" t="s">
        <v>18</v>
      </c>
      <c r="G225" s="57">
        <v>41159</v>
      </c>
      <c r="H225" s="57">
        <v>41243</v>
      </c>
      <c r="I225" s="34">
        <f t="shared" si="9"/>
        <v>2</v>
      </c>
      <c r="J225" s="34">
        <v>40</v>
      </c>
      <c r="K225" s="36">
        <v>900</v>
      </c>
      <c r="L225" s="34" t="s">
        <v>17</v>
      </c>
      <c r="M225" s="57">
        <v>32711</v>
      </c>
      <c r="N225" s="37">
        <f>(YEAR(TablaMadre[[#This Row],[ALTA]])-YEAR(M225))</f>
        <v>23</v>
      </c>
      <c r="O225" s="34" t="s">
        <v>118</v>
      </c>
      <c r="P225" s="34" t="s">
        <v>19</v>
      </c>
      <c r="Q225" s="34" t="s">
        <v>32</v>
      </c>
      <c r="R225" s="34" t="s">
        <v>21</v>
      </c>
      <c r="S225" s="34" t="s">
        <v>322</v>
      </c>
      <c r="T225" s="34"/>
      <c r="U225" s="34"/>
      <c r="V225" s="34" t="s">
        <v>37</v>
      </c>
      <c r="W225" s="34" t="s">
        <v>28</v>
      </c>
      <c r="X225" s="38" t="s">
        <v>173</v>
      </c>
      <c r="Y225" s="62"/>
      <c r="Z225" s="38" t="e">
        <f t="shared" si="10"/>
        <v>#NUM!</v>
      </c>
      <c r="AA225" s="38"/>
      <c r="AB225" s="34"/>
      <c r="AC225" s="34"/>
      <c r="AD225" s="38"/>
      <c r="AE225" s="59" t="str">
        <f t="shared" si="11"/>
        <v>SÍ</v>
      </c>
      <c r="AF225" s="38" t="e" cm="1">
        <f t="array" aca="1" ref="AF225" ca="1">MIN(100, MAX(0, (IF(R225="ESTUDIANTE", 31, 0)) + (IF(I225&lt;=3, 30, IF(I225&lt;=6, 20, 0))) +(IF(OR(E225="413 - Control de Costes y Enlace Construcción", E225="480 - Secretaría General del Consejo", E225="132 - Civil y estructuras", E225="136 - Mecánica", E225="412 - Planificación", E225="142 - Compras"), 25, 0)) +(IF(OR(S225="GRADO ING. MECÁNICA", S225="GRADO ING. ELÉCTRICA", S225="GRADO DERECHO", S225="GRADO ECONOMÍA", S225="GRADO ING. TECNOLOGÍAS INDUSTRIALES"), 24, 0)) + (IF(AND(K225&gt;=451, K225&lt;=700), 23, 0)) + (IF(AND(AB225&gt;=5, AB225&lt;=8), 17, 0)) +(IF(_xludf.OR(_xludf.AND(AC225&gt;=8, AC225&lt;=10), _xludf.AND(AC225&gt;=0, AC225&lt;=5)), 16, 0)) + (IF(F225="Madrid", 11, 0))))</f>
        <v>#NAME?</v>
      </c>
      <c r="AG225" s="68"/>
      <c r="AH225" s="71" t="s">
        <v>164</v>
      </c>
    </row>
    <row r="226" spans="1:34" ht="14.4" x14ac:dyDescent="0.3">
      <c r="A226" s="66" t="s">
        <v>1205</v>
      </c>
      <c r="B226" s="66" t="s">
        <v>3322</v>
      </c>
      <c r="C226" s="33">
        <v>226</v>
      </c>
      <c r="D226" s="33" t="s">
        <v>5394</v>
      </c>
      <c r="E226" s="34" t="s">
        <v>5233</v>
      </c>
      <c r="F226" s="34" t="s">
        <v>18</v>
      </c>
      <c r="G226" s="57">
        <v>41159</v>
      </c>
      <c r="H226" s="57">
        <v>41455</v>
      </c>
      <c r="I226" s="34">
        <f t="shared" si="9"/>
        <v>9</v>
      </c>
      <c r="J226" s="34">
        <v>40</v>
      </c>
      <c r="K226" s="36">
        <v>900</v>
      </c>
      <c r="L226" s="34" t="s">
        <v>17</v>
      </c>
      <c r="M226" s="57">
        <v>34959</v>
      </c>
      <c r="N226" s="37">
        <f>(YEAR(TablaMadre[[#This Row],[ALTA]])-YEAR(M226))</f>
        <v>17</v>
      </c>
      <c r="O226" s="34" t="s">
        <v>18</v>
      </c>
      <c r="P226" s="34" t="s">
        <v>19</v>
      </c>
      <c r="Q226" s="34" t="s">
        <v>85</v>
      </c>
      <c r="R226" s="34" t="s">
        <v>21</v>
      </c>
      <c r="S226" s="34" t="s">
        <v>322</v>
      </c>
      <c r="T226" s="34"/>
      <c r="U226" s="34"/>
      <c r="V226" s="34" t="s">
        <v>137</v>
      </c>
      <c r="W226" s="34" t="s">
        <v>28</v>
      </c>
      <c r="X226" s="38" t="s">
        <v>164</v>
      </c>
      <c r="Y226" s="62">
        <v>43759</v>
      </c>
      <c r="Z226" s="38">
        <f t="shared" si="10"/>
        <v>6</v>
      </c>
      <c r="AA226" s="38"/>
      <c r="AB226" s="34"/>
      <c r="AC226" s="34"/>
      <c r="AD226" s="38"/>
      <c r="AE226" s="59" t="str">
        <f t="shared" si="11"/>
        <v>NO</v>
      </c>
      <c r="AF226" s="38" t="e" cm="1">
        <f t="array" aca="1" ref="AF226" ca="1">MIN(100, MAX(0, (IF(R226="ESTUDIANTE", 31, 0)) + (IF(I226&lt;=3, 30, IF(I226&lt;=6, 20, 0))) +(IF(OR(E226="413 - Control de Costes y Enlace Construcción", E226="480 - Secretaría General del Consejo", E226="132 - Civil y estructuras", E226="136 - Mecánica", E226="412 - Planificación", E226="142 - Compras"), 25, 0)) +(IF(OR(S226="GRADO ING. MECÁNICA", S226="GRADO ING. ELÉCTRICA", S226="GRADO DERECHO", S226="GRADO ECONOMÍA", S226="GRADO ING. TECNOLOGÍAS INDUSTRIALES"), 24, 0)) + (IF(AND(K226&gt;=451, K226&lt;=700), 23, 0)) + (IF(AND(AB226&gt;=5, AB226&lt;=8), 17, 0)) +(IF(_xludf.OR(_xludf.AND(AC226&gt;=8, AC226&lt;=10), _xludf.AND(AC226&gt;=0, AC226&lt;=5)), 16, 0)) + (IF(F226="Madrid", 11, 0))))</f>
        <v>#NAME?</v>
      </c>
      <c r="AG226" s="68"/>
      <c r="AH226" s="71" t="s">
        <v>164</v>
      </c>
    </row>
    <row r="227" spans="1:34" ht="14.4" x14ac:dyDescent="0.3">
      <c r="A227" s="66" t="s">
        <v>1206</v>
      </c>
      <c r="B227" s="66" t="s">
        <v>3323</v>
      </c>
      <c r="C227" s="33">
        <v>227</v>
      </c>
      <c r="D227" s="33" t="s">
        <v>5395</v>
      </c>
      <c r="E227" s="34" t="s">
        <v>5222</v>
      </c>
      <c r="F227" s="34" t="s">
        <v>18</v>
      </c>
      <c r="G227" s="57">
        <v>41159</v>
      </c>
      <c r="H227" s="57">
        <v>41459</v>
      </c>
      <c r="I227" s="34">
        <f t="shared" si="9"/>
        <v>9</v>
      </c>
      <c r="J227" s="34">
        <v>40</v>
      </c>
      <c r="K227" s="36">
        <v>650</v>
      </c>
      <c r="L227" s="34" t="s">
        <v>29</v>
      </c>
      <c r="M227" s="57">
        <v>34199</v>
      </c>
      <c r="N227" s="37">
        <f>(YEAR(TablaMadre[[#This Row],[ALTA]])-YEAR(M227))</f>
        <v>19</v>
      </c>
      <c r="O227" s="34" t="s">
        <v>18</v>
      </c>
      <c r="P227" s="34" t="s">
        <v>19</v>
      </c>
      <c r="Q227" s="34" t="s">
        <v>63</v>
      </c>
      <c r="R227" s="58" t="s">
        <v>30</v>
      </c>
      <c r="S227" s="34" t="s">
        <v>297</v>
      </c>
      <c r="T227" s="34"/>
      <c r="U227" s="34"/>
      <c r="V227" s="34" t="s">
        <v>56</v>
      </c>
      <c r="W227" s="34" t="s">
        <v>28</v>
      </c>
      <c r="X227" s="38" t="s">
        <v>164</v>
      </c>
      <c r="Y227" s="62">
        <v>43745</v>
      </c>
      <c r="Z227" s="38">
        <f t="shared" si="10"/>
        <v>6</v>
      </c>
      <c r="AA227" s="38"/>
      <c r="AB227" s="34"/>
      <c r="AC227" s="34"/>
      <c r="AD227" s="38"/>
      <c r="AE227" s="59" t="str">
        <f t="shared" si="11"/>
        <v>NO</v>
      </c>
      <c r="AF227" s="38" t="e" cm="1">
        <f t="array" aca="1" ref="AF227" ca="1">MIN(100, MAX(0, (IF(R227="ESTUDIANTE", 31, 0)) + (IF(I227&lt;=3, 30, IF(I227&lt;=6, 20, 0))) +(IF(OR(E227="413 - Control de Costes y Enlace Construcción", E227="480 - Secretaría General del Consejo", E227="132 - Civil y estructuras", E227="136 - Mecánica", E227="412 - Planificación", E227="142 - Compras"), 25, 0)) +(IF(OR(S227="GRADO ING. MECÁNICA", S227="GRADO ING. ELÉCTRICA", S227="GRADO DERECHO", S227="GRADO ECONOMÍA", S227="GRADO ING. TECNOLOGÍAS INDUSTRIALES"), 24, 0)) + (IF(AND(K227&gt;=451, K227&lt;=700), 23, 0)) + (IF(AND(AB227&gt;=5, AB227&lt;=8), 17, 0)) +(IF(_xludf.OR(_xludf.AND(AC227&gt;=8, AC227&lt;=10), _xludf.AND(AC227&gt;=0, AC227&lt;=5)), 16, 0)) + (IF(F227="Madrid", 11, 0))))</f>
        <v>#NAME?</v>
      </c>
      <c r="AG227" s="68"/>
      <c r="AH227" s="71" t="s">
        <v>164</v>
      </c>
    </row>
    <row r="228" spans="1:34" ht="14.4" x14ac:dyDescent="0.3">
      <c r="A228" s="66" t="s">
        <v>1207</v>
      </c>
      <c r="B228" s="66" t="s">
        <v>3324</v>
      </c>
      <c r="C228" s="33">
        <v>228</v>
      </c>
      <c r="D228" s="33" t="s">
        <v>5396</v>
      </c>
      <c r="E228" s="34" t="s">
        <v>5216</v>
      </c>
      <c r="F228" s="34" t="s">
        <v>18</v>
      </c>
      <c r="G228" s="57">
        <v>41159</v>
      </c>
      <c r="H228" s="57">
        <v>41524</v>
      </c>
      <c r="I228" s="34">
        <f t="shared" si="9"/>
        <v>12</v>
      </c>
      <c r="J228" s="34">
        <v>40</v>
      </c>
      <c r="K228" s="36">
        <v>900</v>
      </c>
      <c r="L228" s="34" t="s">
        <v>17</v>
      </c>
      <c r="M228" s="57">
        <v>33652</v>
      </c>
      <c r="N228" s="37">
        <f>(YEAR(TablaMadre[[#This Row],[ALTA]])-YEAR(M228))</f>
        <v>20</v>
      </c>
      <c r="O228" s="34" t="s">
        <v>18</v>
      </c>
      <c r="P228" s="34" t="s">
        <v>19</v>
      </c>
      <c r="Q228" s="34" t="s">
        <v>63</v>
      </c>
      <c r="R228" s="34" t="s">
        <v>21</v>
      </c>
      <c r="S228" s="34" t="s">
        <v>297</v>
      </c>
      <c r="T228" s="34"/>
      <c r="U228" s="34"/>
      <c r="V228" s="34" t="s">
        <v>188</v>
      </c>
      <c r="W228" s="34" t="s">
        <v>28</v>
      </c>
      <c r="X228" s="38" t="s">
        <v>164</v>
      </c>
      <c r="Y228" s="62">
        <v>42367</v>
      </c>
      <c r="Z228" s="38">
        <f t="shared" si="10"/>
        <v>2</v>
      </c>
      <c r="AA228" s="38"/>
      <c r="AB228" s="34"/>
      <c r="AC228" s="34"/>
      <c r="AD228" s="38"/>
      <c r="AE228" s="59" t="str">
        <f t="shared" si="11"/>
        <v>NO</v>
      </c>
      <c r="AF228" s="38" t="e" cm="1">
        <f t="array" aca="1" ref="AF228" ca="1">MIN(100, MAX(0, (IF(R228="ESTUDIANTE", 31, 0)) + (IF(I228&lt;=3, 30, IF(I228&lt;=6, 20, 0))) +(IF(OR(E228="413 - Control de Costes y Enlace Construcción", E228="480 - Secretaría General del Consejo", E228="132 - Civil y estructuras", E228="136 - Mecánica", E228="412 - Planificación", E228="142 - Compras"), 25, 0)) +(IF(OR(S228="GRADO ING. MECÁNICA", S228="GRADO ING. ELÉCTRICA", S228="GRADO DERECHO", S228="GRADO ECONOMÍA", S228="GRADO ING. TECNOLOGÍAS INDUSTRIALES"), 24, 0)) + (IF(AND(K228&gt;=451, K228&lt;=700), 23, 0)) + (IF(AND(AB228&gt;=5, AB228&lt;=8), 17, 0)) +(IF(_xludf.OR(_xludf.AND(AC228&gt;=8, AC228&lt;=10), _xludf.AND(AC228&gt;=0, AC228&lt;=5)), 16, 0)) + (IF(F228="Madrid", 11, 0))))</f>
        <v>#NAME?</v>
      </c>
      <c r="AG228" s="68"/>
      <c r="AH228" s="71" t="s">
        <v>164</v>
      </c>
    </row>
    <row r="229" spans="1:34" ht="14.4" x14ac:dyDescent="0.3">
      <c r="A229" s="66" t="s">
        <v>1209</v>
      </c>
      <c r="B229" s="66" t="s">
        <v>3326</v>
      </c>
      <c r="C229" s="33">
        <v>224</v>
      </c>
      <c r="D229" s="33" t="s">
        <v>5397</v>
      </c>
      <c r="E229" s="34" t="s">
        <v>5231</v>
      </c>
      <c r="F229" s="34" t="s">
        <v>18</v>
      </c>
      <c r="G229" s="57">
        <v>41159</v>
      </c>
      <c r="H229" s="57">
        <v>41404</v>
      </c>
      <c r="I229" s="34">
        <f t="shared" si="9"/>
        <v>8</v>
      </c>
      <c r="J229" s="34">
        <v>40</v>
      </c>
      <c r="K229" s="36">
        <v>900</v>
      </c>
      <c r="L229" s="34" t="s">
        <v>17</v>
      </c>
      <c r="M229" s="57">
        <v>33738</v>
      </c>
      <c r="N229" s="37">
        <f>(YEAR(TablaMadre[[#This Row],[ALTA]])-YEAR(M229))</f>
        <v>20</v>
      </c>
      <c r="O229" s="34" t="s">
        <v>18</v>
      </c>
      <c r="P229" s="34" t="s">
        <v>19</v>
      </c>
      <c r="Q229" s="34" t="s">
        <v>73</v>
      </c>
      <c r="R229" s="34" t="s">
        <v>21</v>
      </c>
      <c r="S229" s="34" t="s">
        <v>296</v>
      </c>
      <c r="T229" s="34"/>
      <c r="U229" s="34"/>
      <c r="V229" s="34" t="s">
        <v>56</v>
      </c>
      <c r="W229" s="34" t="s">
        <v>47</v>
      </c>
      <c r="X229" s="38" t="s">
        <v>173</v>
      </c>
      <c r="Y229" s="62"/>
      <c r="Z229" s="62" t="e">
        <f t="shared" si="10"/>
        <v>#NUM!</v>
      </c>
      <c r="AA229" s="62"/>
      <c r="AB229" s="34"/>
      <c r="AC229" s="34"/>
      <c r="AD229" s="38"/>
      <c r="AE229" s="59" t="str">
        <f t="shared" si="11"/>
        <v>NO</v>
      </c>
      <c r="AF229" s="38" t="e" cm="1">
        <f t="array" aca="1" ref="AF229" ca="1">MIN(100, MAX(0, (IF(R229="ESTUDIANTE", 31, 0)) + (IF(I229&lt;=3, 30, IF(I229&lt;=6, 20, 0))) +(IF(OR(E229="413 - Control de Costes y Enlace Construcción", E229="480 - Secretaría General del Consejo", E229="132 - Civil y estructuras", E229="136 - Mecánica", E229="412 - Planificación", E229="142 - Compras"), 25, 0)) +(IF(OR(S229="GRADO ING. MECÁNICA", S229="GRADO ING. ELÉCTRICA", S229="GRADO DERECHO", S229="GRADO ECONOMÍA", S229="GRADO ING. TECNOLOGÍAS INDUSTRIALES"), 24, 0)) + (IF(AND(K229&gt;=451, K229&lt;=700), 23, 0)) + (IF(AND(AB229&gt;=5, AB229&lt;=8), 17, 0)) +(IF(_xludf.OR(_xludf.AND(AC229&gt;=8, AC229&lt;=10), _xludf.AND(AC229&gt;=0, AC229&lt;=5)), 16, 0)) + (IF(F229="Madrid", 11, 0))))</f>
        <v>#NAME?</v>
      </c>
      <c r="AG229" s="68"/>
      <c r="AH229" s="71" t="s">
        <v>164</v>
      </c>
    </row>
    <row r="230" spans="1:34" ht="14.4" x14ac:dyDescent="0.3">
      <c r="A230" s="66" t="s">
        <v>1208</v>
      </c>
      <c r="B230" s="66" t="s">
        <v>3325</v>
      </c>
      <c r="C230" s="33">
        <v>229</v>
      </c>
      <c r="D230" s="33" t="s">
        <v>5398</v>
      </c>
      <c r="E230" s="34" t="s">
        <v>5235</v>
      </c>
      <c r="F230" s="34" t="s">
        <v>18</v>
      </c>
      <c r="G230" s="57">
        <v>41162</v>
      </c>
      <c r="H230" s="57">
        <v>41333</v>
      </c>
      <c r="I230" s="34">
        <f t="shared" si="9"/>
        <v>5</v>
      </c>
      <c r="J230" s="34">
        <v>40</v>
      </c>
      <c r="K230" s="36">
        <v>900</v>
      </c>
      <c r="L230" s="34" t="s">
        <v>29</v>
      </c>
      <c r="M230" s="57">
        <v>34911</v>
      </c>
      <c r="N230" s="37">
        <f>(YEAR(TablaMadre[[#This Row],[ALTA]])-YEAR(M230))</f>
        <v>17</v>
      </c>
      <c r="O230" s="34" t="s">
        <v>18</v>
      </c>
      <c r="P230" s="34" t="s">
        <v>19</v>
      </c>
      <c r="Q230" s="34" t="s">
        <v>61</v>
      </c>
      <c r="R230" s="34" t="s">
        <v>21</v>
      </c>
      <c r="S230" s="34" t="s">
        <v>322</v>
      </c>
      <c r="T230" s="34"/>
      <c r="U230" s="34"/>
      <c r="V230" s="34" t="s">
        <v>22</v>
      </c>
      <c r="W230" s="34" t="s">
        <v>28</v>
      </c>
      <c r="X230" s="38" t="s">
        <v>173</v>
      </c>
      <c r="Y230" s="62"/>
      <c r="Z230" s="38" t="e">
        <f t="shared" si="10"/>
        <v>#NUM!</v>
      </c>
      <c r="AA230" s="38"/>
      <c r="AB230" s="34" t="s">
        <v>24</v>
      </c>
      <c r="AC230" s="34" t="s">
        <v>34</v>
      </c>
      <c r="AD230" s="38"/>
      <c r="AE230" s="59" t="str">
        <f t="shared" si="11"/>
        <v>NO</v>
      </c>
      <c r="AF230" s="38" t="e" cm="1">
        <f t="array" aca="1" ref="AF230" ca="1">MIN(100, MAX(0, (IF(R230="ESTUDIANTE", 31, 0)) + (IF(I230&lt;=3, 30, IF(I230&lt;=6, 20, 0))) +(IF(OR(E230="413 - Control de Costes y Enlace Construcción", E230="480 - Secretaría General del Consejo", E230="132 - Civil y estructuras", E230="136 - Mecánica", E230="412 - Planificación", E230="142 - Compras"), 25, 0)) +(IF(OR(S230="GRADO ING. MECÁNICA", S230="GRADO ING. ELÉCTRICA", S230="GRADO DERECHO", S230="GRADO ECONOMÍA", S230="GRADO ING. TECNOLOGÍAS INDUSTRIALES"), 24, 0)) + (IF(AND(K230&gt;=451, K230&lt;=700), 23, 0)) + (IF(AND(AB230&gt;=5, AB230&lt;=8), 17, 0)) +(IF(_xludf.OR(_xludf.AND(AC230&gt;=8, AC230&lt;=10), _xludf.AND(AC230&gt;=0, AC230&lt;=5)), 16, 0)) + (IF(F230="Madrid", 11, 0))))</f>
        <v>#NAME?</v>
      </c>
      <c r="AG230" s="68"/>
      <c r="AH230" s="71" t="s">
        <v>164</v>
      </c>
    </row>
    <row r="231" spans="1:34" ht="14.4" x14ac:dyDescent="0.3">
      <c r="A231" s="66" t="s">
        <v>1178</v>
      </c>
      <c r="B231" s="66" t="s">
        <v>3295</v>
      </c>
      <c r="C231" s="33">
        <v>230</v>
      </c>
      <c r="D231" s="33" t="s">
        <v>5399</v>
      </c>
      <c r="E231" s="34" t="s">
        <v>5254</v>
      </c>
      <c r="F231" s="34" t="s">
        <v>18</v>
      </c>
      <c r="G231" s="57">
        <v>41186</v>
      </c>
      <c r="H231" s="57">
        <v>41445</v>
      </c>
      <c r="I231" s="34">
        <f t="shared" si="9"/>
        <v>8</v>
      </c>
      <c r="J231" s="34">
        <v>40</v>
      </c>
      <c r="K231" s="36">
        <v>450</v>
      </c>
      <c r="L231" s="34" t="s">
        <v>29</v>
      </c>
      <c r="M231" s="57">
        <v>33470</v>
      </c>
      <c r="N231" s="37">
        <f>(YEAR(TablaMadre[[#This Row],[ALTA]])-YEAR(M231))</f>
        <v>21</v>
      </c>
      <c r="O231" s="34" t="s">
        <v>18</v>
      </c>
      <c r="P231" s="34" t="s">
        <v>19</v>
      </c>
      <c r="Q231" s="34" t="s">
        <v>98</v>
      </c>
      <c r="R231" s="58" t="s">
        <v>30</v>
      </c>
      <c r="S231" s="34" t="s">
        <v>26</v>
      </c>
      <c r="T231" s="34"/>
      <c r="U231" s="34"/>
      <c r="V231" s="34" t="s">
        <v>27</v>
      </c>
      <c r="W231" s="34" t="s">
        <v>23</v>
      </c>
      <c r="X231" s="38" t="s">
        <v>164</v>
      </c>
      <c r="Y231" s="62"/>
      <c r="Z231" s="62" t="e">
        <f t="shared" si="10"/>
        <v>#NUM!</v>
      </c>
      <c r="AA231" s="62"/>
      <c r="AB231" s="34" t="s">
        <v>24</v>
      </c>
      <c r="AC231" s="34" t="s">
        <v>24</v>
      </c>
      <c r="AD231" s="38"/>
      <c r="AE231" s="59" t="str">
        <f t="shared" si="11"/>
        <v>NO</v>
      </c>
      <c r="AF231" s="38" t="e" cm="1">
        <f t="array" aca="1" ref="AF231" ca="1">MIN(100, MAX(0, (IF(R231="ESTUDIANTE", 31, 0)) + (IF(I231&lt;=3, 30, IF(I231&lt;=6, 20, 0))) +(IF(OR(E231="413 - Control de Costes y Enlace Construcción", E231="480 - Secretaría General del Consejo", E231="132 - Civil y estructuras", E231="136 - Mecánica", E231="412 - Planificación", E231="142 - Compras"), 25, 0)) +(IF(OR(S231="GRADO ING. MECÁNICA", S231="GRADO ING. ELÉCTRICA", S231="GRADO DERECHO", S231="GRADO ECONOMÍA", S231="GRADO ING. TECNOLOGÍAS INDUSTRIALES"), 24, 0)) + (IF(AND(K231&gt;=451, K231&lt;=700), 23, 0)) + (IF(AND(AB231&gt;=5, AB231&lt;=8), 17, 0)) +(IF(_xludf.OR(_xludf.AND(AC231&gt;=8, AC231&lt;=10), _xludf.AND(AC231&gt;=0, AC231&lt;=5)), 16, 0)) + (IF(F231="Madrid", 11, 0))))</f>
        <v>#NAME?</v>
      </c>
      <c r="AG231" s="68"/>
      <c r="AH231" s="71" t="s">
        <v>164</v>
      </c>
    </row>
    <row r="232" spans="1:34" ht="14.4" x14ac:dyDescent="0.3">
      <c r="A232" s="66" t="s">
        <v>1140</v>
      </c>
      <c r="B232" s="66" t="s">
        <v>3257</v>
      </c>
      <c r="C232" s="33">
        <v>231</v>
      </c>
      <c r="D232" s="33" t="s">
        <v>5393</v>
      </c>
      <c r="E232" s="34" t="s">
        <v>5223</v>
      </c>
      <c r="F232" s="34" t="s">
        <v>932</v>
      </c>
      <c r="G232" s="57">
        <v>41191</v>
      </c>
      <c r="H232" s="57">
        <v>41333</v>
      </c>
      <c r="I232" s="34">
        <f t="shared" si="9"/>
        <v>4</v>
      </c>
      <c r="J232" s="34">
        <v>35</v>
      </c>
      <c r="K232" s="36">
        <v>790</v>
      </c>
      <c r="L232" s="34" t="s">
        <v>29</v>
      </c>
      <c r="M232" s="57">
        <v>33411</v>
      </c>
      <c r="N232" s="37">
        <f>(YEAR(TablaMadre[[#This Row],[ALTA]])-YEAR(M232))</f>
        <v>21</v>
      </c>
      <c r="O232" s="34"/>
      <c r="P232" s="34" t="s">
        <v>19</v>
      </c>
      <c r="Q232" s="34" t="s">
        <v>109</v>
      </c>
      <c r="R232" s="34" t="s">
        <v>21</v>
      </c>
      <c r="S232" s="34" t="s">
        <v>109</v>
      </c>
      <c r="T232" s="34"/>
      <c r="U232" s="34"/>
      <c r="V232" s="34" t="s">
        <v>107</v>
      </c>
      <c r="W232" s="34" t="s">
        <v>91</v>
      </c>
      <c r="X232" s="38" t="s">
        <v>164</v>
      </c>
      <c r="Y232" s="62"/>
      <c r="Z232" s="62" t="e">
        <f t="shared" si="10"/>
        <v>#NUM!</v>
      </c>
      <c r="AA232" s="62"/>
      <c r="AB232" s="34"/>
      <c r="AC232" s="34"/>
      <c r="AD232" s="38"/>
      <c r="AE232" s="59" t="str">
        <f t="shared" si="11"/>
        <v>SÍ</v>
      </c>
      <c r="AF232" s="38" t="e" cm="1">
        <f t="array" aca="1" ref="AF232" ca="1">MIN(100, MAX(0, (IF(R232="ESTUDIANTE", 31, 0)) + (IF(I232&lt;=3, 30, IF(I232&lt;=6, 20, 0))) +(IF(OR(E232="413 - Control de Costes y Enlace Construcción", E232="480 - Secretaría General del Consejo", E232="132 - Civil y estructuras", E232="136 - Mecánica", E232="412 - Planificación", E232="142 - Compras"), 25, 0)) +(IF(OR(S232="GRADO ING. MECÁNICA", S232="GRADO ING. ELÉCTRICA", S232="GRADO DERECHO", S232="GRADO ECONOMÍA", S232="GRADO ING. TECNOLOGÍAS INDUSTRIALES"), 24, 0)) + (IF(AND(K232&gt;=451, K232&lt;=700), 23, 0)) + (IF(AND(AB232&gt;=5, AB232&lt;=8), 17, 0)) +(IF(_xludf.OR(_xludf.AND(AC232&gt;=8, AC232&lt;=10), _xludf.AND(AC232&gt;=0, AC232&lt;=5)), 16, 0)) + (IF(F232="Madrid", 11, 0))))</f>
        <v>#NAME?</v>
      </c>
      <c r="AG232" s="68"/>
      <c r="AH232" s="71" t="s">
        <v>164</v>
      </c>
    </row>
    <row r="233" spans="1:34" ht="14.4" x14ac:dyDescent="0.3">
      <c r="A233" s="66" t="s">
        <v>1211</v>
      </c>
      <c r="B233" s="66" t="s">
        <v>3328</v>
      </c>
      <c r="C233" s="33">
        <v>232</v>
      </c>
      <c r="D233" s="33" t="s">
        <v>5394</v>
      </c>
      <c r="E233" s="34" t="s">
        <v>5241</v>
      </c>
      <c r="F233" s="34" t="s">
        <v>18</v>
      </c>
      <c r="G233" s="57">
        <v>41191</v>
      </c>
      <c r="H233" s="57">
        <v>41556</v>
      </c>
      <c r="I233" s="34">
        <f t="shared" si="9"/>
        <v>12</v>
      </c>
      <c r="J233" s="34">
        <v>40</v>
      </c>
      <c r="K233" s="36">
        <v>900</v>
      </c>
      <c r="L233" s="34" t="s">
        <v>17</v>
      </c>
      <c r="M233" s="57">
        <v>32643</v>
      </c>
      <c r="N233" s="37">
        <f>(YEAR(TablaMadre[[#This Row],[ALTA]])-YEAR(M233))</f>
        <v>23</v>
      </c>
      <c r="O233" s="34" t="s">
        <v>18</v>
      </c>
      <c r="P233" s="34" t="s">
        <v>19</v>
      </c>
      <c r="Q233" s="34" t="s">
        <v>85</v>
      </c>
      <c r="R233" s="34" t="s">
        <v>21</v>
      </c>
      <c r="S233" s="34" t="s">
        <v>322</v>
      </c>
      <c r="T233" s="34"/>
      <c r="U233" s="34"/>
      <c r="V233" s="34" t="s">
        <v>22</v>
      </c>
      <c r="W233" s="34" t="s">
        <v>28</v>
      </c>
      <c r="X233" s="38" t="s">
        <v>164</v>
      </c>
      <c r="Y233" s="62">
        <v>44769</v>
      </c>
      <c r="Z233" s="38">
        <f t="shared" si="10"/>
        <v>8</v>
      </c>
      <c r="AA233" s="38"/>
      <c r="AB233" s="34"/>
      <c r="AC233" s="34"/>
      <c r="AD233" s="38"/>
      <c r="AE233" s="59" t="str">
        <f t="shared" si="11"/>
        <v>NO</v>
      </c>
      <c r="AF233" s="38" t="e" cm="1">
        <f t="array" aca="1" ref="AF233" ca="1">MIN(100, MAX(0, (IF(R233="ESTUDIANTE", 31, 0)) + (IF(I233&lt;=3, 30, IF(I233&lt;=6, 20, 0))) +(IF(OR(E233="413 - Control de Costes y Enlace Construcción", E233="480 - Secretaría General del Consejo", E233="132 - Civil y estructuras", E233="136 - Mecánica", E233="412 - Planificación", E233="142 - Compras"), 25, 0)) +(IF(OR(S233="GRADO ING. MECÁNICA", S233="GRADO ING. ELÉCTRICA", S233="GRADO DERECHO", S233="GRADO ECONOMÍA", S233="GRADO ING. TECNOLOGÍAS INDUSTRIALES"), 24, 0)) + (IF(AND(K233&gt;=451, K233&lt;=700), 23, 0)) + (IF(AND(AB233&gt;=5, AB233&lt;=8), 17, 0)) +(IF(_xludf.OR(_xludf.AND(AC233&gt;=8, AC233&lt;=10), _xludf.AND(AC233&gt;=0, AC233&lt;=5)), 16, 0)) + (IF(F233="Madrid", 11, 0))))</f>
        <v>#NAME?</v>
      </c>
      <c r="AG233" s="68"/>
      <c r="AH233" s="71" t="s">
        <v>164</v>
      </c>
    </row>
    <row r="234" spans="1:34" ht="14.4" x14ac:dyDescent="0.3">
      <c r="A234" s="66" t="s">
        <v>1212</v>
      </c>
      <c r="B234" s="66" t="s">
        <v>3329</v>
      </c>
      <c r="C234" s="33">
        <v>233</v>
      </c>
      <c r="D234" s="33" t="s">
        <v>5395</v>
      </c>
      <c r="E234" s="34" t="s">
        <v>5252</v>
      </c>
      <c r="F234" s="34" t="s">
        <v>18</v>
      </c>
      <c r="G234" s="57">
        <v>41194</v>
      </c>
      <c r="H234" s="57">
        <v>41559</v>
      </c>
      <c r="I234" s="34">
        <f t="shared" si="9"/>
        <v>12</v>
      </c>
      <c r="J234" s="34">
        <v>40</v>
      </c>
      <c r="K234" s="36">
        <v>750</v>
      </c>
      <c r="L234" s="34" t="s">
        <v>17</v>
      </c>
      <c r="M234" s="57">
        <v>34683</v>
      </c>
      <c r="N234" s="37">
        <f>(YEAR(TablaMadre[[#This Row],[ALTA]])-YEAR(M234))</f>
        <v>18</v>
      </c>
      <c r="O234" s="34" t="s">
        <v>18</v>
      </c>
      <c r="P234" s="34" t="s">
        <v>19</v>
      </c>
      <c r="Q234" s="34" t="s">
        <v>130</v>
      </c>
      <c r="R234" s="34" t="s">
        <v>21</v>
      </c>
      <c r="S234" s="34" t="s">
        <v>307</v>
      </c>
      <c r="T234" s="34"/>
      <c r="U234" s="34"/>
      <c r="V234" s="34" t="s">
        <v>179</v>
      </c>
      <c r="W234" s="34" t="s">
        <v>28</v>
      </c>
      <c r="X234" s="38" t="s">
        <v>164</v>
      </c>
      <c r="Y234" s="62">
        <v>42715</v>
      </c>
      <c r="Z234" s="38">
        <f t="shared" si="10"/>
        <v>3</v>
      </c>
      <c r="AA234" s="38"/>
      <c r="AB234" s="34"/>
      <c r="AC234" s="34"/>
      <c r="AD234" s="38"/>
      <c r="AE234" s="59" t="str">
        <f t="shared" si="11"/>
        <v>NO</v>
      </c>
      <c r="AF234" s="38" t="e" cm="1">
        <f t="array" aca="1" ref="AF234" ca="1">MIN(100, MAX(0, (IF(R234="ESTUDIANTE", 31, 0)) + (IF(I234&lt;=3, 30, IF(I234&lt;=6, 20, 0))) +(IF(OR(E234="413 - Control de Costes y Enlace Construcción", E234="480 - Secretaría General del Consejo", E234="132 - Civil y estructuras", E234="136 - Mecánica", E234="412 - Planificación", E234="142 - Compras"), 25, 0)) +(IF(OR(S234="GRADO ING. MECÁNICA", S234="GRADO ING. ELÉCTRICA", S234="GRADO DERECHO", S234="GRADO ECONOMÍA", S234="GRADO ING. TECNOLOGÍAS INDUSTRIALES"), 24, 0)) + (IF(AND(K234&gt;=451, K234&lt;=700), 23, 0)) + (IF(AND(AB234&gt;=5, AB234&lt;=8), 17, 0)) +(IF(_xludf.OR(_xludf.AND(AC234&gt;=8, AC234&lt;=10), _xludf.AND(AC234&gt;=0, AC234&lt;=5)), 16, 0)) + (IF(F234="Madrid", 11, 0))))</f>
        <v>#NAME?</v>
      </c>
      <c r="AG234" s="68"/>
      <c r="AH234" s="71" t="s">
        <v>164</v>
      </c>
    </row>
    <row r="235" spans="1:34" ht="14.4" x14ac:dyDescent="0.3">
      <c r="A235" s="66" t="s">
        <v>1213</v>
      </c>
      <c r="B235" s="66" t="s">
        <v>3330</v>
      </c>
      <c r="C235" s="33">
        <v>234</v>
      </c>
      <c r="D235" s="33" t="s">
        <v>5396</v>
      </c>
      <c r="E235" s="34" t="s">
        <v>5241</v>
      </c>
      <c r="F235" s="34" t="s">
        <v>18</v>
      </c>
      <c r="G235" s="57">
        <v>41197</v>
      </c>
      <c r="H235" s="57">
        <v>41561</v>
      </c>
      <c r="I235" s="34">
        <f t="shared" si="9"/>
        <v>11</v>
      </c>
      <c r="J235" s="34">
        <v>40</v>
      </c>
      <c r="K235" s="36">
        <v>900</v>
      </c>
      <c r="L235" s="34" t="s">
        <v>17</v>
      </c>
      <c r="M235" s="57">
        <v>31972</v>
      </c>
      <c r="N235" s="37">
        <f>(YEAR(TablaMadre[[#This Row],[ALTA]])-YEAR(M235))</f>
        <v>25</v>
      </c>
      <c r="O235" s="34" t="s">
        <v>226</v>
      </c>
      <c r="P235" s="34" t="s">
        <v>19</v>
      </c>
      <c r="Q235" s="34" t="s">
        <v>227</v>
      </c>
      <c r="R235" s="34" t="s">
        <v>21</v>
      </c>
      <c r="S235" s="34" t="s">
        <v>322</v>
      </c>
      <c r="T235" s="34"/>
      <c r="U235" s="34"/>
      <c r="V235" s="34" t="s">
        <v>216</v>
      </c>
      <c r="W235" s="34" t="s">
        <v>28</v>
      </c>
      <c r="X235" s="38" t="s">
        <v>173</v>
      </c>
      <c r="Y235" s="62"/>
      <c r="Z235" s="38" t="e">
        <f t="shared" si="10"/>
        <v>#NUM!</v>
      </c>
      <c r="AA235" s="38"/>
      <c r="AB235" s="34"/>
      <c r="AC235" s="34"/>
      <c r="AD235" s="38"/>
      <c r="AE235" s="59" t="str">
        <f t="shared" si="11"/>
        <v>SÍ</v>
      </c>
      <c r="AF235" s="38" t="e" cm="1">
        <f t="array" aca="1" ref="AF235" ca="1">MIN(100, MAX(0, (IF(R235="ESTUDIANTE", 31, 0)) + (IF(I235&lt;=3, 30, IF(I235&lt;=6, 20, 0))) +(IF(OR(E235="413 - Control de Costes y Enlace Construcción", E235="480 - Secretaría General del Consejo", E235="132 - Civil y estructuras", E235="136 - Mecánica", E235="412 - Planificación", E235="142 - Compras"), 25, 0)) +(IF(OR(S235="GRADO ING. MECÁNICA", S235="GRADO ING. ELÉCTRICA", S235="GRADO DERECHO", S235="GRADO ECONOMÍA", S235="GRADO ING. TECNOLOGÍAS INDUSTRIALES"), 24, 0)) + (IF(AND(K235&gt;=451, K235&lt;=700), 23, 0)) + (IF(AND(AB235&gt;=5, AB235&lt;=8), 17, 0)) +(IF(_xludf.OR(_xludf.AND(AC235&gt;=8, AC235&lt;=10), _xludf.AND(AC235&gt;=0, AC235&lt;=5)), 16, 0)) + (IF(F235="Madrid", 11, 0))))</f>
        <v>#NAME?</v>
      </c>
      <c r="AG235" s="68"/>
      <c r="AH235" s="71" t="s">
        <v>164</v>
      </c>
    </row>
    <row r="236" spans="1:34" ht="14.4" x14ac:dyDescent="0.3">
      <c r="A236" s="66" t="s">
        <v>1214</v>
      </c>
      <c r="B236" s="66" t="s">
        <v>3331</v>
      </c>
      <c r="C236" s="33">
        <v>235</v>
      </c>
      <c r="D236" s="33" t="s">
        <v>5397</v>
      </c>
      <c r="E236" s="34" t="s">
        <v>5266</v>
      </c>
      <c r="F236" s="34" t="s">
        <v>18</v>
      </c>
      <c r="G236" s="57">
        <v>41198</v>
      </c>
      <c r="H236" s="57">
        <v>41470</v>
      </c>
      <c r="I236" s="34">
        <f t="shared" si="9"/>
        <v>8</v>
      </c>
      <c r="J236" s="34">
        <v>40</v>
      </c>
      <c r="K236" s="36">
        <v>800</v>
      </c>
      <c r="L236" s="34" t="s">
        <v>29</v>
      </c>
      <c r="M236" s="57">
        <v>33563</v>
      </c>
      <c r="N236" s="37">
        <f>(YEAR(TablaMadre[[#This Row],[ALTA]])-YEAR(M236))</f>
        <v>21</v>
      </c>
      <c r="O236" s="34" t="s">
        <v>202</v>
      </c>
      <c r="P236" s="34" t="s">
        <v>19</v>
      </c>
      <c r="Q236" s="34" t="s">
        <v>203</v>
      </c>
      <c r="R236" s="34" t="s">
        <v>21</v>
      </c>
      <c r="S236" s="34" t="s">
        <v>204</v>
      </c>
      <c r="T236" s="34"/>
      <c r="U236" s="34"/>
      <c r="V236" s="34" t="s">
        <v>56</v>
      </c>
      <c r="W236" s="34" t="s">
        <v>127</v>
      </c>
      <c r="X236" s="38" t="s">
        <v>164</v>
      </c>
      <c r="Y236" s="62">
        <v>43118</v>
      </c>
      <c r="Z236" s="38">
        <f t="shared" si="10"/>
        <v>4</v>
      </c>
      <c r="AA236" s="38"/>
      <c r="AB236" s="34"/>
      <c r="AC236" s="34"/>
      <c r="AD236" s="38"/>
      <c r="AE236" s="59" t="str">
        <f t="shared" si="11"/>
        <v>SÍ</v>
      </c>
      <c r="AF236" s="38" t="e" cm="1">
        <f t="array" aca="1" ref="AF236" ca="1">MIN(100, MAX(0, (IF(R236="ESTUDIANTE", 31, 0)) + (IF(I236&lt;=3, 30, IF(I236&lt;=6, 20, 0))) +(IF(OR(E236="413 - Control de Costes y Enlace Construcción", E236="480 - Secretaría General del Consejo", E236="132 - Civil y estructuras", E236="136 - Mecánica", E236="412 - Planificación", E236="142 - Compras"), 25, 0)) +(IF(OR(S236="GRADO ING. MECÁNICA", S236="GRADO ING. ELÉCTRICA", S236="GRADO DERECHO", S236="GRADO ECONOMÍA", S236="GRADO ING. TECNOLOGÍAS INDUSTRIALES"), 24, 0)) + (IF(AND(K236&gt;=451, K236&lt;=700), 23, 0)) + (IF(AND(AB236&gt;=5, AB236&lt;=8), 17, 0)) +(IF(_xludf.OR(_xludf.AND(AC236&gt;=8, AC236&lt;=10), _xludf.AND(AC236&gt;=0, AC236&lt;=5)), 16, 0)) + (IF(F236="Madrid", 11, 0))))</f>
        <v>#NAME?</v>
      </c>
      <c r="AG236" s="68"/>
      <c r="AH236" s="71" t="s">
        <v>164</v>
      </c>
    </row>
    <row r="237" spans="1:34" ht="14.4" x14ac:dyDescent="0.3">
      <c r="A237" s="66" t="s">
        <v>1231</v>
      </c>
      <c r="B237" s="66" t="s">
        <v>3348</v>
      </c>
      <c r="C237" s="33">
        <v>236</v>
      </c>
      <c r="D237" s="33" t="s">
        <v>5393</v>
      </c>
      <c r="E237" s="34" t="s">
        <v>5266</v>
      </c>
      <c r="F237" s="34" t="s">
        <v>18</v>
      </c>
      <c r="G237" s="57">
        <v>41199</v>
      </c>
      <c r="H237" s="57">
        <v>41425</v>
      </c>
      <c r="I237" s="34">
        <f t="shared" si="9"/>
        <v>7</v>
      </c>
      <c r="J237" s="34">
        <v>40</v>
      </c>
      <c r="K237" s="36">
        <v>800</v>
      </c>
      <c r="L237" s="34" t="s">
        <v>29</v>
      </c>
      <c r="M237" s="57">
        <v>34563</v>
      </c>
      <c r="N237" s="37">
        <f>(YEAR(TablaMadre[[#This Row],[ALTA]])-YEAR(M237))</f>
        <v>18</v>
      </c>
      <c r="O237" s="34" t="s">
        <v>118</v>
      </c>
      <c r="P237" s="34" t="s">
        <v>19</v>
      </c>
      <c r="Q237" s="34" t="s">
        <v>195</v>
      </c>
      <c r="R237" s="34" t="s">
        <v>21</v>
      </c>
      <c r="S237" s="34" t="s">
        <v>962</v>
      </c>
      <c r="T237" s="34"/>
      <c r="U237" s="34"/>
      <c r="V237" s="34" t="s">
        <v>119</v>
      </c>
      <c r="W237" s="34" t="s">
        <v>181</v>
      </c>
      <c r="X237" s="38" t="s">
        <v>164</v>
      </c>
      <c r="Y237" s="62"/>
      <c r="Z237" s="62" t="e">
        <f t="shared" si="10"/>
        <v>#NUM!</v>
      </c>
      <c r="AA237" s="62"/>
      <c r="AB237" s="34"/>
      <c r="AC237" s="34"/>
      <c r="AD237" s="38"/>
      <c r="AE237" s="59" t="str">
        <f t="shared" si="11"/>
        <v>SÍ</v>
      </c>
      <c r="AF237" s="38" t="e" cm="1">
        <f t="array" aca="1" ref="AF237" ca="1">MIN(100, MAX(0, (IF(R237="ESTUDIANTE", 31, 0)) + (IF(I237&lt;=3, 30, IF(I237&lt;=6, 20, 0))) +(IF(OR(E237="413 - Control de Costes y Enlace Construcción", E237="480 - Secretaría General del Consejo", E237="132 - Civil y estructuras", E237="136 - Mecánica", E237="412 - Planificación", E237="142 - Compras"), 25, 0)) +(IF(OR(S237="GRADO ING. MECÁNICA", S237="GRADO ING. ELÉCTRICA", S237="GRADO DERECHO", S237="GRADO ECONOMÍA", S237="GRADO ING. TECNOLOGÍAS INDUSTRIALES"), 24, 0)) + (IF(AND(K237&gt;=451, K237&lt;=700), 23, 0)) + (IF(AND(AB237&gt;=5, AB237&lt;=8), 17, 0)) +(IF(_xludf.OR(_xludf.AND(AC237&gt;=8, AC237&lt;=10), _xludf.AND(AC237&gt;=0, AC237&lt;=5)), 16, 0)) + (IF(F237="Madrid", 11, 0))))</f>
        <v>#NAME?</v>
      </c>
      <c r="AG237" s="68"/>
      <c r="AH237" s="71" t="s">
        <v>164</v>
      </c>
    </row>
    <row r="238" spans="1:34" s="4" customFormat="1" ht="14.4" x14ac:dyDescent="0.3">
      <c r="A238" s="66" t="s">
        <v>1232</v>
      </c>
      <c r="B238" s="66" t="s">
        <v>3349</v>
      </c>
      <c r="C238" s="33">
        <v>237</v>
      </c>
      <c r="D238" s="33" t="s">
        <v>5394</v>
      </c>
      <c r="E238" s="34" t="s">
        <v>5216</v>
      </c>
      <c r="F238" s="34" t="s">
        <v>18</v>
      </c>
      <c r="G238" s="57">
        <v>41204</v>
      </c>
      <c r="H238" s="57">
        <v>41577</v>
      </c>
      <c r="I238" s="34">
        <f t="shared" si="9"/>
        <v>12</v>
      </c>
      <c r="J238" s="34">
        <v>40</v>
      </c>
      <c r="K238" s="36">
        <v>900</v>
      </c>
      <c r="L238" s="34" t="s">
        <v>17</v>
      </c>
      <c r="M238" s="57">
        <v>33555</v>
      </c>
      <c r="N238" s="37">
        <f>(YEAR(TablaMadre[[#This Row],[ALTA]])-YEAR(M238))</f>
        <v>21</v>
      </c>
      <c r="O238" s="34" t="s">
        <v>411</v>
      </c>
      <c r="P238" s="34" t="s">
        <v>19</v>
      </c>
      <c r="Q238" s="34" t="s">
        <v>63</v>
      </c>
      <c r="R238" s="34" t="s">
        <v>21</v>
      </c>
      <c r="S238" s="34" t="s">
        <v>297</v>
      </c>
      <c r="T238" s="34"/>
      <c r="U238" s="34"/>
      <c r="V238" s="34" t="s">
        <v>22</v>
      </c>
      <c r="W238" s="34" t="s">
        <v>23</v>
      </c>
      <c r="X238" s="34" t="s">
        <v>173</v>
      </c>
      <c r="Y238" s="57"/>
      <c r="Z238" s="57" t="e">
        <f t="shared" si="10"/>
        <v>#NUM!</v>
      </c>
      <c r="AA238" s="57"/>
      <c r="AB238" s="34" t="s">
        <v>230</v>
      </c>
      <c r="AC238" s="34" t="s">
        <v>230</v>
      </c>
      <c r="AD238" s="34"/>
      <c r="AE238" s="59" t="str">
        <f t="shared" si="11"/>
        <v>SÍ</v>
      </c>
      <c r="AF238" s="34" t="e" cm="1">
        <f t="array" aca="1" ref="AF238" ca="1">MIN(100, MAX(0, (IF(R238="ESTUDIANTE", 31, 0)) + (IF(I238&lt;=3, 30, IF(I238&lt;=6, 20, 0))) +(IF(OR(E238="413 - Control de Costes y Enlace Construcción", E238="480 - Secretaría General del Consejo", E238="132 - Civil y estructuras", E238="136 - Mecánica", E238="412 - Planificación", E238="142 - Compras"), 25, 0)) +(IF(OR(S238="GRADO ING. MECÁNICA", S238="GRADO ING. ELÉCTRICA", S238="GRADO DERECHO", S238="GRADO ECONOMÍA", S238="GRADO ING. TECNOLOGÍAS INDUSTRIALES"), 24, 0)) + (IF(AND(K238&gt;=451, K238&lt;=700), 23, 0)) + (IF(AND(AB238&gt;=5, AB238&lt;=8), 17, 0)) +(IF(_xludf.OR(_xludf.AND(AC238&gt;=8, AC238&lt;=10), _xludf.AND(AC238&gt;=0, AC238&lt;=5)), 16, 0)) + (IF(F238="Madrid", 11, 0))))</f>
        <v>#NAME?</v>
      </c>
      <c r="AG238" s="69"/>
      <c r="AH238" s="71" t="s">
        <v>164</v>
      </c>
    </row>
    <row r="239" spans="1:34" ht="14.4" x14ac:dyDescent="0.3">
      <c r="A239" s="66" t="s">
        <v>1217</v>
      </c>
      <c r="B239" s="66" t="s">
        <v>3334</v>
      </c>
      <c r="C239" s="33">
        <v>238</v>
      </c>
      <c r="D239" s="33" t="s">
        <v>5395</v>
      </c>
      <c r="E239" s="34" t="s">
        <v>5216</v>
      </c>
      <c r="F239" s="34" t="s">
        <v>18</v>
      </c>
      <c r="G239" s="57">
        <v>41220</v>
      </c>
      <c r="H239" s="57">
        <v>41554</v>
      </c>
      <c r="I239" s="34">
        <f t="shared" si="9"/>
        <v>11</v>
      </c>
      <c r="J239" s="34">
        <v>40</v>
      </c>
      <c r="K239" s="36">
        <v>900</v>
      </c>
      <c r="L239" s="34" t="s">
        <v>29</v>
      </c>
      <c r="M239" s="57">
        <v>35062</v>
      </c>
      <c r="N239" s="37">
        <f>(YEAR(TablaMadre[[#This Row],[ALTA]])-YEAR(M239))</f>
        <v>17</v>
      </c>
      <c r="O239" s="34" t="s">
        <v>18</v>
      </c>
      <c r="P239" s="34" t="s">
        <v>19</v>
      </c>
      <c r="Q239" s="34" t="s">
        <v>63</v>
      </c>
      <c r="R239" s="34" t="s">
        <v>21</v>
      </c>
      <c r="S239" s="34" t="s">
        <v>297</v>
      </c>
      <c r="T239" s="34"/>
      <c r="U239" s="34"/>
      <c r="V239" s="34" t="s">
        <v>40</v>
      </c>
      <c r="W239" s="34" t="s">
        <v>28</v>
      </c>
      <c r="X239" s="38" t="s">
        <v>173</v>
      </c>
      <c r="Y239" s="62"/>
      <c r="Z239" s="38" t="e">
        <f t="shared" si="10"/>
        <v>#NUM!</v>
      </c>
      <c r="AA239" s="38" t="s">
        <v>173</v>
      </c>
      <c r="AB239" s="34"/>
      <c r="AC239" s="34"/>
      <c r="AD239" s="38"/>
      <c r="AE239" s="59" t="str">
        <f t="shared" si="11"/>
        <v>NO</v>
      </c>
      <c r="AF239" s="38" t="e" cm="1">
        <f t="array" aca="1" ref="AF239" ca="1">MIN(100, MAX(0, (IF(R239="ESTUDIANTE", 31, 0)) + (IF(I239&lt;=3, 30, IF(I239&lt;=6, 20, 0))) +(IF(OR(E239="413 - Control de Costes y Enlace Construcción", E239="480 - Secretaría General del Consejo", E239="132 - Civil y estructuras", E239="136 - Mecánica", E239="412 - Planificación", E239="142 - Compras"), 25, 0)) +(IF(OR(S239="GRADO ING. MECÁNICA", S239="GRADO ING. ELÉCTRICA", S239="GRADO DERECHO", S239="GRADO ECONOMÍA", S239="GRADO ING. TECNOLOGÍAS INDUSTRIALES"), 24, 0)) + (IF(AND(K239&gt;=451, K239&lt;=700), 23, 0)) + (IF(AND(AB239&gt;=5, AB239&lt;=8), 17, 0)) +(IF(_xludf.OR(_xludf.AND(AC239&gt;=8, AC239&lt;=10), _xludf.AND(AC239&gt;=0, AC239&lt;=5)), 16, 0)) + (IF(F239="Madrid", 11, 0))))</f>
        <v>#NAME?</v>
      </c>
      <c r="AG239" s="68"/>
      <c r="AH239" s="71" t="s">
        <v>164</v>
      </c>
    </row>
    <row r="240" spans="1:34" ht="14.4" x14ac:dyDescent="0.3">
      <c r="A240" s="66" t="s">
        <v>1218</v>
      </c>
      <c r="B240" s="66" t="s">
        <v>3335</v>
      </c>
      <c r="C240" s="33">
        <v>239</v>
      </c>
      <c r="D240" s="33" t="s">
        <v>5396</v>
      </c>
      <c r="E240" s="34" t="s">
        <v>5252</v>
      </c>
      <c r="F240" s="34" t="s">
        <v>18</v>
      </c>
      <c r="G240" s="57">
        <v>41232</v>
      </c>
      <c r="H240" s="57">
        <v>41596</v>
      </c>
      <c r="I240" s="34">
        <f t="shared" si="9"/>
        <v>11</v>
      </c>
      <c r="J240" s="34">
        <v>40</v>
      </c>
      <c r="K240" s="36">
        <v>700</v>
      </c>
      <c r="L240" s="34" t="s">
        <v>17</v>
      </c>
      <c r="M240" s="57">
        <v>33694</v>
      </c>
      <c r="N240" s="37">
        <f>(YEAR(TablaMadre[[#This Row],[ALTA]])-YEAR(M240))</f>
        <v>20</v>
      </c>
      <c r="O240" s="34" t="s">
        <v>18</v>
      </c>
      <c r="P240" s="34" t="s">
        <v>19</v>
      </c>
      <c r="Q240" s="34" t="s">
        <v>235</v>
      </c>
      <c r="R240" s="58" t="s">
        <v>30</v>
      </c>
      <c r="S240" s="34" t="s">
        <v>26</v>
      </c>
      <c r="T240" s="34"/>
      <c r="U240" s="34"/>
      <c r="V240" s="34" t="s">
        <v>27</v>
      </c>
      <c r="W240" s="34" t="s">
        <v>28</v>
      </c>
      <c r="X240" s="38" t="s">
        <v>173</v>
      </c>
      <c r="Y240" s="62"/>
      <c r="Z240" s="38" t="e">
        <f t="shared" si="10"/>
        <v>#NUM!</v>
      </c>
      <c r="AA240" s="38"/>
      <c r="AB240" s="34" t="s">
        <v>230</v>
      </c>
      <c r="AC240" s="34" t="s">
        <v>236</v>
      </c>
      <c r="AD240" s="38"/>
      <c r="AE240" s="59" t="str">
        <f t="shared" si="11"/>
        <v>NO</v>
      </c>
      <c r="AF240" s="38" t="e" cm="1">
        <f t="array" aca="1" ref="AF240" ca="1">MIN(100, MAX(0, (IF(R240="ESTUDIANTE", 31, 0)) + (IF(I240&lt;=3, 30, IF(I240&lt;=6, 20, 0))) +(IF(OR(E240="413 - Control de Costes y Enlace Construcción", E240="480 - Secretaría General del Consejo", E240="132 - Civil y estructuras", E240="136 - Mecánica", E240="412 - Planificación", E240="142 - Compras"), 25, 0)) +(IF(OR(S240="GRADO ING. MECÁNICA", S240="GRADO ING. ELÉCTRICA", S240="GRADO DERECHO", S240="GRADO ECONOMÍA", S240="GRADO ING. TECNOLOGÍAS INDUSTRIALES"), 24, 0)) + (IF(AND(K240&gt;=451, K240&lt;=700), 23, 0)) + (IF(AND(AB240&gt;=5, AB240&lt;=8), 17, 0)) +(IF(_xludf.OR(_xludf.AND(AC240&gt;=8, AC240&lt;=10), _xludf.AND(AC240&gt;=0, AC240&lt;=5)), 16, 0)) + (IF(F240="Madrid", 11, 0))))</f>
        <v>#NAME?</v>
      </c>
      <c r="AG240" s="68"/>
      <c r="AH240" s="71" t="s">
        <v>164</v>
      </c>
    </row>
    <row r="241" spans="1:34" ht="14.4" x14ac:dyDescent="0.3">
      <c r="A241" s="66" t="s">
        <v>1219</v>
      </c>
      <c r="B241" s="66" t="s">
        <v>3336</v>
      </c>
      <c r="C241" s="33">
        <v>240</v>
      </c>
      <c r="D241" s="33" t="s">
        <v>5397</v>
      </c>
      <c r="E241" s="34" t="s">
        <v>5260</v>
      </c>
      <c r="F241" s="34" t="s">
        <v>18</v>
      </c>
      <c r="G241" s="57">
        <v>41239</v>
      </c>
      <c r="H241" s="57">
        <v>41608</v>
      </c>
      <c r="I241" s="34">
        <f t="shared" si="9"/>
        <v>12</v>
      </c>
      <c r="J241" s="34">
        <v>40</v>
      </c>
      <c r="K241" s="36">
        <v>900</v>
      </c>
      <c r="L241" s="34" t="s">
        <v>17</v>
      </c>
      <c r="M241" s="57">
        <v>31733</v>
      </c>
      <c r="N241" s="37">
        <f>(YEAR(TablaMadre[[#This Row],[ALTA]])-YEAR(M241))</f>
        <v>26</v>
      </c>
      <c r="O241" s="34" t="s">
        <v>18</v>
      </c>
      <c r="P241" s="34" t="s">
        <v>19</v>
      </c>
      <c r="Q241" s="34" t="s">
        <v>85</v>
      </c>
      <c r="R241" s="34" t="s">
        <v>21</v>
      </c>
      <c r="S241" s="34" t="s">
        <v>322</v>
      </c>
      <c r="T241" s="34"/>
      <c r="U241" s="34"/>
      <c r="V241" s="34" t="s">
        <v>137</v>
      </c>
      <c r="W241" s="34" t="s">
        <v>28</v>
      </c>
      <c r="X241" s="38" t="s">
        <v>164</v>
      </c>
      <c r="Y241" s="62">
        <v>44684</v>
      </c>
      <c r="Z241" s="38">
        <f t="shared" si="10"/>
        <v>8</v>
      </c>
      <c r="AA241" s="38"/>
      <c r="AB241" s="34"/>
      <c r="AC241" s="34"/>
      <c r="AD241" s="38"/>
      <c r="AE241" s="59" t="str">
        <f t="shared" si="11"/>
        <v>NO</v>
      </c>
      <c r="AF241" s="38" t="e" cm="1">
        <f t="array" aca="1" ref="AF241" ca="1">MIN(100, MAX(0, (IF(R241="ESTUDIANTE", 31, 0)) + (IF(I241&lt;=3, 30, IF(I241&lt;=6, 20, 0))) +(IF(OR(E241="413 - Control de Costes y Enlace Construcción", E241="480 - Secretaría General del Consejo", E241="132 - Civil y estructuras", E241="136 - Mecánica", E241="412 - Planificación", E241="142 - Compras"), 25, 0)) +(IF(OR(S241="GRADO ING. MECÁNICA", S241="GRADO ING. ELÉCTRICA", S241="GRADO DERECHO", S241="GRADO ECONOMÍA", S241="GRADO ING. TECNOLOGÍAS INDUSTRIALES"), 24, 0)) + (IF(AND(K241&gt;=451, K241&lt;=700), 23, 0)) + (IF(AND(AB241&gt;=5, AB241&lt;=8), 17, 0)) +(IF(_xludf.OR(_xludf.AND(AC241&gt;=8, AC241&lt;=10), _xludf.AND(AC241&gt;=0, AC241&lt;=5)), 16, 0)) + (IF(F241="Madrid", 11, 0))))</f>
        <v>#NAME?</v>
      </c>
      <c r="AG241" s="68"/>
      <c r="AH241" s="71" t="s">
        <v>164</v>
      </c>
    </row>
    <row r="242" spans="1:34" ht="14.4" x14ac:dyDescent="0.3">
      <c r="A242" s="66" t="s">
        <v>1220</v>
      </c>
      <c r="B242" s="66" t="s">
        <v>3337</v>
      </c>
      <c r="C242" s="33">
        <v>241</v>
      </c>
      <c r="D242" s="33" t="s">
        <v>5398</v>
      </c>
      <c r="E242" s="34" t="s">
        <v>5219</v>
      </c>
      <c r="F242" s="34" t="s">
        <v>18</v>
      </c>
      <c r="G242" s="57">
        <v>41246</v>
      </c>
      <c r="H242" s="57">
        <v>41581</v>
      </c>
      <c r="I242" s="34">
        <f t="shared" si="9"/>
        <v>11</v>
      </c>
      <c r="J242" s="34">
        <v>40</v>
      </c>
      <c r="K242" s="36">
        <v>650</v>
      </c>
      <c r="L242" s="34" t="s">
        <v>17</v>
      </c>
      <c r="M242" s="57">
        <v>34957</v>
      </c>
      <c r="N242" s="37">
        <f>(YEAR(TablaMadre[[#This Row],[ALTA]])-YEAR(M242))</f>
        <v>17</v>
      </c>
      <c r="O242" s="34" t="s">
        <v>18</v>
      </c>
      <c r="P242" s="34" t="s">
        <v>19</v>
      </c>
      <c r="Q242" s="34" t="s">
        <v>36</v>
      </c>
      <c r="R242" s="58" t="s">
        <v>30</v>
      </c>
      <c r="S242" s="34" t="s">
        <v>307</v>
      </c>
      <c r="T242" s="34"/>
      <c r="U242" s="34"/>
      <c r="V242" s="34" t="s">
        <v>22</v>
      </c>
      <c r="W242" s="34" t="s">
        <v>28</v>
      </c>
      <c r="X242" s="38" t="s">
        <v>173</v>
      </c>
      <c r="Y242" s="62"/>
      <c r="Z242" s="38" t="e">
        <f t="shared" si="10"/>
        <v>#NUM!</v>
      </c>
      <c r="AA242" s="38"/>
      <c r="AB242" s="34"/>
      <c r="AC242" s="34"/>
      <c r="AD242" s="38"/>
      <c r="AE242" s="59" t="str">
        <f t="shared" si="11"/>
        <v>NO</v>
      </c>
      <c r="AF242" s="38" t="e" cm="1">
        <f t="array" aca="1" ref="AF242" ca="1">MIN(100, MAX(0, (IF(R242="ESTUDIANTE", 31, 0)) + (IF(I242&lt;=3, 30, IF(I242&lt;=6, 20, 0))) +(IF(OR(E242="413 - Control de Costes y Enlace Construcción", E242="480 - Secretaría General del Consejo", E242="132 - Civil y estructuras", E242="136 - Mecánica", E242="412 - Planificación", E242="142 - Compras"), 25, 0)) +(IF(OR(S242="GRADO ING. MECÁNICA", S242="GRADO ING. ELÉCTRICA", S242="GRADO DERECHO", S242="GRADO ECONOMÍA", S242="GRADO ING. TECNOLOGÍAS INDUSTRIALES"), 24, 0)) + (IF(AND(K242&gt;=451, K242&lt;=700), 23, 0)) + (IF(AND(AB242&gt;=5, AB242&lt;=8), 17, 0)) +(IF(_xludf.OR(_xludf.AND(AC242&gt;=8, AC242&lt;=10), _xludf.AND(AC242&gt;=0, AC242&lt;=5)), 16, 0)) + (IF(F242="Madrid", 11, 0))))</f>
        <v>#NAME?</v>
      </c>
      <c r="AG242" s="68"/>
      <c r="AH242" s="71" t="s">
        <v>164</v>
      </c>
    </row>
    <row r="243" spans="1:34" ht="14.4" x14ac:dyDescent="0.3">
      <c r="A243" s="66" t="s">
        <v>1221</v>
      </c>
      <c r="B243" s="66" t="s">
        <v>3338</v>
      </c>
      <c r="C243" s="33">
        <v>242</v>
      </c>
      <c r="D243" s="33" t="s">
        <v>5399</v>
      </c>
      <c r="E243" s="34" t="s">
        <v>5251</v>
      </c>
      <c r="F243" s="34" t="s">
        <v>18</v>
      </c>
      <c r="G243" s="57">
        <v>41255</v>
      </c>
      <c r="H243" s="57">
        <v>41587</v>
      </c>
      <c r="I243" s="34">
        <f t="shared" si="9"/>
        <v>10</v>
      </c>
      <c r="J243" s="34">
        <v>40</v>
      </c>
      <c r="K243" s="36">
        <v>900</v>
      </c>
      <c r="L243" s="34" t="s">
        <v>17</v>
      </c>
      <c r="M243" s="57">
        <v>34665</v>
      </c>
      <c r="N243" s="37">
        <f>(YEAR(TablaMadre[[#This Row],[ALTA]])-YEAR(M243))</f>
        <v>18</v>
      </c>
      <c r="O243" s="34" t="s">
        <v>233</v>
      </c>
      <c r="P243" s="34" t="s">
        <v>19</v>
      </c>
      <c r="Q243" s="34" t="s">
        <v>32</v>
      </c>
      <c r="R243" s="34" t="s">
        <v>21</v>
      </c>
      <c r="S243" s="34" t="s">
        <v>322</v>
      </c>
      <c r="T243" s="34"/>
      <c r="U243" s="34"/>
      <c r="V243" s="34" t="s">
        <v>216</v>
      </c>
      <c r="W243" s="34" t="s">
        <v>28</v>
      </c>
      <c r="X243" s="38" t="s">
        <v>164</v>
      </c>
      <c r="Y243" s="62">
        <v>44453</v>
      </c>
      <c r="Z243" s="38">
        <f t="shared" si="10"/>
        <v>7</v>
      </c>
      <c r="AA243" s="38"/>
      <c r="AB243" s="34"/>
      <c r="AC243" s="34"/>
      <c r="AD243" s="38"/>
      <c r="AE243" s="59" t="str">
        <f t="shared" si="11"/>
        <v>SÍ</v>
      </c>
      <c r="AF243" s="38" t="e" cm="1">
        <f t="array" aca="1" ref="AF243" ca="1">MIN(100, MAX(0, (IF(R243="ESTUDIANTE", 31, 0)) + (IF(I243&lt;=3, 30, IF(I243&lt;=6, 20, 0))) +(IF(OR(E243="413 - Control de Costes y Enlace Construcción", E243="480 - Secretaría General del Consejo", E243="132 - Civil y estructuras", E243="136 - Mecánica", E243="412 - Planificación", E243="142 - Compras"), 25, 0)) +(IF(OR(S243="GRADO ING. MECÁNICA", S243="GRADO ING. ELÉCTRICA", S243="GRADO DERECHO", S243="GRADO ECONOMÍA", S243="GRADO ING. TECNOLOGÍAS INDUSTRIALES"), 24, 0)) + (IF(AND(K243&gt;=451, K243&lt;=700), 23, 0)) + (IF(AND(AB243&gt;=5, AB243&lt;=8), 17, 0)) +(IF(_xludf.OR(_xludf.AND(AC243&gt;=8, AC243&lt;=10), _xludf.AND(AC243&gt;=0, AC243&lt;=5)), 16, 0)) + (IF(F243="Madrid", 11, 0))))</f>
        <v>#NAME?</v>
      </c>
      <c r="AG243" s="68"/>
      <c r="AH243" s="71" t="s">
        <v>164</v>
      </c>
    </row>
    <row r="244" spans="1:34" ht="14.4" x14ac:dyDescent="0.3">
      <c r="A244" s="66" t="s">
        <v>1222</v>
      </c>
      <c r="B244" s="66" t="s">
        <v>3339</v>
      </c>
      <c r="C244" s="33">
        <v>243</v>
      </c>
      <c r="D244" s="33" t="s">
        <v>5400</v>
      </c>
      <c r="E244" s="34" t="s">
        <v>5260</v>
      </c>
      <c r="F244" s="34" t="s">
        <v>18</v>
      </c>
      <c r="G244" s="57">
        <v>41255</v>
      </c>
      <c r="H244" s="57">
        <v>41590</v>
      </c>
      <c r="I244" s="34">
        <f t="shared" si="9"/>
        <v>11</v>
      </c>
      <c r="J244" s="34">
        <v>40</v>
      </c>
      <c r="K244" s="36">
        <v>900</v>
      </c>
      <c r="L244" s="34" t="s">
        <v>17</v>
      </c>
      <c r="M244" s="57">
        <v>34815</v>
      </c>
      <c r="N244" s="37">
        <f>(YEAR(TablaMadre[[#This Row],[ALTA]])-YEAR(M244))</f>
        <v>17</v>
      </c>
      <c r="O244" s="34" t="s">
        <v>18</v>
      </c>
      <c r="P244" s="34" t="s">
        <v>19</v>
      </c>
      <c r="Q244" s="34" t="s">
        <v>85</v>
      </c>
      <c r="R244" s="34" t="s">
        <v>21</v>
      </c>
      <c r="S244" s="34" t="s">
        <v>322</v>
      </c>
      <c r="T244" s="34"/>
      <c r="U244" s="34"/>
      <c r="V244" s="34" t="s">
        <v>137</v>
      </c>
      <c r="W244" s="34" t="s">
        <v>28</v>
      </c>
      <c r="X244" s="38" t="s">
        <v>173</v>
      </c>
      <c r="Y244" s="62"/>
      <c r="Z244" s="38" t="e">
        <f t="shared" si="10"/>
        <v>#NUM!</v>
      </c>
      <c r="AA244" s="38"/>
      <c r="AB244" s="34"/>
      <c r="AC244" s="34"/>
      <c r="AD244" s="38"/>
      <c r="AE244" s="59" t="str">
        <f t="shared" si="11"/>
        <v>NO</v>
      </c>
      <c r="AF244" s="38" t="e" cm="1">
        <f t="array" aca="1" ref="AF244" ca="1">MIN(100, MAX(0, (IF(R244="ESTUDIANTE", 31, 0)) + (IF(I244&lt;=3, 30, IF(I244&lt;=6, 20, 0))) +(IF(OR(E244="413 - Control de Costes y Enlace Construcción", E244="480 - Secretaría General del Consejo", E244="132 - Civil y estructuras", E244="136 - Mecánica", E244="412 - Planificación", E244="142 - Compras"), 25, 0)) +(IF(OR(S244="GRADO ING. MECÁNICA", S244="GRADO ING. ELÉCTRICA", S244="GRADO DERECHO", S244="GRADO ECONOMÍA", S244="GRADO ING. TECNOLOGÍAS INDUSTRIALES"), 24, 0)) + (IF(AND(K244&gt;=451, K244&lt;=700), 23, 0)) + (IF(AND(AB244&gt;=5, AB244&lt;=8), 17, 0)) +(IF(_xludf.OR(_xludf.AND(AC244&gt;=8, AC244&lt;=10), _xludf.AND(AC244&gt;=0, AC244&lt;=5)), 16, 0)) + (IF(F244="Madrid", 11, 0))))</f>
        <v>#NAME?</v>
      </c>
      <c r="AG244" s="68"/>
      <c r="AH244" s="71" t="s">
        <v>164</v>
      </c>
    </row>
    <row r="245" spans="1:34" ht="14.4" x14ac:dyDescent="0.3">
      <c r="A245" s="66" t="s">
        <v>1142</v>
      </c>
      <c r="B245" s="66" t="s">
        <v>3259</v>
      </c>
      <c r="C245" s="33">
        <v>245</v>
      </c>
      <c r="D245" s="33" t="s">
        <v>5401</v>
      </c>
      <c r="E245" s="34" t="s">
        <v>5223</v>
      </c>
      <c r="F245" s="34" t="s">
        <v>932</v>
      </c>
      <c r="G245" s="57">
        <v>41277</v>
      </c>
      <c r="H245" s="57">
        <v>41554</v>
      </c>
      <c r="I245" s="34">
        <f t="shared" si="9"/>
        <v>9</v>
      </c>
      <c r="J245" s="34">
        <v>30</v>
      </c>
      <c r="K245" s="36">
        <v>675</v>
      </c>
      <c r="L245" s="34" t="s">
        <v>29</v>
      </c>
      <c r="M245" s="57">
        <v>32987</v>
      </c>
      <c r="N245" s="37">
        <f>(YEAR(TablaMadre[[#This Row],[ALTA]])-YEAR(M245))</f>
        <v>23</v>
      </c>
      <c r="O245" s="34"/>
      <c r="P245" s="34" t="s">
        <v>19</v>
      </c>
      <c r="Q245" s="34"/>
      <c r="R245" s="58" t="s">
        <v>30</v>
      </c>
      <c r="S245" s="34"/>
      <c r="T245" s="34"/>
      <c r="U245" s="34"/>
      <c r="V245" s="34" t="s">
        <v>16</v>
      </c>
      <c r="W245" s="34" t="s">
        <v>183</v>
      </c>
      <c r="X245" s="38" t="s">
        <v>164</v>
      </c>
      <c r="Y245" s="62"/>
      <c r="Z245" s="62" t="e">
        <f t="shared" si="10"/>
        <v>#NUM!</v>
      </c>
      <c r="AA245" s="62"/>
      <c r="AB245" s="34"/>
      <c r="AC245" s="34"/>
      <c r="AD245" s="38"/>
      <c r="AE245" s="59" t="str">
        <f t="shared" si="11"/>
        <v>SÍ</v>
      </c>
      <c r="AF245" s="38" t="e" cm="1">
        <f t="array" aca="1" ref="AF245" ca="1">MIN(100, MAX(0, (IF(R245="ESTUDIANTE", 31, 0)) + (IF(I245&lt;=3, 30, IF(I245&lt;=6, 20, 0))) +(IF(OR(E245="413 - Control de Costes y Enlace Construcción", E245="480 - Secretaría General del Consejo", E245="132 - Civil y estructuras", E245="136 - Mecánica", E245="412 - Planificación", E245="142 - Compras"), 25, 0)) +(IF(OR(S245="GRADO ING. MECÁNICA", S245="GRADO ING. ELÉCTRICA", S245="GRADO DERECHO", S245="GRADO ECONOMÍA", S245="GRADO ING. TECNOLOGÍAS INDUSTRIALES"), 24, 0)) + (IF(AND(K245&gt;=451, K245&lt;=700), 23, 0)) + (IF(AND(AB245&gt;=5, AB245&lt;=8), 17, 0)) +(IF(_xludf.OR(_xludf.AND(AC245&gt;=8, AC245&lt;=10), _xludf.AND(AC245&gt;=0, AC245&lt;=5)), 16, 0)) + (IF(F245="Madrid", 11, 0))))</f>
        <v>#NAME?</v>
      </c>
      <c r="AG245" s="68"/>
      <c r="AH245" s="71" t="s">
        <v>164</v>
      </c>
    </row>
    <row r="246" spans="1:34" ht="14.4" x14ac:dyDescent="0.3">
      <c r="A246" s="66" t="s">
        <v>1243</v>
      </c>
      <c r="B246" s="66" t="s">
        <v>3360</v>
      </c>
      <c r="C246" s="33">
        <v>244</v>
      </c>
      <c r="D246" s="33" t="s">
        <v>5402</v>
      </c>
      <c r="E246" s="34" t="s">
        <v>5224</v>
      </c>
      <c r="F246" s="34" t="s">
        <v>18</v>
      </c>
      <c r="G246" s="57">
        <v>41277</v>
      </c>
      <c r="H246" s="57">
        <v>41379</v>
      </c>
      <c r="I246" s="34">
        <f t="shared" si="9"/>
        <v>3</v>
      </c>
      <c r="J246" s="34">
        <v>40</v>
      </c>
      <c r="K246" s="36">
        <v>800</v>
      </c>
      <c r="L246" s="34" t="s">
        <v>17</v>
      </c>
      <c r="M246" s="57">
        <v>36602</v>
      </c>
      <c r="N246" s="37">
        <f>(YEAR(TablaMadre[[#This Row],[ALTA]])-YEAR(M246))</f>
        <v>13</v>
      </c>
      <c r="O246" s="34" t="s">
        <v>18</v>
      </c>
      <c r="P246" s="34" t="s">
        <v>19</v>
      </c>
      <c r="Q246" s="34" t="s">
        <v>58</v>
      </c>
      <c r="R246" s="34" t="s">
        <v>21</v>
      </c>
      <c r="S246" s="34" t="s">
        <v>229</v>
      </c>
      <c r="T246" s="34"/>
      <c r="U246" s="34"/>
      <c r="V246" s="34" t="s">
        <v>182</v>
      </c>
      <c r="W246" s="34" t="s">
        <v>183</v>
      </c>
      <c r="X246" s="38" t="s">
        <v>164</v>
      </c>
      <c r="Y246" s="62"/>
      <c r="Z246" s="62" t="e">
        <f t="shared" si="10"/>
        <v>#NUM!</v>
      </c>
      <c r="AA246" s="62"/>
      <c r="AB246" s="34"/>
      <c r="AC246" s="34"/>
      <c r="AD246" s="38"/>
      <c r="AE246" s="59" t="str">
        <f t="shared" si="11"/>
        <v>NO</v>
      </c>
      <c r="AF246" s="38" t="e" cm="1">
        <f t="array" aca="1" ref="AF246" ca="1">MIN(100, MAX(0, (IF(R246="ESTUDIANTE", 31, 0)) + (IF(I246&lt;=3, 30, IF(I246&lt;=6, 20, 0))) +(IF(OR(E246="413 - Control de Costes y Enlace Construcción", E246="480 - Secretaría General del Consejo", E246="132 - Civil y estructuras", E246="136 - Mecánica", E246="412 - Planificación", E246="142 - Compras"), 25, 0)) +(IF(OR(S246="GRADO ING. MECÁNICA", S246="GRADO ING. ELÉCTRICA", S246="GRADO DERECHO", S246="GRADO ECONOMÍA", S246="GRADO ING. TECNOLOGÍAS INDUSTRIALES"), 24, 0)) + (IF(AND(K246&gt;=451, K246&lt;=700), 23, 0)) + (IF(AND(AB246&gt;=5, AB246&lt;=8), 17, 0)) +(IF(_xludf.OR(_xludf.AND(AC246&gt;=8, AC246&lt;=10), _xludf.AND(AC246&gt;=0, AC246&lt;=5)), 16, 0)) + (IF(F246="Madrid", 11, 0))))</f>
        <v>#NAME?</v>
      </c>
      <c r="AG246" s="68"/>
      <c r="AH246" s="71" t="s">
        <v>164</v>
      </c>
    </row>
    <row r="247" spans="1:34" ht="14.4" x14ac:dyDescent="0.3">
      <c r="A247" s="66" t="s">
        <v>1225</v>
      </c>
      <c r="B247" s="66" t="s">
        <v>3342</v>
      </c>
      <c r="C247" s="33">
        <v>246</v>
      </c>
      <c r="D247" s="33" t="s">
        <v>5393</v>
      </c>
      <c r="E247" s="34" t="s">
        <v>5251</v>
      </c>
      <c r="F247" s="34" t="s">
        <v>18</v>
      </c>
      <c r="G247" s="57">
        <v>41278</v>
      </c>
      <c r="H247" s="57">
        <v>41729</v>
      </c>
      <c r="I247" s="34">
        <f t="shared" si="9"/>
        <v>14</v>
      </c>
      <c r="J247" s="34">
        <v>40</v>
      </c>
      <c r="K247" s="36">
        <v>900</v>
      </c>
      <c r="L247" s="34" t="s">
        <v>17</v>
      </c>
      <c r="M247" s="57">
        <v>34744</v>
      </c>
      <c r="N247" s="37">
        <f>(YEAR(TablaMadre[[#This Row],[ALTA]])-YEAR(M247))</f>
        <v>18</v>
      </c>
      <c r="O247" s="34" t="s">
        <v>18</v>
      </c>
      <c r="P247" s="34" t="s">
        <v>19</v>
      </c>
      <c r="Q247" s="34" t="s">
        <v>248</v>
      </c>
      <c r="R247" s="34" t="s">
        <v>21</v>
      </c>
      <c r="S247" s="34" t="s">
        <v>384</v>
      </c>
      <c r="T247" s="34"/>
      <c r="U247" s="34"/>
      <c r="V247" s="34" t="s">
        <v>56</v>
      </c>
      <c r="W247" s="34" t="s">
        <v>28</v>
      </c>
      <c r="X247" s="38" t="s">
        <v>164</v>
      </c>
      <c r="Y247" s="62">
        <v>44979</v>
      </c>
      <c r="Z247" s="38">
        <f t="shared" si="10"/>
        <v>8</v>
      </c>
      <c r="AA247" s="38"/>
      <c r="AB247" s="34"/>
      <c r="AC247" s="34"/>
      <c r="AD247" s="38"/>
      <c r="AE247" s="59" t="str">
        <f t="shared" si="11"/>
        <v>NO</v>
      </c>
      <c r="AF247" s="38" t="e" cm="1">
        <f t="array" aca="1" ref="AF247" ca="1">MIN(100, MAX(0, (IF(R247="ESTUDIANTE", 31, 0)) + (IF(I247&lt;=3, 30, IF(I247&lt;=6, 20, 0))) +(IF(OR(E247="413 - Control de Costes y Enlace Construcción", E247="480 - Secretaría General del Consejo", E247="132 - Civil y estructuras", E247="136 - Mecánica", E247="412 - Planificación", E247="142 - Compras"), 25, 0)) +(IF(OR(S247="GRADO ING. MECÁNICA", S247="GRADO ING. ELÉCTRICA", S247="GRADO DERECHO", S247="GRADO ECONOMÍA", S247="GRADO ING. TECNOLOGÍAS INDUSTRIALES"), 24, 0)) + (IF(AND(K247&gt;=451, K247&lt;=700), 23, 0)) + (IF(AND(AB247&gt;=5, AB247&lt;=8), 17, 0)) +(IF(_xludf.OR(_xludf.AND(AC247&gt;=8, AC247&lt;=10), _xludf.AND(AC247&gt;=0, AC247&lt;=5)), 16, 0)) + (IF(F247="Madrid", 11, 0))))</f>
        <v>#NAME?</v>
      </c>
      <c r="AG247" s="68"/>
      <c r="AH247" s="71" t="s">
        <v>164</v>
      </c>
    </row>
    <row r="248" spans="1:34" ht="14.4" x14ac:dyDescent="0.3">
      <c r="A248" s="66" t="s">
        <v>1226</v>
      </c>
      <c r="B248" s="66" t="s">
        <v>3343</v>
      </c>
      <c r="C248" s="33">
        <v>247</v>
      </c>
      <c r="D248" s="33" t="s">
        <v>5394</v>
      </c>
      <c r="E248" s="34" t="s">
        <v>5217</v>
      </c>
      <c r="F248" s="34" t="s">
        <v>18</v>
      </c>
      <c r="G248" s="57">
        <v>41278</v>
      </c>
      <c r="H248" s="57">
        <v>41729</v>
      </c>
      <c r="I248" s="34">
        <f t="shared" si="9"/>
        <v>14</v>
      </c>
      <c r="J248" s="34">
        <v>40</v>
      </c>
      <c r="K248" s="36">
        <v>900</v>
      </c>
      <c r="L248" s="34" t="s">
        <v>29</v>
      </c>
      <c r="M248" s="57">
        <v>34814</v>
      </c>
      <c r="N248" s="37">
        <f>(YEAR(TablaMadre[[#This Row],[ALTA]])-YEAR(M248))</f>
        <v>18</v>
      </c>
      <c r="O248" s="34" t="s">
        <v>249</v>
      </c>
      <c r="P248" s="34" t="s">
        <v>19</v>
      </c>
      <c r="Q248" s="34" t="s">
        <v>49</v>
      </c>
      <c r="R248" s="34" t="s">
        <v>21</v>
      </c>
      <c r="S248" s="34" t="s">
        <v>297</v>
      </c>
      <c r="T248" s="34"/>
      <c r="U248" s="34"/>
      <c r="V248" s="34" t="s">
        <v>56</v>
      </c>
      <c r="W248" s="34" t="s">
        <v>28</v>
      </c>
      <c r="X248" s="38" t="s">
        <v>164</v>
      </c>
      <c r="Y248" s="62">
        <v>44422</v>
      </c>
      <c r="Z248" s="38">
        <f t="shared" si="10"/>
        <v>7</v>
      </c>
      <c r="AA248" s="38"/>
      <c r="AB248" s="34"/>
      <c r="AC248" s="34"/>
      <c r="AD248" s="38"/>
      <c r="AE248" s="59" t="str">
        <f t="shared" si="11"/>
        <v>SÍ</v>
      </c>
      <c r="AF248" s="38" t="e" cm="1">
        <f t="array" aca="1" ref="AF248" ca="1">MIN(100, MAX(0, (IF(R248="ESTUDIANTE", 31, 0)) + (IF(I248&lt;=3, 30, IF(I248&lt;=6, 20, 0))) +(IF(OR(E248="413 - Control de Costes y Enlace Construcción", E248="480 - Secretaría General del Consejo", E248="132 - Civil y estructuras", E248="136 - Mecánica", E248="412 - Planificación", E248="142 - Compras"), 25, 0)) +(IF(OR(S248="GRADO ING. MECÁNICA", S248="GRADO ING. ELÉCTRICA", S248="GRADO DERECHO", S248="GRADO ECONOMÍA", S248="GRADO ING. TECNOLOGÍAS INDUSTRIALES"), 24, 0)) + (IF(AND(K248&gt;=451, K248&lt;=700), 23, 0)) + (IF(AND(AB248&gt;=5, AB248&lt;=8), 17, 0)) +(IF(_xludf.OR(_xludf.AND(AC248&gt;=8, AC248&lt;=10), _xludf.AND(AC248&gt;=0, AC248&lt;=5)), 16, 0)) + (IF(F248="Madrid", 11, 0))))</f>
        <v>#NAME?</v>
      </c>
      <c r="AG248" s="68"/>
      <c r="AH248" s="71" t="s">
        <v>164</v>
      </c>
    </row>
    <row r="249" spans="1:34" ht="14.4" x14ac:dyDescent="0.3">
      <c r="A249" s="66" t="s">
        <v>1227</v>
      </c>
      <c r="B249" s="66" t="s">
        <v>3344</v>
      </c>
      <c r="C249" s="33">
        <v>248</v>
      </c>
      <c r="D249" s="33" t="s">
        <v>5395</v>
      </c>
      <c r="E249" s="34" t="s">
        <v>5224</v>
      </c>
      <c r="F249" s="34" t="s">
        <v>18</v>
      </c>
      <c r="G249" s="57">
        <v>41278</v>
      </c>
      <c r="H249" s="57">
        <v>41729</v>
      </c>
      <c r="I249" s="34">
        <f t="shared" si="9"/>
        <v>14</v>
      </c>
      <c r="J249" s="34">
        <v>40</v>
      </c>
      <c r="K249" s="36">
        <v>800</v>
      </c>
      <c r="L249" s="34" t="s">
        <v>17</v>
      </c>
      <c r="M249" s="57">
        <v>34317</v>
      </c>
      <c r="N249" s="37">
        <f>(YEAR(TablaMadre[[#This Row],[ALTA]])-YEAR(M249))</f>
        <v>20</v>
      </c>
      <c r="O249" s="34" t="s">
        <v>75</v>
      </c>
      <c r="P249" s="34" t="s">
        <v>19</v>
      </c>
      <c r="Q249" s="34" t="s">
        <v>213</v>
      </c>
      <c r="R249" s="34" t="s">
        <v>21</v>
      </c>
      <c r="S249" s="34" t="s">
        <v>229</v>
      </c>
      <c r="T249" s="34"/>
      <c r="U249" s="34"/>
      <c r="V249" s="34" t="s">
        <v>81</v>
      </c>
      <c r="W249" s="34" t="s">
        <v>28</v>
      </c>
      <c r="X249" s="38" t="s">
        <v>164</v>
      </c>
      <c r="Y249" s="62">
        <v>43697</v>
      </c>
      <c r="Z249" s="38">
        <f t="shared" si="10"/>
        <v>5</v>
      </c>
      <c r="AA249" s="38"/>
      <c r="AB249" s="34"/>
      <c r="AC249" s="34"/>
      <c r="AD249" s="38"/>
      <c r="AE249" s="59" t="str">
        <f t="shared" si="11"/>
        <v>SÍ</v>
      </c>
      <c r="AF249" s="38" t="e" cm="1">
        <f t="array" aca="1" ref="AF249" ca="1">MIN(100, MAX(0, (IF(R249="ESTUDIANTE", 31, 0)) + (IF(I249&lt;=3, 30, IF(I249&lt;=6, 20, 0))) +(IF(OR(E249="413 - Control de Costes y Enlace Construcción", E249="480 - Secretaría General del Consejo", E249="132 - Civil y estructuras", E249="136 - Mecánica", E249="412 - Planificación", E249="142 - Compras"), 25, 0)) +(IF(OR(S249="GRADO ING. MECÁNICA", S249="GRADO ING. ELÉCTRICA", S249="GRADO DERECHO", S249="GRADO ECONOMÍA", S249="GRADO ING. TECNOLOGÍAS INDUSTRIALES"), 24, 0)) + (IF(AND(K249&gt;=451, K249&lt;=700), 23, 0)) + (IF(AND(AB249&gt;=5, AB249&lt;=8), 17, 0)) +(IF(_xludf.OR(_xludf.AND(AC249&gt;=8, AC249&lt;=10), _xludf.AND(AC249&gt;=0, AC249&lt;=5)), 16, 0)) + (IF(F249="Madrid", 11, 0))))</f>
        <v>#NAME?</v>
      </c>
      <c r="AG249" s="68"/>
      <c r="AH249" s="71" t="s">
        <v>164</v>
      </c>
    </row>
    <row r="250" spans="1:34" ht="14.4" x14ac:dyDescent="0.3">
      <c r="A250" s="66" t="s">
        <v>1228</v>
      </c>
      <c r="B250" s="66" t="s">
        <v>3345</v>
      </c>
      <c r="C250" s="33">
        <v>249</v>
      </c>
      <c r="D250" s="33" t="s">
        <v>5396</v>
      </c>
      <c r="E250" s="34" t="s">
        <v>5219</v>
      </c>
      <c r="F250" s="34" t="s">
        <v>18</v>
      </c>
      <c r="G250" s="57">
        <v>41278</v>
      </c>
      <c r="H250" s="57">
        <v>41729</v>
      </c>
      <c r="I250" s="34">
        <f t="shared" si="9"/>
        <v>14</v>
      </c>
      <c r="J250" s="34">
        <v>40</v>
      </c>
      <c r="K250" s="36">
        <v>900</v>
      </c>
      <c r="L250" s="34" t="s">
        <v>17</v>
      </c>
      <c r="M250" s="57">
        <v>34050</v>
      </c>
      <c r="N250" s="37">
        <f>(YEAR(TablaMadre[[#This Row],[ALTA]])-YEAR(M250))</f>
        <v>20</v>
      </c>
      <c r="O250" s="34" t="s">
        <v>64</v>
      </c>
      <c r="P250" s="34" t="s">
        <v>19</v>
      </c>
      <c r="Q250" s="34" t="s">
        <v>49</v>
      </c>
      <c r="R250" s="34" t="s">
        <v>21</v>
      </c>
      <c r="S250" s="34" t="s">
        <v>297</v>
      </c>
      <c r="T250" s="34"/>
      <c r="U250" s="34"/>
      <c r="V250" s="34" t="s">
        <v>56</v>
      </c>
      <c r="W250" s="34" t="s">
        <v>28</v>
      </c>
      <c r="X250" s="38" t="s">
        <v>173</v>
      </c>
      <c r="Y250" s="62"/>
      <c r="Z250" s="38" t="e">
        <f t="shared" si="10"/>
        <v>#NUM!</v>
      </c>
      <c r="AA250" s="38"/>
      <c r="AB250" s="34"/>
      <c r="AC250" s="34"/>
      <c r="AD250" s="38"/>
      <c r="AE250" s="59" t="str">
        <f t="shared" si="11"/>
        <v>SÍ</v>
      </c>
      <c r="AF250" s="38" t="e" cm="1">
        <f t="array" aca="1" ref="AF250" ca="1">MIN(100, MAX(0, (IF(R250="ESTUDIANTE", 31, 0)) + (IF(I250&lt;=3, 30, IF(I250&lt;=6, 20, 0))) +(IF(OR(E250="413 - Control de Costes y Enlace Construcción", E250="480 - Secretaría General del Consejo", E250="132 - Civil y estructuras", E250="136 - Mecánica", E250="412 - Planificación", E250="142 - Compras"), 25, 0)) +(IF(OR(S250="GRADO ING. MECÁNICA", S250="GRADO ING. ELÉCTRICA", S250="GRADO DERECHO", S250="GRADO ECONOMÍA", S250="GRADO ING. TECNOLOGÍAS INDUSTRIALES"), 24, 0)) + (IF(AND(K250&gt;=451, K250&lt;=700), 23, 0)) + (IF(AND(AB250&gt;=5, AB250&lt;=8), 17, 0)) +(IF(_xludf.OR(_xludf.AND(AC250&gt;=8, AC250&lt;=10), _xludf.AND(AC250&gt;=0, AC250&lt;=5)), 16, 0)) + (IF(F250="Madrid", 11, 0))))</f>
        <v>#NAME?</v>
      </c>
      <c r="AG250" s="68"/>
      <c r="AH250" s="71" t="s">
        <v>164</v>
      </c>
    </row>
    <row r="251" spans="1:34" ht="14.4" x14ac:dyDescent="0.3">
      <c r="A251" s="66" t="s">
        <v>1229</v>
      </c>
      <c r="B251" s="66" t="s">
        <v>3346</v>
      </c>
      <c r="C251" s="33">
        <v>250</v>
      </c>
      <c r="D251" s="33" t="s">
        <v>5397</v>
      </c>
      <c r="E251" s="34" t="s">
        <v>5216</v>
      </c>
      <c r="F251" s="34" t="s">
        <v>18</v>
      </c>
      <c r="G251" s="57">
        <v>41278</v>
      </c>
      <c r="H251" s="57">
        <v>41820</v>
      </c>
      <c r="I251" s="34">
        <f t="shared" si="9"/>
        <v>17</v>
      </c>
      <c r="J251" s="34">
        <v>40</v>
      </c>
      <c r="K251" s="36">
        <v>900</v>
      </c>
      <c r="L251" s="34" t="s">
        <v>17</v>
      </c>
      <c r="M251" s="57">
        <v>34907</v>
      </c>
      <c r="N251" s="37">
        <f>(YEAR(TablaMadre[[#This Row],[ALTA]])-YEAR(M251))</f>
        <v>18</v>
      </c>
      <c r="O251" s="34" t="s">
        <v>143</v>
      </c>
      <c r="P251" s="34" t="s">
        <v>19</v>
      </c>
      <c r="Q251" s="34" t="s">
        <v>49</v>
      </c>
      <c r="R251" s="34" t="s">
        <v>21</v>
      </c>
      <c r="S251" s="34" t="s">
        <v>297</v>
      </c>
      <c r="T251" s="34"/>
      <c r="U251" s="34"/>
      <c r="V251" s="34" t="s">
        <v>180</v>
      </c>
      <c r="W251" s="34" t="s">
        <v>28</v>
      </c>
      <c r="X251" s="38" t="s">
        <v>164</v>
      </c>
      <c r="Y251" s="62">
        <v>43282</v>
      </c>
      <c r="Z251" s="38">
        <f t="shared" si="10"/>
        <v>4</v>
      </c>
      <c r="AA251" s="38"/>
      <c r="AB251" s="34"/>
      <c r="AC251" s="34"/>
      <c r="AD251" s="38"/>
      <c r="AE251" s="59" t="str">
        <f t="shared" si="11"/>
        <v>SÍ</v>
      </c>
      <c r="AF251" s="38" t="e" cm="1">
        <f t="array" aca="1" ref="AF251" ca="1">MIN(100, MAX(0, (IF(R251="ESTUDIANTE", 31, 0)) + (IF(I251&lt;=3, 30, IF(I251&lt;=6, 20, 0))) +(IF(OR(E251="413 - Control de Costes y Enlace Construcción", E251="480 - Secretaría General del Consejo", E251="132 - Civil y estructuras", E251="136 - Mecánica", E251="412 - Planificación", E251="142 - Compras"), 25, 0)) +(IF(OR(S251="GRADO ING. MECÁNICA", S251="GRADO ING. ELÉCTRICA", S251="GRADO DERECHO", S251="GRADO ECONOMÍA", S251="GRADO ING. TECNOLOGÍAS INDUSTRIALES"), 24, 0)) + (IF(AND(K251&gt;=451, K251&lt;=700), 23, 0)) + (IF(AND(AB251&gt;=5, AB251&lt;=8), 17, 0)) +(IF(_xludf.OR(_xludf.AND(AC251&gt;=8, AC251&lt;=10), _xludf.AND(AC251&gt;=0, AC251&lt;=5)), 16, 0)) + (IF(F251="Madrid", 11, 0))))</f>
        <v>#NAME?</v>
      </c>
      <c r="AG251" s="68"/>
      <c r="AH251" s="71" t="s">
        <v>164</v>
      </c>
    </row>
    <row r="252" spans="1:34" ht="14.4" x14ac:dyDescent="0.3">
      <c r="A252" s="66" t="s">
        <v>1026</v>
      </c>
      <c r="B252" s="66" t="s">
        <v>3143</v>
      </c>
      <c r="C252" s="33">
        <v>258</v>
      </c>
      <c r="D252" s="33" t="s">
        <v>5398</v>
      </c>
      <c r="E252" s="34" t="s">
        <v>5267</v>
      </c>
      <c r="F252" s="34" t="s">
        <v>18</v>
      </c>
      <c r="G252" s="57">
        <v>41281</v>
      </c>
      <c r="H252" s="57">
        <v>41820</v>
      </c>
      <c r="I252" s="34">
        <f t="shared" si="9"/>
        <v>17</v>
      </c>
      <c r="J252" s="34">
        <v>40</v>
      </c>
      <c r="K252" s="36">
        <v>900</v>
      </c>
      <c r="L252" s="34" t="s">
        <v>17</v>
      </c>
      <c r="M252" s="57">
        <v>34570</v>
      </c>
      <c r="N252" s="37">
        <f>(YEAR(TablaMadre[[#This Row],[ALTA]])-YEAR(M252))</f>
        <v>19</v>
      </c>
      <c r="O252" s="34" t="s">
        <v>75</v>
      </c>
      <c r="P252" s="34" t="s">
        <v>19</v>
      </c>
      <c r="Q252" s="34" t="s">
        <v>32</v>
      </c>
      <c r="R252" s="34" t="s">
        <v>21</v>
      </c>
      <c r="S252" s="34" t="s">
        <v>322</v>
      </c>
      <c r="T252" s="34"/>
      <c r="U252" s="34"/>
      <c r="V252" s="34" t="s">
        <v>50</v>
      </c>
      <c r="W252" s="34" t="s">
        <v>28</v>
      </c>
      <c r="X252" s="38" t="s">
        <v>173</v>
      </c>
      <c r="Y252" s="62"/>
      <c r="Z252" s="38" t="e">
        <f t="shared" si="10"/>
        <v>#NUM!</v>
      </c>
      <c r="AA252" s="38" t="s">
        <v>173</v>
      </c>
      <c r="AB252" s="34"/>
      <c r="AC252" s="34"/>
      <c r="AD252" s="38"/>
      <c r="AE252" s="59" t="str">
        <f t="shared" si="11"/>
        <v>SÍ</v>
      </c>
      <c r="AF252" s="38" t="e" cm="1">
        <f t="array" aca="1" ref="AF252" ca="1">MIN(100, MAX(0, (IF(R252="ESTUDIANTE", 31, 0)) + (IF(I252&lt;=3, 30, IF(I252&lt;=6, 20, 0))) +(IF(OR(E252="413 - Control de Costes y Enlace Construcción", E252="480 - Secretaría General del Consejo", E252="132 - Civil y estructuras", E252="136 - Mecánica", E252="412 - Planificación", E252="142 - Compras"), 25, 0)) +(IF(OR(S252="GRADO ING. MECÁNICA", S252="GRADO ING. ELÉCTRICA", S252="GRADO DERECHO", S252="GRADO ECONOMÍA", S252="GRADO ING. TECNOLOGÍAS INDUSTRIALES"), 24, 0)) + (IF(AND(K252&gt;=451, K252&lt;=700), 23, 0)) + (IF(AND(AB252&gt;=5, AB252&lt;=8), 17, 0)) +(IF(_xludf.OR(_xludf.AND(AC252&gt;=8, AC252&lt;=10), _xludf.AND(AC252&gt;=0, AC252&lt;=5)), 16, 0)) + (IF(F252="Madrid", 11, 0))))</f>
        <v>#NAME?</v>
      </c>
      <c r="AG252" s="68"/>
      <c r="AH252" s="71" t="s">
        <v>164</v>
      </c>
    </row>
    <row r="253" spans="1:34" s="4" customFormat="1" ht="14.4" x14ac:dyDescent="0.3">
      <c r="A253" s="66" t="s">
        <v>1230</v>
      </c>
      <c r="B253" s="66" t="s">
        <v>3347</v>
      </c>
      <c r="C253" s="33">
        <v>251</v>
      </c>
      <c r="D253" s="33" t="s">
        <v>5399</v>
      </c>
      <c r="E253" s="34" t="s">
        <v>5253</v>
      </c>
      <c r="F253" s="34" t="s">
        <v>18</v>
      </c>
      <c r="G253" s="57">
        <v>41281</v>
      </c>
      <c r="H253" s="57">
        <v>41401</v>
      </c>
      <c r="I253" s="34">
        <f t="shared" si="9"/>
        <v>4</v>
      </c>
      <c r="J253" s="34">
        <v>40</v>
      </c>
      <c r="K253" s="36">
        <v>650</v>
      </c>
      <c r="L253" s="34" t="s">
        <v>17</v>
      </c>
      <c r="M253" s="57">
        <v>32826</v>
      </c>
      <c r="N253" s="37">
        <f>(YEAR(TablaMadre[[#This Row],[ALTA]])-YEAR(M253))</f>
        <v>24</v>
      </c>
      <c r="O253" s="34" t="s">
        <v>176</v>
      </c>
      <c r="P253" s="34" t="s">
        <v>19</v>
      </c>
      <c r="Q253" s="34" t="s">
        <v>187</v>
      </c>
      <c r="R253" s="58" t="s">
        <v>30</v>
      </c>
      <c r="S253" s="34" t="s">
        <v>322</v>
      </c>
      <c r="T253" s="34"/>
      <c r="U253" s="34"/>
      <c r="V253" s="34" t="s">
        <v>188</v>
      </c>
      <c r="W253" s="34" t="s">
        <v>181</v>
      </c>
      <c r="X253" s="38" t="s">
        <v>164</v>
      </c>
      <c r="Y253" s="62"/>
      <c r="Z253" s="62" t="e">
        <f t="shared" si="10"/>
        <v>#NUM!</v>
      </c>
      <c r="AA253" s="62"/>
      <c r="AB253" s="34"/>
      <c r="AC253" s="34"/>
      <c r="AD253" s="38"/>
      <c r="AE253" s="59" t="str">
        <f t="shared" si="11"/>
        <v>SÍ</v>
      </c>
      <c r="AF253" s="34" t="e" cm="1">
        <f t="array" aca="1" ref="AF253" ca="1">MIN(100, MAX(0, (IF(R253="ESTUDIANTE", 31, 0)) + (IF(I253&lt;=3, 30, IF(I253&lt;=6, 20, 0))) +(IF(OR(E253="413 - Control de Costes y Enlace Construcción", E253="480 - Secretaría General del Consejo", E253="132 - Civil y estructuras", E253="136 - Mecánica", E253="412 - Planificación", E253="142 - Compras"), 25, 0)) +(IF(OR(S253="GRADO ING. MECÁNICA", S253="GRADO ING. ELÉCTRICA", S253="GRADO DERECHO", S253="GRADO ECONOMÍA", S253="GRADO ING. TECNOLOGÍAS INDUSTRIALES"), 24, 0)) + (IF(AND(K253&gt;=451, K253&lt;=700), 23, 0)) + (IF(AND(AB253&gt;=5, AB253&lt;=8), 17, 0)) +(IF(_xludf.OR(_xludf.AND(AC253&gt;=8, AC253&lt;=10), _xludf.AND(AC253&gt;=0, AC253&lt;=5)), 16, 0)) + (IF(F253="Madrid", 11, 0))))</f>
        <v>#NAME?</v>
      </c>
      <c r="AG253" s="69"/>
      <c r="AH253" s="71" t="s">
        <v>164</v>
      </c>
    </row>
    <row r="254" spans="1:34" ht="14.4" x14ac:dyDescent="0.3">
      <c r="A254" s="66" t="s">
        <v>1234</v>
      </c>
      <c r="B254" s="66" t="s">
        <v>3351</v>
      </c>
      <c r="C254" s="33">
        <v>255</v>
      </c>
      <c r="D254" s="33" t="s">
        <v>5393</v>
      </c>
      <c r="E254" s="34" t="s">
        <v>5215</v>
      </c>
      <c r="F254" s="34" t="s">
        <v>118</v>
      </c>
      <c r="G254" s="57">
        <v>41281</v>
      </c>
      <c r="H254" s="57">
        <v>41820</v>
      </c>
      <c r="I254" s="34">
        <f t="shared" si="9"/>
        <v>17</v>
      </c>
      <c r="J254" s="34">
        <v>40</v>
      </c>
      <c r="K254" s="36">
        <v>700</v>
      </c>
      <c r="L254" s="34" t="s">
        <v>17</v>
      </c>
      <c r="M254" s="57">
        <v>34113</v>
      </c>
      <c r="N254" s="37">
        <f>(YEAR(TablaMadre[[#This Row],[ALTA]])-YEAR(M254))</f>
        <v>20</v>
      </c>
      <c r="O254" s="34" t="s">
        <v>118</v>
      </c>
      <c r="P254" s="34" t="s">
        <v>19</v>
      </c>
      <c r="Q254" s="34" t="s">
        <v>269</v>
      </c>
      <c r="R254" s="58" t="s">
        <v>30</v>
      </c>
      <c r="S254" s="34" t="s">
        <v>26</v>
      </c>
      <c r="T254" s="34"/>
      <c r="U254" s="34"/>
      <c r="V254" s="34" t="s">
        <v>27</v>
      </c>
      <c r="W254" s="34" t="s">
        <v>28</v>
      </c>
      <c r="X254" s="38" t="s">
        <v>173</v>
      </c>
      <c r="Y254" s="62"/>
      <c r="Z254" s="38" t="e">
        <f t="shared" si="10"/>
        <v>#NUM!</v>
      </c>
      <c r="AA254" s="38"/>
      <c r="AB254" s="34"/>
      <c r="AC254" s="34"/>
      <c r="AD254" s="38"/>
      <c r="AE254" s="59" t="str">
        <f t="shared" si="11"/>
        <v>NO</v>
      </c>
      <c r="AF254" s="38" t="e" cm="1">
        <f t="array" aca="1" ref="AF254" ca="1">MIN(100, MAX(0, (IF(R254="ESTUDIANTE", 31, 0)) + (IF(I254&lt;=3, 30, IF(I254&lt;=6, 20, 0))) +(IF(OR(E254="413 - Control de Costes y Enlace Construcción", E254="480 - Secretaría General del Consejo", E254="132 - Civil y estructuras", E254="136 - Mecánica", E254="412 - Planificación", E254="142 - Compras"), 25, 0)) +(IF(OR(S254="GRADO ING. MECÁNICA", S254="GRADO ING. ELÉCTRICA", S254="GRADO DERECHO", S254="GRADO ECONOMÍA", S254="GRADO ING. TECNOLOGÍAS INDUSTRIALES"), 24, 0)) + (IF(AND(K254&gt;=451, K254&lt;=700), 23, 0)) + (IF(AND(AB254&gt;=5, AB254&lt;=8), 17, 0)) +(IF(_xludf.OR(_xludf.AND(AC254&gt;=8, AC254&lt;=10), _xludf.AND(AC254&gt;=0, AC254&lt;=5)), 16, 0)) + (IF(F254="Madrid", 11, 0))))</f>
        <v>#NAME?</v>
      </c>
      <c r="AG254" s="68"/>
      <c r="AH254" s="71" t="s">
        <v>164</v>
      </c>
    </row>
    <row r="255" spans="1:34" ht="14.4" x14ac:dyDescent="0.3">
      <c r="A255" s="66" t="s">
        <v>1235</v>
      </c>
      <c r="B255" s="66" t="s">
        <v>3352</v>
      </c>
      <c r="C255" s="33">
        <v>256</v>
      </c>
      <c r="D255" s="33" t="s">
        <v>5394</v>
      </c>
      <c r="E255" s="34" t="s">
        <v>5224</v>
      </c>
      <c r="F255" s="34" t="s">
        <v>18</v>
      </c>
      <c r="G255" s="57">
        <v>41281</v>
      </c>
      <c r="H255" s="57">
        <v>41820</v>
      </c>
      <c r="I255" s="34">
        <f t="shared" si="9"/>
        <v>17</v>
      </c>
      <c r="J255" s="34">
        <v>40</v>
      </c>
      <c r="K255" s="36">
        <v>800</v>
      </c>
      <c r="L255" s="34" t="s">
        <v>17</v>
      </c>
      <c r="M255" s="57">
        <v>33235</v>
      </c>
      <c r="N255" s="37">
        <f>(YEAR(TablaMadre[[#This Row],[ALTA]])-YEAR(M255))</f>
        <v>23</v>
      </c>
      <c r="O255" s="34" t="s">
        <v>18</v>
      </c>
      <c r="P255" s="34" t="s">
        <v>19</v>
      </c>
      <c r="Q255" s="34" t="s">
        <v>58</v>
      </c>
      <c r="R255" s="34" t="s">
        <v>21</v>
      </c>
      <c r="S255" s="34" t="s">
        <v>229</v>
      </c>
      <c r="T255" s="34"/>
      <c r="U255" s="34"/>
      <c r="V255" s="34" t="s">
        <v>81</v>
      </c>
      <c r="W255" s="34" t="s">
        <v>28</v>
      </c>
      <c r="X255" s="34" t="s">
        <v>164</v>
      </c>
      <c r="Y255" s="57">
        <v>42952</v>
      </c>
      <c r="Z255" s="34">
        <f t="shared" si="10"/>
        <v>3</v>
      </c>
      <c r="AA255" s="34"/>
      <c r="AB255" s="34"/>
      <c r="AC255" s="34"/>
      <c r="AD255" s="34"/>
      <c r="AE255" s="59" t="str">
        <f t="shared" si="11"/>
        <v>NO</v>
      </c>
      <c r="AF255" s="38" t="e" cm="1">
        <f t="array" aca="1" ref="AF255" ca="1">MIN(100, MAX(0, (IF(R255="ESTUDIANTE", 31, 0)) + (IF(I255&lt;=3, 30, IF(I255&lt;=6, 20, 0))) +(IF(OR(E255="413 - Control de Costes y Enlace Construcción", E255="480 - Secretaría General del Consejo", E255="132 - Civil y estructuras", E255="136 - Mecánica", E255="412 - Planificación", E255="142 - Compras"), 25, 0)) +(IF(OR(S255="GRADO ING. MECÁNICA", S255="GRADO ING. ELÉCTRICA", S255="GRADO DERECHO", S255="GRADO ECONOMÍA", S255="GRADO ING. TECNOLOGÍAS INDUSTRIALES"), 24, 0)) + (IF(AND(K255&gt;=451, K255&lt;=700), 23, 0)) + (IF(AND(AB255&gt;=5, AB255&lt;=8), 17, 0)) +(IF(_xludf.OR(_xludf.AND(AC255&gt;=8, AC255&lt;=10), _xludf.AND(AC255&gt;=0, AC255&lt;=5)), 16, 0)) + (IF(F255="Madrid", 11, 0))))</f>
        <v>#NAME?</v>
      </c>
      <c r="AG255" s="68"/>
      <c r="AH255" s="71" t="s">
        <v>164</v>
      </c>
    </row>
    <row r="256" spans="1:34" ht="14.4" x14ac:dyDescent="0.3">
      <c r="A256" s="66" t="s">
        <v>1236</v>
      </c>
      <c r="B256" s="66" t="s">
        <v>3353</v>
      </c>
      <c r="C256" s="33">
        <v>257</v>
      </c>
      <c r="D256" s="33" t="s">
        <v>5395</v>
      </c>
      <c r="E256" s="34" t="s">
        <v>5215</v>
      </c>
      <c r="F256" s="34" t="s">
        <v>118</v>
      </c>
      <c r="G256" s="57">
        <v>41281</v>
      </c>
      <c r="H256" s="57">
        <v>41820</v>
      </c>
      <c r="I256" s="34">
        <f t="shared" si="9"/>
        <v>17</v>
      </c>
      <c r="J256" s="34">
        <v>40</v>
      </c>
      <c r="K256" s="36">
        <v>900</v>
      </c>
      <c r="L256" s="34" t="s">
        <v>17</v>
      </c>
      <c r="M256" s="57">
        <v>31464</v>
      </c>
      <c r="N256" s="37">
        <f>(YEAR(TablaMadre[[#This Row],[ALTA]])-YEAR(M256))</f>
        <v>27</v>
      </c>
      <c r="O256" s="34" t="s">
        <v>118</v>
      </c>
      <c r="P256" s="34" t="s">
        <v>19</v>
      </c>
      <c r="Q256" s="34" t="s">
        <v>20</v>
      </c>
      <c r="R256" s="34" t="s">
        <v>21</v>
      </c>
      <c r="S256" s="34" t="s">
        <v>151</v>
      </c>
      <c r="T256" s="34"/>
      <c r="U256" s="34"/>
      <c r="V256" s="34" t="s">
        <v>37</v>
      </c>
      <c r="W256" s="34" t="s">
        <v>28</v>
      </c>
      <c r="X256" s="38" t="s">
        <v>173</v>
      </c>
      <c r="Y256" s="62"/>
      <c r="Z256" s="38" t="e">
        <f t="shared" si="10"/>
        <v>#NUM!</v>
      </c>
      <c r="AA256" s="38"/>
      <c r="AB256" s="34"/>
      <c r="AC256" s="34"/>
      <c r="AD256" s="38"/>
      <c r="AE256" s="59" t="str">
        <f t="shared" si="11"/>
        <v>NO</v>
      </c>
      <c r="AF256" s="38" t="e" cm="1">
        <f t="array" aca="1" ref="AF256" ca="1">MIN(100, MAX(0, (IF(R256="ESTUDIANTE", 31, 0)) + (IF(I256&lt;=3, 30, IF(I256&lt;=6, 20, 0))) +(IF(OR(E256="413 - Control de Costes y Enlace Construcción", E256="480 - Secretaría General del Consejo", E256="132 - Civil y estructuras", E256="136 - Mecánica", E256="412 - Planificación", E256="142 - Compras"), 25, 0)) +(IF(OR(S256="GRADO ING. MECÁNICA", S256="GRADO ING. ELÉCTRICA", S256="GRADO DERECHO", S256="GRADO ECONOMÍA", S256="GRADO ING. TECNOLOGÍAS INDUSTRIALES"), 24, 0)) + (IF(AND(K256&gt;=451, K256&lt;=700), 23, 0)) + (IF(AND(AB256&gt;=5, AB256&lt;=8), 17, 0)) +(IF(_xludf.OR(_xludf.AND(AC256&gt;=8, AC256&lt;=10), _xludf.AND(AC256&gt;=0, AC256&lt;=5)), 16, 0)) + (IF(F256="Madrid", 11, 0))))</f>
        <v>#NAME?</v>
      </c>
      <c r="AG256" s="68"/>
      <c r="AH256" s="71" t="s">
        <v>164</v>
      </c>
    </row>
    <row r="257" spans="1:34" s="4" customFormat="1" ht="14.4" x14ac:dyDescent="0.3">
      <c r="A257" s="66" t="s">
        <v>1239</v>
      </c>
      <c r="B257" s="66" t="s">
        <v>3356</v>
      </c>
      <c r="C257" s="33">
        <v>260</v>
      </c>
      <c r="D257" s="33" t="s">
        <v>5396</v>
      </c>
      <c r="E257" s="34" t="s">
        <v>5216</v>
      </c>
      <c r="F257" s="34" t="s">
        <v>18</v>
      </c>
      <c r="G257" s="57">
        <v>41281</v>
      </c>
      <c r="H257" s="57">
        <v>42004</v>
      </c>
      <c r="I257" s="34">
        <f t="shared" si="9"/>
        <v>23</v>
      </c>
      <c r="J257" s="34">
        <v>40</v>
      </c>
      <c r="K257" s="36">
        <v>825</v>
      </c>
      <c r="L257" s="34" t="s">
        <v>17</v>
      </c>
      <c r="M257" s="57">
        <v>34811</v>
      </c>
      <c r="N257" s="37">
        <f>(YEAR(TablaMadre[[#This Row],[ALTA]])-YEAR(M257))</f>
        <v>18</v>
      </c>
      <c r="O257" s="34" t="s">
        <v>18</v>
      </c>
      <c r="P257" s="34" t="s">
        <v>19</v>
      </c>
      <c r="Q257" s="34" t="s">
        <v>297</v>
      </c>
      <c r="R257" s="34" t="s">
        <v>21</v>
      </c>
      <c r="S257" s="34" t="s">
        <v>297</v>
      </c>
      <c r="T257" s="34"/>
      <c r="U257" s="34"/>
      <c r="V257" s="34" t="s">
        <v>22</v>
      </c>
      <c r="W257" s="34" t="s">
        <v>28</v>
      </c>
      <c r="X257" s="38" t="s">
        <v>164</v>
      </c>
      <c r="Y257" s="62">
        <v>43281</v>
      </c>
      <c r="Z257" s="38">
        <f t="shared" si="10"/>
        <v>3</v>
      </c>
      <c r="AA257" s="38"/>
      <c r="AB257" s="34"/>
      <c r="AC257" s="34"/>
      <c r="AD257" s="38"/>
      <c r="AE257" s="59" t="str">
        <f t="shared" si="11"/>
        <v>NO</v>
      </c>
      <c r="AF257" s="34" t="e" cm="1">
        <f t="array" aca="1" ref="AF257" ca="1">MIN(100, MAX(0, (IF(R257="ESTUDIANTE", 31, 0)) + (IF(I257&lt;=3, 30, IF(I257&lt;=6, 20, 0))) +(IF(OR(E257="413 - Control de Costes y Enlace Construcción", E257="480 - Secretaría General del Consejo", E257="132 - Civil y estructuras", E257="136 - Mecánica", E257="412 - Planificación", E257="142 - Compras"), 25, 0)) +(IF(OR(S257="GRADO ING. MECÁNICA", S257="GRADO ING. ELÉCTRICA", S257="GRADO DERECHO", S257="GRADO ECONOMÍA", S257="GRADO ING. TECNOLOGÍAS INDUSTRIALES"), 24, 0)) + (IF(AND(K257&gt;=451, K257&lt;=700), 23, 0)) + (IF(AND(AB257&gt;=5, AB257&lt;=8), 17, 0)) +(IF(_xludf.OR(_xludf.AND(AC257&gt;=8, AC257&lt;=10), _xludf.AND(AC257&gt;=0, AC257&lt;=5)), 16, 0)) + (IF(F257="Madrid", 11, 0))))</f>
        <v>#NAME?</v>
      </c>
      <c r="AG257" s="69"/>
      <c r="AH257" s="71" t="s">
        <v>164</v>
      </c>
    </row>
    <row r="258" spans="1:34" ht="14.4" x14ac:dyDescent="0.3">
      <c r="A258" s="66" t="s">
        <v>1322</v>
      </c>
      <c r="B258" s="66" t="s">
        <v>3439</v>
      </c>
      <c r="C258" s="33">
        <v>252</v>
      </c>
      <c r="D258" s="33" t="s">
        <v>5397</v>
      </c>
      <c r="E258" s="34" t="s">
        <v>5268</v>
      </c>
      <c r="F258" s="34" t="s">
        <v>18</v>
      </c>
      <c r="G258" s="57">
        <v>41281</v>
      </c>
      <c r="H258" s="57">
        <v>41486</v>
      </c>
      <c r="I258" s="34">
        <f t="shared" ref="I258:I321" si="12">DATEDIF(G258, H258, "M")</f>
        <v>6</v>
      </c>
      <c r="J258" s="34">
        <v>40</v>
      </c>
      <c r="K258" s="36">
        <v>650</v>
      </c>
      <c r="L258" s="34" t="s">
        <v>17</v>
      </c>
      <c r="M258" s="57">
        <v>34077</v>
      </c>
      <c r="N258" s="37">
        <f>(YEAR(TablaMadre[[#This Row],[ALTA]])-YEAR(M258))</f>
        <v>20</v>
      </c>
      <c r="O258" s="34" t="s">
        <v>18</v>
      </c>
      <c r="P258" s="34" t="s">
        <v>19</v>
      </c>
      <c r="Q258" s="34" t="s">
        <v>215</v>
      </c>
      <c r="R258" s="58" t="s">
        <v>30</v>
      </c>
      <c r="S258" s="34" t="s">
        <v>322</v>
      </c>
      <c r="T258" s="34"/>
      <c r="U258" s="34"/>
      <c r="V258" s="34" t="s">
        <v>74</v>
      </c>
      <c r="W258" s="34" t="s">
        <v>23</v>
      </c>
      <c r="X258" s="34" t="s">
        <v>164</v>
      </c>
      <c r="Y258" s="57"/>
      <c r="Z258" s="57" t="e">
        <f t="shared" ref="Z258:Z321" si="13">DATEDIF(H258, Y258, "y")</f>
        <v>#NUM!</v>
      </c>
      <c r="AA258" s="57"/>
      <c r="AB258" s="34" t="s">
        <v>24</v>
      </c>
      <c r="AC258" s="34" t="s">
        <v>24</v>
      </c>
      <c r="AD258" s="34"/>
      <c r="AE258" s="59" t="str">
        <f t="shared" si="11"/>
        <v>NO</v>
      </c>
      <c r="AF258" s="38" t="e" cm="1">
        <f t="array" aca="1" ref="AF258" ca="1">MIN(100, MAX(0, (IF(R258="ESTUDIANTE", 31, 0)) + (IF(I258&lt;=3, 30, IF(I258&lt;=6, 20, 0))) +(IF(OR(E258="413 - Control de Costes y Enlace Construcción", E258="480 - Secretaría General del Consejo", E258="132 - Civil y estructuras", E258="136 - Mecánica", E258="412 - Planificación", E258="142 - Compras"), 25, 0)) +(IF(OR(S258="GRADO ING. MECÁNICA", S258="GRADO ING. ELÉCTRICA", S258="GRADO DERECHO", S258="GRADO ECONOMÍA", S258="GRADO ING. TECNOLOGÍAS INDUSTRIALES"), 24, 0)) + (IF(AND(K258&gt;=451, K258&lt;=700), 23, 0)) + (IF(AND(AB258&gt;=5, AB258&lt;=8), 17, 0)) +(IF(_xludf.OR(_xludf.AND(AC258&gt;=8, AC258&lt;=10), _xludf.AND(AC258&gt;=0, AC258&lt;=5)), 16, 0)) + (IF(F258="Madrid", 11, 0))))</f>
        <v>#NAME?</v>
      </c>
      <c r="AG258" s="68"/>
      <c r="AH258" s="71" t="s">
        <v>164</v>
      </c>
    </row>
    <row r="259" spans="1:34" ht="14.4" x14ac:dyDescent="0.3">
      <c r="A259" s="66" t="s">
        <v>1327</v>
      </c>
      <c r="B259" s="66" t="s">
        <v>3444</v>
      </c>
      <c r="C259" s="33">
        <v>253</v>
      </c>
      <c r="D259" s="33" t="s">
        <v>5398</v>
      </c>
      <c r="E259" s="34" t="s">
        <v>5258</v>
      </c>
      <c r="F259" s="34" t="s">
        <v>18</v>
      </c>
      <c r="G259" s="57">
        <v>41281</v>
      </c>
      <c r="H259" s="57">
        <v>41499</v>
      </c>
      <c r="I259" s="34">
        <f t="shared" si="12"/>
        <v>7</v>
      </c>
      <c r="J259" s="34">
        <v>40</v>
      </c>
      <c r="K259" s="36">
        <v>800</v>
      </c>
      <c r="L259" s="34" t="s">
        <v>17</v>
      </c>
      <c r="M259" s="57">
        <v>35261</v>
      </c>
      <c r="N259" s="37">
        <f>(YEAR(TablaMadre[[#This Row],[ALTA]])-YEAR(M259))</f>
        <v>17</v>
      </c>
      <c r="O259" s="34" t="s">
        <v>18</v>
      </c>
      <c r="P259" s="34" t="s">
        <v>19</v>
      </c>
      <c r="Q259" s="34" t="s">
        <v>218</v>
      </c>
      <c r="R259" s="34" t="s">
        <v>21</v>
      </c>
      <c r="S259" s="34" t="s">
        <v>690</v>
      </c>
      <c r="T259" s="34"/>
      <c r="U259" s="34"/>
      <c r="V259" s="34" t="s">
        <v>137</v>
      </c>
      <c r="W259" s="34" t="s">
        <v>47</v>
      </c>
      <c r="X259" s="38" t="s">
        <v>164</v>
      </c>
      <c r="Y259" s="62"/>
      <c r="Z259" s="62" t="e">
        <f t="shared" si="13"/>
        <v>#NUM!</v>
      </c>
      <c r="AA259" s="62"/>
      <c r="AB259" s="34" t="s">
        <v>24</v>
      </c>
      <c r="AC259" s="34" t="s">
        <v>53</v>
      </c>
      <c r="AD259" s="38"/>
      <c r="AE259" s="59" t="str">
        <f t="shared" ref="AE259:AE322" si="14">IF(F259=O259, "NO", "SÍ")</f>
        <v>NO</v>
      </c>
      <c r="AF259" s="38" t="e" cm="1">
        <f t="array" aca="1" ref="AF259" ca="1">MIN(100, MAX(0, (IF(R259="ESTUDIANTE", 31, 0)) + (IF(I259&lt;=3, 30, IF(I259&lt;=6, 20, 0))) +(IF(OR(E259="413 - Control de Costes y Enlace Construcción", E259="480 - Secretaría General del Consejo", E259="132 - Civil y estructuras", E259="136 - Mecánica", E259="412 - Planificación", E259="142 - Compras"), 25, 0)) +(IF(OR(S259="GRADO ING. MECÁNICA", S259="GRADO ING. ELÉCTRICA", S259="GRADO DERECHO", S259="GRADO ECONOMÍA", S259="GRADO ING. TECNOLOGÍAS INDUSTRIALES"), 24, 0)) + (IF(AND(K259&gt;=451, K259&lt;=700), 23, 0)) + (IF(AND(AB259&gt;=5, AB259&lt;=8), 17, 0)) +(IF(_xludf.OR(_xludf.AND(AC259&gt;=8, AC259&lt;=10), _xludf.AND(AC259&gt;=0, AC259&lt;=5)), 16, 0)) + (IF(F259="Madrid", 11, 0))))</f>
        <v>#NAME?</v>
      </c>
      <c r="AG259" s="68"/>
      <c r="AH259" s="71" t="s">
        <v>164</v>
      </c>
    </row>
    <row r="260" spans="1:34" s="4" customFormat="1" ht="14.4" x14ac:dyDescent="0.3">
      <c r="A260" s="66" t="s">
        <v>1330</v>
      </c>
      <c r="B260" s="66" t="s">
        <v>3447</v>
      </c>
      <c r="C260" s="33">
        <v>254</v>
      </c>
      <c r="D260" s="33" t="s">
        <v>5399</v>
      </c>
      <c r="E260" s="34" t="s">
        <v>5269</v>
      </c>
      <c r="F260" s="34" t="s">
        <v>18</v>
      </c>
      <c r="G260" s="57">
        <v>41281</v>
      </c>
      <c r="H260" s="57">
        <v>41525</v>
      </c>
      <c r="I260" s="34">
        <f t="shared" si="12"/>
        <v>8</v>
      </c>
      <c r="J260" s="34">
        <v>40</v>
      </c>
      <c r="K260" s="36">
        <v>650</v>
      </c>
      <c r="L260" s="34" t="s">
        <v>17</v>
      </c>
      <c r="M260" s="57">
        <v>33808</v>
      </c>
      <c r="N260" s="37">
        <f>(YEAR(TablaMadre[[#This Row],[ALTA]])-YEAR(M260))</f>
        <v>21</v>
      </c>
      <c r="O260" s="34" t="s">
        <v>18</v>
      </c>
      <c r="P260" s="34" t="s">
        <v>19</v>
      </c>
      <c r="Q260" s="34" t="s">
        <v>224</v>
      </c>
      <c r="R260" s="58" t="s">
        <v>30</v>
      </c>
      <c r="S260" s="34" t="s">
        <v>884</v>
      </c>
      <c r="T260" s="34"/>
      <c r="U260" s="34"/>
      <c r="V260" s="34" t="s">
        <v>84</v>
      </c>
      <c r="W260" s="34" t="s">
        <v>23</v>
      </c>
      <c r="X260" s="38" t="s">
        <v>164</v>
      </c>
      <c r="Y260" s="62"/>
      <c r="Z260" s="62" t="e">
        <f t="shared" si="13"/>
        <v>#NUM!</v>
      </c>
      <c r="AA260" s="62"/>
      <c r="AB260" s="34" t="s">
        <v>24</v>
      </c>
      <c r="AC260" s="34" t="s">
        <v>24</v>
      </c>
      <c r="AD260" s="38"/>
      <c r="AE260" s="59" t="str">
        <f t="shared" si="14"/>
        <v>NO</v>
      </c>
      <c r="AF260" s="34" t="e" cm="1">
        <f t="array" aca="1" ref="AF260" ca="1">MIN(100, MAX(0, (IF(R260="ESTUDIANTE", 31, 0)) + (IF(I260&lt;=3, 30, IF(I260&lt;=6, 20, 0))) +(IF(OR(E260="413 - Control de Costes y Enlace Construcción", E260="480 - Secretaría General del Consejo", E260="132 - Civil y estructuras", E260="136 - Mecánica", E260="412 - Planificación", E260="142 - Compras"), 25, 0)) +(IF(OR(S260="GRADO ING. MECÁNICA", S260="GRADO ING. ELÉCTRICA", S260="GRADO DERECHO", S260="GRADO ECONOMÍA", S260="GRADO ING. TECNOLOGÍAS INDUSTRIALES"), 24, 0)) + (IF(AND(K260&gt;=451, K260&lt;=700), 23, 0)) + (IF(AND(AB260&gt;=5, AB260&lt;=8), 17, 0)) +(IF(_xludf.OR(_xludf.AND(AC260&gt;=8, AC260&lt;=10), _xludf.AND(AC260&gt;=0, AC260&lt;=5)), 16, 0)) + (IF(F260="Madrid", 11, 0))))</f>
        <v>#NAME?</v>
      </c>
      <c r="AG260" s="69"/>
      <c r="AH260" s="71" t="s">
        <v>164</v>
      </c>
    </row>
    <row r="261" spans="1:34" ht="14.4" x14ac:dyDescent="0.3">
      <c r="A261" s="66" t="s">
        <v>2314</v>
      </c>
      <c r="B261" s="66" t="s">
        <v>4431</v>
      </c>
      <c r="C261" s="33">
        <v>259</v>
      </c>
      <c r="D261" s="33" t="s">
        <v>5400</v>
      </c>
      <c r="E261" s="34" t="s">
        <v>5249</v>
      </c>
      <c r="F261" s="34" t="s">
        <v>18</v>
      </c>
      <c r="G261" s="57">
        <v>41281</v>
      </c>
      <c r="H261" s="57">
        <v>41820</v>
      </c>
      <c r="I261" s="34">
        <f t="shared" si="12"/>
        <v>17</v>
      </c>
      <c r="J261" s="34">
        <v>40</v>
      </c>
      <c r="K261" s="36">
        <v>900</v>
      </c>
      <c r="L261" s="34" t="s">
        <v>29</v>
      </c>
      <c r="M261" s="57">
        <v>34298</v>
      </c>
      <c r="N261" s="37">
        <f>(YEAR(TablaMadre[[#This Row],[ALTA]])-YEAR(M261))</f>
        <v>20</v>
      </c>
      <c r="O261" s="34" t="s">
        <v>18</v>
      </c>
      <c r="P261" s="34" t="s">
        <v>19</v>
      </c>
      <c r="Q261" s="34" t="s">
        <v>49</v>
      </c>
      <c r="R261" s="34" t="s">
        <v>21</v>
      </c>
      <c r="S261" s="34" t="s">
        <v>297</v>
      </c>
      <c r="T261" s="34"/>
      <c r="U261" s="34"/>
      <c r="V261" s="34" t="s">
        <v>56</v>
      </c>
      <c r="W261" s="34" t="s">
        <v>28</v>
      </c>
      <c r="X261" s="34" t="s">
        <v>173</v>
      </c>
      <c r="Y261" s="57"/>
      <c r="Z261" s="34" t="e">
        <f t="shared" si="13"/>
        <v>#NUM!</v>
      </c>
      <c r="AA261" s="34" t="s">
        <v>173</v>
      </c>
      <c r="AB261" s="34"/>
      <c r="AC261" s="34"/>
      <c r="AD261" s="34"/>
      <c r="AE261" s="59" t="str">
        <f t="shared" si="14"/>
        <v>NO</v>
      </c>
      <c r="AF261" s="38" t="e" cm="1">
        <f t="array" aca="1" ref="AF261" ca="1">MIN(100, MAX(0, (IF(R261="ESTUDIANTE", 31, 0)) + (IF(I261&lt;=3, 30, IF(I261&lt;=6, 20, 0))) +(IF(OR(E261="413 - Control de Costes y Enlace Construcción", E261="480 - Secretaría General del Consejo", E261="132 - Civil y estructuras", E261="136 - Mecánica", E261="412 - Planificación", E261="142 - Compras"), 25, 0)) +(IF(OR(S261="GRADO ING. MECÁNICA", S261="GRADO ING. ELÉCTRICA", S261="GRADO DERECHO", S261="GRADO ECONOMÍA", S261="GRADO ING. TECNOLOGÍAS INDUSTRIALES"), 24, 0)) + (IF(AND(K261&gt;=451, K261&lt;=700), 23, 0)) + (IF(AND(AB261&gt;=5, AB261&lt;=8), 17, 0)) +(IF(_xludf.OR(_xludf.AND(AC261&gt;=8, AC261&lt;=10), _xludf.AND(AC261&gt;=0, AC261&lt;=5)), 16, 0)) + (IF(F261="Madrid", 11, 0))))</f>
        <v>#NAME?</v>
      </c>
      <c r="AG261" s="68"/>
      <c r="AH261" s="71" t="s">
        <v>164</v>
      </c>
    </row>
    <row r="262" spans="1:34" ht="14.4" x14ac:dyDescent="0.3">
      <c r="A262" s="66" t="s">
        <v>1241</v>
      </c>
      <c r="B262" s="66" t="s">
        <v>3358</v>
      </c>
      <c r="C262" s="33">
        <v>262</v>
      </c>
      <c r="D262" s="33" t="s">
        <v>5401</v>
      </c>
      <c r="E262" s="34" t="s">
        <v>5244</v>
      </c>
      <c r="F262" s="34" t="s">
        <v>18</v>
      </c>
      <c r="G262" s="57">
        <v>41282</v>
      </c>
      <c r="H262" s="57">
        <v>41851</v>
      </c>
      <c r="I262" s="34">
        <f t="shared" si="12"/>
        <v>18</v>
      </c>
      <c r="J262" s="34">
        <v>40</v>
      </c>
      <c r="K262" s="36">
        <v>1842.91</v>
      </c>
      <c r="L262" s="34" t="s">
        <v>17</v>
      </c>
      <c r="M262" s="57">
        <v>33772</v>
      </c>
      <c r="N262" s="37">
        <f>(YEAR(TablaMadre[[#This Row],[ALTA]])-YEAR(M262))</f>
        <v>21</v>
      </c>
      <c r="O262" s="34" t="s">
        <v>102</v>
      </c>
      <c r="P262" s="34" t="s">
        <v>103</v>
      </c>
      <c r="Q262" s="34" t="s">
        <v>49</v>
      </c>
      <c r="R262" s="34" t="s">
        <v>21</v>
      </c>
      <c r="S262" s="34" t="s">
        <v>297</v>
      </c>
      <c r="T262" s="34"/>
      <c r="U262" s="34"/>
      <c r="V262" s="34" t="s">
        <v>90</v>
      </c>
      <c r="W262" s="34" t="s">
        <v>28</v>
      </c>
      <c r="X262" s="38" t="s">
        <v>164</v>
      </c>
      <c r="Y262" s="62">
        <v>41851</v>
      </c>
      <c r="Z262" s="38">
        <f t="shared" si="13"/>
        <v>0</v>
      </c>
      <c r="AA262" s="38"/>
      <c r="AB262" s="34"/>
      <c r="AC262" s="34"/>
      <c r="AD262" s="38"/>
      <c r="AE262" s="59" t="str">
        <f t="shared" si="14"/>
        <v>SÍ</v>
      </c>
      <c r="AF262" s="38" t="e" cm="1">
        <f t="array" aca="1" ref="AF262" ca="1">MIN(100, MAX(0, (IF(R262="ESTUDIANTE", 31, 0)) + (IF(I262&lt;=3, 30, IF(I262&lt;=6, 20, 0))) +(IF(OR(E262="413 - Control de Costes y Enlace Construcción", E262="480 - Secretaría General del Consejo", E262="132 - Civil y estructuras", E262="136 - Mecánica", E262="412 - Planificación", E262="142 - Compras"), 25, 0)) +(IF(OR(S262="GRADO ING. MECÁNICA", S262="GRADO ING. ELÉCTRICA", S262="GRADO DERECHO", S262="GRADO ECONOMÍA", S262="GRADO ING. TECNOLOGÍAS INDUSTRIALES"), 24, 0)) + (IF(AND(K262&gt;=451, K262&lt;=700), 23, 0)) + (IF(AND(AB262&gt;=5, AB262&lt;=8), 17, 0)) +(IF(_xludf.OR(_xludf.AND(AC262&gt;=8, AC262&lt;=10), _xludf.AND(AC262&gt;=0, AC262&lt;=5)), 16, 0)) + (IF(F262="Madrid", 11, 0))))</f>
        <v>#NAME?</v>
      </c>
      <c r="AG262" s="68"/>
      <c r="AH262" s="71" t="s">
        <v>164</v>
      </c>
    </row>
    <row r="263" spans="1:34" ht="14.4" x14ac:dyDescent="0.3">
      <c r="A263" s="66" t="s">
        <v>1242</v>
      </c>
      <c r="B263" s="66" t="s">
        <v>3359</v>
      </c>
      <c r="C263" s="33">
        <v>263</v>
      </c>
      <c r="D263" s="33" t="s">
        <v>5402</v>
      </c>
      <c r="E263" s="34" t="s">
        <v>5252</v>
      </c>
      <c r="F263" s="34" t="s">
        <v>18</v>
      </c>
      <c r="G263" s="57">
        <v>41282</v>
      </c>
      <c r="H263" s="57">
        <v>41851</v>
      </c>
      <c r="I263" s="34">
        <f t="shared" si="12"/>
        <v>18</v>
      </c>
      <c r="J263" s="34">
        <v>40</v>
      </c>
      <c r="K263" s="36">
        <v>900</v>
      </c>
      <c r="L263" s="34" t="s">
        <v>17</v>
      </c>
      <c r="M263" s="57">
        <v>35790</v>
      </c>
      <c r="N263" s="37">
        <f>(YEAR(TablaMadre[[#This Row],[ALTA]])-YEAR(M263))</f>
        <v>16</v>
      </c>
      <c r="O263" s="34" t="s">
        <v>18</v>
      </c>
      <c r="P263" s="34" t="s">
        <v>19</v>
      </c>
      <c r="Q263" s="34" t="s">
        <v>36</v>
      </c>
      <c r="R263" s="34" t="s">
        <v>21</v>
      </c>
      <c r="S263" s="34" t="s">
        <v>307</v>
      </c>
      <c r="T263" s="34"/>
      <c r="U263" s="34"/>
      <c r="V263" s="34" t="s">
        <v>22</v>
      </c>
      <c r="W263" s="34" t="s">
        <v>28</v>
      </c>
      <c r="X263" s="38" t="s">
        <v>164</v>
      </c>
      <c r="Y263" s="62">
        <v>43874</v>
      </c>
      <c r="Z263" s="38">
        <f t="shared" si="13"/>
        <v>5</v>
      </c>
      <c r="AA263" s="38"/>
      <c r="AB263" s="34" t="s">
        <v>24</v>
      </c>
      <c r="AC263" s="34"/>
      <c r="AD263" s="38"/>
      <c r="AE263" s="59" t="str">
        <f t="shared" si="14"/>
        <v>NO</v>
      </c>
      <c r="AF263" s="38" t="e" cm="1">
        <f t="array" aca="1" ref="AF263" ca="1">MIN(100, MAX(0, (IF(R263="ESTUDIANTE", 31, 0)) + (IF(I263&lt;=3, 30, IF(I263&lt;=6, 20, 0))) +(IF(OR(E263="413 - Control de Costes y Enlace Construcción", E263="480 - Secretaría General del Consejo", E263="132 - Civil y estructuras", E263="136 - Mecánica", E263="412 - Planificación", E263="142 - Compras"), 25, 0)) +(IF(OR(S263="GRADO ING. MECÁNICA", S263="GRADO ING. ELÉCTRICA", S263="GRADO DERECHO", S263="GRADO ECONOMÍA", S263="GRADO ING. TECNOLOGÍAS INDUSTRIALES"), 24, 0)) + (IF(AND(K263&gt;=451, K263&lt;=700), 23, 0)) + (IF(AND(AB263&gt;=5, AB263&lt;=8), 17, 0)) +(IF(_xludf.OR(_xludf.AND(AC263&gt;=8, AC263&lt;=10), _xludf.AND(AC263&gt;=0, AC263&lt;=5)), 16, 0)) + (IF(F263="Madrid", 11, 0))))</f>
        <v>#NAME?</v>
      </c>
      <c r="AG263" s="68"/>
      <c r="AH263" s="71" t="s">
        <v>164</v>
      </c>
    </row>
    <row r="264" spans="1:34" ht="14.4" x14ac:dyDescent="0.3">
      <c r="A264" s="66" t="s">
        <v>1355</v>
      </c>
      <c r="B264" s="66" t="s">
        <v>3472</v>
      </c>
      <c r="C264" s="33">
        <v>261</v>
      </c>
      <c r="D264" s="33" t="s">
        <v>5393</v>
      </c>
      <c r="E264" s="34" t="s">
        <v>5216</v>
      </c>
      <c r="F264" s="34" t="s">
        <v>18</v>
      </c>
      <c r="G264" s="57">
        <v>41282</v>
      </c>
      <c r="H264" s="57">
        <v>41670</v>
      </c>
      <c r="I264" s="34">
        <f t="shared" si="12"/>
        <v>12</v>
      </c>
      <c r="J264" s="34">
        <v>40</v>
      </c>
      <c r="K264" s="36">
        <v>650</v>
      </c>
      <c r="L264" s="34" t="s">
        <v>17</v>
      </c>
      <c r="M264" s="57">
        <v>34786</v>
      </c>
      <c r="N264" s="37">
        <f>(YEAR(TablaMadre[[#This Row],[ALTA]])-YEAR(M264))</f>
        <v>18</v>
      </c>
      <c r="O264" s="34" t="s">
        <v>18</v>
      </c>
      <c r="P264" s="34" t="s">
        <v>19</v>
      </c>
      <c r="Q264" s="34" t="s">
        <v>49</v>
      </c>
      <c r="R264" s="58" t="s">
        <v>30</v>
      </c>
      <c r="S264" s="34" t="s">
        <v>297</v>
      </c>
      <c r="T264" s="34"/>
      <c r="U264" s="34"/>
      <c r="V264" s="34" t="s">
        <v>56</v>
      </c>
      <c r="W264" s="34" t="s">
        <v>23</v>
      </c>
      <c r="X264" s="38" t="s">
        <v>164</v>
      </c>
      <c r="Y264" s="62"/>
      <c r="Z264" s="62" t="e">
        <f t="shared" si="13"/>
        <v>#NUM!</v>
      </c>
      <c r="AA264" s="62"/>
      <c r="AB264" s="34"/>
      <c r="AC264" s="34"/>
      <c r="AD264" s="38"/>
      <c r="AE264" s="59" t="str">
        <f t="shared" si="14"/>
        <v>NO</v>
      </c>
      <c r="AF264" s="38" t="e" cm="1">
        <f t="array" aca="1" ref="AF264" ca="1">MIN(100, MAX(0, (IF(R264="ESTUDIANTE", 31, 0)) + (IF(I264&lt;=3, 30, IF(I264&lt;=6, 20, 0))) +(IF(OR(E264="413 - Control de Costes y Enlace Construcción", E264="480 - Secretaría General del Consejo", E264="132 - Civil y estructuras", E264="136 - Mecánica", E264="412 - Planificación", E264="142 - Compras"), 25, 0)) +(IF(OR(S264="GRADO ING. MECÁNICA", S264="GRADO ING. ELÉCTRICA", S264="GRADO DERECHO", S264="GRADO ECONOMÍA", S264="GRADO ING. TECNOLOGÍAS INDUSTRIALES"), 24, 0)) + (IF(AND(K264&gt;=451, K264&lt;=700), 23, 0)) + (IF(AND(AB264&gt;=5, AB264&lt;=8), 17, 0)) +(IF(_xludf.OR(_xludf.AND(AC264&gt;=8, AC264&lt;=10), _xludf.AND(AC264&gt;=0, AC264&lt;=5)), 16, 0)) + (IF(F264="Madrid", 11, 0))))</f>
        <v>#NAME?</v>
      </c>
      <c r="AG264" s="68"/>
      <c r="AH264" s="71" t="s">
        <v>164</v>
      </c>
    </row>
    <row r="265" spans="1:34" ht="14.4" x14ac:dyDescent="0.3">
      <c r="A265" s="66" t="s">
        <v>1244</v>
      </c>
      <c r="B265" s="66" t="s">
        <v>3361</v>
      </c>
      <c r="C265" s="33">
        <v>265</v>
      </c>
      <c r="D265" s="33" t="s">
        <v>5394</v>
      </c>
      <c r="E265" s="34" t="s">
        <v>5269</v>
      </c>
      <c r="F265" s="34" t="s">
        <v>18</v>
      </c>
      <c r="G265" s="57">
        <v>41284</v>
      </c>
      <c r="H265" s="57">
        <v>41820</v>
      </c>
      <c r="I265" s="34">
        <f t="shared" si="12"/>
        <v>17</v>
      </c>
      <c r="J265" s="34">
        <v>40</v>
      </c>
      <c r="K265" s="36">
        <v>2000</v>
      </c>
      <c r="L265" s="34" t="s">
        <v>17</v>
      </c>
      <c r="M265" s="57">
        <v>34383</v>
      </c>
      <c r="N265" s="37">
        <f>(YEAR(TablaMadre[[#This Row],[ALTA]])-YEAR(M265))</f>
        <v>19</v>
      </c>
      <c r="O265" s="34" t="s">
        <v>102</v>
      </c>
      <c r="P265" s="34" t="s">
        <v>103</v>
      </c>
      <c r="Q265" s="34" t="s">
        <v>49</v>
      </c>
      <c r="R265" s="34" t="s">
        <v>21</v>
      </c>
      <c r="S265" s="34" t="s">
        <v>297</v>
      </c>
      <c r="T265" s="34"/>
      <c r="U265" s="34"/>
      <c r="V265" s="34" t="s">
        <v>90</v>
      </c>
      <c r="W265" s="34" t="s">
        <v>28</v>
      </c>
      <c r="X265" s="38" t="s">
        <v>164</v>
      </c>
      <c r="Y265" s="62">
        <v>42200</v>
      </c>
      <c r="Z265" s="38">
        <f t="shared" si="13"/>
        <v>1</v>
      </c>
      <c r="AA265" s="38"/>
      <c r="AB265" s="34"/>
      <c r="AC265" s="34"/>
      <c r="AD265" s="38"/>
      <c r="AE265" s="59" t="str">
        <f t="shared" si="14"/>
        <v>SÍ</v>
      </c>
      <c r="AF265" s="38" t="e" cm="1">
        <f t="array" aca="1" ref="AF265" ca="1">MIN(100, MAX(0, (IF(R265="ESTUDIANTE", 31, 0)) + (IF(I265&lt;=3, 30, IF(I265&lt;=6, 20, 0))) +(IF(OR(E265="413 - Control de Costes y Enlace Construcción", E265="480 - Secretaría General del Consejo", E265="132 - Civil y estructuras", E265="136 - Mecánica", E265="412 - Planificación", E265="142 - Compras"), 25, 0)) +(IF(OR(S265="GRADO ING. MECÁNICA", S265="GRADO ING. ELÉCTRICA", S265="GRADO DERECHO", S265="GRADO ECONOMÍA", S265="GRADO ING. TECNOLOGÍAS INDUSTRIALES"), 24, 0)) + (IF(AND(K265&gt;=451, K265&lt;=700), 23, 0)) + (IF(AND(AB265&gt;=5, AB265&lt;=8), 17, 0)) +(IF(_xludf.OR(_xludf.AND(AC265&gt;=8, AC265&lt;=10), _xludf.AND(AC265&gt;=0, AC265&lt;=5)), 16, 0)) + (IF(F265="Madrid", 11, 0))))</f>
        <v>#NAME?</v>
      </c>
      <c r="AG265" s="68"/>
      <c r="AH265" s="71" t="s">
        <v>164</v>
      </c>
    </row>
    <row r="266" spans="1:34" ht="14.4" x14ac:dyDescent="0.3">
      <c r="A266" s="66" t="s">
        <v>1417</v>
      </c>
      <c r="B266" s="66" t="s">
        <v>3534</v>
      </c>
      <c r="C266" s="33">
        <v>266</v>
      </c>
      <c r="D266" s="33" t="s">
        <v>5395</v>
      </c>
      <c r="E266" s="34" t="s">
        <v>5216</v>
      </c>
      <c r="F266" s="34" t="s">
        <v>18</v>
      </c>
      <c r="G266" s="57">
        <v>41284</v>
      </c>
      <c r="H266" s="57">
        <v>41820</v>
      </c>
      <c r="I266" s="34">
        <f t="shared" si="12"/>
        <v>17</v>
      </c>
      <c r="J266" s="34">
        <v>40</v>
      </c>
      <c r="K266" s="36">
        <v>2000</v>
      </c>
      <c r="L266" s="34" t="s">
        <v>17</v>
      </c>
      <c r="M266" s="57">
        <v>34302</v>
      </c>
      <c r="N266" s="37">
        <f>(YEAR(TablaMadre[[#This Row],[ALTA]])-YEAR(M266))</f>
        <v>20</v>
      </c>
      <c r="O266" s="34" t="s">
        <v>102</v>
      </c>
      <c r="P266" s="34" t="s">
        <v>103</v>
      </c>
      <c r="Q266" s="34" t="s">
        <v>49</v>
      </c>
      <c r="R266" s="34" t="s">
        <v>21</v>
      </c>
      <c r="S266" s="34" t="s">
        <v>297</v>
      </c>
      <c r="T266" s="34"/>
      <c r="U266" s="34"/>
      <c r="V266" s="34" t="s">
        <v>90</v>
      </c>
      <c r="W266" s="34" t="s">
        <v>23</v>
      </c>
      <c r="X266" s="38" t="s">
        <v>164</v>
      </c>
      <c r="Y266" s="62"/>
      <c r="Z266" s="62" t="e">
        <f t="shared" si="13"/>
        <v>#NUM!</v>
      </c>
      <c r="AA266" s="62"/>
      <c r="AB266" s="34"/>
      <c r="AC266" s="34"/>
      <c r="AD266" s="38"/>
      <c r="AE266" s="59" t="str">
        <f t="shared" si="14"/>
        <v>SÍ</v>
      </c>
      <c r="AF266" s="38" t="e" cm="1">
        <f t="array" aca="1" ref="AF266" ca="1">MIN(100, MAX(0, (IF(R266="ESTUDIANTE", 31, 0)) + (IF(I266&lt;=3, 30, IF(I266&lt;=6, 20, 0))) +(IF(OR(E266="413 - Control de Costes y Enlace Construcción", E266="480 - Secretaría General del Consejo", E266="132 - Civil y estructuras", E266="136 - Mecánica", E266="412 - Planificación", E266="142 - Compras"), 25, 0)) +(IF(OR(S266="GRADO ING. MECÁNICA", S266="GRADO ING. ELÉCTRICA", S266="GRADO DERECHO", S266="GRADO ECONOMÍA", S266="GRADO ING. TECNOLOGÍAS INDUSTRIALES"), 24, 0)) + (IF(AND(K266&gt;=451, K266&lt;=700), 23, 0)) + (IF(AND(AB266&gt;=5, AB266&lt;=8), 17, 0)) +(IF(_xludf.OR(_xludf.AND(AC266&gt;=8, AC266&lt;=10), _xludf.AND(AC266&gt;=0, AC266&lt;=5)), 16, 0)) + (IF(F266="Madrid", 11, 0))))</f>
        <v>#NAME?</v>
      </c>
      <c r="AG266" s="68"/>
      <c r="AH266" s="71" t="s">
        <v>164</v>
      </c>
    </row>
    <row r="267" spans="1:34" ht="14.4" x14ac:dyDescent="0.3">
      <c r="A267" s="66" t="s">
        <v>1233</v>
      </c>
      <c r="B267" s="66" t="s">
        <v>3350</v>
      </c>
      <c r="C267" s="33">
        <v>267</v>
      </c>
      <c r="D267" s="33" t="s">
        <v>5396</v>
      </c>
      <c r="E267" s="34" t="s">
        <v>5252</v>
      </c>
      <c r="F267" s="34" t="s">
        <v>18</v>
      </c>
      <c r="G267" s="57">
        <v>41288</v>
      </c>
      <c r="H267" s="57">
        <v>41547</v>
      </c>
      <c r="I267" s="34">
        <f t="shared" si="12"/>
        <v>8</v>
      </c>
      <c r="J267" s="34">
        <v>40</v>
      </c>
      <c r="K267" s="36">
        <v>900</v>
      </c>
      <c r="L267" s="34" t="s">
        <v>17</v>
      </c>
      <c r="M267" s="57">
        <v>34544</v>
      </c>
      <c r="N267" s="37">
        <f>(YEAR(TablaMadre[[#This Row],[ALTA]])-YEAR(M267))</f>
        <v>19</v>
      </c>
      <c r="O267" s="34" t="s">
        <v>92</v>
      </c>
      <c r="P267" s="34" t="s">
        <v>19</v>
      </c>
      <c r="Q267" s="34" t="s">
        <v>32</v>
      </c>
      <c r="R267" s="34" t="s">
        <v>21</v>
      </c>
      <c r="S267" s="34" t="s">
        <v>322</v>
      </c>
      <c r="T267" s="34"/>
      <c r="U267" s="34"/>
      <c r="V267" s="34" t="s">
        <v>33</v>
      </c>
      <c r="W267" s="34" t="s">
        <v>47</v>
      </c>
      <c r="X267" s="38" t="s">
        <v>164</v>
      </c>
      <c r="Y267" s="62"/>
      <c r="Z267" s="62" t="e">
        <f t="shared" si="13"/>
        <v>#NUM!</v>
      </c>
      <c r="AA267" s="62"/>
      <c r="AB267" s="34"/>
      <c r="AC267" s="34"/>
      <c r="AD267" s="38"/>
      <c r="AE267" s="59" t="str">
        <f t="shared" si="14"/>
        <v>SÍ</v>
      </c>
      <c r="AF267" s="38" t="e" cm="1">
        <f t="array" aca="1" ref="AF267" ca="1">MIN(100, MAX(0, (IF(R267="ESTUDIANTE", 31, 0)) + (IF(I267&lt;=3, 30, IF(I267&lt;=6, 20, 0))) +(IF(OR(E267="413 - Control de Costes y Enlace Construcción", E267="480 - Secretaría General del Consejo", E267="132 - Civil y estructuras", E267="136 - Mecánica", E267="412 - Planificación", E267="142 - Compras"), 25, 0)) +(IF(OR(S267="GRADO ING. MECÁNICA", S267="GRADO ING. ELÉCTRICA", S267="GRADO DERECHO", S267="GRADO ECONOMÍA", S267="GRADO ING. TECNOLOGÍAS INDUSTRIALES"), 24, 0)) + (IF(AND(K267&gt;=451, K267&lt;=700), 23, 0)) + (IF(AND(AB267&gt;=5, AB267&lt;=8), 17, 0)) +(IF(_xludf.OR(_xludf.AND(AC267&gt;=8, AC267&lt;=10), _xludf.AND(AC267&gt;=0, AC267&lt;=5)), 16, 0)) + (IF(F267="Madrid", 11, 0))))</f>
        <v>#NAME?</v>
      </c>
      <c r="AG267" s="68"/>
      <c r="AH267" s="71" t="s">
        <v>164</v>
      </c>
    </row>
    <row r="268" spans="1:34" ht="14.4" x14ac:dyDescent="0.3">
      <c r="A268" s="66" t="s">
        <v>1247</v>
      </c>
      <c r="B268" s="66" t="s">
        <v>3364</v>
      </c>
      <c r="C268" s="33">
        <v>268</v>
      </c>
      <c r="D268" s="33" t="s">
        <v>5397</v>
      </c>
      <c r="E268" s="34" t="s">
        <v>5249</v>
      </c>
      <c r="F268" s="34" t="s">
        <v>18</v>
      </c>
      <c r="G268" s="57">
        <v>41288</v>
      </c>
      <c r="H268" s="57">
        <v>41652</v>
      </c>
      <c r="I268" s="34">
        <f t="shared" si="12"/>
        <v>11</v>
      </c>
      <c r="J268" s="34">
        <v>40</v>
      </c>
      <c r="K268" s="36">
        <v>900</v>
      </c>
      <c r="L268" s="34" t="s">
        <v>29</v>
      </c>
      <c r="M268" s="57">
        <v>35970</v>
      </c>
      <c r="N268" s="37">
        <f>(YEAR(TablaMadre[[#This Row],[ALTA]])-YEAR(M268))</f>
        <v>15</v>
      </c>
      <c r="O268" s="34" t="s">
        <v>18</v>
      </c>
      <c r="P268" s="34" t="s">
        <v>19</v>
      </c>
      <c r="Q268" s="34" t="s">
        <v>63</v>
      </c>
      <c r="R268" s="34" t="s">
        <v>21</v>
      </c>
      <c r="S268" s="34" t="s">
        <v>297</v>
      </c>
      <c r="T268" s="34"/>
      <c r="U268" s="34"/>
      <c r="V268" s="34" t="s">
        <v>56</v>
      </c>
      <c r="W268" s="34" t="s">
        <v>28</v>
      </c>
      <c r="X268" s="38" t="s">
        <v>173</v>
      </c>
      <c r="Y268" s="62"/>
      <c r="Z268" s="38" t="e">
        <f t="shared" si="13"/>
        <v>#NUM!</v>
      </c>
      <c r="AA268" s="38"/>
      <c r="AB268" s="34" t="s">
        <v>238</v>
      </c>
      <c r="AC268" s="34"/>
      <c r="AD268" s="38"/>
      <c r="AE268" s="59" t="str">
        <f t="shared" si="14"/>
        <v>NO</v>
      </c>
      <c r="AF268" s="38" t="e" cm="1">
        <f t="array" aca="1" ref="AF268" ca="1">MIN(100, MAX(0, (IF(R268="ESTUDIANTE", 31, 0)) + (IF(I268&lt;=3, 30, IF(I268&lt;=6, 20, 0))) +(IF(OR(E268="413 - Control de Costes y Enlace Construcción", E268="480 - Secretaría General del Consejo", E268="132 - Civil y estructuras", E268="136 - Mecánica", E268="412 - Planificación", E268="142 - Compras"), 25, 0)) +(IF(OR(S268="GRADO ING. MECÁNICA", S268="GRADO ING. ELÉCTRICA", S268="GRADO DERECHO", S268="GRADO ECONOMÍA", S268="GRADO ING. TECNOLOGÍAS INDUSTRIALES"), 24, 0)) + (IF(AND(K268&gt;=451, K268&lt;=700), 23, 0)) + (IF(AND(AB268&gt;=5, AB268&lt;=8), 17, 0)) +(IF(_xludf.OR(_xludf.AND(AC268&gt;=8, AC268&lt;=10), _xludf.AND(AC268&gt;=0, AC268&lt;=5)), 16, 0)) + (IF(F268="Madrid", 11, 0))))</f>
        <v>#NAME?</v>
      </c>
      <c r="AG268" s="68"/>
      <c r="AH268" s="71" t="s">
        <v>164</v>
      </c>
    </row>
    <row r="269" spans="1:34" ht="14.4" x14ac:dyDescent="0.3">
      <c r="A269" s="66" t="s">
        <v>1248</v>
      </c>
      <c r="B269" s="66" t="s">
        <v>3365</v>
      </c>
      <c r="C269" s="33">
        <v>269</v>
      </c>
      <c r="D269" s="33" t="s">
        <v>5398</v>
      </c>
      <c r="E269" s="34" t="s">
        <v>5252</v>
      </c>
      <c r="F269" s="34" t="s">
        <v>18</v>
      </c>
      <c r="G269" s="57">
        <v>41288</v>
      </c>
      <c r="H269" s="57">
        <v>41749</v>
      </c>
      <c r="I269" s="34">
        <f t="shared" si="12"/>
        <v>15</v>
      </c>
      <c r="J269" s="34">
        <v>40</v>
      </c>
      <c r="K269" s="36">
        <v>900</v>
      </c>
      <c r="L269" s="34" t="s">
        <v>17</v>
      </c>
      <c r="M269" s="57">
        <v>35020</v>
      </c>
      <c r="N269" s="37">
        <f>(YEAR(TablaMadre[[#This Row],[ALTA]])-YEAR(M269))</f>
        <v>18</v>
      </c>
      <c r="O269" s="34" t="s">
        <v>70</v>
      </c>
      <c r="P269" s="34" t="s">
        <v>19</v>
      </c>
      <c r="Q269" s="34" t="s">
        <v>129</v>
      </c>
      <c r="R269" s="34" t="s">
        <v>21</v>
      </c>
      <c r="S269" s="34" t="s">
        <v>322</v>
      </c>
      <c r="T269" s="34"/>
      <c r="U269" s="34"/>
      <c r="V269" s="34" t="s">
        <v>188</v>
      </c>
      <c r="W269" s="34" t="s">
        <v>127</v>
      </c>
      <c r="X269" s="38" t="s">
        <v>164</v>
      </c>
      <c r="Y269" s="62">
        <v>42317</v>
      </c>
      <c r="Z269" s="38">
        <f t="shared" si="13"/>
        <v>1</v>
      </c>
      <c r="AA269" s="38"/>
      <c r="AB269" s="34"/>
      <c r="AC269" s="34"/>
      <c r="AD269" s="38"/>
      <c r="AE269" s="59" t="str">
        <f t="shared" si="14"/>
        <v>SÍ</v>
      </c>
      <c r="AF269" s="38" t="e" cm="1">
        <f t="array" aca="1" ref="AF269" ca="1">MIN(100, MAX(0, (IF(R269="ESTUDIANTE", 31, 0)) + (IF(I269&lt;=3, 30, IF(I269&lt;=6, 20, 0))) +(IF(OR(E269="413 - Control de Costes y Enlace Construcción", E269="480 - Secretaría General del Consejo", E269="132 - Civil y estructuras", E269="136 - Mecánica", E269="412 - Planificación", E269="142 - Compras"), 25, 0)) +(IF(OR(S269="GRADO ING. MECÁNICA", S269="GRADO ING. ELÉCTRICA", S269="GRADO DERECHO", S269="GRADO ECONOMÍA", S269="GRADO ING. TECNOLOGÍAS INDUSTRIALES"), 24, 0)) + (IF(AND(K269&gt;=451, K269&lt;=700), 23, 0)) + (IF(AND(AB269&gt;=5, AB269&lt;=8), 17, 0)) +(IF(_xludf.OR(_xludf.AND(AC269&gt;=8, AC269&lt;=10), _xludf.AND(AC269&gt;=0, AC269&lt;=5)), 16, 0)) + (IF(F269="Madrid", 11, 0))))</f>
        <v>#NAME?</v>
      </c>
      <c r="AG269" s="68"/>
      <c r="AH269" s="71" t="s">
        <v>164</v>
      </c>
    </row>
    <row r="270" spans="1:34" ht="14.4" x14ac:dyDescent="0.3">
      <c r="A270" s="66" t="s">
        <v>1249</v>
      </c>
      <c r="B270" s="66" t="s">
        <v>3366</v>
      </c>
      <c r="C270" s="33">
        <v>270</v>
      </c>
      <c r="D270" s="33" t="s">
        <v>5399</v>
      </c>
      <c r="E270" s="34" t="s">
        <v>5252</v>
      </c>
      <c r="F270" s="34" t="s">
        <v>18</v>
      </c>
      <c r="G270" s="57">
        <v>41288</v>
      </c>
      <c r="H270" s="57">
        <v>41749</v>
      </c>
      <c r="I270" s="34">
        <f t="shared" si="12"/>
        <v>15</v>
      </c>
      <c r="J270" s="34">
        <v>40</v>
      </c>
      <c r="K270" s="36">
        <v>900</v>
      </c>
      <c r="L270" s="34" t="s">
        <v>29</v>
      </c>
      <c r="M270" s="57">
        <v>34530</v>
      </c>
      <c r="N270" s="37">
        <f>(YEAR(TablaMadre[[#This Row],[ALTA]])-YEAR(M270))</f>
        <v>19</v>
      </c>
      <c r="O270" s="34" t="s">
        <v>654</v>
      </c>
      <c r="P270" s="34" t="s">
        <v>19</v>
      </c>
      <c r="Q270" s="34" t="s">
        <v>130</v>
      </c>
      <c r="R270" s="34" t="s">
        <v>21</v>
      </c>
      <c r="S270" s="34" t="s">
        <v>307</v>
      </c>
      <c r="T270" s="34"/>
      <c r="U270" s="34"/>
      <c r="V270" s="34" t="s">
        <v>51</v>
      </c>
      <c r="W270" s="34" t="s">
        <v>127</v>
      </c>
      <c r="X270" s="38" t="s">
        <v>164</v>
      </c>
      <c r="Y270" s="62">
        <v>44321</v>
      </c>
      <c r="Z270" s="38">
        <f t="shared" si="13"/>
        <v>7</v>
      </c>
      <c r="AA270" s="38"/>
      <c r="AB270" s="34"/>
      <c r="AC270" s="34"/>
      <c r="AD270" s="38"/>
      <c r="AE270" s="59" t="str">
        <f t="shared" si="14"/>
        <v>SÍ</v>
      </c>
      <c r="AF270" s="38" t="e" cm="1">
        <f t="array" aca="1" ref="AF270" ca="1">MIN(100, MAX(0, (IF(R270="ESTUDIANTE", 31, 0)) + (IF(I270&lt;=3, 30, IF(I270&lt;=6, 20, 0))) +(IF(OR(E270="413 - Control de Costes y Enlace Construcción", E270="480 - Secretaría General del Consejo", E270="132 - Civil y estructuras", E270="136 - Mecánica", E270="412 - Planificación", E270="142 - Compras"), 25, 0)) +(IF(OR(S270="GRADO ING. MECÁNICA", S270="GRADO ING. ELÉCTRICA", S270="GRADO DERECHO", S270="GRADO ECONOMÍA", S270="GRADO ING. TECNOLOGÍAS INDUSTRIALES"), 24, 0)) + (IF(AND(K270&gt;=451, K270&lt;=700), 23, 0)) + (IF(AND(AB270&gt;=5, AB270&lt;=8), 17, 0)) +(IF(_xludf.OR(_xludf.AND(AC270&gt;=8, AC270&lt;=10), _xludf.AND(AC270&gt;=0, AC270&lt;=5)), 16, 0)) + (IF(F270="Madrid", 11, 0))))</f>
        <v>#NAME?</v>
      </c>
      <c r="AG270" s="68"/>
      <c r="AH270" s="71" t="s">
        <v>164</v>
      </c>
    </row>
    <row r="271" spans="1:34" ht="14.4" x14ac:dyDescent="0.3">
      <c r="A271" s="66" t="s">
        <v>1250</v>
      </c>
      <c r="B271" s="66" t="s">
        <v>3367</v>
      </c>
      <c r="C271" s="33">
        <v>271</v>
      </c>
      <c r="D271" s="33" t="s">
        <v>5393</v>
      </c>
      <c r="E271" s="34" t="s">
        <v>5252</v>
      </c>
      <c r="F271" s="34" t="s">
        <v>18</v>
      </c>
      <c r="G271" s="57">
        <v>41288</v>
      </c>
      <c r="H271" s="57">
        <v>41749</v>
      </c>
      <c r="I271" s="34">
        <f t="shared" si="12"/>
        <v>15</v>
      </c>
      <c r="J271" s="34">
        <v>40</v>
      </c>
      <c r="K271" s="36">
        <v>900</v>
      </c>
      <c r="L271" s="34" t="s">
        <v>17</v>
      </c>
      <c r="M271" s="57">
        <v>35423</v>
      </c>
      <c r="N271" s="37">
        <f>(YEAR(TablaMadre[[#This Row],[ALTA]])-YEAR(M271))</f>
        <v>17</v>
      </c>
      <c r="O271" s="34" t="s">
        <v>211</v>
      </c>
      <c r="P271" s="34" t="s">
        <v>19</v>
      </c>
      <c r="Q271" s="34" t="s">
        <v>32</v>
      </c>
      <c r="R271" s="34" t="s">
        <v>21</v>
      </c>
      <c r="S271" s="34" t="s">
        <v>322</v>
      </c>
      <c r="T271" s="34"/>
      <c r="U271" s="34"/>
      <c r="V271" s="34" t="s">
        <v>50</v>
      </c>
      <c r="W271" s="34" t="s">
        <v>127</v>
      </c>
      <c r="X271" s="38" t="s">
        <v>164</v>
      </c>
      <c r="Y271" s="62">
        <v>43876</v>
      </c>
      <c r="Z271" s="38">
        <f t="shared" si="13"/>
        <v>5</v>
      </c>
      <c r="AA271" s="38"/>
      <c r="AB271" s="34"/>
      <c r="AC271" s="34"/>
      <c r="AD271" s="38"/>
      <c r="AE271" s="59" t="str">
        <f t="shared" si="14"/>
        <v>SÍ</v>
      </c>
      <c r="AF271" s="38" t="e" cm="1">
        <f t="array" aca="1" ref="AF271" ca="1">MIN(100, MAX(0, (IF(R271="ESTUDIANTE", 31, 0)) + (IF(I271&lt;=3, 30, IF(I271&lt;=6, 20, 0))) +(IF(OR(E271="413 - Control de Costes y Enlace Construcción", E271="480 - Secretaría General del Consejo", E271="132 - Civil y estructuras", E271="136 - Mecánica", E271="412 - Planificación", E271="142 - Compras"), 25, 0)) +(IF(OR(S271="GRADO ING. MECÁNICA", S271="GRADO ING. ELÉCTRICA", S271="GRADO DERECHO", S271="GRADO ECONOMÍA", S271="GRADO ING. TECNOLOGÍAS INDUSTRIALES"), 24, 0)) + (IF(AND(K271&gt;=451, K271&lt;=700), 23, 0)) + (IF(AND(AB271&gt;=5, AB271&lt;=8), 17, 0)) +(IF(_xludf.OR(_xludf.AND(AC271&gt;=8, AC271&lt;=10), _xludf.AND(AC271&gt;=0, AC271&lt;=5)), 16, 0)) + (IF(F271="Madrid", 11, 0))))</f>
        <v>#NAME?</v>
      </c>
      <c r="AG271" s="68"/>
      <c r="AH271" s="71" t="s">
        <v>164</v>
      </c>
    </row>
    <row r="272" spans="1:34" ht="14.4" x14ac:dyDescent="0.3">
      <c r="A272" s="66" t="s">
        <v>1251</v>
      </c>
      <c r="B272" s="66" t="s">
        <v>3368</v>
      </c>
      <c r="C272" s="33">
        <v>272</v>
      </c>
      <c r="D272" s="33" t="s">
        <v>5394</v>
      </c>
      <c r="E272" s="34" t="s">
        <v>5252</v>
      </c>
      <c r="F272" s="34" t="s">
        <v>18</v>
      </c>
      <c r="G272" s="57">
        <v>41288</v>
      </c>
      <c r="H272" s="57">
        <v>41749</v>
      </c>
      <c r="I272" s="34">
        <f t="shared" si="12"/>
        <v>15</v>
      </c>
      <c r="J272" s="34">
        <v>40</v>
      </c>
      <c r="K272" s="36">
        <v>900</v>
      </c>
      <c r="L272" s="34" t="s">
        <v>29</v>
      </c>
      <c r="M272" s="57">
        <v>35060</v>
      </c>
      <c r="N272" s="37">
        <f>(YEAR(TablaMadre[[#This Row],[ALTA]])-YEAR(M272))</f>
        <v>18</v>
      </c>
      <c r="O272" s="34" t="s">
        <v>18</v>
      </c>
      <c r="P272" s="34" t="s">
        <v>19</v>
      </c>
      <c r="Q272" s="34" t="s">
        <v>251</v>
      </c>
      <c r="R272" s="34" t="s">
        <v>21</v>
      </c>
      <c r="S272" s="34" t="s">
        <v>252</v>
      </c>
      <c r="T272" s="34"/>
      <c r="U272" s="34"/>
      <c r="V272" s="34" t="s">
        <v>22</v>
      </c>
      <c r="W272" s="34" t="s">
        <v>127</v>
      </c>
      <c r="X272" s="38" t="s">
        <v>164</v>
      </c>
      <c r="Y272" s="62">
        <v>42767</v>
      </c>
      <c r="Z272" s="38">
        <f t="shared" si="13"/>
        <v>2</v>
      </c>
      <c r="AA272" s="38"/>
      <c r="AB272" s="34"/>
      <c r="AC272" s="34"/>
      <c r="AD272" s="38"/>
      <c r="AE272" s="59" t="str">
        <f t="shared" si="14"/>
        <v>NO</v>
      </c>
      <c r="AF272" s="38" t="e" cm="1">
        <f t="array" aca="1" ref="AF272" ca="1">MIN(100, MAX(0, (IF(R272="ESTUDIANTE", 31, 0)) + (IF(I272&lt;=3, 30, IF(I272&lt;=6, 20, 0))) +(IF(OR(E272="413 - Control de Costes y Enlace Construcción", E272="480 - Secretaría General del Consejo", E272="132 - Civil y estructuras", E272="136 - Mecánica", E272="412 - Planificación", E272="142 - Compras"), 25, 0)) +(IF(OR(S272="GRADO ING. MECÁNICA", S272="GRADO ING. ELÉCTRICA", S272="GRADO DERECHO", S272="GRADO ECONOMÍA", S272="GRADO ING. TECNOLOGÍAS INDUSTRIALES"), 24, 0)) + (IF(AND(K272&gt;=451, K272&lt;=700), 23, 0)) + (IF(AND(AB272&gt;=5, AB272&lt;=8), 17, 0)) +(IF(_xludf.OR(_xludf.AND(AC272&gt;=8, AC272&lt;=10), _xludf.AND(AC272&gt;=0, AC272&lt;=5)), 16, 0)) + (IF(F272="Madrid", 11, 0))))</f>
        <v>#NAME?</v>
      </c>
      <c r="AG272" s="68"/>
      <c r="AH272" s="71" t="s">
        <v>164</v>
      </c>
    </row>
    <row r="273" spans="1:34" ht="14.4" x14ac:dyDescent="0.3">
      <c r="A273" s="66" t="s">
        <v>1252</v>
      </c>
      <c r="B273" s="66" t="s">
        <v>3369</v>
      </c>
      <c r="C273" s="33">
        <v>273</v>
      </c>
      <c r="D273" s="33" t="s">
        <v>5395</v>
      </c>
      <c r="E273" s="34" t="s">
        <v>5252</v>
      </c>
      <c r="F273" s="34" t="s">
        <v>18</v>
      </c>
      <c r="G273" s="57">
        <v>41288</v>
      </c>
      <c r="H273" s="57">
        <v>41749</v>
      </c>
      <c r="I273" s="34">
        <f t="shared" si="12"/>
        <v>15</v>
      </c>
      <c r="J273" s="34">
        <v>40</v>
      </c>
      <c r="K273" s="36">
        <v>900</v>
      </c>
      <c r="L273" s="34" t="s">
        <v>17</v>
      </c>
      <c r="M273" s="57">
        <v>34502</v>
      </c>
      <c r="N273" s="37">
        <f>(YEAR(TablaMadre[[#This Row],[ALTA]])-YEAR(M273))</f>
        <v>19</v>
      </c>
      <c r="O273" s="34" t="s">
        <v>18</v>
      </c>
      <c r="P273" s="34" t="s">
        <v>19</v>
      </c>
      <c r="Q273" s="34" t="s">
        <v>248</v>
      </c>
      <c r="R273" s="34" t="s">
        <v>21</v>
      </c>
      <c r="S273" s="34" t="s">
        <v>384</v>
      </c>
      <c r="T273" s="34"/>
      <c r="U273" s="34"/>
      <c r="V273" s="34" t="s">
        <v>56</v>
      </c>
      <c r="W273" s="34" t="s">
        <v>127</v>
      </c>
      <c r="X273" s="38" t="s">
        <v>164</v>
      </c>
      <c r="Y273" s="62">
        <v>43782</v>
      </c>
      <c r="Z273" s="38">
        <f t="shared" si="13"/>
        <v>5</v>
      </c>
      <c r="AA273" s="38"/>
      <c r="AB273" s="34"/>
      <c r="AC273" s="34"/>
      <c r="AD273" s="38"/>
      <c r="AE273" s="59" t="str">
        <f t="shared" si="14"/>
        <v>NO</v>
      </c>
      <c r="AF273" s="38" t="e" cm="1">
        <f t="array" aca="1" ref="AF273" ca="1">MIN(100, MAX(0, (IF(R273="ESTUDIANTE", 31, 0)) + (IF(I273&lt;=3, 30, IF(I273&lt;=6, 20, 0))) +(IF(OR(E273="413 - Control de Costes y Enlace Construcción", E273="480 - Secretaría General del Consejo", E273="132 - Civil y estructuras", E273="136 - Mecánica", E273="412 - Planificación", E273="142 - Compras"), 25, 0)) +(IF(OR(S273="GRADO ING. MECÁNICA", S273="GRADO ING. ELÉCTRICA", S273="GRADO DERECHO", S273="GRADO ECONOMÍA", S273="GRADO ING. TECNOLOGÍAS INDUSTRIALES"), 24, 0)) + (IF(AND(K273&gt;=451, K273&lt;=700), 23, 0)) + (IF(AND(AB273&gt;=5, AB273&lt;=8), 17, 0)) +(IF(_xludf.OR(_xludf.AND(AC273&gt;=8, AC273&lt;=10), _xludf.AND(AC273&gt;=0, AC273&lt;=5)), 16, 0)) + (IF(F273="Madrid", 11, 0))))</f>
        <v>#NAME?</v>
      </c>
      <c r="AG273" s="68"/>
      <c r="AH273" s="71" t="s">
        <v>164</v>
      </c>
    </row>
    <row r="274" spans="1:34" ht="14.4" x14ac:dyDescent="0.3">
      <c r="A274" s="66" t="s">
        <v>1253</v>
      </c>
      <c r="B274" s="66" t="s">
        <v>3370</v>
      </c>
      <c r="C274" s="33">
        <v>274</v>
      </c>
      <c r="D274" s="33" t="s">
        <v>5396</v>
      </c>
      <c r="E274" s="34" t="s">
        <v>5252</v>
      </c>
      <c r="F274" s="34" t="s">
        <v>18</v>
      </c>
      <c r="G274" s="57">
        <v>41288</v>
      </c>
      <c r="H274" s="57">
        <v>41749</v>
      </c>
      <c r="I274" s="34">
        <f t="shared" si="12"/>
        <v>15</v>
      </c>
      <c r="J274" s="34">
        <v>40</v>
      </c>
      <c r="K274" s="36">
        <v>900</v>
      </c>
      <c r="L274" s="34" t="s">
        <v>29</v>
      </c>
      <c r="M274" s="57">
        <v>35116</v>
      </c>
      <c r="N274" s="37">
        <f>(YEAR(TablaMadre[[#This Row],[ALTA]])-YEAR(M274))</f>
        <v>17</v>
      </c>
      <c r="O274" s="34" t="s">
        <v>18</v>
      </c>
      <c r="P274" s="34" t="s">
        <v>19</v>
      </c>
      <c r="Q274" s="34" t="s">
        <v>248</v>
      </c>
      <c r="R274" s="34" t="s">
        <v>21</v>
      </c>
      <c r="S274" s="34" t="s">
        <v>384</v>
      </c>
      <c r="T274" s="34"/>
      <c r="U274" s="34"/>
      <c r="V274" s="34" t="s">
        <v>56</v>
      </c>
      <c r="W274" s="34" t="s">
        <v>127</v>
      </c>
      <c r="X274" s="38" t="s">
        <v>173</v>
      </c>
      <c r="Y274" s="62"/>
      <c r="Z274" s="38" t="e">
        <f t="shared" si="13"/>
        <v>#NUM!</v>
      </c>
      <c r="AA274" s="38"/>
      <c r="AB274" s="34"/>
      <c r="AC274" s="34"/>
      <c r="AD274" s="38"/>
      <c r="AE274" s="59" t="str">
        <f t="shared" si="14"/>
        <v>NO</v>
      </c>
      <c r="AF274" s="38" t="e" cm="1">
        <f t="array" aca="1" ref="AF274" ca="1">MIN(100, MAX(0, (IF(R274="ESTUDIANTE", 31, 0)) + (IF(I274&lt;=3, 30, IF(I274&lt;=6, 20, 0))) +(IF(OR(E274="413 - Control de Costes y Enlace Construcción", E274="480 - Secretaría General del Consejo", E274="132 - Civil y estructuras", E274="136 - Mecánica", E274="412 - Planificación", E274="142 - Compras"), 25, 0)) +(IF(OR(S274="GRADO ING. MECÁNICA", S274="GRADO ING. ELÉCTRICA", S274="GRADO DERECHO", S274="GRADO ECONOMÍA", S274="GRADO ING. TECNOLOGÍAS INDUSTRIALES"), 24, 0)) + (IF(AND(K274&gt;=451, K274&lt;=700), 23, 0)) + (IF(AND(AB274&gt;=5, AB274&lt;=8), 17, 0)) +(IF(_xludf.OR(_xludf.AND(AC274&gt;=8, AC274&lt;=10), _xludf.AND(AC274&gt;=0, AC274&lt;=5)), 16, 0)) + (IF(F274="Madrid", 11, 0))))</f>
        <v>#NAME?</v>
      </c>
      <c r="AG274" s="68"/>
      <c r="AH274" s="71" t="s">
        <v>164</v>
      </c>
    </row>
    <row r="275" spans="1:34" ht="14.4" x14ac:dyDescent="0.3">
      <c r="A275" s="66" t="s">
        <v>1254</v>
      </c>
      <c r="B275" s="66" t="s">
        <v>3371</v>
      </c>
      <c r="C275" s="33">
        <v>275</v>
      </c>
      <c r="D275" s="33" t="s">
        <v>5397</v>
      </c>
      <c r="E275" s="34" t="s">
        <v>5226</v>
      </c>
      <c r="F275" s="34" t="s">
        <v>118</v>
      </c>
      <c r="G275" s="57">
        <v>41289</v>
      </c>
      <c r="H275" s="57">
        <v>41653</v>
      </c>
      <c r="I275" s="34">
        <f t="shared" si="12"/>
        <v>11</v>
      </c>
      <c r="J275" s="34">
        <v>40</v>
      </c>
      <c r="K275" s="36">
        <v>900</v>
      </c>
      <c r="L275" s="34" t="s">
        <v>17</v>
      </c>
      <c r="M275" s="57">
        <v>34484</v>
      </c>
      <c r="N275" s="37">
        <f>(YEAR(TablaMadre[[#This Row],[ALTA]])-YEAR(M275))</f>
        <v>19</v>
      </c>
      <c r="O275" s="34" t="s">
        <v>118</v>
      </c>
      <c r="P275" s="34" t="s">
        <v>19</v>
      </c>
      <c r="Q275" s="34" t="s">
        <v>172</v>
      </c>
      <c r="R275" s="34" t="s">
        <v>21</v>
      </c>
      <c r="S275" s="34" t="s">
        <v>326</v>
      </c>
      <c r="T275" s="34"/>
      <c r="U275" s="34"/>
      <c r="V275" s="34" t="s">
        <v>37</v>
      </c>
      <c r="W275" s="34" t="s">
        <v>28</v>
      </c>
      <c r="X275" s="38" t="s">
        <v>173</v>
      </c>
      <c r="Y275" s="62"/>
      <c r="Z275" s="38" t="e">
        <f t="shared" si="13"/>
        <v>#NUM!</v>
      </c>
      <c r="AA275" s="38"/>
      <c r="AB275" s="34"/>
      <c r="AC275" s="34"/>
      <c r="AD275" s="38"/>
      <c r="AE275" s="59" t="str">
        <f t="shared" si="14"/>
        <v>NO</v>
      </c>
      <c r="AF275" s="38" t="e" cm="1">
        <f t="array" aca="1" ref="AF275" ca="1">MIN(100, MAX(0, (IF(R275="ESTUDIANTE", 31, 0)) + (IF(I275&lt;=3, 30, IF(I275&lt;=6, 20, 0))) +(IF(OR(E275="413 - Control de Costes y Enlace Construcción", E275="480 - Secretaría General del Consejo", E275="132 - Civil y estructuras", E275="136 - Mecánica", E275="412 - Planificación", E275="142 - Compras"), 25, 0)) +(IF(OR(S275="GRADO ING. MECÁNICA", S275="GRADO ING. ELÉCTRICA", S275="GRADO DERECHO", S275="GRADO ECONOMÍA", S275="GRADO ING. TECNOLOGÍAS INDUSTRIALES"), 24, 0)) + (IF(AND(K275&gt;=451, K275&lt;=700), 23, 0)) + (IF(AND(AB275&gt;=5, AB275&lt;=8), 17, 0)) +(IF(_xludf.OR(_xludf.AND(AC275&gt;=8, AC275&lt;=10), _xludf.AND(AC275&gt;=0, AC275&lt;=5)), 16, 0)) + (IF(F275="Madrid", 11, 0))))</f>
        <v>#NAME?</v>
      </c>
      <c r="AG275" s="68"/>
      <c r="AH275" s="71" t="s">
        <v>164</v>
      </c>
    </row>
    <row r="276" spans="1:34" ht="14.4" x14ac:dyDescent="0.3">
      <c r="A276" s="66" t="s">
        <v>1255</v>
      </c>
      <c r="B276" s="66" t="s">
        <v>3372</v>
      </c>
      <c r="C276" s="33">
        <v>276</v>
      </c>
      <c r="D276" s="33" t="s">
        <v>5393</v>
      </c>
      <c r="E276" s="34" t="s">
        <v>5257</v>
      </c>
      <c r="F276" s="34" t="s">
        <v>118</v>
      </c>
      <c r="G276" s="57">
        <v>41290</v>
      </c>
      <c r="H276" s="57">
        <v>41654</v>
      </c>
      <c r="I276" s="34">
        <f t="shared" si="12"/>
        <v>11</v>
      </c>
      <c r="J276" s="34">
        <v>40</v>
      </c>
      <c r="K276" s="36">
        <v>900</v>
      </c>
      <c r="L276" s="34" t="s">
        <v>17</v>
      </c>
      <c r="M276" s="57">
        <v>35535</v>
      </c>
      <c r="N276" s="37">
        <f>(YEAR(TablaMadre[[#This Row],[ALTA]])-YEAR(M276))</f>
        <v>16</v>
      </c>
      <c r="O276" s="34" t="s">
        <v>118</v>
      </c>
      <c r="P276" s="34" t="s">
        <v>19</v>
      </c>
      <c r="Q276" s="34" t="s">
        <v>32</v>
      </c>
      <c r="R276" s="34" t="s">
        <v>21</v>
      </c>
      <c r="S276" s="34" t="s">
        <v>322</v>
      </c>
      <c r="T276" s="34"/>
      <c r="U276" s="34"/>
      <c r="V276" s="34" t="s">
        <v>37</v>
      </c>
      <c r="W276" s="34" t="s">
        <v>28</v>
      </c>
      <c r="X276" s="38" t="s">
        <v>164</v>
      </c>
      <c r="Y276" s="62">
        <v>45075</v>
      </c>
      <c r="Z276" s="38">
        <f t="shared" si="13"/>
        <v>9</v>
      </c>
      <c r="AA276" s="38"/>
      <c r="AB276" s="34"/>
      <c r="AC276" s="34"/>
      <c r="AD276" s="38"/>
      <c r="AE276" s="59" t="str">
        <f t="shared" si="14"/>
        <v>NO</v>
      </c>
      <c r="AF276" s="38" t="e" cm="1">
        <f t="array" aca="1" ref="AF276" ca="1">MIN(100, MAX(0, (IF(R276="ESTUDIANTE", 31, 0)) + (IF(I276&lt;=3, 30, IF(I276&lt;=6, 20, 0))) +(IF(OR(E276="413 - Control de Costes y Enlace Construcción", E276="480 - Secretaría General del Consejo", E276="132 - Civil y estructuras", E276="136 - Mecánica", E276="412 - Planificación", E276="142 - Compras"), 25, 0)) +(IF(OR(S276="GRADO ING. MECÁNICA", S276="GRADO ING. ELÉCTRICA", S276="GRADO DERECHO", S276="GRADO ECONOMÍA", S276="GRADO ING. TECNOLOGÍAS INDUSTRIALES"), 24, 0)) + (IF(AND(K276&gt;=451, K276&lt;=700), 23, 0)) + (IF(AND(AB276&gt;=5, AB276&lt;=8), 17, 0)) +(IF(_xludf.OR(_xludf.AND(AC276&gt;=8, AC276&lt;=10), _xludf.AND(AC276&gt;=0, AC276&lt;=5)), 16, 0)) + (IF(F276="Madrid", 11, 0))))</f>
        <v>#NAME?</v>
      </c>
      <c r="AG276" s="68"/>
      <c r="AH276" s="71" t="s">
        <v>164</v>
      </c>
    </row>
    <row r="277" spans="1:34" ht="14.4" x14ac:dyDescent="0.3">
      <c r="A277" s="66" t="s">
        <v>1256</v>
      </c>
      <c r="B277" s="66" t="s">
        <v>3373</v>
      </c>
      <c r="C277" s="33">
        <v>277</v>
      </c>
      <c r="D277" s="33" t="s">
        <v>5394</v>
      </c>
      <c r="E277" s="34" t="s">
        <v>5259</v>
      </c>
      <c r="F277" s="34" t="s">
        <v>18</v>
      </c>
      <c r="G277" s="57">
        <v>41291</v>
      </c>
      <c r="H277" s="57">
        <v>41654</v>
      </c>
      <c r="I277" s="34">
        <f t="shared" si="12"/>
        <v>11</v>
      </c>
      <c r="J277" s="34">
        <v>40</v>
      </c>
      <c r="K277" s="36">
        <v>900</v>
      </c>
      <c r="L277" s="34" t="s">
        <v>17</v>
      </c>
      <c r="M277" s="57">
        <v>34574</v>
      </c>
      <c r="N277" s="37">
        <f>(YEAR(TablaMadre[[#This Row],[ALTA]])-YEAR(M277))</f>
        <v>19</v>
      </c>
      <c r="O277" s="34" t="s">
        <v>92</v>
      </c>
      <c r="P277" s="34" t="s">
        <v>19</v>
      </c>
      <c r="Q277" s="34" t="s">
        <v>32</v>
      </c>
      <c r="R277" s="34" t="s">
        <v>21</v>
      </c>
      <c r="S277" s="34" t="s">
        <v>322</v>
      </c>
      <c r="T277" s="34"/>
      <c r="U277" s="34"/>
      <c r="V277" s="34" t="s">
        <v>137</v>
      </c>
      <c r="W277" s="34" t="s">
        <v>28</v>
      </c>
      <c r="X277" s="38" t="s">
        <v>164</v>
      </c>
      <c r="Y277" s="62">
        <v>44928</v>
      </c>
      <c r="Z277" s="38">
        <f t="shared" si="13"/>
        <v>8</v>
      </c>
      <c r="AA277" s="38"/>
      <c r="AB277" s="34"/>
      <c r="AC277" s="34"/>
      <c r="AD277" s="38"/>
      <c r="AE277" s="59" t="str">
        <f t="shared" si="14"/>
        <v>SÍ</v>
      </c>
      <c r="AF277" s="38" t="e" cm="1">
        <f t="array" aca="1" ref="AF277" ca="1">MIN(100, MAX(0, (IF(R277="ESTUDIANTE", 31, 0)) + (IF(I277&lt;=3, 30, IF(I277&lt;=6, 20, 0))) +(IF(OR(E277="413 - Control de Costes y Enlace Construcción", E277="480 - Secretaría General del Consejo", E277="132 - Civil y estructuras", E277="136 - Mecánica", E277="412 - Planificación", E277="142 - Compras"), 25, 0)) +(IF(OR(S277="GRADO ING. MECÁNICA", S277="GRADO ING. ELÉCTRICA", S277="GRADO DERECHO", S277="GRADO ECONOMÍA", S277="GRADO ING. TECNOLOGÍAS INDUSTRIALES"), 24, 0)) + (IF(AND(K277&gt;=451, K277&lt;=700), 23, 0)) + (IF(AND(AB277&gt;=5, AB277&lt;=8), 17, 0)) +(IF(_xludf.OR(_xludf.AND(AC277&gt;=8, AC277&lt;=10), _xludf.AND(AC277&gt;=0, AC277&lt;=5)), 16, 0)) + (IF(F277="Madrid", 11, 0))))</f>
        <v>#NAME?</v>
      </c>
      <c r="AG277" s="68"/>
      <c r="AH277" s="71" t="s">
        <v>164</v>
      </c>
    </row>
    <row r="278" spans="1:34" ht="14.4" x14ac:dyDescent="0.3">
      <c r="A278" s="66" t="s">
        <v>1257</v>
      </c>
      <c r="B278" s="66" t="s">
        <v>3374</v>
      </c>
      <c r="C278" s="33">
        <v>278</v>
      </c>
      <c r="D278" s="33" t="s">
        <v>5395</v>
      </c>
      <c r="E278" s="34" t="s">
        <v>5254</v>
      </c>
      <c r="F278" s="34" t="s">
        <v>18</v>
      </c>
      <c r="G278" s="57">
        <v>41291</v>
      </c>
      <c r="H278" s="57">
        <v>41655</v>
      </c>
      <c r="I278" s="34">
        <f t="shared" si="12"/>
        <v>11</v>
      </c>
      <c r="J278" s="34">
        <v>40</v>
      </c>
      <c r="K278" s="36">
        <v>900</v>
      </c>
      <c r="L278" s="34" t="s">
        <v>29</v>
      </c>
      <c r="M278" s="57">
        <v>34439</v>
      </c>
      <c r="N278" s="37">
        <f>(YEAR(TablaMadre[[#This Row],[ALTA]])-YEAR(M278))</f>
        <v>19</v>
      </c>
      <c r="O278" s="34" t="s">
        <v>939</v>
      </c>
      <c r="P278" s="34" t="s">
        <v>19</v>
      </c>
      <c r="Q278" s="34" t="s">
        <v>85</v>
      </c>
      <c r="R278" s="34" t="s">
        <v>21</v>
      </c>
      <c r="S278" s="34" t="s">
        <v>322</v>
      </c>
      <c r="T278" s="34"/>
      <c r="U278" s="34"/>
      <c r="V278" s="34" t="s">
        <v>239</v>
      </c>
      <c r="W278" s="34" t="s">
        <v>28</v>
      </c>
      <c r="X278" s="38" t="s">
        <v>173</v>
      </c>
      <c r="Y278" s="62"/>
      <c r="Z278" s="38" t="e">
        <f t="shared" si="13"/>
        <v>#NUM!</v>
      </c>
      <c r="AA278" s="38"/>
      <c r="AB278" s="34"/>
      <c r="AC278" s="34"/>
      <c r="AD278" s="38"/>
      <c r="AE278" s="59" t="str">
        <f t="shared" si="14"/>
        <v>SÍ</v>
      </c>
      <c r="AF278" s="38" t="e" cm="1">
        <f t="array" aca="1" ref="AF278" ca="1">MIN(100, MAX(0, (IF(R278="ESTUDIANTE", 31, 0)) + (IF(I278&lt;=3, 30, IF(I278&lt;=6, 20, 0))) +(IF(OR(E278="413 - Control de Costes y Enlace Construcción", E278="480 - Secretaría General del Consejo", E278="132 - Civil y estructuras", E278="136 - Mecánica", E278="412 - Planificación", E278="142 - Compras"), 25, 0)) +(IF(OR(S278="GRADO ING. MECÁNICA", S278="GRADO ING. ELÉCTRICA", S278="GRADO DERECHO", S278="GRADO ECONOMÍA", S278="GRADO ING. TECNOLOGÍAS INDUSTRIALES"), 24, 0)) + (IF(AND(K278&gt;=451, K278&lt;=700), 23, 0)) + (IF(AND(AB278&gt;=5, AB278&lt;=8), 17, 0)) +(IF(_xludf.OR(_xludf.AND(AC278&gt;=8, AC278&lt;=10), _xludf.AND(AC278&gt;=0, AC278&lt;=5)), 16, 0)) + (IF(F278="Madrid", 11, 0))))</f>
        <v>#NAME?</v>
      </c>
      <c r="AG278" s="68"/>
      <c r="AH278" s="71" t="s">
        <v>164</v>
      </c>
    </row>
    <row r="279" spans="1:34" ht="14.4" x14ac:dyDescent="0.3">
      <c r="A279" s="66" t="s">
        <v>1240</v>
      </c>
      <c r="B279" s="66" t="s">
        <v>3357</v>
      </c>
      <c r="C279" s="33">
        <v>280</v>
      </c>
      <c r="D279" s="33" t="s">
        <v>5396</v>
      </c>
      <c r="E279" s="34" t="s">
        <v>5216</v>
      </c>
      <c r="F279" s="34" t="s">
        <v>18</v>
      </c>
      <c r="G279" s="57">
        <v>41295</v>
      </c>
      <c r="H279" s="57">
        <v>41659</v>
      </c>
      <c r="I279" s="34">
        <f t="shared" si="12"/>
        <v>11</v>
      </c>
      <c r="J279" s="34">
        <v>40</v>
      </c>
      <c r="K279" s="36">
        <v>825</v>
      </c>
      <c r="L279" s="34" t="s">
        <v>29</v>
      </c>
      <c r="M279" s="57">
        <v>35244</v>
      </c>
      <c r="N279" s="37">
        <f>(YEAR(TablaMadre[[#This Row],[ALTA]])-YEAR(M279))</f>
        <v>17</v>
      </c>
      <c r="O279" s="34" t="s">
        <v>18</v>
      </c>
      <c r="P279" s="34" t="s">
        <v>19</v>
      </c>
      <c r="Q279" s="34" t="s">
        <v>240</v>
      </c>
      <c r="R279" s="34" t="s">
        <v>21</v>
      </c>
      <c r="S279" s="34" t="s">
        <v>297</v>
      </c>
      <c r="T279" s="34"/>
      <c r="U279" s="34"/>
      <c r="V279" s="34" t="s">
        <v>40</v>
      </c>
      <c r="W279" s="34" t="s">
        <v>23</v>
      </c>
      <c r="X279" s="38" t="s">
        <v>173</v>
      </c>
      <c r="Y279" s="62"/>
      <c r="Z279" s="62" t="e">
        <f t="shared" si="13"/>
        <v>#NUM!</v>
      </c>
      <c r="AA279" s="62"/>
      <c r="AB279" s="34"/>
      <c r="AC279" s="34"/>
      <c r="AD279" s="38"/>
      <c r="AE279" s="59" t="str">
        <f t="shared" si="14"/>
        <v>NO</v>
      </c>
      <c r="AF279" s="38" t="e" cm="1">
        <f t="array" aca="1" ref="AF279" ca="1">MIN(100, MAX(0, (IF(R279="ESTUDIANTE", 31, 0)) + (IF(I279&lt;=3, 30, IF(I279&lt;=6, 20, 0))) +(IF(OR(E279="413 - Control de Costes y Enlace Construcción", E279="480 - Secretaría General del Consejo", E279="132 - Civil y estructuras", E279="136 - Mecánica", E279="412 - Planificación", E279="142 - Compras"), 25, 0)) +(IF(OR(S279="GRADO ING. MECÁNICA", S279="GRADO ING. ELÉCTRICA", S279="GRADO DERECHO", S279="GRADO ECONOMÍA", S279="GRADO ING. TECNOLOGÍAS INDUSTRIALES"), 24, 0)) + (IF(AND(K279&gt;=451, K279&lt;=700), 23, 0)) + (IF(AND(AB279&gt;=5, AB279&lt;=8), 17, 0)) +(IF(_xludf.OR(_xludf.AND(AC279&gt;=8, AC279&lt;=10), _xludf.AND(AC279&gt;=0, AC279&lt;=5)), 16, 0)) + (IF(F279="Madrid", 11, 0))))</f>
        <v>#NAME?</v>
      </c>
      <c r="AG279" s="68"/>
      <c r="AH279" s="71" t="s">
        <v>164</v>
      </c>
    </row>
    <row r="280" spans="1:34" ht="14.4" x14ac:dyDescent="0.3">
      <c r="A280" s="66" t="s">
        <v>1258</v>
      </c>
      <c r="B280" s="66" t="s">
        <v>3375</v>
      </c>
      <c r="C280" s="33">
        <v>279</v>
      </c>
      <c r="D280" s="33" t="s">
        <v>5397</v>
      </c>
      <c r="E280" s="34" t="s">
        <v>5216</v>
      </c>
      <c r="F280" s="34" t="s">
        <v>18</v>
      </c>
      <c r="G280" s="57">
        <v>41295</v>
      </c>
      <c r="H280" s="57">
        <v>41475</v>
      </c>
      <c r="I280" s="34">
        <f t="shared" si="12"/>
        <v>5</v>
      </c>
      <c r="J280" s="34">
        <v>40</v>
      </c>
      <c r="K280" s="36">
        <v>900</v>
      </c>
      <c r="L280" s="34" t="s">
        <v>29</v>
      </c>
      <c r="M280" s="57">
        <v>34174</v>
      </c>
      <c r="N280" s="37">
        <f>(YEAR(TablaMadre[[#This Row],[ALTA]])-YEAR(M280))</f>
        <v>20</v>
      </c>
      <c r="O280" s="34" t="s">
        <v>18</v>
      </c>
      <c r="P280" s="34" t="s">
        <v>19</v>
      </c>
      <c r="Q280" s="34" t="s">
        <v>49</v>
      </c>
      <c r="R280" s="34" t="s">
        <v>21</v>
      </c>
      <c r="S280" s="34" t="s">
        <v>297</v>
      </c>
      <c r="T280" s="34"/>
      <c r="U280" s="34"/>
      <c r="V280" s="34" t="s">
        <v>40</v>
      </c>
      <c r="W280" s="34" t="s">
        <v>28</v>
      </c>
      <c r="X280" s="38" t="s">
        <v>164</v>
      </c>
      <c r="Y280" s="62">
        <v>42831</v>
      </c>
      <c r="Z280" s="38">
        <f t="shared" si="13"/>
        <v>3</v>
      </c>
      <c r="AA280" s="38"/>
      <c r="AB280" s="34"/>
      <c r="AC280" s="34"/>
      <c r="AD280" s="38"/>
      <c r="AE280" s="59" t="str">
        <f t="shared" si="14"/>
        <v>NO</v>
      </c>
      <c r="AF280" s="38" t="e" cm="1">
        <f t="array" aca="1" ref="AF280" ca="1">MIN(100, MAX(0, (IF(R280="ESTUDIANTE", 31, 0)) + (IF(I280&lt;=3, 30, IF(I280&lt;=6, 20, 0))) +(IF(OR(E280="413 - Control de Costes y Enlace Construcción", E280="480 - Secretaría General del Consejo", E280="132 - Civil y estructuras", E280="136 - Mecánica", E280="412 - Planificación", E280="142 - Compras"), 25, 0)) +(IF(OR(S280="GRADO ING. MECÁNICA", S280="GRADO ING. ELÉCTRICA", S280="GRADO DERECHO", S280="GRADO ECONOMÍA", S280="GRADO ING. TECNOLOGÍAS INDUSTRIALES"), 24, 0)) + (IF(AND(K280&gt;=451, K280&lt;=700), 23, 0)) + (IF(AND(AB280&gt;=5, AB280&lt;=8), 17, 0)) +(IF(_xludf.OR(_xludf.AND(AC280&gt;=8, AC280&lt;=10), _xludf.AND(AC280&gt;=0, AC280&lt;=5)), 16, 0)) + (IF(F280="Madrid", 11, 0))))</f>
        <v>#NAME?</v>
      </c>
      <c r="AG280" s="68"/>
      <c r="AH280" s="71" t="s">
        <v>164</v>
      </c>
    </row>
    <row r="281" spans="1:34" ht="14.4" x14ac:dyDescent="0.3">
      <c r="A281" s="66" t="s">
        <v>1260</v>
      </c>
      <c r="B281" s="66" t="s">
        <v>3377</v>
      </c>
      <c r="C281" s="33">
        <v>281</v>
      </c>
      <c r="D281" s="33" t="s">
        <v>5398</v>
      </c>
      <c r="E281" s="34" t="s">
        <v>5246</v>
      </c>
      <c r="F281" s="34" t="s">
        <v>931</v>
      </c>
      <c r="G281" s="57">
        <v>41295</v>
      </c>
      <c r="H281" s="57">
        <v>41729</v>
      </c>
      <c r="I281" s="34">
        <f t="shared" si="12"/>
        <v>14</v>
      </c>
      <c r="J281" s="34">
        <v>40</v>
      </c>
      <c r="K281" s="36">
        <v>1600</v>
      </c>
      <c r="L281" s="34" t="s">
        <v>17</v>
      </c>
      <c r="M281" s="57">
        <v>35570</v>
      </c>
      <c r="N281" s="37">
        <f>(YEAR(TablaMadre[[#This Row],[ALTA]])-YEAR(M281))</f>
        <v>16</v>
      </c>
      <c r="O281" s="34" t="s">
        <v>95</v>
      </c>
      <c r="P281" s="34" t="s">
        <v>95</v>
      </c>
      <c r="Q281" s="34" t="s">
        <v>237</v>
      </c>
      <c r="R281" s="34" t="s">
        <v>21</v>
      </c>
      <c r="S281" s="34" t="s">
        <v>322</v>
      </c>
      <c r="T281" s="34"/>
      <c r="U281" s="34"/>
      <c r="V281" s="34" t="s">
        <v>67</v>
      </c>
      <c r="W281" s="34" t="s">
        <v>28</v>
      </c>
      <c r="X281" s="38" t="s">
        <v>164</v>
      </c>
      <c r="Y281" s="62">
        <v>42705</v>
      </c>
      <c r="Z281" s="38">
        <f t="shared" si="13"/>
        <v>2</v>
      </c>
      <c r="AA281" s="38"/>
      <c r="AB281" s="34"/>
      <c r="AC281" s="34"/>
      <c r="AD281" s="38"/>
      <c r="AE281" s="59" t="str">
        <f t="shared" si="14"/>
        <v>SÍ</v>
      </c>
      <c r="AF281" s="38" t="e" cm="1">
        <f t="array" aca="1" ref="AF281" ca="1">MIN(100, MAX(0, (IF(R281="ESTUDIANTE", 31, 0)) + (IF(I281&lt;=3, 30, IF(I281&lt;=6, 20, 0))) +(IF(OR(E281="413 - Control de Costes y Enlace Construcción", E281="480 - Secretaría General del Consejo", E281="132 - Civil y estructuras", E281="136 - Mecánica", E281="412 - Planificación", E281="142 - Compras"), 25, 0)) +(IF(OR(S281="GRADO ING. MECÁNICA", S281="GRADO ING. ELÉCTRICA", S281="GRADO DERECHO", S281="GRADO ECONOMÍA", S281="GRADO ING. TECNOLOGÍAS INDUSTRIALES"), 24, 0)) + (IF(AND(K281&gt;=451, K281&lt;=700), 23, 0)) + (IF(AND(AB281&gt;=5, AB281&lt;=8), 17, 0)) +(IF(_xludf.OR(_xludf.AND(AC281&gt;=8, AC281&lt;=10), _xludf.AND(AC281&gt;=0, AC281&lt;=5)), 16, 0)) + (IF(F281="Madrid", 11, 0))))</f>
        <v>#NAME?</v>
      </c>
      <c r="AG281" s="68"/>
      <c r="AH281" s="71" t="s">
        <v>164</v>
      </c>
    </row>
    <row r="282" spans="1:34" ht="14.4" x14ac:dyDescent="0.3">
      <c r="A282" s="66" t="s">
        <v>1261</v>
      </c>
      <c r="B282" s="66" t="s">
        <v>3378</v>
      </c>
      <c r="C282" s="33">
        <v>282</v>
      </c>
      <c r="D282" s="33" t="s">
        <v>5399</v>
      </c>
      <c r="E282" s="34" t="s">
        <v>5222</v>
      </c>
      <c r="F282" s="34" t="s">
        <v>18</v>
      </c>
      <c r="G282" s="57">
        <v>41295</v>
      </c>
      <c r="H282" s="57">
        <v>41851</v>
      </c>
      <c r="I282" s="34">
        <f t="shared" si="12"/>
        <v>18</v>
      </c>
      <c r="J282" s="34">
        <v>40</v>
      </c>
      <c r="K282" s="36">
        <v>825</v>
      </c>
      <c r="L282" s="34" t="s">
        <v>17</v>
      </c>
      <c r="M282" s="57">
        <v>35394</v>
      </c>
      <c r="N282" s="37">
        <f>(YEAR(TablaMadre[[#This Row],[ALTA]])-YEAR(M282))</f>
        <v>17</v>
      </c>
      <c r="O282" s="34" t="s">
        <v>18</v>
      </c>
      <c r="P282" s="34" t="s">
        <v>19</v>
      </c>
      <c r="Q282" s="34" t="s">
        <v>276</v>
      </c>
      <c r="R282" s="34" t="s">
        <v>21</v>
      </c>
      <c r="S282" s="34" t="s">
        <v>322</v>
      </c>
      <c r="T282" s="34"/>
      <c r="U282" s="34"/>
      <c r="V282" s="34" t="s">
        <v>67</v>
      </c>
      <c r="W282" s="34" t="s">
        <v>28</v>
      </c>
      <c r="X282" s="38" t="s">
        <v>164</v>
      </c>
      <c r="Y282" s="62">
        <v>43497</v>
      </c>
      <c r="Z282" s="38">
        <f t="shared" si="13"/>
        <v>4</v>
      </c>
      <c r="AA282" s="38"/>
      <c r="AB282" s="34"/>
      <c r="AC282" s="34"/>
      <c r="AD282" s="38"/>
      <c r="AE282" s="59" t="str">
        <f t="shared" si="14"/>
        <v>NO</v>
      </c>
      <c r="AF282" s="38" t="e" cm="1">
        <f t="array" aca="1" ref="AF282" ca="1">MIN(100, MAX(0, (IF(R282="ESTUDIANTE", 31, 0)) + (IF(I282&lt;=3, 30, IF(I282&lt;=6, 20, 0))) +(IF(OR(E282="413 - Control de Costes y Enlace Construcción", E282="480 - Secretaría General del Consejo", E282="132 - Civil y estructuras", E282="136 - Mecánica", E282="412 - Planificación", E282="142 - Compras"), 25, 0)) +(IF(OR(S282="GRADO ING. MECÁNICA", S282="GRADO ING. ELÉCTRICA", S282="GRADO DERECHO", S282="GRADO ECONOMÍA", S282="GRADO ING. TECNOLOGÍAS INDUSTRIALES"), 24, 0)) + (IF(AND(K282&gt;=451, K282&lt;=700), 23, 0)) + (IF(AND(AB282&gt;=5, AB282&lt;=8), 17, 0)) +(IF(_xludf.OR(_xludf.AND(AC282&gt;=8, AC282&lt;=10), _xludf.AND(AC282&gt;=0, AC282&lt;=5)), 16, 0)) + (IF(F282="Madrid", 11, 0))))</f>
        <v>#NAME?</v>
      </c>
      <c r="AG282" s="68"/>
      <c r="AH282" s="71" t="s">
        <v>164</v>
      </c>
    </row>
    <row r="283" spans="1:34" ht="14.4" x14ac:dyDescent="0.3">
      <c r="A283" s="66" t="s">
        <v>1262</v>
      </c>
      <c r="B283" s="66" t="s">
        <v>3379</v>
      </c>
      <c r="C283" s="33">
        <v>283</v>
      </c>
      <c r="D283" s="33" t="s">
        <v>5400</v>
      </c>
      <c r="E283" s="34" t="s">
        <v>5244</v>
      </c>
      <c r="F283" s="34" t="s">
        <v>18</v>
      </c>
      <c r="G283" s="57">
        <v>41306</v>
      </c>
      <c r="H283" s="57">
        <v>41588</v>
      </c>
      <c r="I283" s="34">
        <f t="shared" si="12"/>
        <v>9</v>
      </c>
      <c r="J283" s="34">
        <v>40</v>
      </c>
      <c r="K283" s="36">
        <v>750</v>
      </c>
      <c r="L283" s="34" t="s">
        <v>17</v>
      </c>
      <c r="M283" s="57">
        <v>33068</v>
      </c>
      <c r="N283" s="37">
        <f>(YEAR(TablaMadre[[#This Row],[ALTA]])-YEAR(M283))</f>
        <v>23</v>
      </c>
      <c r="O283" s="34" t="s">
        <v>211</v>
      </c>
      <c r="P283" s="34" t="s">
        <v>19</v>
      </c>
      <c r="Q283" s="34" t="s">
        <v>208</v>
      </c>
      <c r="R283" s="34" t="s">
        <v>21</v>
      </c>
      <c r="S283" s="34" t="s">
        <v>151</v>
      </c>
      <c r="T283" s="34"/>
      <c r="U283" s="34"/>
      <c r="V283" s="34" t="s">
        <v>234</v>
      </c>
      <c r="W283" s="34" t="s">
        <v>97</v>
      </c>
      <c r="X283" s="38" t="s">
        <v>164</v>
      </c>
      <c r="Y283" s="62">
        <v>41559</v>
      </c>
      <c r="Z283" s="62" t="e">
        <f t="shared" si="13"/>
        <v>#NUM!</v>
      </c>
      <c r="AA283" s="62"/>
      <c r="AB283" s="34"/>
      <c r="AC283" s="34"/>
      <c r="AD283" s="38"/>
      <c r="AE283" s="59" t="str">
        <f t="shared" si="14"/>
        <v>SÍ</v>
      </c>
      <c r="AF283" s="38" t="e" cm="1">
        <f t="array" aca="1" ref="AF283" ca="1">MIN(100, MAX(0, (IF(R283="ESTUDIANTE", 31, 0)) + (IF(I283&lt;=3, 30, IF(I283&lt;=6, 20, 0))) +(IF(OR(E283="413 - Control de Costes y Enlace Construcción", E283="480 - Secretaría General del Consejo", E283="132 - Civil y estructuras", E283="136 - Mecánica", E283="412 - Planificación", E283="142 - Compras"), 25, 0)) +(IF(OR(S283="GRADO ING. MECÁNICA", S283="GRADO ING. ELÉCTRICA", S283="GRADO DERECHO", S283="GRADO ECONOMÍA", S283="GRADO ING. TECNOLOGÍAS INDUSTRIALES"), 24, 0)) + (IF(AND(K283&gt;=451, K283&lt;=700), 23, 0)) + (IF(AND(AB283&gt;=5, AB283&lt;=8), 17, 0)) +(IF(_xludf.OR(_xludf.AND(AC283&gt;=8, AC283&lt;=10), _xludf.AND(AC283&gt;=0, AC283&lt;=5)), 16, 0)) + (IF(F283="Madrid", 11, 0))))</f>
        <v>#NAME?</v>
      </c>
      <c r="AG283" s="68"/>
      <c r="AH283" s="71" t="s">
        <v>164</v>
      </c>
    </row>
    <row r="284" spans="1:34" ht="14.4" x14ac:dyDescent="0.3">
      <c r="A284" s="66" t="s">
        <v>1263</v>
      </c>
      <c r="B284" s="66" t="s">
        <v>3380</v>
      </c>
      <c r="C284" s="33">
        <v>284</v>
      </c>
      <c r="D284" s="33" t="s">
        <v>5401</v>
      </c>
      <c r="E284" s="34" t="s">
        <v>5245</v>
      </c>
      <c r="F284" s="34" t="s">
        <v>18</v>
      </c>
      <c r="G284" s="57">
        <v>41309</v>
      </c>
      <c r="H284" s="57">
        <v>41698</v>
      </c>
      <c r="I284" s="34">
        <f t="shared" si="12"/>
        <v>12</v>
      </c>
      <c r="J284" s="34">
        <v>40</v>
      </c>
      <c r="K284" s="36">
        <v>900</v>
      </c>
      <c r="L284" s="34" t="s">
        <v>29</v>
      </c>
      <c r="M284" s="57">
        <v>33660</v>
      </c>
      <c r="N284" s="37">
        <f>(YEAR(TablaMadre[[#This Row],[ALTA]])-YEAR(M284))</f>
        <v>21</v>
      </c>
      <c r="O284" s="34" t="s">
        <v>18</v>
      </c>
      <c r="P284" s="34" t="s">
        <v>19</v>
      </c>
      <c r="Q284" s="34" t="s">
        <v>39</v>
      </c>
      <c r="R284" s="34" t="s">
        <v>21</v>
      </c>
      <c r="S284" s="34" t="s">
        <v>960</v>
      </c>
      <c r="T284" s="34"/>
      <c r="U284" s="34"/>
      <c r="V284" s="34" t="s">
        <v>40</v>
      </c>
      <c r="W284" s="34" t="s">
        <v>28</v>
      </c>
      <c r="X284" s="38" t="s">
        <v>164</v>
      </c>
      <c r="Y284" s="62">
        <v>45397</v>
      </c>
      <c r="Z284" s="38">
        <f t="shared" si="13"/>
        <v>10</v>
      </c>
      <c r="AA284" s="38"/>
      <c r="AB284" s="34"/>
      <c r="AC284" s="34"/>
      <c r="AD284" s="38"/>
      <c r="AE284" s="59" t="str">
        <f t="shared" si="14"/>
        <v>NO</v>
      </c>
      <c r="AF284" s="38" t="e" cm="1">
        <f t="array" aca="1" ref="AF284" ca="1">MIN(100, MAX(0, (IF(R284="ESTUDIANTE", 31, 0)) + (IF(I284&lt;=3, 30, IF(I284&lt;=6, 20, 0))) +(IF(OR(E284="413 - Control de Costes y Enlace Construcción", E284="480 - Secretaría General del Consejo", E284="132 - Civil y estructuras", E284="136 - Mecánica", E284="412 - Planificación", E284="142 - Compras"), 25, 0)) +(IF(OR(S284="GRADO ING. MECÁNICA", S284="GRADO ING. ELÉCTRICA", S284="GRADO DERECHO", S284="GRADO ECONOMÍA", S284="GRADO ING. TECNOLOGÍAS INDUSTRIALES"), 24, 0)) + (IF(AND(K284&gt;=451, K284&lt;=700), 23, 0)) + (IF(AND(AB284&gt;=5, AB284&lt;=8), 17, 0)) +(IF(_xludf.OR(_xludf.AND(AC284&gt;=8, AC284&lt;=10), _xludf.AND(AC284&gt;=0, AC284&lt;=5)), 16, 0)) + (IF(F284="Madrid", 11, 0))))</f>
        <v>#NAME?</v>
      </c>
      <c r="AG284" s="68"/>
      <c r="AH284" s="71" t="s">
        <v>164</v>
      </c>
    </row>
    <row r="285" spans="1:34" ht="14.4" x14ac:dyDescent="0.3">
      <c r="A285" s="66" t="s">
        <v>1264</v>
      </c>
      <c r="B285" s="66" t="s">
        <v>3381</v>
      </c>
      <c r="C285" s="33">
        <v>285</v>
      </c>
      <c r="D285" s="33" t="s">
        <v>5402</v>
      </c>
      <c r="E285" s="34" t="s">
        <v>5244</v>
      </c>
      <c r="F285" s="34" t="s">
        <v>18</v>
      </c>
      <c r="G285" s="57">
        <v>41309</v>
      </c>
      <c r="H285" s="57">
        <v>41806</v>
      </c>
      <c r="I285" s="34">
        <f t="shared" si="12"/>
        <v>16</v>
      </c>
      <c r="J285" s="34">
        <v>40</v>
      </c>
      <c r="K285" s="36">
        <v>700</v>
      </c>
      <c r="L285" s="34" t="s">
        <v>17</v>
      </c>
      <c r="M285" s="57">
        <v>32925</v>
      </c>
      <c r="N285" s="37">
        <f>(YEAR(TablaMadre[[#This Row],[ALTA]])-YEAR(M285))</f>
        <v>23</v>
      </c>
      <c r="O285" s="34" t="s">
        <v>176</v>
      </c>
      <c r="P285" s="34" t="s">
        <v>19</v>
      </c>
      <c r="Q285" s="34" t="s">
        <v>263</v>
      </c>
      <c r="R285" s="58" t="s">
        <v>30</v>
      </c>
      <c r="S285" s="34" t="s">
        <v>26</v>
      </c>
      <c r="T285" s="34"/>
      <c r="U285" s="34"/>
      <c r="V285" s="34" t="s">
        <v>27</v>
      </c>
      <c r="W285" s="34" t="s">
        <v>28</v>
      </c>
      <c r="X285" s="38" t="s">
        <v>164</v>
      </c>
      <c r="Y285" s="62">
        <v>42795</v>
      </c>
      <c r="Z285" s="38">
        <f t="shared" si="13"/>
        <v>2</v>
      </c>
      <c r="AA285" s="38"/>
      <c r="AB285" s="34"/>
      <c r="AC285" s="34"/>
      <c r="AD285" s="38"/>
      <c r="AE285" s="59" t="str">
        <f t="shared" si="14"/>
        <v>SÍ</v>
      </c>
      <c r="AF285" s="38" t="e" cm="1">
        <f t="array" aca="1" ref="AF285" ca="1">MIN(100, MAX(0, (IF(R285="ESTUDIANTE", 31, 0)) + (IF(I285&lt;=3, 30, IF(I285&lt;=6, 20, 0))) +(IF(OR(E285="413 - Control de Costes y Enlace Construcción", E285="480 - Secretaría General del Consejo", E285="132 - Civil y estructuras", E285="136 - Mecánica", E285="412 - Planificación", E285="142 - Compras"), 25, 0)) +(IF(OR(S285="GRADO ING. MECÁNICA", S285="GRADO ING. ELÉCTRICA", S285="GRADO DERECHO", S285="GRADO ECONOMÍA", S285="GRADO ING. TECNOLOGÍAS INDUSTRIALES"), 24, 0)) + (IF(AND(K285&gt;=451, K285&lt;=700), 23, 0)) + (IF(AND(AB285&gt;=5, AB285&lt;=8), 17, 0)) +(IF(_xludf.OR(_xludf.AND(AC285&gt;=8, AC285&lt;=10), _xludf.AND(AC285&gt;=0, AC285&lt;=5)), 16, 0)) + (IF(F285="Madrid", 11, 0))))</f>
        <v>#NAME?</v>
      </c>
      <c r="AG285" s="68"/>
      <c r="AH285" s="71" t="s">
        <v>164</v>
      </c>
    </row>
    <row r="286" spans="1:34" ht="14.4" x14ac:dyDescent="0.3">
      <c r="A286" s="66" t="s">
        <v>1265</v>
      </c>
      <c r="B286" s="66" t="s">
        <v>3382</v>
      </c>
      <c r="C286" s="33">
        <v>286</v>
      </c>
      <c r="D286" s="33" t="s">
        <v>5393</v>
      </c>
      <c r="E286" s="34" t="s">
        <v>5222</v>
      </c>
      <c r="F286" s="34" t="s">
        <v>18</v>
      </c>
      <c r="G286" s="57">
        <v>41309</v>
      </c>
      <c r="H286" s="57">
        <v>41814</v>
      </c>
      <c r="I286" s="34">
        <f t="shared" si="12"/>
        <v>16</v>
      </c>
      <c r="J286" s="34">
        <v>40</v>
      </c>
      <c r="K286" s="36">
        <v>700</v>
      </c>
      <c r="L286" s="34" t="s">
        <v>17</v>
      </c>
      <c r="M286" s="57">
        <v>34512</v>
      </c>
      <c r="N286" s="37">
        <f>(YEAR(TablaMadre[[#This Row],[ALTA]])-YEAR(M286))</f>
        <v>19</v>
      </c>
      <c r="O286" s="34" t="s">
        <v>18</v>
      </c>
      <c r="P286" s="34" t="s">
        <v>19</v>
      </c>
      <c r="Q286" s="34" t="s">
        <v>268</v>
      </c>
      <c r="R286" s="58" t="s">
        <v>30</v>
      </c>
      <c r="S286" s="34" t="s">
        <v>26</v>
      </c>
      <c r="T286" s="34"/>
      <c r="U286" s="34"/>
      <c r="V286" s="34" t="s">
        <v>27</v>
      </c>
      <c r="W286" s="34" t="s">
        <v>28</v>
      </c>
      <c r="X286" s="38" t="s">
        <v>173</v>
      </c>
      <c r="Y286" s="62"/>
      <c r="Z286" s="38" t="e">
        <f t="shared" si="13"/>
        <v>#NUM!</v>
      </c>
      <c r="AA286" s="38"/>
      <c r="AB286" s="34"/>
      <c r="AC286" s="34"/>
      <c r="AD286" s="38"/>
      <c r="AE286" s="59" t="str">
        <f t="shared" si="14"/>
        <v>NO</v>
      </c>
      <c r="AF286" s="38" t="e" cm="1">
        <f t="array" aca="1" ref="AF286" ca="1">MIN(100, MAX(0, (IF(R286="ESTUDIANTE", 31, 0)) + (IF(I286&lt;=3, 30, IF(I286&lt;=6, 20, 0))) +(IF(OR(E286="413 - Control de Costes y Enlace Construcción", E286="480 - Secretaría General del Consejo", E286="132 - Civil y estructuras", E286="136 - Mecánica", E286="412 - Planificación", E286="142 - Compras"), 25, 0)) +(IF(OR(S286="GRADO ING. MECÁNICA", S286="GRADO ING. ELÉCTRICA", S286="GRADO DERECHO", S286="GRADO ECONOMÍA", S286="GRADO ING. TECNOLOGÍAS INDUSTRIALES"), 24, 0)) + (IF(AND(K286&gt;=451, K286&lt;=700), 23, 0)) + (IF(AND(AB286&gt;=5, AB286&lt;=8), 17, 0)) +(IF(_xludf.OR(_xludf.AND(AC286&gt;=8, AC286&lt;=10), _xludf.AND(AC286&gt;=0, AC286&lt;=5)), 16, 0)) + (IF(F286="Madrid", 11, 0))))</f>
        <v>#NAME?</v>
      </c>
      <c r="AG286" s="68"/>
      <c r="AH286" s="71" t="s">
        <v>164</v>
      </c>
    </row>
    <row r="287" spans="1:34" ht="14.4" x14ac:dyDescent="0.3">
      <c r="A287" s="66" t="s">
        <v>1266</v>
      </c>
      <c r="B287" s="66" t="s">
        <v>3383</v>
      </c>
      <c r="C287" s="33">
        <v>287</v>
      </c>
      <c r="D287" s="33" t="s">
        <v>5394</v>
      </c>
      <c r="E287" s="34" t="s">
        <v>5222</v>
      </c>
      <c r="F287" s="34" t="s">
        <v>18</v>
      </c>
      <c r="G287" s="57">
        <v>41309</v>
      </c>
      <c r="H287" s="57">
        <v>41814</v>
      </c>
      <c r="I287" s="34">
        <f t="shared" si="12"/>
        <v>16</v>
      </c>
      <c r="J287" s="34">
        <v>40</v>
      </c>
      <c r="K287" s="36">
        <v>700</v>
      </c>
      <c r="L287" s="34" t="s">
        <v>17</v>
      </c>
      <c r="M287" s="57">
        <v>33650</v>
      </c>
      <c r="N287" s="37">
        <f>(YEAR(TablaMadre[[#This Row],[ALTA]])-YEAR(M287))</f>
        <v>21</v>
      </c>
      <c r="O287" s="34" t="s">
        <v>18</v>
      </c>
      <c r="P287" s="34" t="s">
        <v>19</v>
      </c>
      <c r="Q287" s="34" t="s">
        <v>268</v>
      </c>
      <c r="R287" s="58" t="s">
        <v>30</v>
      </c>
      <c r="S287" s="34" t="s">
        <v>26</v>
      </c>
      <c r="T287" s="34"/>
      <c r="U287" s="34"/>
      <c r="V287" s="34" t="s">
        <v>27</v>
      </c>
      <c r="W287" s="34" t="s">
        <v>28</v>
      </c>
      <c r="X287" s="38" t="s">
        <v>173</v>
      </c>
      <c r="Y287" s="62"/>
      <c r="Z287" s="38" t="e">
        <f t="shared" si="13"/>
        <v>#NUM!</v>
      </c>
      <c r="AA287" s="38"/>
      <c r="AB287" s="34"/>
      <c r="AC287" s="34"/>
      <c r="AD287" s="38"/>
      <c r="AE287" s="59" t="str">
        <f t="shared" si="14"/>
        <v>NO</v>
      </c>
      <c r="AF287" s="38" t="e" cm="1">
        <f t="array" aca="1" ref="AF287" ca="1">MIN(100, MAX(0, (IF(R287="ESTUDIANTE", 31, 0)) + (IF(I287&lt;=3, 30, IF(I287&lt;=6, 20, 0))) +(IF(OR(E287="413 - Control de Costes y Enlace Construcción", E287="480 - Secretaría General del Consejo", E287="132 - Civil y estructuras", E287="136 - Mecánica", E287="412 - Planificación", E287="142 - Compras"), 25, 0)) +(IF(OR(S287="GRADO ING. MECÁNICA", S287="GRADO ING. ELÉCTRICA", S287="GRADO DERECHO", S287="GRADO ECONOMÍA", S287="GRADO ING. TECNOLOGÍAS INDUSTRIALES"), 24, 0)) + (IF(AND(K287&gt;=451, K287&lt;=700), 23, 0)) + (IF(AND(AB287&gt;=5, AB287&lt;=8), 17, 0)) +(IF(_xludf.OR(_xludf.AND(AC287&gt;=8, AC287&lt;=10), _xludf.AND(AC287&gt;=0, AC287&lt;=5)), 16, 0)) + (IF(F287="Madrid", 11, 0))))</f>
        <v>#NAME?</v>
      </c>
      <c r="AG287" s="68"/>
      <c r="AH287" s="71" t="s">
        <v>164</v>
      </c>
    </row>
    <row r="288" spans="1:34" ht="14.4" x14ac:dyDescent="0.3">
      <c r="A288" s="66" t="s">
        <v>1267</v>
      </c>
      <c r="B288" s="66" t="s">
        <v>3384</v>
      </c>
      <c r="C288" s="33">
        <v>288</v>
      </c>
      <c r="D288" s="33" t="s">
        <v>5395</v>
      </c>
      <c r="E288" s="34" t="s">
        <v>5222</v>
      </c>
      <c r="F288" s="34" t="s">
        <v>18</v>
      </c>
      <c r="G288" s="57">
        <v>41309</v>
      </c>
      <c r="H288" s="57">
        <v>41851</v>
      </c>
      <c r="I288" s="34">
        <f t="shared" si="12"/>
        <v>17</v>
      </c>
      <c r="J288" s="34">
        <v>40</v>
      </c>
      <c r="K288" s="36">
        <v>700</v>
      </c>
      <c r="L288" s="34" t="s">
        <v>17</v>
      </c>
      <c r="M288" s="57">
        <v>34017</v>
      </c>
      <c r="N288" s="37">
        <f>(YEAR(TablaMadre[[#This Row],[ALTA]])-YEAR(M288))</f>
        <v>20</v>
      </c>
      <c r="O288" s="34" t="s">
        <v>18</v>
      </c>
      <c r="P288" s="34" t="s">
        <v>19</v>
      </c>
      <c r="Q288" s="34" t="s">
        <v>268</v>
      </c>
      <c r="R288" s="58" t="s">
        <v>30</v>
      </c>
      <c r="S288" s="34" t="s">
        <v>26</v>
      </c>
      <c r="T288" s="34"/>
      <c r="U288" s="34"/>
      <c r="V288" s="34" t="s">
        <v>27</v>
      </c>
      <c r="W288" s="34" t="s">
        <v>28</v>
      </c>
      <c r="X288" s="38" t="s">
        <v>164</v>
      </c>
      <c r="Y288" s="62">
        <v>42889</v>
      </c>
      <c r="Z288" s="38">
        <f t="shared" si="13"/>
        <v>2</v>
      </c>
      <c r="AA288" s="38"/>
      <c r="AB288" s="34" t="s">
        <v>24</v>
      </c>
      <c r="AC288" s="34"/>
      <c r="AD288" s="38"/>
      <c r="AE288" s="59" t="str">
        <f t="shared" si="14"/>
        <v>NO</v>
      </c>
      <c r="AF288" s="38" t="e" cm="1">
        <f t="array" aca="1" ref="AF288" ca="1">MIN(100, MAX(0, (IF(R288="ESTUDIANTE", 31, 0)) + (IF(I288&lt;=3, 30, IF(I288&lt;=6, 20, 0))) +(IF(OR(E288="413 - Control de Costes y Enlace Construcción", E288="480 - Secretaría General del Consejo", E288="132 - Civil y estructuras", E288="136 - Mecánica", E288="412 - Planificación", E288="142 - Compras"), 25, 0)) +(IF(OR(S288="GRADO ING. MECÁNICA", S288="GRADO ING. ELÉCTRICA", S288="GRADO DERECHO", S288="GRADO ECONOMÍA", S288="GRADO ING. TECNOLOGÍAS INDUSTRIALES"), 24, 0)) + (IF(AND(K288&gt;=451, K288&lt;=700), 23, 0)) + (IF(AND(AB288&gt;=5, AB288&lt;=8), 17, 0)) +(IF(_xludf.OR(_xludf.AND(AC288&gt;=8, AC288&lt;=10), _xludf.AND(AC288&gt;=0, AC288&lt;=5)), 16, 0)) + (IF(F288="Madrid", 11, 0))))</f>
        <v>#NAME?</v>
      </c>
      <c r="AG288" s="68"/>
      <c r="AH288" s="71" t="s">
        <v>164</v>
      </c>
    </row>
    <row r="289" spans="1:34" ht="14.4" x14ac:dyDescent="0.3">
      <c r="A289" s="66" t="s">
        <v>1268</v>
      </c>
      <c r="B289" s="66" t="s">
        <v>3385</v>
      </c>
      <c r="C289" s="33">
        <v>289</v>
      </c>
      <c r="D289" s="33" t="s">
        <v>5396</v>
      </c>
      <c r="E289" s="34" t="s">
        <v>5245</v>
      </c>
      <c r="F289" s="34" t="s">
        <v>18</v>
      </c>
      <c r="G289" s="57">
        <v>41314</v>
      </c>
      <c r="H289" s="57">
        <v>41790</v>
      </c>
      <c r="I289" s="34">
        <f t="shared" si="12"/>
        <v>15</v>
      </c>
      <c r="J289" s="34">
        <v>40</v>
      </c>
      <c r="K289" s="36">
        <v>800</v>
      </c>
      <c r="L289" s="34" t="s">
        <v>17</v>
      </c>
      <c r="M289" s="57">
        <v>32828</v>
      </c>
      <c r="N289" s="37">
        <f>(YEAR(TablaMadre[[#This Row],[ALTA]])-YEAR(M289))</f>
        <v>24</v>
      </c>
      <c r="O289" s="34" t="s">
        <v>257</v>
      </c>
      <c r="P289" s="34" t="s">
        <v>19</v>
      </c>
      <c r="Q289" s="34" t="s">
        <v>58</v>
      </c>
      <c r="R289" s="34" t="s">
        <v>21</v>
      </c>
      <c r="S289" s="34" t="s">
        <v>229</v>
      </c>
      <c r="T289" s="34"/>
      <c r="U289" s="34"/>
      <c r="V289" s="34" t="s">
        <v>67</v>
      </c>
      <c r="W289" s="34" t="s">
        <v>28</v>
      </c>
      <c r="X289" s="38" t="s">
        <v>164</v>
      </c>
      <c r="Y289" s="62">
        <v>45797</v>
      </c>
      <c r="Z289" s="38">
        <f t="shared" si="13"/>
        <v>10</v>
      </c>
      <c r="AA289" s="38"/>
      <c r="AB289" s="34"/>
      <c r="AC289" s="34"/>
      <c r="AD289" s="38"/>
      <c r="AE289" s="59" t="str">
        <f t="shared" si="14"/>
        <v>SÍ</v>
      </c>
      <c r="AF289" s="38" t="e" cm="1">
        <f t="array" aca="1" ref="AF289" ca="1">MIN(100, MAX(0, (IF(R289="ESTUDIANTE", 31, 0)) + (IF(I289&lt;=3, 30, IF(I289&lt;=6, 20, 0))) +(IF(OR(E289="413 - Control de Costes y Enlace Construcción", E289="480 - Secretaría General del Consejo", E289="132 - Civil y estructuras", E289="136 - Mecánica", E289="412 - Planificación", E289="142 - Compras"), 25, 0)) +(IF(OR(S289="GRADO ING. MECÁNICA", S289="GRADO ING. ELÉCTRICA", S289="GRADO DERECHO", S289="GRADO ECONOMÍA", S289="GRADO ING. TECNOLOGÍAS INDUSTRIALES"), 24, 0)) + (IF(AND(K289&gt;=451, K289&lt;=700), 23, 0)) + (IF(AND(AB289&gt;=5, AB289&lt;=8), 17, 0)) +(IF(_xludf.OR(_xludf.AND(AC289&gt;=8, AC289&lt;=10), _xludf.AND(AC289&gt;=0, AC289&lt;=5)), 16, 0)) + (IF(F289="Madrid", 11, 0))))</f>
        <v>#NAME?</v>
      </c>
      <c r="AG289" s="68"/>
      <c r="AH289" s="71" t="s">
        <v>164</v>
      </c>
    </row>
    <row r="290" spans="1:34" ht="14.4" x14ac:dyDescent="0.3">
      <c r="A290" s="66" t="s">
        <v>1269</v>
      </c>
      <c r="B290" s="66" t="s">
        <v>3386</v>
      </c>
      <c r="C290" s="33">
        <v>290</v>
      </c>
      <c r="D290" s="33" t="s">
        <v>5397</v>
      </c>
      <c r="E290" s="34" t="s">
        <v>5218</v>
      </c>
      <c r="F290" s="34" t="s">
        <v>18</v>
      </c>
      <c r="G290" s="57">
        <v>41314</v>
      </c>
      <c r="H290" s="57">
        <v>41882</v>
      </c>
      <c r="I290" s="34">
        <f t="shared" si="12"/>
        <v>18</v>
      </c>
      <c r="J290" s="34">
        <v>40</v>
      </c>
      <c r="K290" s="36">
        <v>825</v>
      </c>
      <c r="L290" s="34" t="s">
        <v>17</v>
      </c>
      <c r="M290" s="57">
        <v>32567</v>
      </c>
      <c r="N290" s="37">
        <f>(YEAR(TablaMadre[[#This Row],[ALTA]])-YEAR(M290))</f>
        <v>24</v>
      </c>
      <c r="O290" s="34" t="s">
        <v>271</v>
      </c>
      <c r="P290" s="34" t="s">
        <v>19</v>
      </c>
      <c r="Q290" s="34" t="s">
        <v>151</v>
      </c>
      <c r="R290" s="34" t="s">
        <v>21</v>
      </c>
      <c r="S290" s="34" t="s">
        <v>151</v>
      </c>
      <c r="T290" s="34"/>
      <c r="U290" s="34"/>
      <c r="V290" s="34" t="s">
        <v>33</v>
      </c>
      <c r="W290" s="34" t="s">
        <v>28</v>
      </c>
      <c r="X290" s="40" t="s">
        <v>173</v>
      </c>
      <c r="Y290" s="63"/>
      <c r="Z290" s="40" t="e">
        <f t="shared" si="13"/>
        <v>#NUM!</v>
      </c>
      <c r="AA290" s="40"/>
      <c r="AB290" s="34"/>
      <c r="AC290" s="34"/>
      <c r="AD290" s="40"/>
      <c r="AE290" s="59" t="str">
        <f t="shared" si="14"/>
        <v>SÍ</v>
      </c>
      <c r="AF290" s="38" t="e" cm="1">
        <f t="array" aca="1" ref="AF290" ca="1">MIN(100, MAX(0, (IF(R290="ESTUDIANTE", 31, 0)) + (IF(I290&lt;=3, 30, IF(I290&lt;=6, 20, 0))) +(IF(OR(E290="413 - Control de Costes y Enlace Construcción", E290="480 - Secretaría General del Consejo", E290="132 - Civil y estructuras", E290="136 - Mecánica", E290="412 - Planificación", E290="142 - Compras"), 25, 0)) +(IF(OR(S290="GRADO ING. MECÁNICA", S290="GRADO ING. ELÉCTRICA", S290="GRADO DERECHO", S290="GRADO ECONOMÍA", S290="GRADO ING. TECNOLOGÍAS INDUSTRIALES"), 24, 0)) + (IF(AND(K290&gt;=451, K290&lt;=700), 23, 0)) + (IF(AND(AB290&gt;=5, AB290&lt;=8), 17, 0)) +(IF(_xludf.OR(_xludf.AND(AC290&gt;=8, AC290&lt;=10), _xludf.AND(AC290&gt;=0, AC290&lt;=5)), 16, 0)) + (IF(F290="Madrid", 11, 0))))</f>
        <v>#NAME?</v>
      </c>
      <c r="AG290" s="68"/>
      <c r="AH290" s="71" t="s">
        <v>164</v>
      </c>
    </row>
    <row r="291" spans="1:34" s="9" customFormat="1" ht="14.4" x14ac:dyDescent="0.3">
      <c r="A291" s="66" t="s">
        <v>1270</v>
      </c>
      <c r="B291" s="66" t="s">
        <v>3387</v>
      </c>
      <c r="C291" s="33">
        <v>291</v>
      </c>
      <c r="D291" s="33" t="s">
        <v>5398</v>
      </c>
      <c r="E291" s="34" t="s">
        <v>5259</v>
      </c>
      <c r="F291" s="34" t="s">
        <v>18</v>
      </c>
      <c r="G291" s="57">
        <v>41314</v>
      </c>
      <c r="H291" s="57">
        <v>41882</v>
      </c>
      <c r="I291" s="34">
        <f t="shared" si="12"/>
        <v>18</v>
      </c>
      <c r="J291" s="34">
        <v>40</v>
      </c>
      <c r="K291" s="36">
        <v>750</v>
      </c>
      <c r="L291" s="34" t="s">
        <v>29</v>
      </c>
      <c r="M291" s="57">
        <v>27817</v>
      </c>
      <c r="N291" s="37">
        <f>(YEAR(TablaMadre[[#This Row],[ALTA]])-YEAR(M291))</f>
        <v>37</v>
      </c>
      <c r="O291" s="34" t="s">
        <v>18</v>
      </c>
      <c r="P291" s="34" t="s">
        <v>19</v>
      </c>
      <c r="Q291" s="34" t="s">
        <v>129</v>
      </c>
      <c r="R291" s="34" t="s">
        <v>21</v>
      </c>
      <c r="S291" s="34" t="s">
        <v>322</v>
      </c>
      <c r="T291" s="34"/>
      <c r="U291" s="34"/>
      <c r="V291" s="34" t="s">
        <v>137</v>
      </c>
      <c r="W291" s="34" t="s">
        <v>28</v>
      </c>
      <c r="X291" s="38" t="s">
        <v>164</v>
      </c>
      <c r="Y291" s="62">
        <v>43647</v>
      </c>
      <c r="Z291" s="38">
        <f t="shared" si="13"/>
        <v>4</v>
      </c>
      <c r="AA291" s="38"/>
      <c r="AB291" s="34"/>
      <c r="AC291" s="34"/>
      <c r="AD291" s="38"/>
      <c r="AE291" s="59" t="str">
        <f t="shared" si="14"/>
        <v>NO</v>
      </c>
      <c r="AF291" s="40" t="e" cm="1">
        <f t="array" aca="1" ref="AF291" ca="1">MIN(100, MAX(0, (IF(R291="ESTUDIANTE", 31, 0)) + (IF(I291&lt;=3, 30, IF(I291&lt;=6, 20, 0))) +(IF(OR(E291="413 - Control de Costes y Enlace Construcción", E291="480 - Secretaría General del Consejo", E291="132 - Civil y estructuras", E291="136 - Mecánica", E291="412 - Planificación", E291="142 - Compras"), 25, 0)) +(IF(OR(S291="GRADO ING. MECÁNICA", S291="GRADO ING. ELÉCTRICA", S291="GRADO DERECHO", S291="GRADO ECONOMÍA", S291="GRADO ING. TECNOLOGÍAS INDUSTRIALES"), 24, 0)) + (IF(AND(K291&gt;=451, K291&lt;=700), 23, 0)) + (IF(AND(AB291&gt;=5, AB291&lt;=8), 17, 0)) +(IF(_xludf.OR(_xludf.AND(AC291&gt;=8, AC291&lt;=10), _xludf.AND(AC291&gt;=0, AC291&lt;=5)), 16, 0)) + (IF(F291="Madrid", 11, 0))))</f>
        <v>#NAME?</v>
      </c>
      <c r="AG291" s="70"/>
      <c r="AH291" s="71" t="s">
        <v>164</v>
      </c>
    </row>
    <row r="292" spans="1:34" ht="14.4" x14ac:dyDescent="0.3">
      <c r="A292" s="66" t="s">
        <v>1271</v>
      </c>
      <c r="B292" s="66" t="s">
        <v>3388</v>
      </c>
      <c r="C292" s="33">
        <v>292</v>
      </c>
      <c r="D292" s="33" t="s">
        <v>5399</v>
      </c>
      <c r="E292" s="34" t="s">
        <v>5244</v>
      </c>
      <c r="F292" s="34" t="s">
        <v>18</v>
      </c>
      <c r="G292" s="57">
        <v>41317</v>
      </c>
      <c r="H292" s="57">
        <v>41651</v>
      </c>
      <c r="I292" s="34">
        <f t="shared" si="12"/>
        <v>11</v>
      </c>
      <c r="J292" s="34">
        <v>40</v>
      </c>
      <c r="K292" s="36">
        <v>900</v>
      </c>
      <c r="L292" s="34" t="s">
        <v>17</v>
      </c>
      <c r="M292" s="57">
        <v>30578</v>
      </c>
      <c r="N292" s="37">
        <f>(YEAR(TablaMadre[[#This Row],[ALTA]])-YEAR(M292))</f>
        <v>30</v>
      </c>
      <c r="O292" s="34" t="s">
        <v>18</v>
      </c>
      <c r="P292" s="34" t="s">
        <v>19</v>
      </c>
      <c r="Q292" s="34" t="s">
        <v>237</v>
      </c>
      <c r="R292" s="34" t="s">
        <v>21</v>
      </c>
      <c r="S292" s="34" t="s">
        <v>322</v>
      </c>
      <c r="T292" s="34"/>
      <c r="U292" s="34"/>
      <c r="V292" s="34" t="s">
        <v>137</v>
      </c>
      <c r="W292" s="34" t="s">
        <v>28</v>
      </c>
      <c r="X292" s="38" t="s">
        <v>164</v>
      </c>
      <c r="Y292" s="62">
        <v>43614</v>
      </c>
      <c r="Z292" s="38">
        <f t="shared" si="13"/>
        <v>5</v>
      </c>
      <c r="AA292" s="38"/>
      <c r="AB292" s="34"/>
      <c r="AC292" s="34"/>
      <c r="AD292" s="38"/>
      <c r="AE292" s="59" t="str">
        <f t="shared" si="14"/>
        <v>NO</v>
      </c>
      <c r="AF292" s="38" t="e" cm="1">
        <f t="array" aca="1" ref="AF292" ca="1">MIN(100, MAX(0, (IF(R292="ESTUDIANTE", 31, 0)) + (IF(I292&lt;=3, 30, IF(I292&lt;=6, 20, 0))) +(IF(OR(E292="413 - Control de Costes y Enlace Construcción", E292="480 - Secretaría General del Consejo", E292="132 - Civil y estructuras", E292="136 - Mecánica", E292="412 - Planificación", E292="142 - Compras"), 25, 0)) +(IF(OR(S292="GRADO ING. MECÁNICA", S292="GRADO ING. ELÉCTRICA", S292="GRADO DERECHO", S292="GRADO ECONOMÍA", S292="GRADO ING. TECNOLOGÍAS INDUSTRIALES"), 24, 0)) + (IF(AND(K292&gt;=451, K292&lt;=700), 23, 0)) + (IF(AND(AB292&gt;=5, AB292&lt;=8), 17, 0)) +(IF(_xludf.OR(_xludf.AND(AC292&gt;=8, AC292&lt;=10), _xludf.AND(AC292&gt;=0, AC292&lt;=5)), 16, 0)) + (IF(F292="Madrid", 11, 0))))</f>
        <v>#NAME?</v>
      </c>
      <c r="AG292" s="68"/>
      <c r="AH292" s="71" t="s">
        <v>164</v>
      </c>
    </row>
    <row r="293" spans="1:34" ht="14.4" x14ac:dyDescent="0.3">
      <c r="A293" s="66" t="s">
        <v>1272</v>
      </c>
      <c r="B293" s="66" t="s">
        <v>3389</v>
      </c>
      <c r="C293" s="33">
        <v>293</v>
      </c>
      <c r="D293" s="33" t="s">
        <v>5400</v>
      </c>
      <c r="E293" s="34" t="s">
        <v>5244</v>
      </c>
      <c r="F293" s="34" t="s">
        <v>18</v>
      </c>
      <c r="G293" s="57">
        <v>41317</v>
      </c>
      <c r="H293" s="57">
        <v>41651</v>
      </c>
      <c r="I293" s="34">
        <f t="shared" si="12"/>
        <v>11</v>
      </c>
      <c r="J293" s="34">
        <v>40</v>
      </c>
      <c r="K293" s="36">
        <v>900</v>
      </c>
      <c r="L293" s="34" t="s">
        <v>17</v>
      </c>
      <c r="M293" s="57">
        <v>32595</v>
      </c>
      <c r="N293" s="37">
        <f>(YEAR(TablaMadre[[#This Row],[ALTA]])-YEAR(M293))</f>
        <v>24</v>
      </c>
      <c r="O293" s="34" t="s">
        <v>411</v>
      </c>
      <c r="P293" s="34" t="s">
        <v>19</v>
      </c>
      <c r="Q293" s="34" t="s">
        <v>32</v>
      </c>
      <c r="R293" s="34" t="s">
        <v>21</v>
      </c>
      <c r="S293" s="34" t="s">
        <v>322</v>
      </c>
      <c r="T293" s="34"/>
      <c r="U293" s="34"/>
      <c r="V293" s="34" t="s">
        <v>137</v>
      </c>
      <c r="W293" s="34" t="s">
        <v>28</v>
      </c>
      <c r="X293" s="38" t="s">
        <v>173</v>
      </c>
      <c r="Y293" s="62"/>
      <c r="Z293" s="38" t="e">
        <f t="shared" si="13"/>
        <v>#NUM!</v>
      </c>
      <c r="AA293" s="38"/>
      <c r="AB293" s="34"/>
      <c r="AC293" s="34"/>
      <c r="AD293" s="38"/>
      <c r="AE293" s="59" t="str">
        <f t="shared" si="14"/>
        <v>SÍ</v>
      </c>
      <c r="AF293" s="38" t="e" cm="1">
        <f t="array" aca="1" ref="AF293" ca="1">MIN(100, MAX(0, (IF(R293="ESTUDIANTE", 31, 0)) + (IF(I293&lt;=3, 30, IF(I293&lt;=6, 20, 0))) +(IF(OR(E293="413 - Control de Costes y Enlace Construcción", E293="480 - Secretaría General del Consejo", E293="132 - Civil y estructuras", E293="136 - Mecánica", E293="412 - Planificación", E293="142 - Compras"), 25, 0)) +(IF(OR(S293="GRADO ING. MECÁNICA", S293="GRADO ING. ELÉCTRICA", S293="GRADO DERECHO", S293="GRADO ECONOMÍA", S293="GRADO ING. TECNOLOGÍAS INDUSTRIALES"), 24, 0)) + (IF(AND(K293&gt;=451, K293&lt;=700), 23, 0)) + (IF(AND(AB293&gt;=5, AB293&lt;=8), 17, 0)) +(IF(_xludf.OR(_xludf.AND(AC293&gt;=8, AC293&lt;=10), _xludf.AND(AC293&gt;=0, AC293&lt;=5)), 16, 0)) + (IF(F293="Madrid", 11, 0))))</f>
        <v>#NAME?</v>
      </c>
      <c r="AG293" s="68"/>
      <c r="AH293" s="71" t="s">
        <v>164</v>
      </c>
    </row>
    <row r="294" spans="1:34" ht="14.4" x14ac:dyDescent="0.3">
      <c r="A294" s="66" t="s">
        <v>1273</v>
      </c>
      <c r="B294" s="66" t="s">
        <v>3390</v>
      </c>
      <c r="C294" s="33">
        <v>294</v>
      </c>
      <c r="D294" s="33" t="s">
        <v>5401</v>
      </c>
      <c r="E294" s="34" t="s">
        <v>5235</v>
      </c>
      <c r="F294" s="34" t="s">
        <v>18</v>
      </c>
      <c r="G294" s="57">
        <v>41323</v>
      </c>
      <c r="H294" s="57">
        <v>41687</v>
      </c>
      <c r="I294" s="34">
        <f t="shared" si="12"/>
        <v>11</v>
      </c>
      <c r="J294" s="34">
        <v>40</v>
      </c>
      <c r="K294" s="36">
        <v>900</v>
      </c>
      <c r="L294" s="34" t="s">
        <v>17</v>
      </c>
      <c r="M294" s="57">
        <v>34439</v>
      </c>
      <c r="N294" s="37">
        <f>(YEAR(TablaMadre[[#This Row],[ALTA]])-YEAR(M294))</f>
        <v>19</v>
      </c>
      <c r="O294" s="34" t="s">
        <v>18</v>
      </c>
      <c r="P294" s="34" t="s">
        <v>19</v>
      </c>
      <c r="Q294" s="34" t="s">
        <v>61</v>
      </c>
      <c r="R294" s="34" t="s">
        <v>21</v>
      </c>
      <c r="S294" s="34" t="s">
        <v>322</v>
      </c>
      <c r="T294" s="34"/>
      <c r="U294" s="34"/>
      <c r="V294" s="34" t="s">
        <v>22</v>
      </c>
      <c r="W294" s="34" t="s">
        <v>28</v>
      </c>
      <c r="X294" s="38" t="s">
        <v>164</v>
      </c>
      <c r="Y294" s="62">
        <v>43712</v>
      </c>
      <c r="Z294" s="38">
        <f t="shared" si="13"/>
        <v>5</v>
      </c>
      <c r="AA294" s="38"/>
      <c r="AB294" s="34" t="s">
        <v>244</v>
      </c>
      <c r="AC294" s="34"/>
      <c r="AD294" s="38"/>
      <c r="AE294" s="59" t="str">
        <f t="shared" si="14"/>
        <v>NO</v>
      </c>
      <c r="AF294" s="38" t="e" cm="1">
        <f t="array" aca="1" ref="AF294" ca="1">MIN(100, MAX(0, (IF(R294="ESTUDIANTE", 31, 0)) + (IF(I294&lt;=3, 30, IF(I294&lt;=6, 20, 0))) +(IF(OR(E294="413 - Control de Costes y Enlace Construcción", E294="480 - Secretaría General del Consejo", E294="132 - Civil y estructuras", E294="136 - Mecánica", E294="412 - Planificación", E294="142 - Compras"), 25, 0)) +(IF(OR(S294="GRADO ING. MECÁNICA", S294="GRADO ING. ELÉCTRICA", S294="GRADO DERECHO", S294="GRADO ECONOMÍA", S294="GRADO ING. TECNOLOGÍAS INDUSTRIALES"), 24, 0)) + (IF(AND(K294&gt;=451, K294&lt;=700), 23, 0)) + (IF(AND(AB294&gt;=5, AB294&lt;=8), 17, 0)) +(IF(_xludf.OR(_xludf.AND(AC294&gt;=8, AC294&lt;=10), _xludf.AND(AC294&gt;=0, AC294&lt;=5)), 16, 0)) + (IF(F294="Madrid", 11, 0))))</f>
        <v>#NAME?</v>
      </c>
      <c r="AG294" s="68"/>
      <c r="AH294" s="71" t="s">
        <v>164</v>
      </c>
    </row>
    <row r="295" spans="1:34" ht="14.4" x14ac:dyDescent="0.3">
      <c r="A295" s="66" t="s">
        <v>1274</v>
      </c>
      <c r="B295" s="66" t="s">
        <v>3391</v>
      </c>
      <c r="C295" s="33">
        <v>295</v>
      </c>
      <c r="D295" s="33" t="s">
        <v>5402</v>
      </c>
      <c r="E295" s="34" t="s">
        <v>5237</v>
      </c>
      <c r="F295" s="34" t="s">
        <v>18</v>
      </c>
      <c r="G295" s="57">
        <v>41323</v>
      </c>
      <c r="H295" s="57">
        <v>41687</v>
      </c>
      <c r="I295" s="34">
        <f t="shared" si="12"/>
        <v>11</v>
      </c>
      <c r="J295" s="34">
        <v>40</v>
      </c>
      <c r="K295" s="36">
        <v>900</v>
      </c>
      <c r="L295" s="34" t="s">
        <v>17</v>
      </c>
      <c r="M295" s="57">
        <v>32595</v>
      </c>
      <c r="N295" s="37">
        <f>(YEAR(TablaMadre[[#This Row],[ALTA]])-YEAR(M295))</f>
        <v>24</v>
      </c>
      <c r="O295" s="34" t="s">
        <v>226</v>
      </c>
      <c r="P295" s="34" t="s">
        <v>19</v>
      </c>
      <c r="Q295" s="34" t="s">
        <v>49</v>
      </c>
      <c r="R295" s="34" t="s">
        <v>21</v>
      </c>
      <c r="S295" s="34" t="s">
        <v>297</v>
      </c>
      <c r="T295" s="34"/>
      <c r="U295" s="34"/>
      <c r="V295" s="34" t="s">
        <v>216</v>
      </c>
      <c r="W295" s="34" t="s">
        <v>28</v>
      </c>
      <c r="X295" s="38" t="s">
        <v>164</v>
      </c>
      <c r="Y295" s="62">
        <v>44835</v>
      </c>
      <c r="Z295" s="38">
        <f t="shared" si="13"/>
        <v>8</v>
      </c>
      <c r="AA295" s="38"/>
      <c r="AB295" s="34" t="s">
        <v>167</v>
      </c>
      <c r="AC295" s="34" t="s">
        <v>167</v>
      </c>
      <c r="AD295" s="38"/>
      <c r="AE295" s="59" t="str">
        <f t="shared" si="14"/>
        <v>SÍ</v>
      </c>
      <c r="AF295" s="38" t="e" cm="1">
        <f t="array" aca="1" ref="AF295" ca="1">MIN(100, MAX(0, (IF(R295="ESTUDIANTE", 31, 0)) + (IF(I295&lt;=3, 30, IF(I295&lt;=6, 20, 0))) +(IF(OR(E295="413 - Control de Costes y Enlace Construcción", E295="480 - Secretaría General del Consejo", E295="132 - Civil y estructuras", E295="136 - Mecánica", E295="412 - Planificación", E295="142 - Compras"), 25, 0)) +(IF(OR(S295="GRADO ING. MECÁNICA", S295="GRADO ING. ELÉCTRICA", S295="GRADO DERECHO", S295="GRADO ECONOMÍA", S295="GRADO ING. TECNOLOGÍAS INDUSTRIALES"), 24, 0)) + (IF(AND(K295&gt;=451, K295&lt;=700), 23, 0)) + (IF(AND(AB295&gt;=5, AB295&lt;=8), 17, 0)) +(IF(_xludf.OR(_xludf.AND(AC295&gt;=8, AC295&lt;=10), _xludf.AND(AC295&gt;=0, AC295&lt;=5)), 16, 0)) + (IF(F295="Madrid", 11, 0))))</f>
        <v>#NAME?</v>
      </c>
      <c r="AG295" s="68"/>
      <c r="AH295" s="71" t="s">
        <v>164</v>
      </c>
    </row>
    <row r="296" spans="1:34" ht="14.4" x14ac:dyDescent="0.3">
      <c r="A296" s="66" t="s">
        <v>1275</v>
      </c>
      <c r="B296" s="66" t="s">
        <v>3392</v>
      </c>
      <c r="C296" s="33">
        <v>296</v>
      </c>
      <c r="D296" s="33" t="s">
        <v>5393</v>
      </c>
      <c r="E296" s="34" t="s">
        <v>5235</v>
      </c>
      <c r="F296" s="34" t="s">
        <v>18</v>
      </c>
      <c r="G296" s="57">
        <v>41323</v>
      </c>
      <c r="H296" s="57">
        <v>41687</v>
      </c>
      <c r="I296" s="34">
        <f t="shared" si="12"/>
        <v>11</v>
      </c>
      <c r="J296" s="34">
        <v>40</v>
      </c>
      <c r="K296" s="36">
        <v>900</v>
      </c>
      <c r="L296" s="34" t="s">
        <v>29</v>
      </c>
      <c r="M296" s="57">
        <v>31949</v>
      </c>
      <c r="N296" s="37">
        <f>(YEAR(TablaMadre[[#This Row],[ALTA]])-YEAR(M296))</f>
        <v>26</v>
      </c>
      <c r="O296" s="34" t="s">
        <v>18</v>
      </c>
      <c r="P296" s="34" t="s">
        <v>19</v>
      </c>
      <c r="Q296" s="34" t="s">
        <v>61</v>
      </c>
      <c r="R296" s="34" t="s">
        <v>21</v>
      </c>
      <c r="S296" s="34" t="s">
        <v>322</v>
      </c>
      <c r="T296" s="34"/>
      <c r="U296" s="34"/>
      <c r="V296" s="34" t="s">
        <v>22</v>
      </c>
      <c r="W296" s="34" t="s">
        <v>28</v>
      </c>
      <c r="X296" s="38" t="s">
        <v>164</v>
      </c>
      <c r="Y296" s="62">
        <v>42209</v>
      </c>
      <c r="Z296" s="38">
        <f t="shared" si="13"/>
        <v>1</v>
      </c>
      <c r="AA296" s="38"/>
      <c r="AB296" s="34" t="s">
        <v>244</v>
      </c>
      <c r="AC296" s="34"/>
      <c r="AD296" s="38"/>
      <c r="AE296" s="59" t="str">
        <f t="shared" si="14"/>
        <v>NO</v>
      </c>
      <c r="AF296" s="38" t="e" cm="1">
        <f t="array" aca="1" ref="AF296" ca="1">MIN(100, MAX(0, (IF(R296="ESTUDIANTE", 31, 0)) + (IF(I296&lt;=3, 30, IF(I296&lt;=6, 20, 0))) +(IF(OR(E296="413 - Control de Costes y Enlace Construcción", E296="480 - Secretaría General del Consejo", E296="132 - Civil y estructuras", E296="136 - Mecánica", E296="412 - Planificación", E296="142 - Compras"), 25, 0)) +(IF(OR(S296="GRADO ING. MECÁNICA", S296="GRADO ING. ELÉCTRICA", S296="GRADO DERECHO", S296="GRADO ECONOMÍA", S296="GRADO ING. TECNOLOGÍAS INDUSTRIALES"), 24, 0)) + (IF(AND(K296&gt;=451, K296&lt;=700), 23, 0)) + (IF(AND(AB296&gt;=5, AB296&lt;=8), 17, 0)) +(IF(_xludf.OR(_xludf.AND(AC296&gt;=8, AC296&lt;=10), _xludf.AND(AC296&gt;=0, AC296&lt;=5)), 16, 0)) + (IF(F296="Madrid", 11, 0))))</f>
        <v>#NAME?</v>
      </c>
      <c r="AG296" s="68"/>
      <c r="AH296" s="71" t="s">
        <v>164</v>
      </c>
    </row>
    <row r="297" spans="1:34" ht="14.4" x14ac:dyDescent="0.3">
      <c r="A297" s="66" t="s">
        <v>1276</v>
      </c>
      <c r="B297" s="66" t="s">
        <v>3393</v>
      </c>
      <c r="C297" s="33">
        <v>297</v>
      </c>
      <c r="D297" s="33" t="s">
        <v>5394</v>
      </c>
      <c r="E297" s="34" t="s">
        <v>5218</v>
      </c>
      <c r="F297" s="34" t="s">
        <v>18</v>
      </c>
      <c r="G297" s="57">
        <v>41325</v>
      </c>
      <c r="H297" s="57">
        <v>41875</v>
      </c>
      <c r="I297" s="34">
        <f t="shared" si="12"/>
        <v>18</v>
      </c>
      <c r="J297" s="34">
        <v>40</v>
      </c>
      <c r="K297" s="36">
        <v>900</v>
      </c>
      <c r="L297" s="34" t="s">
        <v>29</v>
      </c>
      <c r="M297" s="57">
        <v>32595</v>
      </c>
      <c r="N297" s="37">
        <f>(YEAR(TablaMadre[[#This Row],[ALTA]])-YEAR(M297))</f>
        <v>24</v>
      </c>
      <c r="O297" s="34" t="s">
        <v>18</v>
      </c>
      <c r="P297" s="34" t="s">
        <v>19</v>
      </c>
      <c r="Q297" s="34" t="s">
        <v>177</v>
      </c>
      <c r="R297" s="34" t="s">
        <v>21</v>
      </c>
      <c r="S297" s="34" t="s">
        <v>397</v>
      </c>
      <c r="T297" s="34"/>
      <c r="U297" s="34"/>
      <c r="V297" s="34" t="s">
        <v>22</v>
      </c>
      <c r="W297" s="34" t="s">
        <v>28</v>
      </c>
      <c r="X297" s="38" t="s">
        <v>164</v>
      </c>
      <c r="Y297" s="62">
        <v>44335</v>
      </c>
      <c r="Z297" s="38">
        <f t="shared" si="13"/>
        <v>6</v>
      </c>
      <c r="AA297" s="38"/>
      <c r="AB297" s="34"/>
      <c r="AC297" s="34"/>
      <c r="AD297" s="38"/>
      <c r="AE297" s="59" t="str">
        <f t="shared" si="14"/>
        <v>NO</v>
      </c>
      <c r="AF297" s="38" t="e" cm="1">
        <f t="array" aca="1" ref="AF297" ca="1">MIN(100, MAX(0, (IF(R297="ESTUDIANTE", 31, 0)) + (IF(I297&lt;=3, 30, IF(I297&lt;=6, 20, 0))) +(IF(OR(E297="413 - Control de Costes y Enlace Construcción", E297="480 - Secretaría General del Consejo", E297="132 - Civil y estructuras", E297="136 - Mecánica", E297="412 - Planificación", E297="142 - Compras"), 25, 0)) +(IF(OR(S297="GRADO ING. MECÁNICA", S297="GRADO ING. ELÉCTRICA", S297="GRADO DERECHO", S297="GRADO ECONOMÍA", S297="GRADO ING. TECNOLOGÍAS INDUSTRIALES"), 24, 0)) + (IF(AND(K297&gt;=451, K297&lt;=700), 23, 0)) + (IF(AND(AB297&gt;=5, AB297&lt;=8), 17, 0)) +(IF(_xludf.OR(_xludf.AND(AC297&gt;=8, AC297&lt;=10), _xludf.AND(AC297&gt;=0, AC297&lt;=5)), 16, 0)) + (IF(F297="Madrid", 11, 0))))</f>
        <v>#NAME?</v>
      </c>
      <c r="AG297" s="68"/>
      <c r="AH297" s="71" t="s">
        <v>164</v>
      </c>
    </row>
    <row r="298" spans="1:34" ht="14.4" x14ac:dyDescent="0.3">
      <c r="A298" s="66" t="s">
        <v>1277</v>
      </c>
      <c r="B298" s="66" t="s">
        <v>3394</v>
      </c>
      <c r="C298" s="33">
        <v>298</v>
      </c>
      <c r="D298" s="33" t="s">
        <v>5395</v>
      </c>
      <c r="E298" s="34" t="s">
        <v>5268</v>
      </c>
      <c r="F298" s="34" t="s">
        <v>18</v>
      </c>
      <c r="G298" s="57">
        <v>41326</v>
      </c>
      <c r="H298" s="57">
        <v>41598</v>
      </c>
      <c r="I298" s="34">
        <f t="shared" si="12"/>
        <v>8</v>
      </c>
      <c r="J298" s="34">
        <v>40</v>
      </c>
      <c r="K298" s="36">
        <v>900</v>
      </c>
      <c r="L298" s="34" t="s">
        <v>17</v>
      </c>
      <c r="M298" s="57">
        <v>30726</v>
      </c>
      <c r="N298" s="37">
        <f>(YEAR(TablaMadre[[#This Row],[ALTA]])-YEAR(M298))</f>
        <v>29</v>
      </c>
      <c r="O298" s="34" t="s">
        <v>205</v>
      </c>
      <c r="P298" s="34" t="s">
        <v>19</v>
      </c>
      <c r="Q298" s="34" t="s">
        <v>177</v>
      </c>
      <c r="R298" s="34" t="s">
        <v>21</v>
      </c>
      <c r="S298" s="34" t="s">
        <v>397</v>
      </c>
      <c r="T298" s="34"/>
      <c r="U298" s="34"/>
      <c r="V298" s="34" t="s">
        <v>207</v>
      </c>
      <c r="W298" s="34" t="s">
        <v>28</v>
      </c>
      <c r="X298" s="38" t="s">
        <v>173</v>
      </c>
      <c r="Y298" s="62"/>
      <c r="Z298" s="38" t="e">
        <f t="shared" si="13"/>
        <v>#NUM!</v>
      </c>
      <c r="AA298" s="38"/>
      <c r="AB298" s="34"/>
      <c r="AC298" s="34"/>
      <c r="AD298" s="38"/>
      <c r="AE298" s="59" t="str">
        <f t="shared" si="14"/>
        <v>SÍ</v>
      </c>
      <c r="AF298" s="38" t="e" cm="1">
        <f t="array" aca="1" ref="AF298" ca="1">MIN(100, MAX(0, (IF(R298="ESTUDIANTE", 31, 0)) + (IF(I298&lt;=3, 30, IF(I298&lt;=6, 20, 0))) +(IF(OR(E298="413 - Control de Costes y Enlace Construcción", E298="480 - Secretaría General del Consejo", E298="132 - Civil y estructuras", E298="136 - Mecánica", E298="412 - Planificación", E298="142 - Compras"), 25, 0)) +(IF(OR(S298="GRADO ING. MECÁNICA", S298="GRADO ING. ELÉCTRICA", S298="GRADO DERECHO", S298="GRADO ECONOMÍA", S298="GRADO ING. TECNOLOGÍAS INDUSTRIALES"), 24, 0)) + (IF(AND(K298&gt;=451, K298&lt;=700), 23, 0)) + (IF(AND(AB298&gt;=5, AB298&lt;=8), 17, 0)) +(IF(_xludf.OR(_xludf.AND(AC298&gt;=8, AC298&lt;=10), _xludf.AND(AC298&gt;=0, AC298&lt;=5)), 16, 0)) + (IF(F298="Madrid", 11, 0))))</f>
        <v>#NAME?</v>
      </c>
      <c r="AG298" s="68"/>
      <c r="AH298" s="71" t="s">
        <v>164</v>
      </c>
    </row>
    <row r="299" spans="1:34" ht="14.4" x14ac:dyDescent="0.3">
      <c r="A299" s="66" t="s">
        <v>1278</v>
      </c>
      <c r="B299" s="66" t="s">
        <v>3395</v>
      </c>
      <c r="C299" s="33">
        <v>299</v>
      </c>
      <c r="D299" s="33" t="s">
        <v>5396</v>
      </c>
      <c r="E299" s="34" t="s">
        <v>5230</v>
      </c>
      <c r="F299" s="34" t="s">
        <v>18</v>
      </c>
      <c r="G299" s="57">
        <v>41337</v>
      </c>
      <c r="H299" s="57">
        <v>41438</v>
      </c>
      <c r="I299" s="34">
        <f t="shared" si="12"/>
        <v>3</v>
      </c>
      <c r="J299" s="34">
        <v>40</v>
      </c>
      <c r="K299" s="36">
        <v>0</v>
      </c>
      <c r="L299" s="34" t="s">
        <v>17</v>
      </c>
      <c r="M299" s="57">
        <v>31287</v>
      </c>
      <c r="N299" s="37">
        <f>(YEAR(TablaMadre[[#This Row],[ALTA]])-YEAR(M299))</f>
        <v>28</v>
      </c>
      <c r="O299" s="34" t="s">
        <v>99</v>
      </c>
      <c r="P299" s="34" t="s">
        <v>99</v>
      </c>
      <c r="Q299" s="34" t="s">
        <v>199</v>
      </c>
      <c r="R299" s="34" t="s">
        <v>30</v>
      </c>
      <c r="S299" s="34" t="s">
        <v>26</v>
      </c>
      <c r="T299" s="34"/>
      <c r="U299" s="34"/>
      <c r="V299" s="34" t="s">
        <v>27</v>
      </c>
      <c r="W299" s="34" t="s">
        <v>23</v>
      </c>
      <c r="X299" s="34" t="s">
        <v>164</v>
      </c>
      <c r="Y299" s="57"/>
      <c r="Z299" s="57" t="e">
        <f t="shared" si="13"/>
        <v>#NUM!</v>
      </c>
      <c r="AA299" s="57"/>
      <c r="AB299" s="34"/>
      <c r="AC299" s="34"/>
      <c r="AD299" s="34"/>
      <c r="AE299" s="59" t="str">
        <f t="shared" si="14"/>
        <v>SÍ</v>
      </c>
      <c r="AF299" s="38" t="e" cm="1">
        <f t="array" aca="1" ref="AF299" ca="1">MIN(100, MAX(0, (IF(R299="ESTUDIANTE", 31, 0)) + (IF(I299&lt;=3, 30, IF(I299&lt;=6, 20, 0))) +(IF(OR(E299="413 - Control de Costes y Enlace Construcción", E299="480 - Secretaría General del Consejo", E299="132 - Civil y estructuras", E299="136 - Mecánica", E299="412 - Planificación", E299="142 - Compras"), 25, 0)) +(IF(OR(S299="GRADO ING. MECÁNICA", S299="GRADO ING. ELÉCTRICA", S299="GRADO DERECHO", S299="GRADO ECONOMÍA", S299="GRADO ING. TECNOLOGÍAS INDUSTRIALES"), 24, 0)) + (IF(AND(K299&gt;=451, K299&lt;=700), 23, 0)) + (IF(AND(AB299&gt;=5, AB299&lt;=8), 17, 0)) +(IF(_xludf.OR(_xludf.AND(AC299&gt;=8, AC299&lt;=10), _xludf.AND(AC299&gt;=0, AC299&lt;=5)), 16, 0)) + (IF(F299="Madrid", 11, 0))))</f>
        <v>#NAME?</v>
      </c>
      <c r="AG299" s="68"/>
      <c r="AH299" s="71" t="s">
        <v>164</v>
      </c>
    </row>
    <row r="300" spans="1:34" s="4" customFormat="1" ht="14.4" x14ac:dyDescent="0.3">
      <c r="A300" s="66" t="s">
        <v>1279</v>
      </c>
      <c r="B300" s="66" t="s">
        <v>3396</v>
      </c>
      <c r="C300" s="33">
        <v>300</v>
      </c>
      <c r="D300" s="33" t="s">
        <v>5397</v>
      </c>
      <c r="E300" s="34" t="s">
        <v>5270</v>
      </c>
      <c r="F300" s="34" t="s">
        <v>18</v>
      </c>
      <c r="G300" s="57">
        <v>41337</v>
      </c>
      <c r="H300" s="57">
        <v>41806</v>
      </c>
      <c r="I300" s="34">
        <f t="shared" si="12"/>
        <v>15</v>
      </c>
      <c r="J300" s="34">
        <v>40</v>
      </c>
      <c r="K300" s="36">
        <v>700</v>
      </c>
      <c r="L300" s="34" t="s">
        <v>17</v>
      </c>
      <c r="M300" s="57">
        <v>33349</v>
      </c>
      <c r="N300" s="37">
        <f>(YEAR(TablaMadre[[#This Row],[ALTA]])-YEAR(M300))</f>
        <v>22</v>
      </c>
      <c r="O300" s="34" t="s">
        <v>18</v>
      </c>
      <c r="P300" s="34" t="s">
        <v>19</v>
      </c>
      <c r="Q300" s="34" t="s">
        <v>264</v>
      </c>
      <c r="R300" s="58" t="s">
        <v>30</v>
      </c>
      <c r="S300" s="34" t="s">
        <v>26</v>
      </c>
      <c r="T300" s="34"/>
      <c r="U300" s="34"/>
      <c r="V300" s="34" t="s">
        <v>27</v>
      </c>
      <c r="W300" s="34" t="s">
        <v>28</v>
      </c>
      <c r="X300" s="38" t="s">
        <v>164</v>
      </c>
      <c r="Y300" s="62">
        <v>45405</v>
      </c>
      <c r="Z300" s="38">
        <f t="shared" si="13"/>
        <v>9</v>
      </c>
      <c r="AA300" s="38"/>
      <c r="AB300" s="34"/>
      <c r="AC300" s="34"/>
      <c r="AD300" s="38"/>
      <c r="AE300" s="59" t="str">
        <f t="shared" si="14"/>
        <v>NO</v>
      </c>
      <c r="AF300" s="34" t="e" cm="1">
        <f t="array" aca="1" ref="AF300" ca="1">MIN(100, MAX(0, (IF(R300="ESTUDIANTE", 31, 0)) + (IF(I300&lt;=3, 30, IF(I300&lt;=6, 20, 0))) +(IF(OR(E300="413 - Control de Costes y Enlace Construcción", E300="480 - Secretaría General del Consejo", E300="132 - Civil y estructuras", E300="136 - Mecánica", E300="412 - Planificación", E300="142 - Compras"), 25, 0)) +(IF(OR(S300="GRADO ING. MECÁNICA", S300="GRADO ING. ELÉCTRICA", S300="GRADO DERECHO", S300="GRADO ECONOMÍA", S300="GRADO ING. TECNOLOGÍAS INDUSTRIALES"), 24, 0)) + (IF(AND(K300&gt;=451, K300&lt;=700), 23, 0)) + (IF(AND(AB300&gt;=5, AB300&lt;=8), 17, 0)) +(IF(_xludf.OR(_xludf.AND(AC300&gt;=8, AC300&lt;=10), _xludf.AND(AC300&gt;=0, AC300&lt;=5)), 16, 0)) + (IF(F300="Madrid", 11, 0))))</f>
        <v>#NAME?</v>
      </c>
      <c r="AG300" s="69"/>
      <c r="AH300" s="71" t="s">
        <v>164</v>
      </c>
    </row>
    <row r="301" spans="1:34" ht="14.4" x14ac:dyDescent="0.3">
      <c r="A301" s="66" t="s">
        <v>1281</v>
      </c>
      <c r="B301" s="66" t="s">
        <v>3398</v>
      </c>
      <c r="C301" s="33">
        <v>302</v>
      </c>
      <c r="D301" s="33" t="s">
        <v>5398</v>
      </c>
      <c r="E301" s="34" t="s">
        <v>5266</v>
      </c>
      <c r="F301" s="34" t="s">
        <v>18</v>
      </c>
      <c r="G301" s="57">
        <v>41339</v>
      </c>
      <c r="H301" s="57">
        <v>41790</v>
      </c>
      <c r="I301" s="34">
        <f t="shared" si="12"/>
        <v>14</v>
      </c>
      <c r="J301" s="34">
        <v>40</v>
      </c>
      <c r="K301" s="36">
        <v>750</v>
      </c>
      <c r="L301" s="34" t="s">
        <v>29</v>
      </c>
      <c r="M301" s="57">
        <v>33479</v>
      </c>
      <c r="N301" s="37">
        <f>(YEAR(TablaMadre[[#This Row],[ALTA]])-YEAR(M301))</f>
        <v>22</v>
      </c>
      <c r="O301" s="34" t="s">
        <v>953</v>
      </c>
      <c r="P301" s="34" t="s">
        <v>19</v>
      </c>
      <c r="Q301" s="34" t="s">
        <v>228</v>
      </c>
      <c r="R301" s="34" t="s">
        <v>21</v>
      </c>
      <c r="S301" s="34" t="s">
        <v>189</v>
      </c>
      <c r="T301" s="34"/>
      <c r="U301" s="34"/>
      <c r="V301" s="34" t="s">
        <v>122</v>
      </c>
      <c r="W301" s="34" t="s">
        <v>127</v>
      </c>
      <c r="X301" s="38" t="s">
        <v>164</v>
      </c>
      <c r="Y301" s="62">
        <v>42966</v>
      </c>
      <c r="Z301" s="38">
        <f t="shared" si="13"/>
        <v>3</v>
      </c>
      <c r="AA301" s="38"/>
      <c r="AB301" s="34"/>
      <c r="AC301" s="34"/>
      <c r="AD301" s="38"/>
      <c r="AE301" s="59" t="str">
        <f t="shared" si="14"/>
        <v>SÍ</v>
      </c>
      <c r="AF301" s="38" t="e" cm="1">
        <f t="array" aca="1" ref="AF301" ca="1">MIN(100, MAX(0, (IF(R301="ESTUDIANTE", 31, 0)) + (IF(I301&lt;=3, 30, IF(I301&lt;=6, 20, 0))) +(IF(OR(E301="413 - Control de Costes y Enlace Construcción", E301="480 - Secretaría General del Consejo", E301="132 - Civil y estructuras", E301="136 - Mecánica", E301="412 - Planificación", E301="142 - Compras"), 25, 0)) +(IF(OR(S301="GRADO ING. MECÁNICA", S301="GRADO ING. ELÉCTRICA", S301="GRADO DERECHO", S301="GRADO ECONOMÍA", S301="GRADO ING. TECNOLOGÍAS INDUSTRIALES"), 24, 0)) + (IF(AND(K301&gt;=451, K301&lt;=700), 23, 0)) + (IF(AND(AB301&gt;=5, AB301&lt;=8), 17, 0)) +(IF(_xludf.OR(_xludf.AND(AC301&gt;=8, AC301&lt;=10), _xludf.AND(AC301&gt;=0, AC301&lt;=5)), 16, 0)) + (IF(F301="Madrid", 11, 0))))</f>
        <v>#NAME?</v>
      </c>
      <c r="AG301" s="68"/>
      <c r="AH301" s="71" t="s">
        <v>164</v>
      </c>
    </row>
    <row r="302" spans="1:34" ht="14.4" x14ac:dyDescent="0.3">
      <c r="A302" s="66" t="s">
        <v>1282</v>
      </c>
      <c r="B302" s="66" t="s">
        <v>3399</v>
      </c>
      <c r="C302" s="33">
        <v>303</v>
      </c>
      <c r="D302" s="33" t="s">
        <v>5399</v>
      </c>
      <c r="E302" s="34" t="s">
        <v>5266</v>
      </c>
      <c r="F302" s="34" t="s">
        <v>18</v>
      </c>
      <c r="G302" s="57">
        <v>41339</v>
      </c>
      <c r="H302" s="57">
        <v>41790</v>
      </c>
      <c r="I302" s="34">
        <f t="shared" si="12"/>
        <v>14</v>
      </c>
      <c r="J302" s="34">
        <v>40</v>
      </c>
      <c r="K302" s="36">
        <v>750</v>
      </c>
      <c r="L302" s="34" t="s">
        <v>29</v>
      </c>
      <c r="M302" s="57">
        <v>31180</v>
      </c>
      <c r="N302" s="37">
        <f>(YEAR(TablaMadre[[#This Row],[ALTA]])-YEAR(M302))</f>
        <v>28</v>
      </c>
      <c r="O302" s="34" t="s">
        <v>18</v>
      </c>
      <c r="P302" s="34" t="s">
        <v>19</v>
      </c>
      <c r="Q302" s="34" t="s">
        <v>228</v>
      </c>
      <c r="R302" s="34" t="s">
        <v>21</v>
      </c>
      <c r="S302" s="34" t="s">
        <v>189</v>
      </c>
      <c r="T302" s="34"/>
      <c r="U302" s="34"/>
      <c r="V302" s="34" t="s">
        <v>56</v>
      </c>
      <c r="W302" s="34" t="s">
        <v>127</v>
      </c>
      <c r="X302" s="38" t="s">
        <v>173</v>
      </c>
      <c r="Y302" s="62"/>
      <c r="Z302" s="38" t="e">
        <f t="shared" si="13"/>
        <v>#NUM!</v>
      </c>
      <c r="AA302" s="38"/>
      <c r="AB302" s="34"/>
      <c r="AC302" s="34"/>
      <c r="AD302" s="38"/>
      <c r="AE302" s="59" t="str">
        <f t="shared" si="14"/>
        <v>NO</v>
      </c>
      <c r="AF302" s="38" t="e" cm="1">
        <f t="array" aca="1" ref="AF302" ca="1">MIN(100, MAX(0, (IF(R302="ESTUDIANTE", 31, 0)) + (IF(I302&lt;=3, 30, IF(I302&lt;=6, 20, 0))) +(IF(OR(E302="413 - Control de Costes y Enlace Construcción", E302="480 - Secretaría General del Consejo", E302="132 - Civil y estructuras", E302="136 - Mecánica", E302="412 - Planificación", E302="142 - Compras"), 25, 0)) +(IF(OR(S302="GRADO ING. MECÁNICA", S302="GRADO ING. ELÉCTRICA", S302="GRADO DERECHO", S302="GRADO ECONOMÍA", S302="GRADO ING. TECNOLOGÍAS INDUSTRIALES"), 24, 0)) + (IF(AND(K302&gt;=451, K302&lt;=700), 23, 0)) + (IF(AND(AB302&gt;=5, AB302&lt;=8), 17, 0)) +(IF(_xludf.OR(_xludf.AND(AC302&gt;=8, AC302&lt;=10), _xludf.AND(AC302&gt;=0, AC302&lt;=5)), 16, 0)) + (IF(F302="Madrid", 11, 0))))</f>
        <v>#NAME?</v>
      </c>
      <c r="AG302" s="68"/>
      <c r="AH302" s="71" t="s">
        <v>164</v>
      </c>
    </row>
    <row r="303" spans="1:34" ht="14.4" x14ac:dyDescent="0.3">
      <c r="A303" s="66" t="s">
        <v>1283</v>
      </c>
      <c r="B303" s="66" t="s">
        <v>3400</v>
      </c>
      <c r="C303" s="33">
        <v>304</v>
      </c>
      <c r="D303" s="33" t="s">
        <v>5393</v>
      </c>
      <c r="E303" s="34" t="s">
        <v>5266</v>
      </c>
      <c r="F303" s="34" t="s">
        <v>18</v>
      </c>
      <c r="G303" s="57">
        <v>41339</v>
      </c>
      <c r="H303" s="57">
        <v>41790</v>
      </c>
      <c r="I303" s="34">
        <f t="shared" si="12"/>
        <v>14</v>
      </c>
      <c r="J303" s="34">
        <v>40</v>
      </c>
      <c r="K303" s="36">
        <v>800</v>
      </c>
      <c r="L303" s="34" t="s">
        <v>29</v>
      </c>
      <c r="M303" s="57">
        <v>32622</v>
      </c>
      <c r="N303" s="37">
        <f>(YEAR(TablaMadre[[#This Row],[ALTA]])-YEAR(M303))</f>
        <v>24</v>
      </c>
      <c r="O303" s="34" t="s">
        <v>118</v>
      </c>
      <c r="P303" s="34" t="s">
        <v>19</v>
      </c>
      <c r="Q303" s="34" t="s">
        <v>189</v>
      </c>
      <c r="R303" s="34" t="s">
        <v>21</v>
      </c>
      <c r="S303" s="34" t="s">
        <v>189</v>
      </c>
      <c r="T303" s="34"/>
      <c r="U303" s="34"/>
      <c r="V303" s="34" t="s">
        <v>119</v>
      </c>
      <c r="W303" s="34" t="s">
        <v>127</v>
      </c>
      <c r="X303" s="38" t="s">
        <v>164</v>
      </c>
      <c r="Y303" s="62">
        <v>43182</v>
      </c>
      <c r="Z303" s="38">
        <f t="shared" si="13"/>
        <v>3</v>
      </c>
      <c r="AA303" s="38"/>
      <c r="AB303" s="34"/>
      <c r="AC303" s="34"/>
      <c r="AD303" s="38"/>
      <c r="AE303" s="59" t="str">
        <f t="shared" si="14"/>
        <v>SÍ</v>
      </c>
      <c r="AF303" s="38" t="e" cm="1">
        <f t="array" aca="1" ref="AF303" ca="1">MIN(100, MAX(0, (IF(R303="ESTUDIANTE", 31, 0)) + (IF(I303&lt;=3, 30, IF(I303&lt;=6, 20, 0))) +(IF(OR(E303="413 - Control de Costes y Enlace Construcción", E303="480 - Secretaría General del Consejo", E303="132 - Civil y estructuras", E303="136 - Mecánica", E303="412 - Planificación", E303="142 - Compras"), 25, 0)) +(IF(OR(S303="GRADO ING. MECÁNICA", S303="GRADO ING. ELÉCTRICA", S303="GRADO DERECHO", S303="GRADO ECONOMÍA", S303="GRADO ING. TECNOLOGÍAS INDUSTRIALES"), 24, 0)) + (IF(AND(K303&gt;=451, K303&lt;=700), 23, 0)) + (IF(AND(AB303&gt;=5, AB303&lt;=8), 17, 0)) +(IF(_xludf.OR(_xludf.AND(AC303&gt;=8, AC303&lt;=10), _xludf.AND(AC303&gt;=0, AC303&lt;=5)), 16, 0)) + (IF(F303="Madrid", 11, 0))))</f>
        <v>#NAME?</v>
      </c>
      <c r="AG303" s="68"/>
      <c r="AH303" s="71" t="s">
        <v>164</v>
      </c>
    </row>
    <row r="304" spans="1:34" ht="14.4" x14ac:dyDescent="0.3">
      <c r="A304" s="66" t="s">
        <v>1301</v>
      </c>
      <c r="B304" s="66" t="s">
        <v>3418</v>
      </c>
      <c r="C304" s="33">
        <v>301</v>
      </c>
      <c r="D304" s="33" t="s">
        <v>5394</v>
      </c>
      <c r="E304" s="34" t="s">
        <v>5218</v>
      </c>
      <c r="F304" s="34" t="s">
        <v>18</v>
      </c>
      <c r="G304" s="57">
        <v>41339</v>
      </c>
      <c r="H304" s="57">
        <v>41790</v>
      </c>
      <c r="I304" s="34">
        <f t="shared" si="12"/>
        <v>14</v>
      </c>
      <c r="J304" s="34">
        <v>40</v>
      </c>
      <c r="K304" s="36">
        <v>900</v>
      </c>
      <c r="L304" s="34" t="s">
        <v>29</v>
      </c>
      <c r="M304" s="57">
        <v>31526</v>
      </c>
      <c r="N304" s="37">
        <f>(YEAR(TablaMadre[[#This Row],[ALTA]])-YEAR(M304))</f>
        <v>27</v>
      </c>
      <c r="O304" s="34" t="s">
        <v>18</v>
      </c>
      <c r="P304" s="34" t="s">
        <v>19</v>
      </c>
      <c r="Q304" s="34" t="s">
        <v>20</v>
      </c>
      <c r="R304" s="34" t="s">
        <v>21</v>
      </c>
      <c r="S304" s="34" t="s">
        <v>151</v>
      </c>
      <c r="T304" s="34"/>
      <c r="U304" s="34"/>
      <c r="V304" s="34" t="s">
        <v>22</v>
      </c>
      <c r="W304" s="34" t="s">
        <v>28</v>
      </c>
      <c r="X304" s="38" t="s">
        <v>173</v>
      </c>
      <c r="Y304" s="62"/>
      <c r="Z304" s="38" t="e">
        <f t="shared" si="13"/>
        <v>#NUM!</v>
      </c>
      <c r="AA304" s="38" t="s">
        <v>173</v>
      </c>
      <c r="AB304" s="34"/>
      <c r="AC304" s="34"/>
      <c r="AD304" s="38"/>
      <c r="AE304" s="59" t="str">
        <f t="shared" si="14"/>
        <v>NO</v>
      </c>
      <c r="AF304" s="38" t="e" cm="1">
        <f t="array" aca="1" ref="AF304" ca="1">MIN(100, MAX(0, (IF(R304="ESTUDIANTE", 31, 0)) + (IF(I304&lt;=3, 30, IF(I304&lt;=6, 20, 0))) +(IF(OR(E304="413 - Control de Costes y Enlace Construcción", E304="480 - Secretaría General del Consejo", E304="132 - Civil y estructuras", E304="136 - Mecánica", E304="412 - Planificación", E304="142 - Compras"), 25, 0)) +(IF(OR(S304="GRADO ING. MECÁNICA", S304="GRADO ING. ELÉCTRICA", S304="GRADO DERECHO", S304="GRADO ECONOMÍA", S304="GRADO ING. TECNOLOGÍAS INDUSTRIALES"), 24, 0)) + (IF(AND(K304&gt;=451, K304&lt;=700), 23, 0)) + (IF(AND(AB304&gt;=5, AB304&lt;=8), 17, 0)) +(IF(_xludf.OR(_xludf.AND(AC304&gt;=8, AC304&lt;=10), _xludf.AND(AC304&gt;=0, AC304&lt;=5)), 16, 0)) + (IF(F304="Madrid", 11, 0))))</f>
        <v>#NAME?</v>
      </c>
      <c r="AG304" s="68"/>
      <c r="AH304" s="71" t="s">
        <v>164</v>
      </c>
    </row>
    <row r="305" spans="1:34" ht="14.4" x14ac:dyDescent="0.3">
      <c r="A305" s="66" t="s">
        <v>1284</v>
      </c>
      <c r="B305" s="66" t="s">
        <v>3401</v>
      </c>
      <c r="C305" s="33">
        <v>305</v>
      </c>
      <c r="D305" s="33" t="s">
        <v>5395</v>
      </c>
      <c r="E305" s="34" t="s">
        <v>5222</v>
      </c>
      <c r="F305" s="34" t="s">
        <v>18</v>
      </c>
      <c r="G305" s="57">
        <v>41340</v>
      </c>
      <c r="H305" s="57">
        <v>41784</v>
      </c>
      <c r="I305" s="34">
        <f t="shared" si="12"/>
        <v>14</v>
      </c>
      <c r="J305" s="34">
        <v>40</v>
      </c>
      <c r="K305" s="36">
        <v>900</v>
      </c>
      <c r="L305" s="34" t="s">
        <v>29</v>
      </c>
      <c r="M305" s="57">
        <v>33387</v>
      </c>
      <c r="N305" s="37">
        <f>(YEAR(TablaMadre[[#This Row],[ALTA]])-YEAR(M305))</f>
        <v>22</v>
      </c>
      <c r="O305" s="34" t="s">
        <v>185</v>
      </c>
      <c r="P305" s="34" t="s">
        <v>19</v>
      </c>
      <c r="Q305" s="34" t="s">
        <v>39</v>
      </c>
      <c r="R305" s="34" t="s">
        <v>21</v>
      </c>
      <c r="S305" s="34" t="s">
        <v>960</v>
      </c>
      <c r="T305" s="34"/>
      <c r="U305" s="34"/>
      <c r="V305" s="34" t="s">
        <v>40</v>
      </c>
      <c r="W305" s="34" t="s">
        <v>28</v>
      </c>
      <c r="X305" s="34" t="s">
        <v>164</v>
      </c>
      <c r="Y305" s="57">
        <v>44858</v>
      </c>
      <c r="Z305" s="34">
        <f t="shared" si="13"/>
        <v>8</v>
      </c>
      <c r="AA305" s="34"/>
      <c r="AB305" s="34"/>
      <c r="AC305" s="34"/>
      <c r="AD305" s="34"/>
      <c r="AE305" s="59" t="str">
        <f t="shared" si="14"/>
        <v>SÍ</v>
      </c>
      <c r="AF305" s="38" t="e" cm="1">
        <f t="array" aca="1" ref="AF305" ca="1">MIN(100, MAX(0, (IF(R305="ESTUDIANTE", 31, 0)) + (IF(I305&lt;=3, 30, IF(I305&lt;=6, 20, 0))) +(IF(OR(E305="413 - Control de Costes y Enlace Construcción", E305="480 - Secretaría General del Consejo", E305="132 - Civil y estructuras", E305="136 - Mecánica", E305="412 - Planificación", E305="142 - Compras"), 25, 0)) +(IF(OR(S305="GRADO ING. MECÁNICA", S305="GRADO ING. ELÉCTRICA", S305="GRADO DERECHO", S305="GRADO ECONOMÍA", S305="GRADO ING. TECNOLOGÍAS INDUSTRIALES"), 24, 0)) + (IF(AND(K305&gt;=451, K305&lt;=700), 23, 0)) + (IF(AND(AB305&gt;=5, AB305&lt;=8), 17, 0)) +(IF(_xludf.OR(_xludf.AND(AC305&gt;=8, AC305&lt;=10), _xludf.AND(AC305&gt;=0, AC305&lt;=5)), 16, 0)) + (IF(F305="Madrid", 11, 0))))</f>
        <v>#NAME?</v>
      </c>
      <c r="AG305" s="68"/>
      <c r="AH305" s="71" t="s">
        <v>164</v>
      </c>
    </row>
    <row r="306" spans="1:34" s="4" customFormat="1" ht="14.4" x14ac:dyDescent="0.3">
      <c r="A306" s="66" t="s">
        <v>1285</v>
      </c>
      <c r="B306" s="66" t="s">
        <v>3402</v>
      </c>
      <c r="C306" s="33">
        <v>306</v>
      </c>
      <c r="D306" s="33" t="s">
        <v>5396</v>
      </c>
      <c r="E306" s="34" t="s">
        <v>5222</v>
      </c>
      <c r="F306" s="34" t="s">
        <v>18</v>
      </c>
      <c r="G306" s="57">
        <v>41340</v>
      </c>
      <c r="H306" s="57">
        <v>41820</v>
      </c>
      <c r="I306" s="34">
        <f t="shared" si="12"/>
        <v>15</v>
      </c>
      <c r="J306" s="34">
        <v>40</v>
      </c>
      <c r="K306" s="36">
        <v>900</v>
      </c>
      <c r="L306" s="34" t="s">
        <v>17</v>
      </c>
      <c r="M306" s="57">
        <v>33404</v>
      </c>
      <c r="N306" s="37">
        <f>(YEAR(TablaMadre[[#This Row],[ALTA]])-YEAR(M306))</f>
        <v>22</v>
      </c>
      <c r="O306" s="34" t="s">
        <v>18</v>
      </c>
      <c r="P306" s="34" t="s">
        <v>19</v>
      </c>
      <c r="Q306" s="34" t="s">
        <v>49</v>
      </c>
      <c r="R306" s="34" t="s">
        <v>21</v>
      </c>
      <c r="S306" s="34" t="s">
        <v>297</v>
      </c>
      <c r="T306" s="34"/>
      <c r="U306" s="34"/>
      <c r="V306" s="34" t="s">
        <v>56</v>
      </c>
      <c r="W306" s="34" t="s">
        <v>28</v>
      </c>
      <c r="X306" s="38" t="s">
        <v>164</v>
      </c>
      <c r="Y306" s="62">
        <v>42943</v>
      </c>
      <c r="Z306" s="38">
        <f t="shared" si="13"/>
        <v>3</v>
      </c>
      <c r="AA306" s="38"/>
      <c r="AB306" s="34"/>
      <c r="AC306" s="34"/>
      <c r="AD306" s="38"/>
      <c r="AE306" s="59" t="str">
        <f t="shared" si="14"/>
        <v>NO</v>
      </c>
      <c r="AF306" s="34" t="e" cm="1">
        <f t="array" aca="1" ref="AF306" ca="1">MIN(100, MAX(0, (IF(R306="ESTUDIANTE", 31, 0)) + (IF(I306&lt;=3, 30, IF(I306&lt;=6, 20, 0))) +(IF(OR(E306="413 - Control de Costes y Enlace Construcción", E306="480 - Secretaría General del Consejo", E306="132 - Civil y estructuras", E306="136 - Mecánica", E306="412 - Planificación", E306="142 - Compras"), 25, 0)) +(IF(OR(S306="GRADO ING. MECÁNICA", S306="GRADO ING. ELÉCTRICA", S306="GRADO DERECHO", S306="GRADO ECONOMÍA", S306="GRADO ING. TECNOLOGÍAS INDUSTRIALES"), 24, 0)) + (IF(AND(K306&gt;=451, K306&lt;=700), 23, 0)) + (IF(AND(AB306&gt;=5, AB306&lt;=8), 17, 0)) +(IF(_xludf.OR(_xludf.AND(AC306&gt;=8, AC306&lt;=10), _xludf.AND(AC306&gt;=0, AC306&lt;=5)), 16, 0)) + (IF(F306="Madrid", 11, 0))))</f>
        <v>#NAME?</v>
      </c>
      <c r="AG306" s="69"/>
      <c r="AH306" s="71" t="s">
        <v>164</v>
      </c>
    </row>
    <row r="307" spans="1:34" ht="14.4" x14ac:dyDescent="0.3">
      <c r="A307" s="66" t="s">
        <v>1286</v>
      </c>
      <c r="B307" s="66" t="s">
        <v>3403</v>
      </c>
      <c r="C307" s="33">
        <v>307</v>
      </c>
      <c r="D307" s="33" t="s">
        <v>5397</v>
      </c>
      <c r="E307" s="34" t="s">
        <v>5234</v>
      </c>
      <c r="F307" s="34" t="s">
        <v>18</v>
      </c>
      <c r="G307" s="57">
        <v>41343</v>
      </c>
      <c r="H307" s="57">
        <v>41680</v>
      </c>
      <c r="I307" s="34">
        <f t="shared" si="12"/>
        <v>11</v>
      </c>
      <c r="J307" s="34">
        <v>40</v>
      </c>
      <c r="K307" s="36">
        <v>800</v>
      </c>
      <c r="L307" s="34" t="s">
        <v>17</v>
      </c>
      <c r="M307" s="57">
        <v>33114</v>
      </c>
      <c r="N307" s="37">
        <f>(YEAR(TablaMadre[[#This Row],[ALTA]])-YEAR(M307))</f>
        <v>23</v>
      </c>
      <c r="O307" s="34" t="s">
        <v>18</v>
      </c>
      <c r="P307" s="34" t="s">
        <v>19</v>
      </c>
      <c r="Q307" s="34" t="s">
        <v>243</v>
      </c>
      <c r="R307" s="34" t="s">
        <v>21</v>
      </c>
      <c r="S307" s="34" t="s">
        <v>291</v>
      </c>
      <c r="T307" s="34"/>
      <c r="U307" s="34"/>
      <c r="V307" s="34" t="s">
        <v>56</v>
      </c>
      <c r="W307" s="34" t="s">
        <v>28</v>
      </c>
      <c r="X307" s="38" t="s">
        <v>164</v>
      </c>
      <c r="Y307" s="62">
        <v>43085</v>
      </c>
      <c r="Z307" s="38">
        <f t="shared" si="13"/>
        <v>3</v>
      </c>
      <c r="AA307" s="38"/>
      <c r="AB307" s="34"/>
      <c r="AC307" s="34"/>
      <c r="AD307" s="38"/>
      <c r="AE307" s="59" t="str">
        <f t="shared" si="14"/>
        <v>NO</v>
      </c>
      <c r="AF307" s="38" t="e" cm="1">
        <f t="array" aca="1" ref="AF307" ca="1">MIN(100, MAX(0, (IF(R307="ESTUDIANTE", 31, 0)) + (IF(I307&lt;=3, 30, IF(I307&lt;=6, 20, 0))) +(IF(OR(E307="413 - Control de Costes y Enlace Construcción", E307="480 - Secretaría General del Consejo", E307="132 - Civil y estructuras", E307="136 - Mecánica", E307="412 - Planificación", E307="142 - Compras"), 25, 0)) +(IF(OR(S307="GRADO ING. MECÁNICA", S307="GRADO ING. ELÉCTRICA", S307="GRADO DERECHO", S307="GRADO ECONOMÍA", S307="GRADO ING. TECNOLOGÍAS INDUSTRIALES"), 24, 0)) + (IF(AND(K307&gt;=451, K307&lt;=700), 23, 0)) + (IF(AND(AB307&gt;=5, AB307&lt;=8), 17, 0)) +(IF(_xludf.OR(_xludf.AND(AC307&gt;=8, AC307&lt;=10), _xludf.AND(AC307&gt;=0, AC307&lt;=5)), 16, 0)) + (IF(F307="Madrid", 11, 0))))</f>
        <v>#NAME?</v>
      </c>
      <c r="AG307" s="68"/>
      <c r="AH307" s="71" t="s">
        <v>164</v>
      </c>
    </row>
    <row r="308" spans="1:34" ht="14.4" x14ac:dyDescent="0.3">
      <c r="A308" s="66" t="s">
        <v>1287</v>
      </c>
      <c r="B308" s="66" t="s">
        <v>3404</v>
      </c>
      <c r="C308" s="33">
        <v>308</v>
      </c>
      <c r="D308" s="33" t="s">
        <v>5398</v>
      </c>
      <c r="E308" s="34" t="s">
        <v>5218</v>
      </c>
      <c r="F308" s="34" t="s">
        <v>18</v>
      </c>
      <c r="G308" s="57">
        <v>41346</v>
      </c>
      <c r="H308" s="57">
        <v>41806</v>
      </c>
      <c r="I308" s="34">
        <f t="shared" si="12"/>
        <v>15</v>
      </c>
      <c r="J308" s="34">
        <v>40</v>
      </c>
      <c r="K308" s="36">
        <v>900</v>
      </c>
      <c r="L308" s="34" t="s">
        <v>17</v>
      </c>
      <c r="M308" s="57">
        <v>32959</v>
      </c>
      <c r="N308" s="37">
        <f>(YEAR(TablaMadre[[#This Row],[ALTA]])-YEAR(M308))</f>
        <v>23</v>
      </c>
      <c r="O308" s="34" t="s">
        <v>18</v>
      </c>
      <c r="P308" s="34" t="s">
        <v>19</v>
      </c>
      <c r="Q308" s="34" t="s">
        <v>20</v>
      </c>
      <c r="R308" s="34" t="s">
        <v>21</v>
      </c>
      <c r="S308" s="34" t="s">
        <v>151</v>
      </c>
      <c r="T308" s="34"/>
      <c r="U308" s="34"/>
      <c r="V308" s="34" t="s">
        <v>69</v>
      </c>
      <c r="W308" s="34" t="s">
        <v>28</v>
      </c>
      <c r="X308" s="38" t="s">
        <v>164</v>
      </c>
      <c r="Y308" s="62">
        <v>42300</v>
      </c>
      <c r="Z308" s="38">
        <f t="shared" si="13"/>
        <v>1</v>
      </c>
      <c r="AA308" s="38"/>
      <c r="AB308" s="34"/>
      <c r="AC308" s="34"/>
      <c r="AD308" s="38"/>
      <c r="AE308" s="59" t="str">
        <f t="shared" si="14"/>
        <v>NO</v>
      </c>
      <c r="AF308" s="38" t="e" cm="1">
        <f t="array" aca="1" ref="AF308" ca="1">MIN(100, MAX(0, (IF(R308="ESTUDIANTE", 31, 0)) + (IF(I308&lt;=3, 30, IF(I308&lt;=6, 20, 0))) +(IF(OR(E308="413 - Control de Costes y Enlace Construcción", E308="480 - Secretaría General del Consejo", E308="132 - Civil y estructuras", E308="136 - Mecánica", E308="412 - Planificación", E308="142 - Compras"), 25, 0)) +(IF(OR(S308="GRADO ING. MECÁNICA", S308="GRADO ING. ELÉCTRICA", S308="GRADO DERECHO", S308="GRADO ECONOMÍA", S308="GRADO ING. TECNOLOGÍAS INDUSTRIALES"), 24, 0)) + (IF(AND(K308&gt;=451, K308&lt;=700), 23, 0)) + (IF(AND(AB308&gt;=5, AB308&lt;=8), 17, 0)) +(IF(_xludf.OR(_xludf.AND(AC308&gt;=8, AC308&lt;=10), _xludf.AND(AC308&gt;=0, AC308&lt;=5)), 16, 0)) + (IF(F308="Madrid", 11, 0))))</f>
        <v>#NAME?</v>
      </c>
      <c r="AG308" s="68"/>
      <c r="AH308" s="71" t="s">
        <v>164</v>
      </c>
    </row>
    <row r="309" spans="1:34" ht="14.4" x14ac:dyDescent="0.3">
      <c r="A309" s="66" t="s">
        <v>1245</v>
      </c>
      <c r="B309" s="66" t="s">
        <v>3362</v>
      </c>
      <c r="C309" s="33">
        <v>310</v>
      </c>
      <c r="D309" s="33" t="s">
        <v>5399</v>
      </c>
      <c r="E309" s="34" t="s">
        <v>5231</v>
      </c>
      <c r="F309" s="34" t="s">
        <v>18</v>
      </c>
      <c r="G309" s="57">
        <v>41352</v>
      </c>
      <c r="H309" s="57">
        <v>41438</v>
      </c>
      <c r="I309" s="34">
        <f t="shared" si="12"/>
        <v>2</v>
      </c>
      <c r="J309" s="34">
        <v>35</v>
      </c>
      <c r="K309" s="36">
        <v>395</v>
      </c>
      <c r="L309" s="34" t="s">
        <v>17</v>
      </c>
      <c r="M309" s="57">
        <v>32612</v>
      </c>
      <c r="N309" s="37">
        <f>(YEAR(TablaMadre[[#This Row],[ALTA]])-YEAR(M309))</f>
        <v>24</v>
      </c>
      <c r="O309" s="34" t="s">
        <v>18</v>
      </c>
      <c r="P309" s="34" t="s">
        <v>19</v>
      </c>
      <c r="Q309" s="34" t="s">
        <v>196</v>
      </c>
      <c r="R309" s="58" t="s">
        <v>30</v>
      </c>
      <c r="S309" s="34" t="s">
        <v>26</v>
      </c>
      <c r="T309" s="34"/>
      <c r="U309" s="34"/>
      <c r="V309" s="34" t="s">
        <v>27</v>
      </c>
      <c r="W309" s="34" t="s">
        <v>23</v>
      </c>
      <c r="X309" s="38" t="s">
        <v>164</v>
      </c>
      <c r="Y309" s="62"/>
      <c r="Z309" s="62" t="e">
        <f t="shared" si="13"/>
        <v>#NUM!</v>
      </c>
      <c r="AA309" s="62"/>
      <c r="AB309" s="34"/>
      <c r="AC309" s="34"/>
      <c r="AD309" s="38"/>
      <c r="AE309" s="59" t="str">
        <f t="shared" si="14"/>
        <v>NO</v>
      </c>
      <c r="AF309" s="38" t="e" cm="1">
        <f t="array" aca="1" ref="AF309" ca="1">MIN(100, MAX(0, (IF(R309="ESTUDIANTE", 31, 0)) + (IF(I309&lt;=3, 30, IF(I309&lt;=6, 20, 0))) +(IF(OR(E309="413 - Control de Costes y Enlace Construcción", E309="480 - Secretaría General del Consejo", E309="132 - Civil y estructuras", E309="136 - Mecánica", E309="412 - Planificación", E309="142 - Compras"), 25, 0)) +(IF(OR(S309="GRADO ING. MECÁNICA", S309="GRADO ING. ELÉCTRICA", S309="GRADO DERECHO", S309="GRADO ECONOMÍA", S309="GRADO ING. TECNOLOGÍAS INDUSTRIALES"), 24, 0)) + (IF(AND(K309&gt;=451, K309&lt;=700), 23, 0)) + (IF(AND(AB309&gt;=5, AB309&lt;=8), 17, 0)) +(IF(_xludf.OR(_xludf.AND(AC309&gt;=8, AC309&lt;=10), _xludf.AND(AC309&gt;=0, AC309&lt;=5)), 16, 0)) + (IF(F309="Madrid", 11, 0))))</f>
        <v>#NAME?</v>
      </c>
      <c r="AG309" s="68"/>
      <c r="AH309" s="71" t="s">
        <v>164</v>
      </c>
    </row>
    <row r="310" spans="1:34" ht="14.4" x14ac:dyDescent="0.3">
      <c r="A310" s="66" t="s">
        <v>1246</v>
      </c>
      <c r="B310" s="66" t="s">
        <v>3363</v>
      </c>
      <c r="C310" s="33">
        <v>309</v>
      </c>
      <c r="D310" s="33" t="s">
        <v>5400</v>
      </c>
      <c r="E310" s="34" t="s">
        <v>5231</v>
      </c>
      <c r="F310" s="34" t="s">
        <v>18</v>
      </c>
      <c r="G310" s="57">
        <v>41352</v>
      </c>
      <c r="H310" s="57">
        <v>41432</v>
      </c>
      <c r="I310" s="34">
        <f t="shared" si="12"/>
        <v>2</v>
      </c>
      <c r="J310" s="34">
        <v>40</v>
      </c>
      <c r="K310" s="36">
        <v>450</v>
      </c>
      <c r="L310" s="34" t="s">
        <v>17</v>
      </c>
      <c r="M310" s="57">
        <v>33589</v>
      </c>
      <c r="N310" s="37">
        <f>(YEAR(TablaMadre[[#This Row],[ALTA]])-YEAR(M310))</f>
        <v>22</v>
      </c>
      <c r="O310" s="34" t="s">
        <v>18</v>
      </c>
      <c r="P310" s="34" t="s">
        <v>19</v>
      </c>
      <c r="Q310" s="34" t="s">
        <v>196</v>
      </c>
      <c r="R310" s="58" t="s">
        <v>30</v>
      </c>
      <c r="S310" s="34" t="s">
        <v>26</v>
      </c>
      <c r="T310" s="34"/>
      <c r="U310" s="34"/>
      <c r="V310" s="34" t="s">
        <v>27</v>
      </c>
      <c r="W310" s="34" t="s">
        <v>183</v>
      </c>
      <c r="X310" s="38" t="s">
        <v>164</v>
      </c>
      <c r="Y310" s="62"/>
      <c r="Z310" s="62" t="e">
        <f t="shared" si="13"/>
        <v>#NUM!</v>
      </c>
      <c r="AA310" s="62"/>
      <c r="AB310" s="34"/>
      <c r="AC310" s="34"/>
      <c r="AD310" s="38"/>
      <c r="AE310" s="59" t="str">
        <f t="shared" si="14"/>
        <v>NO</v>
      </c>
      <c r="AF310" s="38" t="e" cm="1">
        <f t="array" aca="1" ref="AF310" ca="1">MIN(100, MAX(0, (IF(R310="ESTUDIANTE", 31, 0)) + (IF(I310&lt;=3, 30, IF(I310&lt;=6, 20, 0))) +(IF(OR(E310="413 - Control de Costes y Enlace Construcción", E310="480 - Secretaría General del Consejo", E310="132 - Civil y estructuras", E310="136 - Mecánica", E310="412 - Planificación", E310="142 - Compras"), 25, 0)) +(IF(OR(S310="GRADO ING. MECÁNICA", S310="GRADO ING. ELÉCTRICA", S310="GRADO DERECHO", S310="GRADO ECONOMÍA", S310="GRADO ING. TECNOLOGÍAS INDUSTRIALES"), 24, 0)) + (IF(AND(K310&gt;=451, K310&lt;=700), 23, 0)) + (IF(AND(AB310&gt;=5, AB310&lt;=8), 17, 0)) +(IF(_xludf.OR(_xludf.AND(AC310&gt;=8, AC310&lt;=10), _xludf.AND(AC310&gt;=0, AC310&lt;=5)), 16, 0)) + (IF(F310="Madrid", 11, 0))))</f>
        <v>#NAME?</v>
      </c>
      <c r="AG310" s="68"/>
      <c r="AH310" s="71" t="s">
        <v>164</v>
      </c>
    </row>
    <row r="311" spans="1:34" ht="14.4" x14ac:dyDescent="0.3">
      <c r="A311" s="66" t="s">
        <v>1259</v>
      </c>
      <c r="B311" s="66" t="s">
        <v>3376</v>
      </c>
      <c r="C311" s="33">
        <v>311</v>
      </c>
      <c r="D311" s="33" t="s">
        <v>5401</v>
      </c>
      <c r="E311" s="34" t="s">
        <v>5233</v>
      </c>
      <c r="F311" s="34" t="s">
        <v>18</v>
      </c>
      <c r="G311" s="57">
        <v>41358</v>
      </c>
      <c r="H311" s="57">
        <v>41547</v>
      </c>
      <c r="I311" s="34">
        <f t="shared" si="12"/>
        <v>6</v>
      </c>
      <c r="J311" s="34">
        <v>40</v>
      </c>
      <c r="K311" s="36">
        <v>650</v>
      </c>
      <c r="L311" s="34" t="s">
        <v>17</v>
      </c>
      <c r="M311" s="57">
        <v>32861</v>
      </c>
      <c r="N311" s="37">
        <f>(YEAR(TablaMadre[[#This Row],[ALTA]])-YEAR(M311))</f>
        <v>24</v>
      </c>
      <c r="O311" s="34" t="s">
        <v>197</v>
      </c>
      <c r="P311" s="34" t="s">
        <v>197</v>
      </c>
      <c r="Q311" s="34" t="s">
        <v>63</v>
      </c>
      <c r="R311" s="58" t="s">
        <v>30</v>
      </c>
      <c r="S311" s="34" t="s">
        <v>297</v>
      </c>
      <c r="T311" s="34"/>
      <c r="U311" s="34"/>
      <c r="V311" s="34" t="s">
        <v>56</v>
      </c>
      <c r="W311" s="34" t="s">
        <v>23</v>
      </c>
      <c r="X311" s="38" t="s">
        <v>164</v>
      </c>
      <c r="Y311" s="62"/>
      <c r="Z311" s="62" t="e">
        <f t="shared" si="13"/>
        <v>#NUM!</v>
      </c>
      <c r="AA311" s="62"/>
      <c r="AB311" s="34"/>
      <c r="AC311" s="34"/>
      <c r="AD311" s="38"/>
      <c r="AE311" s="59" t="str">
        <f t="shared" si="14"/>
        <v>SÍ</v>
      </c>
      <c r="AF311" s="38" t="e" cm="1">
        <f t="array" aca="1" ref="AF311" ca="1">MIN(100, MAX(0, (IF(R311="ESTUDIANTE", 31, 0)) + (IF(I311&lt;=3, 30, IF(I311&lt;=6, 20, 0))) +(IF(OR(E311="413 - Control de Costes y Enlace Construcción", E311="480 - Secretaría General del Consejo", E311="132 - Civil y estructuras", E311="136 - Mecánica", E311="412 - Planificación", E311="142 - Compras"), 25, 0)) +(IF(OR(S311="GRADO ING. MECÁNICA", S311="GRADO ING. ELÉCTRICA", S311="GRADO DERECHO", S311="GRADO ECONOMÍA", S311="GRADO ING. TECNOLOGÍAS INDUSTRIALES"), 24, 0)) + (IF(AND(K311&gt;=451, K311&lt;=700), 23, 0)) + (IF(AND(AB311&gt;=5, AB311&lt;=8), 17, 0)) +(IF(_xludf.OR(_xludf.AND(AC311&gt;=8, AC311&lt;=10), _xludf.AND(AC311&gt;=0, AC311&lt;=5)), 16, 0)) + (IF(F311="Madrid", 11, 0))))</f>
        <v>#NAME?</v>
      </c>
      <c r="AG311" s="68"/>
      <c r="AH311" s="71" t="s">
        <v>164</v>
      </c>
    </row>
    <row r="312" spans="1:34" ht="14.4" x14ac:dyDescent="0.3">
      <c r="A312" s="66" t="s">
        <v>1292</v>
      </c>
      <c r="B312" s="66" t="s">
        <v>3409</v>
      </c>
      <c r="C312" s="33">
        <v>313</v>
      </c>
      <c r="D312" s="33" t="s">
        <v>5402</v>
      </c>
      <c r="E312" s="34" t="s">
        <v>5215</v>
      </c>
      <c r="F312" s="34" t="s">
        <v>118</v>
      </c>
      <c r="G312" s="57">
        <v>41366</v>
      </c>
      <c r="H312" s="57">
        <v>41700</v>
      </c>
      <c r="I312" s="34">
        <f t="shared" si="12"/>
        <v>11</v>
      </c>
      <c r="J312" s="34">
        <v>40</v>
      </c>
      <c r="K312" s="36">
        <v>900</v>
      </c>
      <c r="L312" s="34" t="s">
        <v>17</v>
      </c>
      <c r="M312" s="57">
        <v>33500</v>
      </c>
      <c r="N312" s="37">
        <f>(YEAR(TablaMadre[[#This Row],[ALTA]])-YEAR(M312))</f>
        <v>22</v>
      </c>
      <c r="O312" s="34" t="s">
        <v>118</v>
      </c>
      <c r="P312" s="34" t="s">
        <v>19</v>
      </c>
      <c r="Q312" s="34" t="s">
        <v>20</v>
      </c>
      <c r="R312" s="34" t="s">
        <v>21</v>
      </c>
      <c r="S312" s="34" t="s">
        <v>151</v>
      </c>
      <c r="T312" s="34"/>
      <c r="U312" s="34"/>
      <c r="V312" s="34" t="s">
        <v>193</v>
      </c>
      <c r="W312" s="34" t="s">
        <v>28</v>
      </c>
      <c r="X312" s="38" t="s">
        <v>173</v>
      </c>
      <c r="Y312" s="62"/>
      <c r="Z312" s="38" t="e">
        <f t="shared" si="13"/>
        <v>#NUM!</v>
      </c>
      <c r="AA312" s="38"/>
      <c r="AB312" s="34"/>
      <c r="AC312" s="34"/>
      <c r="AD312" s="38"/>
      <c r="AE312" s="59" t="str">
        <f t="shared" si="14"/>
        <v>NO</v>
      </c>
      <c r="AF312" s="38" t="e" cm="1">
        <f t="array" aca="1" ref="AF312" ca="1">MIN(100, MAX(0, (IF(R312="ESTUDIANTE", 31, 0)) + (IF(I312&lt;=3, 30, IF(I312&lt;=6, 20, 0))) +(IF(OR(E312="413 - Control de Costes y Enlace Construcción", E312="480 - Secretaría General del Consejo", E312="132 - Civil y estructuras", E312="136 - Mecánica", E312="412 - Planificación", E312="142 - Compras"), 25, 0)) +(IF(OR(S312="GRADO ING. MECÁNICA", S312="GRADO ING. ELÉCTRICA", S312="GRADO DERECHO", S312="GRADO ECONOMÍA", S312="GRADO ING. TECNOLOGÍAS INDUSTRIALES"), 24, 0)) + (IF(AND(K312&gt;=451, K312&lt;=700), 23, 0)) + (IF(AND(AB312&gt;=5, AB312&lt;=8), 17, 0)) +(IF(_xludf.OR(_xludf.AND(AC312&gt;=8, AC312&lt;=10), _xludf.AND(AC312&gt;=0, AC312&lt;=5)), 16, 0)) + (IF(F312="Madrid", 11, 0))))</f>
        <v>#NAME?</v>
      </c>
      <c r="AG312" s="68"/>
      <c r="AH312" s="71" t="s">
        <v>164</v>
      </c>
    </row>
    <row r="313" spans="1:34" ht="14.4" x14ac:dyDescent="0.3">
      <c r="A313" s="66" t="s">
        <v>1293</v>
      </c>
      <c r="B313" s="66" t="s">
        <v>3410</v>
      </c>
      <c r="C313" s="33">
        <v>314</v>
      </c>
      <c r="D313" s="33" t="s">
        <v>5393</v>
      </c>
      <c r="E313" s="34" t="s">
        <v>5231</v>
      </c>
      <c r="F313" s="34" t="s">
        <v>18</v>
      </c>
      <c r="G313" s="57">
        <v>41366</v>
      </c>
      <c r="H313" s="57">
        <v>41700</v>
      </c>
      <c r="I313" s="34">
        <f t="shared" si="12"/>
        <v>11</v>
      </c>
      <c r="J313" s="34">
        <v>40</v>
      </c>
      <c r="K313" s="36">
        <v>900</v>
      </c>
      <c r="L313" s="34" t="s">
        <v>17</v>
      </c>
      <c r="M313" s="57">
        <v>33310</v>
      </c>
      <c r="N313" s="37">
        <f>(YEAR(TablaMadre[[#This Row],[ALTA]])-YEAR(M313))</f>
        <v>22</v>
      </c>
      <c r="O313" s="34" t="s">
        <v>153</v>
      </c>
      <c r="P313" s="34" t="s">
        <v>19</v>
      </c>
      <c r="Q313" s="34" t="s">
        <v>89</v>
      </c>
      <c r="R313" s="34" t="s">
        <v>21</v>
      </c>
      <c r="S313" s="34" t="s">
        <v>384</v>
      </c>
      <c r="T313" s="34"/>
      <c r="U313" s="34"/>
      <c r="V313" s="34" t="s">
        <v>90</v>
      </c>
      <c r="W313" s="34" t="s">
        <v>28</v>
      </c>
      <c r="X313" s="34" t="s">
        <v>173</v>
      </c>
      <c r="Y313" s="57"/>
      <c r="Z313" s="34" t="e">
        <f t="shared" si="13"/>
        <v>#NUM!</v>
      </c>
      <c r="AA313" s="34"/>
      <c r="AB313" s="34"/>
      <c r="AC313" s="34"/>
      <c r="AD313" s="34"/>
      <c r="AE313" s="59" t="str">
        <f t="shared" si="14"/>
        <v>SÍ</v>
      </c>
      <c r="AF313" s="38" t="e" cm="1">
        <f t="array" aca="1" ref="AF313" ca="1">MIN(100, MAX(0, (IF(R313="ESTUDIANTE", 31, 0)) + (IF(I313&lt;=3, 30, IF(I313&lt;=6, 20, 0))) +(IF(OR(E313="413 - Control de Costes y Enlace Construcción", E313="480 - Secretaría General del Consejo", E313="132 - Civil y estructuras", E313="136 - Mecánica", E313="412 - Planificación", E313="142 - Compras"), 25, 0)) +(IF(OR(S313="GRADO ING. MECÁNICA", S313="GRADO ING. ELÉCTRICA", S313="GRADO DERECHO", S313="GRADO ECONOMÍA", S313="GRADO ING. TECNOLOGÍAS INDUSTRIALES"), 24, 0)) + (IF(AND(K313&gt;=451, K313&lt;=700), 23, 0)) + (IF(AND(AB313&gt;=5, AB313&lt;=8), 17, 0)) +(IF(_xludf.OR(_xludf.AND(AC313&gt;=8, AC313&lt;=10), _xludf.AND(AC313&gt;=0, AC313&lt;=5)), 16, 0)) + (IF(F313="Madrid", 11, 0))))</f>
        <v>#NAME?</v>
      </c>
      <c r="AG313" s="68"/>
      <c r="AH313" s="71" t="s">
        <v>164</v>
      </c>
    </row>
    <row r="314" spans="1:34" ht="14.4" x14ac:dyDescent="0.3">
      <c r="A314" s="66" t="s">
        <v>1294</v>
      </c>
      <c r="B314" s="66" t="s">
        <v>3411</v>
      </c>
      <c r="C314" s="33">
        <v>315</v>
      </c>
      <c r="D314" s="33" t="s">
        <v>5394</v>
      </c>
      <c r="E314" s="34" t="s">
        <v>5226</v>
      </c>
      <c r="F314" s="34" t="s">
        <v>118</v>
      </c>
      <c r="G314" s="57">
        <v>41366</v>
      </c>
      <c r="H314" s="57">
        <v>41700</v>
      </c>
      <c r="I314" s="34">
        <f t="shared" si="12"/>
        <v>11</v>
      </c>
      <c r="J314" s="34">
        <v>40</v>
      </c>
      <c r="K314" s="36">
        <v>700</v>
      </c>
      <c r="L314" s="34" t="s">
        <v>17</v>
      </c>
      <c r="M314" s="57">
        <v>32498</v>
      </c>
      <c r="N314" s="37">
        <f>(YEAR(TablaMadre[[#This Row],[ALTA]])-YEAR(M314))</f>
        <v>25</v>
      </c>
      <c r="O314" s="34" t="s">
        <v>525</v>
      </c>
      <c r="P314" s="34" t="s">
        <v>19</v>
      </c>
      <c r="Q314" s="34" t="s">
        <v>101</v>
      </c>
      <c r="R314" s="58" t="s">
        <v>30</v>
      </c>
      <c r="S314" s="34" t="s">
        <v>26</v>
      </c>
      <c r="T314" s="34"/>
      <c r="U314" s="34"/>
      <c r="V314" s="34" t="s">
        <v>27</v>
      </c>
      <c r="W314" s="34" t="s">
        <v>28</v>
      </c>
      <c r="X314" s="38" t="s">
        <v>173</v>
      </c>
      <c r="Y314" s="62"/>
      <c r="Z314" s="38" t="e">
        <f t="shared" si="13"/>
        <v>#NUM!</v>
      </c>
      <c r="AA314" s="38"/>
      <c r="AB314" s="34"/>
      <c r="AC314" s="34"/>
      <c r="AD314" s="38"/>
      <c r="AE314" s="59" t="str">
        <f t="shared" si="14"/>
        <v>SÍ</v>
      </c>
      <c r="AF314" s="38" t="e" cm="1">
        <f t="array" aca="1" ref="AF314" ca="1">MIN(100, MAX(0, (IF(R314="ESTUDIANTE", 31, 0)) + (IF(I314&lt;=3, 30, IF(I314&lt;=6, 20, 0))) +(IF(OR(E314="413 - Control de Costes y Enlace Construcción", E314="480 - Secretaría General del Consejo", E314="132 - Civil y estructuras", E314="136 - Mecánica", E314="412 - Planificación", E314="142 - Compras"), 25, 0)) +(IF(OR(S314="GRADO ING. MECÁNICA", S314="GRADO ING. ELÉCTRICA", S314="GRADO DERECHO", S314="GRADO ECONOMÍA", S314="GRADO ING. TECNOLOGÍAS INDUSTRIALES"), 24, 0)) + (IF(AND(K314&gt;=451, K314&lt;=700), 23, 0)) + (IF(AND(AB314&gt;=5, AB314&lt;=8), 17, 0)) +(IF(_xludf.OR(_xludf.AND(AC314&gt;=8, AC314&lt;=10), _xludf.AND(AC314&gt;=0, AC314&lt;=5)), 16, 0)) + (IF(F314="Madrid", 11, 0))))</f>
        <v>#NAME?</v>
      </c>
      <c r="AG314" s="68"/>
      <c r="AH314" s="71" t="s">
        <v>164</v>
      </c>
    </row>
    <row r="315" spans="1:34" s="4" customFormat="1" ht="14.4" x14ac:dyDescent="0.3">
      <c r="A315" s="66" t="s">
        <v>1295</v>
      </c>
      <c r="B315" s="66" t="s">
        <v>3412</v>
      </c>
      <c r="C315" s="33">
        <v>316</v>
      </c>
      <c r="D315" s="33" t="s">
        <v>5395</v>
      </c>
      <c r="E315" s="34" t="s">
        <v>5216</v>
      </c>
      <c r="F315" s="34" t="s">
        <v>18</v>
      </c>
      <c r="G315" s="57">
        <v>41366</v>
      </c>
      <c r="H315" s="57">
        <v>41700</v>
      </c>
      <c r="I315" s="34">
        <f t="shared" si="12"/>
        <v>11</v>
      </c>
      <c r="J315" s="34">
        <v>40</v>
      </c>
      <c r="K315" s="36">
        <v>900</v>
      </c>
      <c r="L315" s="34" t="s">
        <v>17</v>
      </c>
      <c r="M315" s="57">
        <v>32008</v>
      </c>
      <c r="N315" s="37">
        <f>(YEAR(TablaMadre[[#This Row],[ALTA]])-YEAR(M315))</f>
        <v>26</v>
      </c>
      <c r="O315" s="34" t="s">
        <v>18</v>
      </c>
      <c r="P315" s="34" t="s">
        <v>19</v>
      </c>
      <c r="Q315" s="34" t="s">
        <v>49</v>
      </c>
      <c r="R315" s="34" t="s">
        <v>21</v>
      </c>
      <c r="S315" s="34" t="s">
        <v>297</v>
      </c>
      <c r="T315" s="34"/>
      <c r="U315" s="34"/>
      <c r="V315" s="34" t="s">
        <v>40</v>
      </c>
      <c r="W315" s="34" t="s">
        <v>28</v>
      </c>
      <c r="X315" s="38" t="s">
        <v>164</v>
      </c>
      <c r="Y315" s="62">
        <v>44561</v>
      </c>
      <c r="Z315" s="38">
        <f t="shared" si="13"/>
        <v>7</v>
      </c>
      <c r="AA315" s="38"/>
      <c r="AB315" s="34"/>
      <c r="AC315" s="34"/>
      <c r="AD315" s="38"/>
      <c r="AE315" s="59" t="str">
        <f t="shared" si="14"/>
        <v>NO</v>
      </c>
      <c r="AF315" s="34" t="e" cm="1">
        <f t="array" aca="1" ref="AF315" ca="1">MIN(100, MAX(0, (IF(R315="ESTUDIANTE", 31, 0)) + (IF(I315&lt;=3, 30, IF(I315&lt;=6, 20, 0))) +(IF(OR(E315="413 - Control de Costes y Enlace Construcción", E315="480 - Secretaría General del Consejo", E315="132 - Civil y estructuras", E315="136 - Mecánica", E315="412 - Planificación", E315="142 - Compras"), 25, 0)) +(IF(OR(S315="GRADO ING. MECÁNICA", S315="GRADO ING. ELÉCTRICA", S315="GRADO DERECHO", S315="GRADO ECONOMÍA", S315="GRADO ING. TECNOLOGÍAS INDUSTRIALES"), 24, 0)) + (IF(AND(K315&gt;=451, K315&lt;=700), 23, 0)) + (IF(AND(AB315&gt;=5, AB315&lt;=8), 17, 0)) +(IF(_xludf.OR(_xludf.AND(AC315&gt;=8, AC315&lt;=10), _xludf.AND(AC315&gt;=0, AC315&lt;=5)), 16, 0)) + (IF(F315="Madrid", 11, 0))))</f>
        <v>#NAME?</v>
      </c>
      <c r="AG315" s="69"/>
      <c r="AH315" s="71" t="s">
        <v>164</v>
      </c>
    </row>
    <row r="316" spans="1:34" ht="14.4" x14ac:dyDescent="0.3">
      <c r="A316" s="66" t="s">
        <v>2038</v>
      </c>
      <c r="B316" s="66" t="s">
        <v>4155</v>
      </c>
      <c r="C316" s="33">
        <v>312</v>
      </c>
      <c r="D316" s="33" t="s">
        <v>5396</v>
      </c>
      <c r="E316" s="34" t="s">
        <v>5271</v>
      </c>
      <c r="F316" s="34" t="s">
        <v>18</v>
      </c>
      <c r="G316" s="57">
        <v>41366</v>
      </c>
      <c r="H316" s="57">
        <v>41700</v>
      </c>
      <c r="I316" s="34">
        <f t="shared" si="12"/>
        <v>11</v>
      </c>
      <c r="J316" s="34">
        <v>40</v>
      </c>
      <c r="K316" s="36">
        <v>900</v>
      </c>
      <c r="L316" s="34" t="s">
        <v>29</v>
      </c>
      <c r="M316" s="57">
        <v>33050</v>
      </c>
      <c r="N316" s="37">
        <f>(YEAR(TablaMadre[[#This Row],[ALTA]])-YEAR(M316))</f>
        <v>23</v>
      </c>
      <c r="O316" s="34" t="s">
        <v>138</v>
      </c>
      <c r="P316" s="34" t="s">
        <v>138</v>
      </c>
      <c r="Q316" s="34" t="s">
        <v>49</v>
      </c>
      <c r="R316" s="34" t="s">
        <v>21</v>
      </c>
      <c r="S316" s="34" t="s">
        <v>297</v>
      </c>
      <c r="T316" s="34"/>
      <c r="U316" s="34"/>
      <c r="V316" s="34" t="s">
        <v>90</v>
      </c>
      <c r="W316" s="34" t="s">
        <v>28</v>
      </c>
      <c r="X316" s="38" t="s">
        <v>173</v>
      </c>
      <c r="Y316" s="62"/>
      <c r="Z316" s="38" t="e">
        <f t="shared" si="13"/>
        <v>#NUM!</v>
      </c>
      <c r="AA316" s="38" t="s">
        <v>173</v>
      </c>
      <c r="AB316" s="34"/>
      <c r="AC316" s="34"/>
      <c r="AD316" s="38"/>
      <c r="AE316" s="59" t="str">
        <f t="shared" si="14"/>
        <v>SÍ</v>
      </c>
      <c r="AF316" s="38" t="e" cm="1">
        <f t="array" aca="1" ref="AF316" ca="1">MIN(100, MAX(0, (IF(R316="ESTUDIANTE", 31, 0)) + (IF(I316&lt;=3, 30, IF(I316&lt;=6, 20, 0))) +(IF(OR(E316="413 - Control de Costes y Enlace Construcción", E316="480 - Secretaría General del Consejo", E316="132 - Civil y estructuras", E316="136 - Mecánica", E316="412 - Planificación", E316="142 - Compras"), 25, 0)) +(IF(OR(S316="GRADO ING. MECÁNICA", S316="GRADO ING. ELÉCTRICA", S316="GRADO DERECHO", S316="GRADO ECONOMÍA", S316="GRADO ING. TECNOLOGÍAS INDUSTRIALES"), 24, 0)) + (IF(AND(K316&gt;=451, K316&lt;=700), 23, 0)) + (IF(AND(AB316&gt;=5, AB316&lt;=8), 17, 0)) +(IF(_xludf.OR(_xludf.AND(AC316&gt;=8, AC316&lt;=10), _xludf.AND(AC316&gt;=0, AC316&lt;=5)), 16, 0)) + (IF(F316="Madrid", 11, 0))))</f>
        <v>#NAME?</v>
      </c>
      <c r="AG316" s="68"/>
      <c r="AH316" s="71" t="s">
        <v>164</v>
      </c>
    </row>
    <row r="317" spans="1:34" ht="14.4" x14ac:dyDescent="0.3">
      <c r="A317" s="66" t="s">
        <v>1296</v>
      </c>
      <c r="B317" s="66" t="s">
        <v>3413</v>
      </c>
      <c r="C317" s="33">
        <v>317</v>
      </c>
      <c r="D317" s="33" t="s">
        <v>5397</v>
      </c>
      <c r="E317" s="34" t="s">
        <v>5222</v>
      </c>
      <c r="F317" s="34" t="s">
        <v>18</v>
      </c>
      <c r="G317" s="57">
        <v>41367</v>
      </c>
      <c r="H317" s="57">
        <v>41707</v>
      </c>
      <c r="I317" s="34">
        <f t="shared" si="12"/>
        <v>11</v>
      </c>
      <c r="J317" s="34">
        <v>40</v>
      </c>
      <c r="K317" s="36">
        <v>900</v>
      </c>
      <c r="L317" s="34" t="s">
        <v>17</v>
      </c>
      <c r="M317" s="57">
        <v>32307</v>
      </c>
      <c r="N317" s="37">
        <f>(YEAR(TablaMadre[[#This Row],[ALTA]])-YEAR(M317))</f>
        <v>25</v>
      </c>
      <c r="O317" s="34" t="s">
        <v>293</v>
      </c>
      <c r="P317" s="34" t="s">
        <v>19</v>
      </c>
      <c r="Q317" s="34" t="s">
        <v>63</v>
      </c>
      <c r="R317" s="34" t="s">
        <v>21</v>
      </c>
      <c r="S317" s="34" t="s">
        <v>297</v>
      </c>
      <c r="T317" s="34"/>
      <c r="U317" s="34"/>
      <c r="V317" s="34" t="s">
        <v>180</v>
      </c>
      <c r="W317" s="34" t="s">
        <v>28</v>
      </c>
      <c r="X317" s="38" t="s">
        <v>164</v>
      </c>
      <c r="Y317" s="62">
        <v>43608</v>
      </c>
      <c r="Z317" s="38">
        <f t="shared" si="13"/>
        <v>5</v>
      </c>
      <c r="AA317" s="38"/>
      <c r="AB317" s="34"/>
      <c r="AC317" s="34"/>
      <c r="AD317" s="38"/>
      <c r="AE317" s="59" t="str">
        <f t="shared" si="14"/>
        <v>SÍ</v>
      </c>
      <c r="AF317" s="38" t="e" cm="1">
        <f t="array" aca="1" ref="AF317" ca="1">MIN(100, MAX(0, (IF(R317="ESTUDIANTE", 31, 0)) + (IF(I317&lt;=3, 30, IF(I317&lt;=6, 20, 0))) +(IF(OR(E317="413 - Control de Costes y Enlace Construcción", E317="480 - Secretaría General del Consejo", E317="132 - Civil y estructuras", E317="136 - Mecánica", E317="412 - Planificación", E317="142 - Compras"), 25, 0)) +(IF(OR(S317="GRADO ING. MECÁNICA", S317="GRADO ING. ELÉCTRICA", S317="GRADO DERECHO", S317="GRADO ECONOMÍA", S317="GRADO ING. TECNOLOGÍAS INDUSTRIALES"), 24, 0)) + (IF(AND(K317&gt;=451, K317&lt;=700), 23, 0)) + (IF(AND(AB317&gt;=5, AB317&lt;=8), 17, 0)) +(IF(_xludf.OR(_xludf.AND(AC317&gt;=8, AC317&lt;=10), _xludf.AND(AC317&gt;=0, AC317&lt;=5)), 16, 0)) + (IF(F317="Madrid", 11, 0))))</f>
        <v>#NAME?</v>
      </c>
      <c r="AG317" s="68"/>
      <c r="AH317" s="71" t="s">
        <v>164</v>
      </c>
    </row>
    <row r="318" spans="1:34" ht="14.4" x14ac:dyDescent="0.3">
      <c r="A318" s="66" t="s">
        <v>1297</v>
      </c>
      <c r="B318" s="66" t="s">
        <v>3414</v>
      </c>
      <c r="C318" s="33">
        <v>318</v>
      </c>
      <c r="D318" s="33" t="s">
        <v>5398</v>
      </c>
      <c r="E318" s="34" t="s">
        <v>5255</v>
      </c>
      <c r="F318" s="34" t="s">
        <v>18</v>
      </c>
      <c r="G318" s="57">
        <v>41375</v>
      </c>
      <c r="H318" s="57">
        <v>41703</v>
      </c>
      <c r="I318" s="34">
        <f t="shared" si="12"/>
        <v>10</v>
      </c>
      <c r="J318" s="34">
        <v>40</v>
      </c>
      <c r="K318" s="36">
        <v>700</v>
      </c>
      <c r="L318" s="34" t="s">
        <v>17</v>
      </c>
      <c r="M318" s="57">
        <v>33376</v>
      </c>
      <c r="N318" s="37">
        <f>(YEAR(TablaMadre[[#This Row],[ALTA]])-YEAR(M318))</f>
        <v>22</v>
      </c>
      <c r="O318" s="34" t="s">
        <v>18</v>
      </c>
      <c r="P318" s="34" t="s">
        <v>19</v>
      </c>
      <c r="Q318" s="34" t="s">
        <v>245</v>
      </c>
      <c r="R318" s="58" t="s">
        <v>30</v>
      </c>
      <c r="S318" s="34" t="s">
        <v>783</v>
      </c>
      <c r="T318" s="34"/>
      <c r="U318" s="34"/>
      <c r="V318" s="34" t="s">
        <v>246</v>
      </c>
      <c r="W318" s="34" t="s">
        <v>28</v>
      </c>
      <c r="X318" s="38" t="s">
        <v>173</v>
      </c>
      <c r="Y318" s="62"/>
      <c r="Z318" s="38" t="e">
        <f t="shared" si="13"/>
        <v>#NUM!</v>
      </c>
      <c r="AA318" s="38"/>
      <c r="AB318" s="34"/>
      <c r="AC318" s="34"/>
      <c r="AD318" s="38"/>
      <c r="AE318" s="59" t="str">
        <f t="shared" si="14"/>
        <v>NO</v>
      </c>
      <c r="AF318" s="38" t="e" cm="1">
        <f t="array" aca="1" ref="AF318" ca="1">MIN(100, MAX(0, (IF(R318="ESTUDIANTE", 31, 0)) + (IF(I318&lt;=3, 30, IF(I318&lt;=6, 20, 0))) +(IF(OR(E318="413 - Control de Costes y Enlace Construcción", E318="480 - Secretaría General del Consejo", E318="132 - Civil y estructuras", E318="136 - Mecánica", E318="412 - Planificación", E318="142 - Compras"), 25, 0)) +(IF(OR(S318="GRADO ING. MECÁNICA", S318="GRADO ING. ELÉCTRICA", S318="GRADO DERECHO", S318="GRADO ECONOMÍA", S318="GRADO ING. TECNOLOGÍAS INDUSTRIALES"), 24, 0)) + (IF(AND(K318&gt;=451, K318&lt;=700), 23, 0)) + (IF(AND(AB318&gt;=5, AB318&lt;=8), 17, 0)) +(IF(_xludf.OR(_xludf.AND(AC318&gt;=8, AC318&lt;=10), _xludf.AND(AC318&gt;=0, AC318&lt;=5)), 16, 0)) + (IF(F318="Madrid", 11, 0))))</f>
        <v>#NAME?</v>
      </c>
      <c r="AG318" s="68"/>
      <c r="AH318" s="71" t="s">
        <v>164</v>
      </c>
    </row>
    <row r="319" spans="1:34" ht="14.4" x14ac:dyDescent="0.3">
      <c r="A319" s="66" t="s">
        <v>1298</v>
      </c>
      <c r="B319" s="66" t="s">
        <v>3415</v>
      </c>
      <c r="C319" s="33">
        <v>319</v>
      </c>
      <c r="D319" s="33" t="s">
        <v>5399</v>
      </c>
      <c r="E319" s="34" t="s">
        <v>5272</v>
      </c>
      <c r="F319" s="34" t="s">
        <v>18</v>
      </c>
      <c r="G319" s="57">
        <v>41375</v>
      </c>
      <c r="H319" s="57">
        <v>41709</v>
      </c>
      <c r="I319" s="34">
        <f t="shared" si="12"/>
        <v>11</v>
      </c>
      <c r="J319" s="34">
        <v>40</v>
      </c>
      <c r="K319" s="36">
        <v>900</v>
      </c>
      <c r="L319" s="34" t="s">
        <v>17</v>
      </c>
      <c r="M319" s="57">
        <v>31945</v>
      </c>
      <c r="N319" s="37">
        <f>(YEAR(TablaMadre[[#This Row],[ALTA]])-YEAR(M319))</f>
        <v>26</v>
      </c>
      <c r="O319" s="34" t="s">
        <v>247</v>
      </c>
      <c r="P319" s="34" t="s">
        <v>19</v>
      </c>
      <c r="Q319" s="34" t="s">
        <v>85</v>
      </c>
      <c r="R319" s="34" t="s">
        <v>21</v>
      </c>
      <c r="S319" s="34" t="s">
        <v>322</v>
      </c>
      <c r="T319" s="34"/>
      <c r="U319" s="34"/>
      <c r="V319" s="34" t="s">
        <v>137</v>
      </c>
      <c r="W319" s="34" t="s">
        <v>97</v>
      </c>
      <c r="X319" s="38" t="s">
        <v>164</v>
      </c>
      <c r="Y319" s="62">
        <v>43645</v>
      </c>
      <c r="Z319" s="38">
        <f t="shared" si="13"/>
        <v>5</v>
      </c>
      <c r="AA319" s="38"/>
      <c r="AB319" s="34"/>
      <c r="AC319" s="34"/>
      <c r="AD319" s="38"/>
      <c r="AE319" s="59" t="str">
        <f t="shared" si="14"/>
        <v>SÍ</v>
      </c>
      <c r="AF319" s="38" t="e" cm="1">
        <f t="array" aca="1" ref="AF319" ca="1">MIN(100, MAX(0, (IF(R319="ESTUDIANTE", 31, 0)) + (IF(I319&lt;=3, 30, IF(I319&lt;=6, 20, 0))) +(IF(OR(E319="413 - Control de Costes y Enlace Construcción", E319="480 - Secretaría General del Consejo", E319="132 - Civil y estructuras", E319="136 - Mecánica", E319="412 - Planificación", E319="142 - Compras"), 25, 0)) +(IF(OR(S319="GRADO ING. MECÁNICA", S319="GRADO ING. ELÉCTRICA", S319="GRADO DERECHO", S319="GRADO ECONOMÍA", S319="GRADO ING. TECNOLOGÍAS INDUSTRIALES"), 24, 0)) + (IF(AND(K319&gt;=451, K319&lt;=700), 23, 0)) + (IF(AND(AB319&gt;=5, AB319&lt;=8), 17, 0)) +(IF(_xludf.OR(_xludf.AND(AC319&gt;=8, AC319&lt;=10), _xludf.AND(AC319&gt;=0, AC319&lt;=5)), 16, 0)) + (IF(F319="Madrid", 11, 0))))</f>
        <v>#NAME?</v>
      </c>
      <c r="AG319" s="68"/>
      <c r="AH319" s="71" t="s">
        <v>164</v>
      </c>
    </row>
    <row r="320" spans="1:34" ht="14.4" x14ac:dyDescent="0.3">
      <c r="A320" s="66" t="s">
        <v>1288</v>
      </c>
      <c r="B320" s="66" t="s">
        <v>3405</v>
      </c>
      <c r="C320" s="33">
        <v>320</v>
      </c>
      <c r="D320" s="33" t="s">
        <v>5393</v>
      </c>
      <c r="E320" s="34" t="s">
        <v>5266</v>
      </c>
      <c r="F320" s="34" t="s">
        <v>18</v>
      </c>
      <c r="G320" s="57">
        <v>41379</v>
      </c>
      <c r="H320" s="57">
        <v>41561</v>
      </c>
      <c r="I320" s="34">
        <f t="shared" si="12"/>
        <v>5</v>
      </c>
      <c r="J320" s="34">
        <v>40</v>
      </c>
      <c r="K320" s="36">
        <v>750</v>
      </c>
      <c r="L320" s="34" t="s">
        <v>17</v>
      </c>
      <c r="M320" s="57">
        <v>34289</v>
      </c>
      <c r="N320" s="37">
        <f>(YEAR(TablaMadre[[#This Row],[ALTA]])-YEAR(M320))</f>
        <v>20</v>
      </c>
      <c r="O320" s="34" t="s">
        <v>18</v>
      </c>
      <c r="P320" s="34" t="s">
        <v>19</v>
      </c>
      <c r="Q320" s="34" t="s">
        <v>228</v>
      </c>
      <c r="R320" s="34" t="s">
        <v>21</v>
      </c>
      <c r="S320" s="34" t="s">
        <v>189</v>
      </c>
      <c r="T320" s="34"/>
      <c r="U320" s="34"/>
      <c r="V320" s="34" t="s">
        <v>56</v>
      </c>
      <c r="W320" s="34" t="s">
        <v>23</v>
      </c>
      <c r="X320" s="38" t="s">
        <v>164</v>
      </c>
      <c r="Y320" s="62"/>
      <c r="Z320" s="62" t="e">
        <f t="shared" si="13"/>
        <v>#NUM!</v>
      </c>
      <c r="AA320" s="62"/>
      <c r="AB320" s="34"/>
      <c r="AC320" s="34"/>
      <c r="AD320" s="38"/>
      <c r="AE320" s="59" t="str">
        <f t="shared" si="14"/>
        <v>NO</v>
      </c>
      <c r="AF320" s="38" t="e" cm="1">
        <f t="array" aca="1" ref="AF320" ca="1">MIN(100, MAX(0, (IF(R320="ESTUDIANTE", 31, 0)) + (IF(I320&lt;=3, 30, IF(I320&lt;=6, 20, 0))) +(IF(OR(E320="413 - Control de Costes y Enlace Construcción", E320="480 - Secretaría General del Consejo", E320="132 - Civil y estructuras", E320="136 - Mecánica", E320="412 - Planificación", E320="142 - Compras"), 25, 0)) +(IF(OR(S320="GRADO ING. MECÁNICA", S320="GRADO ING. ELÉCTRICA", S320="GRADO DERECHO", S320="GRADO ECONOMÍA", S320="GRADO ING. TECNOLOGÍAS INDUSTRIALES"), 24, 0)) + (IF(AND(K320&gt;=451, K320&lt;=700), 23, 0)) + (IF(AND(AB320&gt;=5, AB320&lt;=8), 17, 0)) +(IF(_xludf.OR(_xludf.AND(AC320&gt;=8, AC320&lt;=10), _xludf.AND(AC320&gt;=0, AC320&lt;=5)), 16, 0)) + (IF(F320="Madrid", 11, 0))))</f>
        <v>#NAME?</v>
      </c>
      <c r="AG320" s="68"/>
      <c r="AH320" s="71" t="s">
        <v>164</v>
      </c>
    </row>
    <row r="321" spans="1:34" ht="14.4" x14ac:dyDescent="0.3">
      <c r="A321" s="66" t="s">
        <v>1300</v>
      </c>
      <c r="B321" s="66" t="s">
        <v>3417</v>
      </c>
      <c r="C321" s="33">
        <v>321</v>
      </c>
      <c r="D321" s="33" t="s">
        <v>5394</v>
      </c>
      <c r="E321" s="34" t="s">
        <v>5222</v>
      </c>
      <c r="F321" s="34" t="s">
        <v>18</v>
      </c>
      <c r="G321" s="57">
        <v>41379</v>
      </c>
      <c r="H321" s="57">
        <v>41786</v>
      </c>
      <c r="I321" s="34">
        <f t="shared" si="12"/>
        <v>13</v>
      </c>
      <c r="J321" s="34">
        <v>40</v>
      </c>
      <c r="K321" s="36">
        <v>900</v>
      </c>
      <c r="L321" s="34" t="s">
        <v>17</v>
      </c>
      <c r="M321" s="57">
        <v>31856</v>
      </c>
      <c r="N321" s="37">
        <f>(YEAR(TablaMadre[[#This Row],[ALTA]])-YEAR(M321))</f>
        <v>26</v>
      </c>
      <c r="O321" s="34" t="s">
        <v>68</v>
      </c>
      <c r="P321" s="34" t="s">
        <v>19</v>
      </c>
      <c r="Q321" s="34" t="s">
        <v>256</v>
      </c>
      <c r="R321" s="34" t="s">
        <v>21</v>
      </c>
      <c r="S321" s="34" t="s">
        <v>322</v>
      </c>
      <c r="T321" s="34"/>
      <c r="U321" s="34"/>
      <c r="V321" s="34" t="s">
        <v>131</v>
      </c>
      <c r="W321" s="34" t="s">
        <v>28</v>
      </c>
      <c r="X321" s="38" t="s">
        <v>164</v>
      </c>
      <c r="Y321" s="62">
        <v>44043</v>
      </c>
      <c r="Z321" s="38">
        <f t="shared" si="13"/>
        <v>6</v>
      </c>
      <c r="AA321" s="38"/>
      <c r="AB321" s="34"/>
      <c r="AC321" s="34"/>
      <c r="AD321" s="38"/>
      <c r="AE321" s="59" t="str">
        <f t="shared" si="14"/>
        <v>SÍ</v>
      </c>
      <c r="AF321" s="38" t="e" cm="1">
        <f t="array" aca="1" ref="AF321" ca="1">MIN(100, MAX(0, (IF(R321="ESTUDIANTE", 31, 0)) + (IF(I321&lt;=3, 30, IF(I321&lt;=6, 20, 0))) +(IF(OR(E321="413 - Control de Costes y Enlace Construcción", E321="480 - Secretaría General del Consejo", E321="132 - Civil y estructuras", E321="136 - Mecánica", E321="412 - Planificación", E321="142 - Compras"), 25, 0)) +(IF(OR(S321="GRADO ING. MECÁNICA", S321="GRADO ING. ELÉCTRICA", S321="GRADO DERECHO", S321="GRADO ECONOMÍA", S321="GRADO ING. TECNOLOGÍAS INDUSTRIALES"), 24, 0)) + (IF(AND(K321&gt;=451, K321&lt;=700), 23, 0)) + (IF(AND(AB321&gt;=5, AB321&lt;=8), 17, 0)) +(IF(_xludf.OR(_xludf.AND(AC321&gt;=8, AC321&lt;=10), _xludf.AND(AC321&gt;=0, AC321&lt;=5)), 16, 0)) + (IF(F321="Madrid", 11, 0))))</f>
        <v>#NAME?</v>
      </c>
      <c r="AG321" s="68"/>
      <c r="AH321" s="71" t="s">
        <v>164</v>
      </c>
    </row>
    <row r="322" spans="1:34" ht="14.4" x14ac:dyDescent="0.3">
      <c r="A322" s="66" t="s">
        <v>1428</v>
      </c>
      <c r="B322" s="66" t="s">
        <v>3545</v>
      </c>
      <c r="C322" s="33">
        <v>322</v>
      </c>
      <c r="D322" s="33" t="s">
        <v>5395</v>
      </c>
      <c r="E322" s="34" t="s">
        <v>5222</v>
      </c>
      <c r="F322" s="34" t="s">
        <v>18</v>
      </c>
      <c r="G322" s="57">
        <v>41379</v>
      </c>
      <c r="H322" s="57">
        <v>41786</v>
      </c>
      <c r="I322" s="34">
        <f t="shared" ref="I322:I385" si="15">DATEDIF(G322, H322, "M")</f>
        <v>13</v>
      </c>
      <c r="J322" s="34">
        <v>40</v>
      </c>
      <c r="K322" s="36">
        <v>900</v>
      </c>
      <c r="L322" s="34" t="s">
        <v>29</v>
      </c>
      <c r="M322" s="57">
        <v>33297</v>
      </c>
      <c r="N322" s="37">
        <f>(YEAR(TablaMadre[[#This Row],[ALTA]])-YEAR(M322))</f>
        <v>22</v>
      </c>
      <c r="O322" s="34" t="s">
        <v>18</v>
      </c>
      <c r="P322" s="34" t="s">
        <v>19</v>
      </c>
      <c r="Q322" s="34" t="s">
        <v>49</v>
      </c>
      <c r="R322" s="34" t="s">
        <v>21</v>
      </c>
      <c r="S322" s="34" t="s">
        <v>297</v>
      </c>
      <c r="T322" s="34"/>
      <c r="U322" s="34"/>
      <c r="V322" s="34" t="s">
        <v>56</v>
      </c>
      <c r="W322" s="34" t="s">
        <v>28</v>
      </c>
      <c r="X322" s="38" t="s">
        <v>164</v>
      </c>
      <c r="Y322" s="62">
        <v>45857</v>
      </c>
      <c r="Z322" s="38">
        <f t="shared" ref="Z322:Z385" si="16">DATEDIF(H322, Y322, "y")</f>
        <v>11</v>
      </c>
      <c r="AA322" s="38" t="s">
        <v>173</v>
      </c>
      <c r="AB322" s="34"/>
      <c r="AC322" s="34"/>
      <c r="AD322" s="38"/>
      <c r="AE322" s="59" t="str">
        <f t="shared" si="14"/>
        <v>NO</v>
      </c>
      <c r="AF322" s="38" t="e" cm="1">
        <f t="array" aca="1" ref="AF322" ca="1">MIN(100, MAX(0, (IF(R322="ESTUDIANTE", 31, 0)) + (IF(I322&lt;=3, 30, IF(I322&lt;=6, 20, 0))) +(IF(OR(E322="413 - Control de Costes y Enlace Construcción", E322="480 - Secretaría General del Consejo", E322="132 - Civil y estructuras", E322="136 - Mecánica", E322="412 - Planificación", E322="142 - Compras"), 25, 0)) +(IF(OR(S322="GRADO ING. MECÁNICA", S322="GRADO ING. ELÉCTRICA", S322="GRADO DERECHO", S322="GRADO ECONOMÍA", S322="GRADO ING. TECNOLOGÍAS INDUSTRIALES"), 24, 0)) + (IF(AND(K322&gt;=451, K322&lt;=700), 23, 0)) + (IF(AND(AB322&gt;=5, AB322&lt;=8), 17, 0)) +(IF(_xludf.OR(_xludf.AND(AC322&gt;=8, AC322&lt;=10), _xludf.AND(AC322&gt;=0, AC322&lt;=5)), 16, 0)) + (IF(F322="Madrid", 11, 0))))</f>
        <v>#NAME?</v>
      </c>
      <c r="AG322" s="68"/>
      <c r="AH322" s="71" t="s">
        <v>164</v>
      </c>
    </row>
    <row r="323" spans="1:34" ht="14.4" x14ac:dyDescent="0.3">
      <c r="A323" s="66" t="s">
        <v>1289</v>
      </c>
      <c r="B323" s="66" t="s">
        <v>3406</v>
      </c>
      <c r="C323" s="33">
        <v>323</v>
      </c>
      <c r="D323" s="33" t="s">
        <v>5396</v>
      </c>
      <c r="E323" s="34" t="s">
        <v>5266</v>
      </c>
      <c r="F323" s="34" t="s">
        <v>18</v>
      </c>
      <c r="G323" s="57">
        <v>41380</v>
      </c>
      <c r="H323" s="57">
        <v>41547</v>
      </c>
      <c r="I323" s="34">
        <f t="shared" si="15"/>
        <v>5</v>
      </c>
      <c r="J323" s="34">
        <v>40</v>
      </c>
      <c r="K323" s="36">
        <v>800</v>
      </c>
      <c r="L323" s="34" t="s">
        <v>29</v>
      </c>
      <c r="M323" s="57">
        <v>33013</v>
      </c>
      <c r="N323" s="37">
        <f>(YEAR(TablaMadre[[#This Row],[ALTA]])-YEAR(M323))</f>
        <v>23</v>
      </c>
      <c r="O323" s="34" t="s">
        <v>176</v>
      </c>
      <c r="P323" s="34" t="s">
        <v>19</v>
      </c>
      <c r="Q323" s="34" t="s">
        <v>189</v>
      </c>
      <c r="R323" s="34" t="s">
        <v>21</v>
      </c>
      <c r="S323" s="34" t="s">
        <v>189</v>
      </c>
      <c r="T323" s="34"/>
      <c r="U323" s="34"/>
      <c r="V323" s="34" t="s">
        <v>122</v>
      </c>
      <c r="W323" s="34" t="s">
        <v>23</v>
      </c>
      <c r="X323" s="38" t="s">
        <v>164</v>
      </c>
      <c r="Y323" s="62"/>
      <c r="Z323" s="62" t="e">
        <f t="shared" si="16"/>
        <v>#NUM!</v>
      </c>
      <c r="AA323" s="62"/>
      <c r="AB323" s="34" t="s">
        <v>225</v>
      </c>
      <c r="AC323" s="34"/>
      <c r="AD323" s="38"/>
      <c r="AE323" s="59" t="str">
        <f t="shared" ref="AE323:AE386" si="17">IF(F323=O323, "NO", "SÍ")</f>
        <v>SÍ</v>
      </c>
      <c r="AF323" s="38" t="e" cm="1">
        <f t="array" aca="1" ref="AF323" ca="1">MIN(100, MAX(0, (IF(R323="ESTUDIANTE", 31, 0)) + (IF(I323&lt;=3, 30, IF(I323&lt;=6, 20, 0))) +(IF(OR(E323="413 - Control de Costes y Enlace Construcción", E323="480 - Secretaría General del Consejo", E323="132 - Civil y estructuras", E323="136 - Mecánica", E323="412 - Planificación", E323="142 - Compras"), 25, 0)) +(IF(OR(S323="GRADO ING. MECÁNICA", S323="GRADO ING. ELÉCTRICA", S323="GRADO DERECHO", S323="GRADO ECONOMÍA", S323="GRADO ING. TECNOLOGÍAS INDUSTRIALES"), 24, 0)) + (IF(AND(K323&gt;=451, K323&lt;=700), 23, 0)) + (IF(AND(AB323&gt;=5, AB323&lt;=8), 17, 0)) +(IF(_xludf.OR(_xludf.AND(AC323&gt;=8, AC323&lt;=10), _xludf.AND(AC323&gt;=0, AC323&lt;=5)), 16, 0)) + (IF(F323="Madrid", 11, 0))))</f>
        <v>#NAME?</v>
      </c>
      <c r="AG323" s="68"/>
      <c r="AH323" s="71" t="s">
        <v>164</v>
      </c>
    </row>
    <row r="324" spans="1:34" ht="14.4" x14ac:dyDescent="0.3">
      <c r="A324" s="66" t="s">
        <v>1303</v>
      </c>
      <c r="B324" s="66" t="s">
        <v>3420</v>
      </c>
      <c r="C324" s="33">
        <v>324</v>
      </c>
      <c r="D324" s="33" t="s">
        <v>5397</v>
      </c>
      <c r="E324" s="34" t="s">
        <v>5235</v>
      </c>
      <c r="F324" s="34" t="s">
        <v>18</v>
      </c>
      <c r="G324" s="57">
        <v>41381</v>
      </c>
      <c r="H324" s="57">
        <v>41745</v>
      </c>
      <c r="I324" s="34">
        <f t="shared" si="15"/>
        <v>11</v>
      </c>
      <c r="J324" s="34">
        <v>40</v>
      </c>
      <c r="K324" s="36">
        <v>900</v>
      </c>
      <c r="L324" s="34" t="s">
        <v>29</v>
      </c>
      <c r="M324" s="57">
        <v>32676</v>
      </c>
      <c r="N324" s="37">
        <f>(YEAR(TablaMadre[[#This Row],[ALTA]])-YEAR(M324))</f>
        <v>24</v>
      </c>
      <c r="O324" s="34" t="s">
        <v>18</v>
      </c>
      <c r="P324" s="34" t="s">
        <v>19</v>
      </c>
      <c r="Q324" s="34" t="s">
        <v>61</v>
      </c>
      <c r="R324" s="34" t="s">
        <v>21</v>
      </c>
      <c r="S324" s="34" t="s">
        <v>322</v>
      </c>
      <c r="T324" s="34"/>
      <c r="U324" s="34"/>
      <c r="V324" s="34" t="s">
        <v>22</v>
      </c>
      <c r="W324" s="34" t="s">
        <v>28</v>
      </c>
      <c r="X324" s="34" t="s">
        <v>173</v>
      </c>
      <c r="Y324" s="57"/>
      <c r="Z324" s="34" t="e">
        <f t="shared" si="16"/>
        <v>#NUM!</v>
      </c>
      <c r="AA324" s="34"/>
      <c r="AB324" s="34"/>
      <c r="AC324" s="34"/>
      <c r="AD324" s="34"/>
      <c r="AE324" s="59" t="str">
        <f t="shared" si="17"/>
        <v>NO</v>
      </c>
      <c r="AF324" s="38" t="e" cm="1">
        <f t="array" aca="1" ref="AF324" ca="1">MIN(100, MAX(0, (IF(R324="ESTUDIANTE", 31, 0)) + (IF(I324&lt;=3, 30, IF(I324&lt;=6, 20, 0))) +(IF(OR(E324="413 - Control de Costes y Enlace Construcción", E324="480 - Secretaría General del Consejo", E324="132 - Civil y estructuras", E324="136 - Mecánica", E324="412 - Planificación", E324="142 - Compras"), 25, 0)) +(IF(OR(S324="GRADO ING. MECÁNICA", S324="GRADO ING. ELÉCTRICA", S324="GRADO DERECHO", S324="GRADO ECONOMÍA", S324="GRADO ING. TECNOLOGÍAS INDUSTRIALES"), 24, 0)) + (IF(AND(K324&gt;=451, K324&lt;=700), 23, 0)) + (IF(AND(AB324&gt;=5, AB324&lt;=8), 17, 0)) +(IF(_xludf.OR(_xludf.AND(AC324&gt;=8, AC324&lt;=10), _xludf.AND(AC324&gt;=0, AC324&lt;=5)), 16, 0)) + (IF(F324="Madrid", 11, 0))))</f>
        <v>#NAME?</v>
      </c>
      <c r="AG324" s="68"/>
      <c r="AH324" s="71" t="s">
        <v>164</v>
      </c>
    </row>
    <row r="325" spans="1:34" s="4" customFormat="1" ht="14.4" x14ac:dyDescent="0.3">
      <c r="A325" s="66" t="s">
        <v>1304</v>
      </c>
      <c r="B325" s="66" t="s">
        <v>3421</v>
      </c>
      <c r="C325" s="33">
        <v>325</v>
      </c>
      <c r="D325" s="33" t="s">
        <v>5393</v>
      </c>
      <c r="E325" s="34" t="s">
        <v>5245</v>
      </c>
      <c r="F325" s="34" t="s">
        <v>18</v>
      </c>
      <c r="G325" s="57">
        <v>41386</v>
      </c>
      <c r="H325" s="57">
        <v>41698</v>
      </c>
      <c r="I325" s="34">
        <f t="shared" si="15"/>
        <v>10</v>
      </c>
      <c r="J325" s="34">
        <v>40</v>
      </c>
      <c r="K325" s="36">
        <v>900</v>
      </c>
      <c r="L325" s="34" t="s">
        <v>29</v>
      </c>
      <c r="M325" s="57">
        <v>32772</v>
      </c>
      <c r="N325" s="37">
        <f>(YEAR(TablaMadre[[#This Row],[ALTA]])-YEAR(M325))</f>
        <v>24</v>
      </c>
      <c r="O325" s="34" t="s">
        <v>18</v>
      </c>
      <c r="P325" s="34" t="s">
        <v>19</v>
      </c>
      <c r="Q325" s="34" t="s">
        <v>32</v>
      </c>
      <c r="R325" s="34" t="s">
        <v>21</v>
      </c>
      <c r="S325" s="34" t="s">
        <v>322</v>
      </c>
      <c r="T325" s="34"/>
      <c r="U325" s="34"/>
      <c r="V325" s="34" t="s">
        <v>22</v>
      </c>
      <c r="W325" s="34" t="s">
        <v>28</v>
      </c>
      <c r="X325" s="38" t="s">
        <v>164</v>
      </c>
      <c r="Y325" s="62">
        <v>42599</v>
      </c>
      <c r="Z325" s="38">
        <f t="shared" si="16"/>
        <v>2</v>
      </c>
      <c r="AA325" s="38"/>
      <c r="AB325" s="34"/>
      <c r="AC325" s="34"/>
      <c r="AD325" s="38"/>
      <c r="AE325" s="59" t="str">
        <f t="shared" si="17"/>
        <v>NO</v>
      </c>
      <c r="AF325" s="34" t="e" cm="1">
        <f t="array" aca="1" ref="AF325" ca="1">MIN(100, MAX(0, (IF(R325="ESTUDIANTE", 31, 0)) + (IF(I325&lt;=3, 30, IF(I325&lt;=6, 20, 0))) +(IF(OR(E325="413 - Control de Costes y Enlace Construcción", E325="480 - Secretaría General del Consejo", E325="132 - Civil y estructuras", E325="136 - Mecánica", E325="412 - Planificación", E325="142 - Compras"), 25, 0)) +(IF(OR(S325="GRADO ING. MECÁNICA", S325="GRADO ING. ELÉCTRICA", S325="GRADO DERECHO", S325="GRADO ECONOMÍA", S325="GRADO ING. TECNOLOGÍAS INDUSTRIALES"), 24, 0)) + (IF(AND(K325&gt;=451, K325&lt;=700), 23, 0)) + (IF(AND(AB325&gt;=5, AB325&lt;=8), 17, 0)) +(IF(_xludf.OR(_xludf.AND(AC325&gt;=8, AC325&lt;=10), _xludf.AND(AC325&gt;=0, AC325&lt;=5)), 16, 0)) + (IF(F325="Madrid", 11, 0))))</f>
        <v>#NAME?</v>
      </c>
      <c r="AG325" s="69"/>
      <c r="AH325" s="71" t="s">
        <v>164</v>
      </c>
    </row>
    <row r="326" spans="1:34" ht="14.4" x14ac:dyDescent="0.3">
      <c r="A326" s="66" t="s">
        <v>1305</v>
      </c>
      <c r="B326" s="66" t="s">
        <v>3422</v>
      </c>
      <c r="C326" s="33">
        <v>326</v>
      </c>
      <c r="D326" s="33" t="s">
        <v>5394</v>
      </c>
      <c r="E326" s="34" t="s">
        <v>5273</v>
      </c>
      <c r="F326" s="34" t="s">
        <v>18</v>
      </c>
      <c r="G326" s="57">
        <v>41402</v>
      </c>
      <c r="H326" s="57">
        <v>41731</v>
      </c>
      <c r="I326" s="34">
        <f t="shared" si="15"/>
        <v>10</v>
      </c>
      <c r="J326" s="34">
        <v>40</v>
      </c>
      <c r="K326" s="36">
        <v>750</v>
      </c>
      <c r="L326" s="34" t="s">
        <v>17</v>
      </c>
      <c r="M326" s="57">
        <v>33353</v>
      </c>
      <c r="N326" s="37">
        <f>(YEAR(TablaMadre[[#This Row],[ALTA]])-YEAR(M326))</f>
        <v>22</v>
      </c>
      <c r="O326" s="34" t="s">
        <v>105</v>
      </c>
      <c r="P326" s="34" t="s">
        <v>19</v>
      </c>
      <c r="Q326" s="34" t="s">
        <v>250</v>
      </c>
      <c r="R326" s="34" t="s">
        <v>21</v>
      </c>
      <c r="S326" s="34" t="s">
        <v>322</v>
      </c>
      <c r="T326" s="34"/>
      <c r="U326" s="34"/>
      <c r="V326" s="34" t="s">
        <v>37</v>
      </c>
      <c r="W326" s="34" t="s">
        <v>28</v>
      </c>
      <c r="X326" s="38" t="s">
        <v>173</v>
      </c>
      <c r="Y326" s="62"/>
      <c r="Z326" s="38" t="e">
        <f t="shared" si="16"/>
        <v>#NUM!</v>
      </c>
      <c r="AA326" s="38"/>
      <c r="AB326" s="34"/>
      <c r="AC326" s="34"/>
      <c r="AD326" s="38"/>
      <c r="AE326" s="59" t="str">
        <f t="shared" si="17"/>
        <v>SÍ</v>
      </c>
      <c r="AF326" s="38" t="e" cm="1">
        <f t="array" aca="1" ref="AF326" ca="1">MIN(100, MAX(0, (IF(R326="ESTUDIANTE", 31, 0)) + (IF(I326&lt;=3, 30, IF(I326&lt;=6, 20, 0))) +(IF(OR(E326="413 - Control de Costes y Enlace Construcción", E326="480 - Secretaría General del Consejo", E326="132 - Civil y estructuras", E326="136 - Mecánica", E326="412 - Planificación", E326="142 - Compras"), 25, 0)) +(IF(OR(S326="GRADO ING. MECÁNICA", S326="GRADO ING. ELÉCTRICA", S326="GRADO DERECHO", S326="GRADO ECONOMÍA", S326="GRADO ING. TECNOLOGÍAS INDUSTRIALES"), 24, 0)) + (IF(AND(K326&gt;=451, K326&lt;=700), 23, 0)) + (IF(AND(AB326&gt;=5, AB326&lt;=8), 17, 0)) +(IF(_xludf.OR(_xludf.AND(AC326&gt;=8, AC326&lt;=10), _xludf.AND(AC326&gt;=0, AC326&lt;=5)), 16, 0)) + (IF(F326="Madrid", 11, 0))))</f>
        <v>#NAME?</v>
      </c>
      <c r="AG326" s="68"/>
      <c r="AH326" s="71" t="s">
        <v>164</v>
      </c>
    </row>
    <row r="327" spans="1:34" ht="14.4" x14ac:dyDescent="0.3">
      <c r="A327" s="66" t="s">
        <v>1306</v>
      </c>
      <c r="B327" s="66" t="s">
        <v>3423</v>
      </c>
      <c r="C327" s="33">
        <v>327</v>
      </c>
      <c r="D327" s="33" t="s">
        <v>5395</v>
      </c>
      <c r="E327" s="34" t="s">
        <v>5244</v>
      </c>
      <c r="F327" s="34" t="s">
        <v>18</v>
      </c>
      <c r="G327" s="57">
        <v>41402</v>
      </c>
      <c r="H327" s="57">
        <v>41851</v>
      </c>
      <c r="I327" s="34">
        <f t="shared" si="15"/>
        <v>14</v>
      </c>
      <c r="J327" s="34">
        <v>40</v>
      </c>
      <c r="K327" s="36">
        <v>900</v>
      </c>
      <c r="L327" s="34" t="s">
        <v>17</v>
      </c>
      <c r="M327" s="57">
        <v>32614</v>
      </c>
      <c r="N327" s="37">
        <f>(YEAR(TablaMadre[[#This Row],[ALTA]])-YEAR(M327))</f>
        <v>24</v>
      </c>
      <c r="O327" s="34" t="s">
        <v>18</v>
      </c>
      <c r="P327" s="34" t="s">
        <v>19</v>
      </c>
      <c r="Q327" s="34" t="s">
        <v>49</v>
      </c>
      <c r="R327" s="34" t="s">
        <v>21</v>
      </c>
      <c r="S327" s="34" t="s">
        <v>297</v>
      </c>
      <c r="T327" s="34"/>
      <c r="U327" s="34"/>
      <c r="V327" s="34" t="s">
        <v>56</v>
      </c>
      <c r="W327" s="34" t="s">
        <v>28</v>
      </c>
      <c r="X327" s="38" t="s">
        <v>164</v>
      </c>
      <c r="Y327" s="62">
        <v>43172</v>
      </c>
      <c r="Z327" s="38">
        <f t="shared" si="16"/>
        <v>3</v>
      </c>
      <c r="AA327" s="38"/>
      <c r="AB327" s="34" t="s">
        <v>24</v>
      </c>
      <c r="AC327" s="34"/>
      <c r="AD327" s="38"/>
      <c r="AE327" s="59" t="str">
        <f t="shared" si="17"/>
        <v>NO</v>
      </c>
      <c r="AF327" s="38" t="e" cm="1">
        <f t="array" aca="1" ref="AF327" ca="1">MIN(100, MAX(0, (IF(R327="ESTUDIANTE", 31, 0)) + (IF(I327&lt;=3, 30, IF(I327&lt;=6, 20, 0))) +(IF(OR(E327="413 - Control de Costes y Enlace Construcción", E327="480 - Secretaría General del Consejo", E327="132 - Civil y estructuras", E327="136 - Mecánica", E327="412 - Planificación", E327="142 - Compras"), 25, 0)) +(IF(OR(S327="GRADO ING. MECÁNICA", S327="GRADO ING. ELÉCTRICA", S327="GRADO DERECHO", S327="GRADO ECONOMÍA", S327="GRADO ING. TECNOLOGÍAS INDUSTRIALES"), 24, 0)) + (IF(AND(K327&gt;=451, K327&lt;=700), 23, 0)) + (IF(AND(AB327&gt;=5, AB327&lt;=8), 17, 0)) +(IF(_xludf.OR(_xludf.AND(AC327&gt;=8, AC327&lt;=10), _xludf.AND(AC327&gt;=0, AC327&lt;=5)), 16, 0)) + (IF(F327="Madrid", 11, 0))))</f>
        <v>#NAME?</v>
      </c>
      <c r="AG327" s="68"/>
      <c r="AH327" s="71" t="s">
        <v>164</v>
      </c>
    </row>
    <row r="328" spans="1:34" ht="14.4" x14ac:dyDescent="0.3">
      <c r="A328" s="66" t="s">
        <v>1307</v>
      </c>
      <c r="B328" s="66" t="s">
        <v>3424</v>
      </c>
      <c r="C328" s="33">
        <v>328</v>
      </c>
      <c r="D328" s="33" t="s">
        <v>5396</v>
      </c>
      <c r="E328" s="34" t="s">
        <v>5246</v>
      </c>
      <c r="F328" s="34" t="s">
        <v>18</v>
      </c>
      <c r="G328" s="57">
        <v>41402</v>
      </c>
      <c r="H328" s="57">
        <v>41851</v>
      </c>
      <c r="I328" s="34">
        <f t="shared" si="15"/>
        <v>14</v>
      </c>
      <c r="J328" s="34">
        <v>40</v>
      </c>
      <c r="K328" s="36">
        <v>825</v>
      </c>
      <c r="L328" s="34" t="s">
        <v>17</v>
      </c>
      <c r="M328" s="57">
        <v>32567</v>
      </c>
      <c r="N328" s="37">
        <f>(YEAR(TablaMadre[[#This Row],[ALTA]])-YEAR(M328))</f>
        <v>24</v>
      </c>
      <c r="O328" s="34" t="s">
        <v>18</v>
      </c>
      <c r="P328" s="34" t="s">
        <v>19</v>
      </c>
      <c r="Q328" s="34" t="s">
        <v>277</v>
      </c>
      <c r="R328" s="34" t="s">
        <v>21</v>
      </c>
      <c r="S328" s="34" t="s">
        <v>277</v>
      </c>
      <c r="T328" s="34"/>
      <c r="U328" s="34"/>
      <c r="V328" s="34" t="s">
        <v>67</v>
      </c>
      <c r="W328" s="34" t="s">
        <v>28</v>
      </c>
      <c r="X328" s="38" t="s">
        <v>173</v>
      </c>
      <c r="Y328" s="62"/>
      <c r="Z328" s="38" t="e">
        <f t="shared" si="16"/>
        <v>#NUM!</v>
      </c>
      <c r="AA328" s="38"/>
      <c r="AB328" s="34"/>
      <c r="AC328" s="34"/>
      <c r="AD328" s="38"/>
      <c r="AE328" s="59" t="str">
        <f t="shared" si="17"/>
        <v>NO</v>
      </c>
      <c r="AF328" s="38" t="e" cm="1">
        <f t="array" aca="1" ref="AF328" ca="1">MIN(100, MAX(0, (IF(R328="ESTUDIANTE", 31, 0)) + (IF(I328&lt;=3, 30, IF(I328&lt;=6, 20, 0))) +(IF(OR(E328="413 - Control de Costes y Enlace Construcción", E328="480 - Secretaría General del Consejo", E328="132 - Civil y estructuras", E328="136 - Mecánica", E328="412 - Planificación", E328="142 - Compras"), 25, 0)) +(IF(OR(S328="GRADO ING. MECÁNICA", S328="GRADO ING. ELÉCTRICA", S328="GRADO DERECHO", S328="GRADO ECONOMÍA", S328="GRADO ING. TECNOLOGÍAS INDUSTRIALES"), 24, 0)) + (IF(AND(K328&gt;=451, K328&lt;=700), 23, 0)) + (IF(AND(AB328&gt;=5, AB328&lt;=8), 17, 0)) +(IF(_xludf.OR(_xludf.AND(AC328&gt;=8, AC328&lt;=10), _xludf.AND(AC328&gt;=0, AC328&lt;=5)), 16, 0)) + (IF(F328="Madrid", 11, 0))))</f>
        <v>#NAME?</v>
      </c>
      <c r="AG328" s="68"/>
      <c r="AH328" s="71" t="s">
        <v>164</v>
      </c>
    </row>
    <row r="329" spans="1:34" ht="14.4" x14ac:dyDescent="0.3">
      <c r="A329" s="66" t="s">
        <v>1308</v>
      </c>
      <c r="B329" s="66" t="s">
        <v>3425</v>
      </c>
      <c r="C329" s="33">
        <v>329</v>
      </c>
      <c r="D329" s="33" t="s">
        <v>5397</v>
      </c>
      <c r="E329" s="34" t="s">
        <v>5273</v>
      </c>
      <c r="F329" s="34" t="s">
        <v>18</v>
      </c>
      <c r="G329" s="57">
        <v>41402</v>
      </c>
      <c r="H329" s="57">
        <v>41851</v>
      </c>
      <c r="I329" s="34">
        <f t="shared" si="15"/>
        <v>14</v>
      </c>
      <c r="J329" s="34">
        <v>40</v>
      </c>
      <c r="K329" s="36">
        <v>750</v>
      </c>
      <c r="L329" s="34" t="s">
        <v>17</v>
      </c>
      <c r="M329" s="57">
        <v>31913</v>
      </c>
      <c r="N329" s="37">
        <f>(YEAR(TablaMadre[[#This Row],[ALTA]])-YEAR(M329))</f>
        <v>26</v>
      </c>
      <c r="O329" s="34" t="s">
        <v>18</v>
      </c>
      <c r="P329" s="34" t="s">
        <v>19</v>
      </c>
      <c r="Q329" s="34" t="s">
        <v>93</v>
      </c>
      <c r="R329" s="34" t="s">
        <v>21</v>
      </c>
      <c r="S329" s="34" t="s">
        <v>151</v>
      </c>
      <c r="T329" s="34"/>
      <c r="U329" s="34"/>
      <c r="V329" s="34" t="s">
        <v>22</v>
      </c>
      <c r="W329" s="34" t="s">
        <v>28</v>
      </c>
      <c r="X329" s="38" t="s">
        <v>164</v>
      </c>
      <c r="Y329" s="62">
        <v>42331</v>
      </c>
      <c r="Z329" s="38">
        <f t="shared" si="16"/>
        <v>1</v>
      </c>
      <c r="AA329" s="38"/>
      <c r="AB329" s="34"/>
      <c r="AC329" s="34"/>
      <c r="AD329" s="38"/>
      <c r="AE329" s="59" t="str">
        <f t="shared" si="17"/>
        <v>NO</v>
      </c>
      <c r="AF329" s="38" t="e" cm="1">
        <f t="array" aca="1" ref="AF329" ca="1">MIN(100, MAX(0, (IF(R329="ESTUDIANTE", 31, 0)) + (IF(I329&lt;=3, 30, IF(I329&lt;=6, 20, 0))) +(IF(OR(E329="413 - Control de Costes y Enlace Construcción", E329="480 - Secretaría General del Consejo", E329="132 - Civil y estructuras", E329="136 - Mecánica", E329="412 - Planificación", E329="142 - Compras"), 25, 0)) +(IF(OR(S329="GRADO ING. MECÁNICA", S329="GRADO ING. ELÉCTRICA", S329="GRADO DERECHO", S329="GRADO ECONOMÍA", S329="GRADO ING. TECNOLOGÍAS INDUSTRIALES"), 24, 0)) + (IF(AND(K329&gt;=451, K329&lt;=700), 23, 0)) + (IF(AND(AB329&gt;=5, AB329&lt;=8), 17, 0)) +(IF(_xludf.OR(_xludf.AND(AC329&gt;=8, AC329&lt;=10), _xludf.AND(AC329&gt;=0, AC329&lt;=5)), 16, 0)) + (IF(F329="Madrid", 11, 0))))</f>
        <v>#NAME?</v>
      </c>
      <c r="AG329" s="68"/>
      <c r="AH329" s="71" t="s">
        <v>164</v>
      </c>
    </row>
    <row r="330" spans="1:34" ht="14.4" x14ac:dyDescent="0.3">
      <c r="A330" s="66" t="s">
        <v>1309</v>
      </c>
      <c r="B330" s="66" t="s">
        <v>3426</v>
      </c>
      <c r="C330" s="33">
        <v>330</v>
      </c>
      <c r="D330" s="33" t="s">
        <v>5398</v>
      </c>
      <c r="E330" s="34" t="s">
        <v>5246</v>
      </c>
      <c r="F330" s="34" t="s">
        <v>18</v>
      </c>
      <c r="G330" s="57">
        <v>41402</v>
      </c>
      <c r="H330" s="57">
        <v>41851</v>
      </c>
      <c r="I330" s="34">
        <f t="shared" si="15"/>
        <v>14</v>
      </c>
      <c r="J330" s="34">
        <v>40</v>
      </c>
      <c r="K330" s="36">
        <v>750</v>
      </c>
      <c r="L330" s="34" t="s">
        <v>29</v>
      </c>
      <c r="M330" s="57">
        <v>32080</v>
      </c>
      <c r="N330" s="37">
        <f>(YEAR(TablaMadre[[#This Row],[ALTA]])-YEAR(M330))</f>
        <v>26</v>
      </c>
      <c r="O330" s="34" t="s">
        <v>18</v>
      </c>
      <c r="P330" s="34" t="s">
        <v>19</v>
      </c>
      <c r="Q330" s="34" t="s">
        <v>278</v>
      </c>
      <c r="R330" s="34" t="s">
        <v>21</v>
      </c>
      <c r="S330" s="34" t="s">
        <v>322</v>
      </c>
      <c r="T330" s="34"/>
      <c r="U330" s="34"/>
      <c r="V330" s="34" t="s">
        <v>137</v>
      </c>
      <c r="W330" s="34" t="s">
        <v>28</v>
      </c>
      <c r="X330" s="38" t="s">
        <v>164</v>
      </c>
      <c r="Y330" s="62">
        <v>45174</v>
      </c>
      <c r="Z330" s="38">
        <f t="shared" si="16"/>
        <v>9</v>
      </c>
      <c r="AA330" s="38"/>
      <c r="AB330" s="34"/>
      <c r="AC330" s="34"/>
      <c r="AD330" s="38"/>
      <c r="AE330" s="59" t="str">
        <f t="shared" si="17"/>
        <v>NO</v>
      </c>
      <c r="AF330" s="38" t="e" cm="1">
        <f t="array" aca="1" ref="AF330" ca="1">MIN(100, MAX(0, (IF(R330="ESTUDIANTE", 31, 0)) + (IF(I330&lt;=3, 30, IF(I330&lt;=6, 20, 0))) +(IF(OR(E330="413 - Control de Costes y Enlace Construcción", E330="480 - Secretaría General del Consejo", E330="132 - Civil y estructuras", E330="136 - Mecánica", E330="412 - Planificación", E330="142 - Compras"), 25, 0)) +(IF(OR(S330="GRADO ING. MECÁNICA", S330="GRADO ING. ELÉCTRICA", S330="GRADO DERECHO", S330="GRADO ECONOMÍA", S330="GRADO ING. TECNOLOGÍAS INDUSTRIALES"), 24, 0)) + (IF(AND(K330&gt;=451, K330&lt;=700), 23, 0)) + (IF(AND(AB330&gt;=5, AB330&lt;=8), 17, 0)) +(IF(_xludf.OR(_xludf.AND(AC330&gt;=8, AC330&lt;=10), _xludf.AND(AC330&gt;=0, AC330&lt;=5)), 16, 0)) + (IF(F330="Madrid", 11, 0))))</f>
        <v>#NAME?</v>
      </c>
      <c r="AG330" s="68"/>
      <c r="AH330" s="71" t="s">
        <v>164</v>
      </c>
    </row>
    <row r="331" spans="1:34" ht="14.4" x14ac:dyDescent="0.3">
      <c r="A331" s="66" t="s">
        <v>1310</v>
      </c>
      <c r="B331" s="66" t="s">
        <v>3427</v>
      </c>
      <c r="C331" s="33">
        <v>331</v>
      </c>
      <c r="D331" s="33" t="s">
        <v>5399</v>
      </c>
      <c r="E331" s="34" t="s">
        <v>5245</v>
      </c>
      <c r="F331" s="34" t="s">
        <v>18</v>
      </c>
      <c r="G331" s="57">
        <v>41421</v>
      </c>
      <c r="H331" s="57">
        <v>41698</v>
      </c>
      <c r="I331" s="34">
        <f t="shared" si="15"/>
        <v>9</v>
      </c>
      <c r="J331" s="34">
        <v>40</v>
      </c>
      <c r="K331" s="36">
        <v>900</v>
      </c>
      <c r="L331" s="34" t="s">
        <v>17</v>
      </c>
      <c r="M331" s="57">
        <v>32955</v>
      </c>
      <c r="N331" s="37">
        <f>(YEAR(TablaMadre[[#This Row],[ALTA]])-YEAR(M331))</f>
        <v>23</v>
      </c>
      <c r="O331" s="34" t="s">
        <v>18</v>
      </c>
      <c r="P331" s="34" t="s">
        <v>19</v>
      </c>
      <c r="Q331" s="34" t="s">
        <v>49</v>
      </c>
      <c r="R331" s="34" t="s">
        <v>21</v>
      </c>
      <c r="S331" s="34" t="s">
        <v>297</v>
      </c>
      <c r="T331" s="34"/>
      <c r="U331" s="34"/>
      <c r="V331" s="34" t="s">
        <v>40</v>
      </c>
      <c r="W331" s="34" t="s">
        <v>28</v>
      </c>
      <c r="X331" s="38" t="s">
        <v>173</v>
      </c>
      <c r="Y331" s="62"/>
      <c r="Z331" s="38" t="e">
        <f t="shared" si="16"/>
        <v>#NUM!</v>
      </c>
      <c r="AA331" s="38"/>
      <c r="AB331" s="34"/>
      <c r="AC331" s="34"/>
      <c r="AD331" s="38"/>
      <c r="AE331" s="59" t="str">
        <f t="shared" si="17"/>
        <v>NO</v>
      </c>
      <c r="AF331" s="38" t="e" cm="1">
        <f t="array" aca="1" ref="AF331" ca="1">MIN(100, MAX(0, (IF(R331="ESTUDIANTE", 31, 0)) + (IF(I331&lt;=3, 30, IF(I331&lt;=6, 20, 0))) +(IF(OR(E331="413 - Control de Costes y Enlace Construcción", E331="480 - Secretaría General del Consejo", E331="132 - Civil y estructuras", E331="136 - Mecánica", E331="412 - Planificación", E331="142 - Compras"), 25, 0)) +(IF(OR(S331="GRADO ING. MECÁNICA", S331="GRADO ING. ELÉCTRICA", S331="GRADO DERECHO", S331="GRADO ECONOMÍA", S331="GRADO ING. TECNOLOGÍAS INDUSTRIALES"), 24, 0)) + (IF(AND(K331&gt;=451, K331&lt;=700), 23, 0)) + (IF(AND(AB331&gt;=5, AB331&lt;=8), 17, 0)) +(IF(_xludf.OR(_xludf.AND(AC331&gt;=8, AC331&lt;=10), _xludf.AND(AC331&gt;=0, AC331&lt;=5)), 16, 0)) + (IF(F331="Madrid", 11, 0))))</f>
        <v>#NAME?</v>
      </c>
      <c r="AG331" s="68"/>
      <c r="AH331" s="71" t="s">
        <v>164</v>
      </c>
    </row>
    <row r="332" spans="1:34" ht="14.4" x14ac:dyDescent="0.3">
      <c r="A332" s="66" t="s">
        <v>1290</v>
      </c>
      <c r="B332" s="66" t="s">
        <v>3407</v>
      </c>
      <c r="C332" s="33">
        <v>332</v>
      </c>
      <c r="D332" s="33" t="s">
        <v>5400</v>
      </c>
      <c r="E332" s="34" t="s">
        <v>5266</v>
      </c>
      <c r="F332" s="34" t="s">
        <v>18</v>
      </c>
      <c r="G332" s="57">
        <v>41430</v>
      </c>
      <c r="H332" s="57">
        <v>41770</v>
      </c>
      <c r="I332" s="34">
        <f t="shared" si="15"/>
        <v>11</v>
      </c>
      <c r="J332" s="34">
        <v>40</v>
      </c>
      <c r="K332" s="36">
        <v>800</v>
      </c>
      <c r="L332" s="34" t="s">
        <v>17</v>
      </c>
      <c r="M332" s="57">
        <v>32945</v>
      </c>
      <c r="N332" s="37">
        <f>(YEAR(TablaMadre[[#This Row],[ALTA]])-YEAR(M332))</f>
        <v>23</v>
      </c>
      <c r="O332" s="34" t="s">
        <v>75</v>
      </c>
      <c r="P332" s="34" t="s">
        <v>19</v>
      </c>
      <c r="Q332" s="34" t="s">
        <v>189</v>
      </c>
      <c r="R332" s="34" t="s">
        <v>21</v>
      </c>
      <c r="S332" s="34" t="s">
        <v>189</v>
      </c>
      <c r="T332" s="34"/>
      <c r="U332" s="34"/>
      <c r="V332" s="34" t="s">
        <v>81</v>
      </c>
      <c r="W332" s="34" t="s">
        <v>23</v>
      </c>
      <c r="X332" s="38" t="s">
        <v>164</v>
      </c>
      <c r="Y332" s="62"/>
      <c r="Z332" s="62" t="e">
        <f t="shared" si="16"/>
        <v>#NUM!</v>
      </c>
      <c r="AA332" s="62"/>
      <c r="AB332" s="34"/>
      <c r="AC332" s="34"/>
      <c r="AD332" s="38"/>
      <c r="AE332" s="59" t="str">
        <f t="shared" si="17"/>
        <v>SÍ</v>
      </c>
      <c r="AF332" s="38" t="e" cm="1">
        <f t="array" aca="1" ref="AF332" ca="1">MIN(100, MAX(0, (IF(R332="ESTUDIANTE", 31, 0)) + (IF(I332&lt;=3, 30, IF(I332&lt;=6, 20, 0))) +(IF(OR(E332="413 - Control de Costes y Enlace Construcción", E332="480 - Secretaría General del Consejo", E332="132 - Civil y estructuras", E332="136 - Mecánica", E332="412 - Planificación", E332="142 - Compras"), 25, 0)) +(IF(OR(S332="GRADO ING. MECÁNICA", S332="GRADO ING. ELÉCTRICA", S332="GRADO DERECHO", S332="GRADO ECONOMÍA", S332="GRADO ING. TECNOLOGÍAS INDUSTRIALES"), 24, 0)) + (IF(AND(K332&gt;=451, K332&lt;=700), 23, 0)) + (IF(AND(AB332&gt;=5, AB332&lt;=8), 17, 0)) +(IF(_xludf.OR(_xludf.AND(AC332&gt;=8, AC332&lt;=10), _xludf.AND(AC332&gt;=0, AC332&lt;=5)), 16, 0)) + (IF(F332="Madrid", 11, 0))))</f>
        <v>#NAME?</v>
      </c>
      <c r="AG332" s="68"/>
      <c r="AH332" s="71" t="s">
        <v>164</v>
      </c>
    </row>
    <row r="333" spans="1:34" ht="14.4" x14ac:dyDescent="0.3">
      <c r="A333" s="66" t="s">
        <v>1312</v>
      </c>
      <c r="B333" s="66" t="s">
        <v>3429</v>
      </c>
      <c r="C333" s="33">
        <v>333</v>
      </c>
      <c r="D333" s="33" t="s">
        <v>5401</v>
      </c>
      <c r="E333" s="34" t="s">
        <v>5222</v>
      </c>
      <c r="F333" s="34" t="s">
        <v>18</v>
      </c>
      <c r="G333" s="57">
        <v>41430</v>
      </c>
      <c r="H333" s="57">
        <v>41706</v>
      </c>
      <c r="I333" s="34">
        <f t="shared" si="15"/>
        <v>9</v>
      </c>
      <c r="J333" s="34">
        <v>40</v>
      </c>
      <c r="K333" s="36">
        <v>825</v>
      </c>
      <c r="L333" s="34" t="s">
        <v>17</v>
      </c>
      <c r="M333" s="57">
        <v>32252</v>
      </c>
      <c r="N333" s="37">
        <f>(YEAR(TablaMadre[[#This Row],[ALTA]])-YEAR(M333))</f>
        <v>25</v>
      </c>
      <c r="O333" s="34" t="s">
        <v>812</v>
      </c>
      <c r="P333" s="34" t="s">
        <v>19</v>
      </c>
      <c r="Q333" s="34" t="s">
        <v>240</v>
      </c>
      <c r="R333" s="34" t="s">
        <v>21</v>
      </c>
      <c r="S333" s="34" t="s">
        <v>297</v>
      </c>
      <c r="T333" s="34"/>
      <c r="U333" s="34"/>
      <c r="V333" s="34" t="s">
        <v>40</v>
      </c>
      <c r="W333" s="34" t="s">
        <v>28</v>
      </c>
      <c r="X333" s="38" t="s">
        <v>164</v>
      </c>
      <c r="Y333" s="62">
        <v>44596</v>
      </c>
      <c r="Z333" s="38">
        <f t="shared" si="16"/>
        <v>7</v>
      </c>
      <c r="AA333" s="38"/>
      <c r="AB333" s="34" t="s">
        <v>24</v>
      </c>
      <c r="AC333" s="34"/>
      <c r="AD333" s="38"/>
      <c r="AE333" s="59" t="str">
        <f t="shared" si="17"/>
        <v>SÍ</v>
      </c>
      <c r="AF333" s="38" t="e" cm="1">
        <f t="array" aca="1" ref="AF333" ca="1">MIN(100, MAX(0, (IF(R333="ESTUDIANTE", 31, 0)) + (IF(I333&lt;=3, 30, IF(I333&lt;=6, 20, 0))) +(IF(OR(E333="413 - Control de Costes y Enlace Construcción", E333="480 - Secretaría General del Consejo", E333="132 - Civil y estructuras", E333="136 - Mecánica", E333="412 - Planificación", E333="142 - Compras"), 25, 0)) +(IF(OR(S333="GRADO ING. MECÁNICA", S333="GRADO ING. ELÉCTRICA", S333="GRADO DERECHO", S333="GRADO ECONOMÍA", S333="GRADO ING. TECNOLOGÍAS INDUSTRIALES"), 24, 0)) + (IF(AND(K333&gt;=451, K333&lt;=700), 23, 0)) + (IF(AND(AB333&gt;=5, AB333&lt;=8), 17, 0)) +(IF(_xludf.OR(_xludf.AND(AC333&gt;=8, AC333&lt;=10), _xludf.AND(AC333&gt;=0, AC333&lt;=5)), 16, 0)) + (IF(F333="Madrid", 11, 0))))</f>
        <v>#NAME?</v>
      </c>
      <c r="AG333" s="68"/>
      <c r="AH333" s="71" t="s">
        <v>164</v>
      </c>
    </row>
    <row r="334" spans="1:34" ht="14.4" x14ac:dyDescent="0.3">
      <c r="A334" s="66" t="s">
        <v>1313</v>
      </c>
      <c r="B334" s="66" t="s">
        <v>3430</v>
      </c>
      <c r="C334" s="33">
        <v>334</v>
      </c>
      <c r="D334" s="33" t="s">
        <v>5402</v>
      </c>
      <c r="E334" s="34" t="s">
        <v>5235</v>
      </c>
      <c r="F334" s="34" t="s">
        <v>18</v>
      </c>
      <c r="G334" s="57">
        <v>41430</v>
      </c>
      <c r="H334" s="57">
        <v>41764</v>
      </c>
      <c r="I334" s="34">
        <f t="shared" si="15"/>
        <v>11</v>
      </c>
      <c r="J334" s="34">
        <v>40</v>
      </c>
      <c r="K334" s="36">
        <v>900</v>
      </c>
      <c r="L334" s="34" t="s">
        <v>29</v>
      </c>
      <c r="M334" s="57">
        <v>33296</v>
      </c>
      <c r="N334" s="37">
        <f>(YEAR(TablaMadre[[#This Row],[ALTA]])-YEAR(M334))</f>
        <v>22</v>
      </c>
      <c r="O334" s="34" t="s">
        <v>255</v>
      </c>
      <c r="P334" s="34" t="s">
        <v>19</v>
      </c>
      <c r="Q334" s="34" t="s">
        <v>61</v>
      </c>
      <c r="R334" s="34" t="s">
        <v>21</v>
      </c>
      <c r="S334" s="34" t="s">
        <v>322</v>
      </c>
      <c r="T334" s="34"/>
      <c r="U334" s="34"/>
      <c r="V334" s="34" t="s">
        <v>22</v>
      </c>
      <c r="W334" s="34" t="s">
        <v>28</v>
      </c>
      <c r="X334" s="38" t="s">
        <v>164</v>
      </c>
      <c r="Y334" s="62">
        <v>43739</v>
      </c>
      <c r="Z334" s="38">
        <f t="shared" si="16"/>
        <v>5</v>
      </c>
      <c r="AA334" s="38"/>
      <c r="AB334" s="34"/>
      <c r="AC334" s="34"/>
      <c r="AD334" s="38"/>
      <c r="AE334" s="59" t="str">
        <f t="shared" si="17"/>
        <v>SÍ</v>
      </c>
      <c r="AF334" s="38" t="e" cm="1">
        <f t="array" aca="1" ref="AF334" ca="1">MIN(100, MAX(0, (IF(R334="ESTUDIANTE", 31, 0)) + (IF(I334&lt;=3, 30, IF(I334&lt;=6, 20, 0))) +(IF(OR(E334="413 - Control de Costes y Enlace Construcción", E334="480 - Secretaría General del Consejo", E334="132 - Civil y estructuras", E334="136 - Mecánica", E334="412 - Planificación", E334="142 - Compras"), 25, 0)) +(IF(OR(S334="GRADO ING. MECÁNICA", S334="GRADO ING. ELÉCTRICA", S334="GRADO DERECHO", S334="GRADO ECONOMÍA", S334="GRADO ING. TECNOLOGÍAS INDUSTRIALES"), 24, 0)) + (IF(AND(K334&gt;=451, K334&lt;=700), 23, 0)) + (IF(AND(AB334&gt;=5, AB334&lt;=8), 17, 0)) +(IF(_xludf.OR(_xludf.AND(AC334&gt;=8, AC334&lt;=10), _xludf.AND(AC334&gt;=0, AC334&lt;=5)), 16, 0)) + (IF(F334="Madrid", 11, 0))))</f>
        <v>#NAME?</v>
      </c>
      <c r="AG334" s="68"/>
      <c r="AH334" s="71" t="s">
        <v>164</v>
      </c>
    </row>
    <row r="335" spans="1:34" ht="14.4" x14ac:dyDescent="0.3">
      <c r="A335" s="66" t="s">
        <v>1314</v>
      </c>
      <c r="B335" s="66" t="s">
        <v>3431</v>
      </c>
      <c r="C335" s="33">
        <v>335</v>
      </c>
      <c r="D335" s="33" t="s">
        <v>5393</v>
      </c>
      <c r="E335" s="34" t="s">
        <v>5222</v>
      </c>
      <c r="F335" s="34" t="s">
        <v>18</v>
      </c>
      <c r="G335" s="57">
        <v>41431</v>
      </c>
      <c r="H335" s="57">
        <v>41784</v>
      </c>
      <c r="I335" s="34">
        <f t="shared" si="15"/>
        <v>11</v>
      </c>
      <c r="J335" s="34">
        <v>40</v>
      </c>
      <c r="K335" s="36">
        <v>900</v>
      </c>
      <c r="L335" s="34" t="s">
        <v>17</v>
      </c>
      <c r="M335" s="57">
        <v>32374</v>
      </c>
      <c r="N335" s="37">
        <f>(YEAR(TablaMadre[[#This Row],[ALTA]])-YEAR(M335))</f>
        <v>25</v>
      </c>
      <c r="O335" s="34" t="s">
        <v>18</v>
      </c>
      <c r="P335" s="34" t="s">
        <v>19</v>
      </c>
      <c r="Q335" s="34" t="s">
        <v>49</v>
      </c>
      <c r="R335" s="34" t="s">
        <v>21</v>
      </c>
      <c r="S335" s="34" t="s">
        <v>297</v>
      </c>
      <c r="T335" s="34"/>
      <c r="U335" s="34"/>
      <c r="V335" s="34" t="s">
        <v>40</v>
      </c>
      <c r="W335" s="34" t="s">
        <v>28</v>
      </c>
      <c r="X335" s="38" t="s">
        <v>164</v>
      </c>
      <c r="Y335" s="62">
        <v>44646</v>
      </c>
      <c r="Z335" s="38">
        <f t="shared" si="16"/>
        <v>7</v>
      </c>
      <c r="AA335" s="38"/>
      <c r="AB335" s="34"/>
      <c r="AC335" s="34"/>
      <c r="AD335" s="38"/>
      <c r="AE335" s="59" t="str">
        <f t="shared" si="17"/>
        <v>NO</v>
      </c>
      <c r="AF335" s="38" t="e" cm="1">
        <f t="array" aca="1" ref="AF335" ca="1">MIN(100, MAX(0, (IF(R335="ESTUDIANTE", 31, 0)) + (IF(I335&lt;=3, 30, IF(I335&lt;=6, 20, 0))) +(IF(OR(E335="413 - Control de Costes y Enlace Construcción", E335="480 - Secretaría General del Consejo", E335="132 - Civil y estructuras", E335="136 - Mecánica", E335="412 - Planificación", E335="142 - Compras"), 25, 0)) +(IF(OR(S335="GRADO ING. MECÁNICA", S335="GRADO ING. ELÉCTRICA", S335="GRADO DERECHO", S335="GRADO ECONOMÍA", S335="GRADO ING. TECNOLOGÍAS INDUSTRIALES"), 24, 0)) + (IF(AND(K335&gt;=451, K335&lt;=700), 23, 0)) + (IF(AND(AB335&gt;=5, AB335&lt;=8), 17, 0)) +(IF(_xludf.OR(_xludf.AND(AC335&gt;=8, AC335&lt;=10), _xludf.AND(AC335&gt;=0, AC335&lt;=5)), 16, 0)) + (IF(F335="Madrid", 11, 0))))</f>
        <v>#NAME?</v>
      </c>
      <c r="AG335" s="68"/>
      <c r="AH335" s="71" t="s">
        <v>164</v>
      </c>
    </row>
    <row r="336" spans="1:34" ht="14.4" x14ac:dyDescent="0.3">
      <c r="A336" s="66" t="s">
        <v>1315</v>
      </c>
      <c r="B336" s="66" t="s">
        <v>3432</v>
      </c>
      <c r="C336" s="33">
        <v>336</v>
      </c>
      <c r="D336" s="33" t="s">
        <v>5394</v>
      </c>
      <c r="E336" s="34" t="s">
        <v>5245</v>
      </c>
      <c r="F336" s="34" t="s">
        <v>18</v>
      </c>
      <c r="G336" s="57">
        <v>41438</v>
      </c>
      <c r="H336" s="57">
        <v>41698</v>
      </c>
      <c r="I336" s="34">
        <f t="shared" si="15"/>
        <v>8</v>
      </c>
      <c r="J336" s="34">
        <v>40</v>
      </c>
      <c r="K336" s="36">
        <v>900</v>
      </c>
      <c r="L336" s="34" t="s">
        <v>29</v>
      </c>
      <c r="M336" s="57">
        <v>32127</v>
      </c>
      <c r="N336" s="37">
        <f>(YEAR(TablaMadre[[#This Row],[ALTA]])-YEAR(M336))</f>
        <v>26</v>
      </c>
      <c r="O336" s="34" t="s">
        <v>411</v>
      </c>
      <c r="P336" s="34" t="s">
        <v>19</v>
      </c>
      <c r="Q336" s="34" t="s">
        <v>32</v>
      </c>
      <c r="R336" s="34" t="s">
        <v>21</v>
      </c>
      <c r="S336" s="34" t="s">
        <v>322</v>
      </c>
      <c r="T336" s="34"/>
      <c r="U336" s="34"/>
      <c r="V336" s="34" t="s">
        <v>193</v>
      </c>
      <c r="W336" s="34" t="s">
        <v>28</v>
      </c>
      <c r="X336" s="38" t="s">
        <v>164</v>
      </c>
      <c r="Y336" s="62">
        <v>43647</v>
      </c>
      <c r="Z336" s="38">
        <f t="shared" si="16"/>
        <v>5</v>
      </c>
      <c r="AA336" s="38"/>
      <c r="AB336" s="34"/>
      <c r="AC336" s="34"/>
      <c r="AD336" s="38"/>
      <c r="AE336" s="59" t="str">
        <f t="shared" si="17"/>
        <v>SÍ</v>
      </c>
      <c r="AF336" s="38" t="e" cm="1">
        <f t="array" aca="1" ref="AF336" ca="1">MIN(100, MAX(0, (IF(R336="ESTUDIANTE", 31, 0)) + (IF(I336&lt;=3, 30, IF(I336&lt;=6, 20, 0))) +(IF(OR(E336="413 - Control de Costes y Enlace Construcción", E336="480 - Secretaría General del Consejo", E336="132 - Civil y estructuras", E336="136 - Mecánica", E336="412 - Planificación", E336="142 - Compras"), 25, 0)) +(IF(OR(S336="GRADO ING. MECÁNICA", S336="GRADO ING. ELÉCTRICA", S336="GRADO DERECHO", S336="GRADO ECONOMÍA", S336="GRADO ING. TECNOLOGÍAS INDUSTRIALES"), 24, 0)) + (IF(AND(K336&gt;=451, K336&lt;=700), 23, 0)) + (IF(AND(AB336&gt;=5, AB336&lt;=8), 17, 0)) +(IF(_xludf.OR(_xludf.AND(AC336&gt;=8, AC336&lt;=10), _xludf.AND(AC336&gt;=0, AC336&lt;=5)), 16, 0)) + (IF(F336="Madrid", 11, 0))))</f>
        <v>#NAME?</v>
      </c>
      <c r="AG336" s="68"/>
      <c r="AH336" s="71" t="s">
        <v>164</v>
      </c>
    </row>
    <row r="337" spans="1:34" ht="14.4" x14ac:dyDescent="0.3">
      <c r="A337" s="66" t="s">
        <v>1302</v>
      </c>
      <c r="B337" s="66" t="s">
        <v>3419</v>
      </c>
      <c r="C337" s="33">
        <v>338</v>
      </c>
      <c r="D337" s="33" t="s">
        <v>5395</v>
      </c>
      <c r="E337" s="34" t="s">
        <v>5274</v>
      </c>
      <c r="F337" s="34" t="s">
        <v>18</v>
      </c>
      <c r="G337" s="57">
        <v>41442</v>
      </c>
      <c r="H337" s="57">
        <v>41501</v>
      </c>
      <c r="I337" s="34">
        <f t="shared" si="15"/>
        <v>1</v>
      </c>
      <c r="J337" s="34">
        <v>40</v>
      </c>
      <c r="K337" s="36">
        <v>1350</v>
      </c>
      <c r="L337" s="34" t="s">
        <v>17</v>
      </c>
      <c r="M337" s="57">
        <v>30419</v>
      </c>
      <c r="N337" s="37">
        <f>(YEAR(TablaMadre[[#This Row],[ALTA]])-YEAR(M337))</f>
        <v>30</v>
      </c>
      <c r="O337" s="34" t="s">
        <v>959</v>
      </c>
      <c r="P337" s="34" t="s">
        <v>103</v>
      </c>
      <c r="Q337" s="34" t="s">
        <v>219</v>
      </c>
      <c r="R337" s="34" t="s">
        <v>21</v>
      </c>
      <c r="S337" s="34" t="s">
        <v>220</v>
      </c>
      <c r="T337" s="34"/>
      <c r="U337" s="34"/>
      <c r="V337" s="34" t="s">
        <v>90</v>
      </c>
      <c r="W337" s="34" t="s">
        <v>23</v>
      </c>
      <c r="X337" s="34" t="s">
        <v>164</v>
      </c>
      <c r="Y337" s="57"/>
      <c r="Z337" s="57" t="e">
        <f t="shared" si="16"/>
        <v>#NUM!</v>
      </c>
      <c r="AA337" s="57"/>
      <c r="AB337" s="34"/>
      <c r="AC337" s="34"/>
      <c r="AD337" s="34"/>
      <c r="AE337" s="59" t="str">
        <f t="shared" si="17"/>
        <v>SÍ</v>
      </c>
      <c r="AF337" s="38" t="e" cm="1">
        <f t="array" aca="1" ref="AF337" ca="1">MIN(100, MAX(0, (IF(R337="ESTUDIANTE", 31, 0)) + (IF(I337&lt;=3, 30, IF(I337&lt;=6, 20, 0))) +(IF(OR(E337="413 - Control de Costes y Enlace Construcción", E337="480 - Secretaría General del Consejo", E337="132 - Civil y estructuras", E337="136 - Mecánica", E337="412 - Planificación", E337="142 - Compras"), 25, 0)) +(IF(OR(S337="GRADO ING. MECÁNICA", S337="GRADO ING. ELÉCTRICA", S337="GRADO DERECHO", S337="GRADO ECONOMÍA", S337="GRADO ING. TECNOLOGÍAS INDUSTRIALES"), 24, 0)) + (IF(AND(K337&gt;=451, K337&lt;=700), 23, 0)) + (IF(AND(AB337&gt;=5, AB337&lt;=8), 17, 0)) +(IF(_xludf.OR(_xludf.AND(AC337&gt;=8, AC337&lt;=10), _xludf.AND(AC337&gt;=0, AC337&lt;=5)), 16, 0)) + (IF(F337="Madrid", 11, 0))))</f>
        <v>#NAME?</v>
      </c>
      <c r="AG337" s="68"/>
      <c r="AH337" s="71" t="s">
        <v>164</v>
      </c>
    </row>
    <row r="338" spans="1:34" ht="14.4" x14ac:dyDescent="0.3">
      <c r="A338" s="66" t="s">
        <v>1316</v>
      </c>
      <c r="B338" s="66" t="s">
        <v>3433</v>
      </c>
      <c r="C338" s="33">
        <v>337</v>
      </c>
      <c r="D338" s="33" t="s">
        <v>5396</v>
      </c>
      <c r="E338" s="34" t="s">
        <v>5224</v>
      </c>
      <c r="F338" s="34" t="s">
        <v>18</v>
      </c>
      <c r="G338" s="57">
        <v>41442</v>
      </c>
      <c r="H338" s="57">
        <v>41500</v>
      </c>
      <c r="I338" s="34">
        <f t="shared" si="15"/>
        <v>1</v>
      </c>
      <c r="J338" s="34">
        <v>40</v>
      </c>
      <c r="K338" s="36">
        <v>650</v>
      </c>
      <c r="L338" s="34" t="s">
        <v>17</v>
      </c>
      <c r="M338" s="57">
        <v>31587</v>
      </c>
      <c r="N338" s="37">
        <f>(YEAR(TablaMadre[[#This Row],[ALTA]])-YEAR(M338))</f>
        <v>27</v>
      </c>
      <c r="O338" s="34" t="s">
        <v>18</v>
      </c>
      <c r="P338" s="34" t="s">
        <v>19</v>
      </c>
      <c r="Q338" s="34" t="s">
        <v>58</v>
      </c>
      <c r="R338" s="58" t="s">
        <v>30</v>
      </c>
      <c r="S338" s="34" t="s">
        <v>229</v>
      </c>
      <c r="T338" s="34"/>
      <c r="U338" s="34"/>
      <c r="V338" s="34" t="s">
        <v>137</v>
      </c>
      <c r="W338" s="34" t="s">
        <v>23</v>
      </c>
      <c r="X338" s="38" t="s">
        <v>164</v>
      </c>
      <c r="Y338" s="62"/>
      <c r="Z338" s="62" t="e">
        <f t="shared" si="16"/>
        <v>#NUM!</v>
      </c>
      <c r="AA338" s="62"/>
      <c r="AB338" s="34" t="s">
        <v>24</v>
      </c>
      <c r="AC338" s="34" t="s">
        <v>53</v>
      </c>
      <c r="AD338" s="38"/>
      <c r="AE338" s="59" t="str">
        <f t="shared" si="17"/>
        <v>NO</v>
      </c>
      <c r="AF338" s="38" t="e" cm="1">
        <f t="array" aca="1" ref="AF338" ca="1">MIN(100, MAX(0, (IF(R338="ESTUDIANTE", 31, 0)) + (IF(I338&lt;=3, 30, IF(I338&lt;=6, 20, 0))) +(IF(OR(E338="413 - Control de Costes y Enlace Construcción", E338="480 - Secretaría General del Consejo", E338="132 - Civil y estructuras", E338="136 - Mecánica", E338="412 - Planificación", E338="142 - Compras"), 25, 0)) +(IF(OR(S338="GRADO ING. MECÁNICA", S338="GRADO ING. ELÉCTRICA", S338="GRADO DERECHO", S338="GRADO ECONOMÍA", S338="GRADO ING. TECNOLOGÍAS INDUSTRIALES"), 24, 0)) + (IF(AND(K338&gt;=451, K338&lt;=700), 23, 0)) + (IF(AND(AB338&gt;=5, AB338&lt;=8), 17, 0)) +(IF(_xludf.OR(_xludf.AND(AC338&gt;=8, AC338&lt;=10), _xludf.AND(AC338&gt;=0, AC338&lt;=5)), 16, 0)) + (IF(F338="Madrid", 11, 0))))</f>
        <v>#NAME?</v>
      </c>
      <c r="AG338" s="68"/>
      <c r="AH338" s="71" t="s">
        <v>164</v>
      </c>
    </row>
    <row r="339" spans="1:34" s="4" customFormat="1" ht="14.4" x14ac:dyDescent="0.3">
      <c r="A339" s="66" t="s">
        <v>1318</v>
      </c>
      <c r="B339" s="66" t="s">
        <v>3435</v>
      </c>
      <c r="C339" s="33">
        <v>339</v>
      </c>
      <c r="D339" s="33" t="s">
        <v>5397</v>
      </c>
      <c r="E339" s="34" t="s">
        <v>5253</v>
      </c>
      <c r="F339" s="34" t="s">
        <v>18</v>
      </c>
      <c r="G339" s="57">
        <v>41442</v>
      </c>
      <c r="H339" s="57">
        <v>41714</v>
      </c>
      <c r="I339" s="34">
        <f t="shared" si="15"/>
        <v>8</v>
      </c>
      <c r="J339" s="34">
        <v>40</v>
      </c>
      <c r="K339" s="36">
        <v>900</v>
      </c>
      <c r="L339" s="34" t="s">
        <v>17</v>
      </c>
      <c r="M339" s="57">
        <v>33967</v>
      </c>
      <c r="N339" s="37">
        <f>(YEAR(TablaMadre[[#This Row],[ALTA]])-YEAR(M339))</f>
        <v>21</v>
      </c>
      <c r="O339" s="34" t="s">
        <v>146</v>
      </c>
      <c r="P339" s="34" t="s">
        <v>19</v>
      </c>
      <c r="Q339" s="34" t="s">
        <v>20</v>
      </c>
      <c r="R339" s="34" t="s">
        <v>21</v>
      </c>
      <c r="S339" s="34" t="s">
        <v>151</v>
      </c>
      <c r="T339" s="34"/>
      <c r="U339" s="34"/>
      <c r="V339" s="34" t="s">
        <v>22</v>
      </c>
      <c r="W339" s="34" t="s">
        <v>28</v>
      </c>
      <c r="X339" s="38" t="s">
        <v>164</v>
      </c>
      <c r="Y339" s="62">
        <v>45955</v>
      </c>
      <c r="Z339" s="38">
        <f t="shared" si="16"/>
        <v>11</v>
      </c>
      <c r="AA339" s="38"/>
      <c r="AB339" s="34"/>
      <c r="AC339" s="34"/>
      <c r="AD339" s="38"/>
      <c r="AE339" s="59" t="str">
        <f t="shared" si="17"/>
        <v>SÍ</v>
      </c>
      <c r="AF339" s="34" t="e" cm="1">
        <f t="array" aca="1" ref="AF339" ca="1">MIN(100, MAX(0, (IF(R339="ESTUDIANTE", 31, 0)) + (IF(I339&lt;=3, 30, IF(I339&lt;=6, 20, 0))) +(IF(OR(E339="413 - Control de Costes y Enlace Construcción", E339="480 - Secretaría General del Consejo", E339="132 - Civil y estructuras", E339="136 - Mecánica", E339="412 - Planificación", E339="142 - Compras"), 25, 0)) +(IF(OR(S339="GRADO ING. MECÁNICA", S339="GRADO ING. ELÉCTRICA", S339="GRADO DERECHO", S339="GRADO ECONOMÍA", S339="GRADO ING. TECNOLOGÍAS INDUSTRIALES"), 24, 0)) + (IF(AND(K339&gt;=451, K339&lt;=700), 23, 0)) + (IF(AND(AB339&gt;=5, AB339&lt;=8), 17, 0)) +(IF(_xludf.OR(_xludf.AND(AC339&gt;=8, AC339&lt;=10), _xludf.AND(AC339&gt;=0, AC339&lt;=5)), 16, 0)) + (IF(F339="Madrid", 11, 0))))</f>
        <v>#NAME?</v>
      </c>
      <c r="AG339" s="69"/>
      <c r="AH339" s="71" t="s">
        <v>164</v>
      </c>
    </row>
    <row r="340" spans="1:34" ht="14.4" x14ac:dyDescent="0.3">
      <c r="A340" s="66" t="s">
        <v>1319</v>
      </c>
      <c r="B340" s="66" t="s">
        <v>3436</v>
      </c>
      <c r="C340" s="33">
        <v>340</v>
      </c>
      <c r="D340" s="33" t="s">
        <v>5398</v>
      </c>
      <c r="E340" s="34" t="s">
        <v>5218</v>
      </c>
      <c r="F340" s="34" t="s">
        <v>18</v>
      </c>
      <c r="G340" s="57">
        <v>41442</v>
      </c>
      <c r="H340" s="57">
        <v>41812</v>
      </c>
      <c r="I340" s="34">
        <f t="shared" si="15"/>
        <v>12</v>
      </c>
      <c r="J340" s="34">
        <v>40</v>
      </c>
      <c r="K340" s="36">
        <v>900</v>
      </c>
      <c r="L340" s="34" t="s">
        <v>29</v>
      </c>
      <c r="M340" s="57">
        <v>32625</v>
      </c>
      <c r="N340" s="37">
        <f>(YEAR(TablaMadre[[#This Row],[ALTA]])-YEAR(M340))</f>
        <v>24</v>
      </c>
      <c r="O340" s="34" t="s">
        <v>18</v>
      </c>
      <c r="P340" s="34" t="s">
        <v>19</v>
      </c>
      <c r="Q340" s="34" t="s">
        <v>178</v>
      </c>
      <c r="R340" s="34" t="s">
        <v>21</v>
      </c>
      <c r="S340" s="34" t="s">
        <v>397</v>
      </c>
      <c r="T340" s="34"/>
      <c r="U340" s="34"/>
      <c r="V340" s="34" t="s">
        <v>22</v>
      </c>
      <c r="W340" s="34" t="s">
        <v>28</v>
      </c>
      <c r="X340" s="38" t="s">
        <v>173</v>
      </c>
      <c r="Y340" s="62"/>
      <c r="Z340" s="38" t="e">
        <f t="shared" si="16"/>
        <v>#NUM!</v>
      </c>
      <c r="AA340" s="38" t="s">
        <v>173</v>
      </c>
      <c r="AB340" s="34"/>
      <c r="AC340" s="34"/>
      <c r="AD340" s="38"/>
      <c r="AE340" s="59" t="str">
        <f t="shared" si="17"/>
        <v>NO</v>
      </c>
      <c r="AF340" s="38" t="e" cm="1">
        <f t="array" aca="1" ref="AF340" ca="1">MIN(100, MAX(0, (IF(R340="ESTUDIANTE", 31, 0)) + (IF(I340&lt;=3, 30, IF(I340&lt;=6, 20, 0))) +(IF(OR(E340="413 - Control de Costes y Enlace Construcción", E340="480 - Secretaría General del Consejo", E340="132 - Civil y estructuras", E340="136 - Mecánica", E340="412 - Planificación", E340="142 - Compras"), 25, 0)) +(IF(OR(S340="GRADO ING. MECÁNICA", S340="GRADO ING. ELÉCTRICA", S340="GRADO DERECHO", S340="GRADO ECONOMÍA", S340="GRADO ING. TECNOLOGÍAS INDUSTRIALES"), 24, 0)) + (IF(AND(K340&gt;=451, K340&lt;=700), 23, 0)) + (IF(AND(AB340&gt;=5, AB340&lt;=8), 17, 0)) +(IF(_xludf.OR(_xludf.AND(AC340&gt;=8, AC340&lt;=10), _xludf.AND(AC340&gt;=0, AC340&lt;=5)), 16, 0)) + (IF(F340="Madrid", 11, 0))))</f>
        <v>#NAME?</v>
      </c>
      <c r="AG340" s="68"/>
      <c r="AH340" s="71" t="s">
        <v>164</v>
      </c>
    </row>
    <row r="341" spans="1:34" ht="14.4" x14ac:dyDescent="0.3">
      <c r="A341" s="66" t="s">
        <v>1320</v>
      </c>
      <c r="B341" s="66" t="s">
        <v>3437</v>
      </c>
      <c r="C341" s="33">
        <v>341</v>
      </c>
      <c r="D341" s="33" t="s">
        <v>5399</v>
      </c>
      <c r="E341" s="34" t="s">
        <v>5268</v>
      </c>
      <c r="F341" s="34" t="s">
        <v>18</v>
      </c>
      <c r="G341" s="57">
        <v>41443</v>
      </c>
      <c r="H341" s="57">
        <v>42015</v>
      </c>
      <c r="I341" s="34">
        <f t="shared" si="15"/>
        <v>18</v>
      </c>
      <c r="J341" s="34">
        <v>40</v>
      </c>
      <c r="K341" s="36">
        <v>650</v>
      </c>
      <c r="L341" s="34" t="s">
        <v>17</v>
      </c>
      <c r="M341" s="57">
        <v>32987</v>
      </c>
      <c r="N341" s="37">
        <f>(YEAR(TablaMadre[[#This Row],[ALTA]])-YEAR(M341))</f>
        <v>23</v>
      </c>
      <c r="O341" s="34" t="s">
        <v>202</v>
      </c>
      <c r="P341" s="34" t="s">
        <v>19</v>
      </c>
      <c r="Q341" s="34" t="s">
        <v>117</v>
      </c>
      <c r="R341" s="58" t="s">
        <v>30</v>
      </c>
      <c r="S341" s="34" t="s">
        <v>117</v>
      </c>
      <c r="T341" s="34"/>
      <c r="U341" s="34"/>
      <c r="V341" s="34" t="s">
        <v>193</v>
      </c>
      <c r="W341" s="34" t="s">
        <v>28</v>
      </c>
      <c r="X341" s="38" t="s">
        <v>164</v>
      </c>
      <c r="Y341" s="62">
        <v>43993</v>
      </c>
      <c r="Z341" s="38">
        <f t="shared" si="16"/>
        <v>5</v>
      </c>
      <c r="AA341" s="38"/>
      <c r="AB341" s="34"/>
      <c r="AC341" s="34"/>
      <c r="AD341" s="38"/>
      <c r="AE341" s="59" t="str">
        <f t="shared" si="17"/>
        <v>SÍ</v>
      </c>
      <c r="AF341" s="38" t="e" cm="1">
        <f t="array" aca="1" ref="AF341" ca="1">MIN(100, MAX(0, (IF(R341="ESTUDIANTE", 31, 0)) + (IF(I341&lt;=3, 30, IF(I341&lt;=6, 20, 0))) +(IF(OR(E341="413 - Control de Costes y Enlace Construcción", E341="480 - Secretaría General del Consejo", E341="132 - Civil y estructuras", E341="136 - Mecánica", E341="412 - Planificación", E341="142 - Compras"), 25, 0)) +(IF(OR(S341="GRADO ING. MECÁNICA", S341="GRADO ING. ELÉCTRICA", S341="GRADO DERECHO", S341="GRADO ECONOMÍA", S341="GRADO ING. TECNOLOGÍAS INDUSTRIALES"), 24, 0)) + (IF(AND(K341&gt;=451, K341&lt;=700), 23, 0)) + (IF(AND(AB341&gt;=5, AB341&lt;=8), 17, 0)) +(IF(_xludf.OR(_xludf.AND(AC341&gt;=8, AC341&lt;=10), _xludf.AND(AC341&gt;=0, AC341&lt;=5)), 16, 0)) + (IF(F341="Madrid", 11, 0))))</f>
        <v>#NAME?</v>
      </c>
      <c r="AG341" s="68"/>
      <c r="AH341" s="71" t="s">
        <v>164</v>
      </c>
    </row>
    <row r="342" spans="1:34" ht="14.4" x14ac:dyDescent="0.3">
      <c r="A342" s="66" t="s">
        <v>1317</v>
      </c>
      <c r="B342" s="66" t="s">
        <v>3434</v>
      </c>
      <c r="C342" s="33">
        <v>343</v>
      </c>
      <c r="D342" s="33" t="s">
        <v>5393</v>
      </c>
      <c r="E342" s="34" t="s">
        <v>5258</v>
      </c>
      <c r="F342" s="34" t="s">
        <v>18</v>
      </c>
      <c r="G342" s="57">
        <v>41449</v>
      </c>
      <c r="H342" s="57">
        <v>41502</v>
      </c>
      <c r="I342" s="34">
        <f t="shared" si="15"/>
        <v>1</v>
      </c>
      <c r="J342" s="34">
        <v>40</v>
      </c>
      <c r="K342" s="36">
        <v>1350</v>
      </c>
      <c r="L342" s="34" t="s">
        <v>17</v>
      </c>
      <c r="M342" s="57">
        <v>33107</v>
      </c>
      <c r="N342" s="37">
        <f>(YEAR(TablaMadre[[#This Row],[ALTA]])-YEAR(M342))</f>
        <v>23</v>
      </c>
      <c r="O342" s="34" t="s">
        <v>221</v>
      </c>
      <c r="P342" s="34" t="s">
        <v>221</v>
      </c>
      <c r="Q342" s="34" t="s">
        <v>222</v>
      </c>
      <c r="R342" s="34" t="s">
        <v>21</v>
      </c>
      <c r="S342" s="34" t="s">
        <v>322</v>
      </c>
      <c r="T342" s="34"/>
      <c r="U342" s="34"/>
      <c r="V342" s="34" t="s">
        <v>223</v>
      </c>
      <c r="W342" s="34" t="s">
        <v>23</v>
      </c>
      <c r="X342" s="38" t="s">
        <v>164</v>
      </c>
      <c r="Y342" s="62"/>
      <c r="Z342" s="62" t="e">
        <f t="shared" si="16"/>
        <v>#NUM!</v>
      </c>
      <c r="AA342" s="62"/>
      <c r="AB342" s="34"/>
      <c r="AC342" s="34" t="s">
        <v>53</v>
      </c>
      <c r="AD342" s="38"/>
      <c r="AE342" s="59" t="str">
        <f t="shared" si="17"/>
        <v>SÍ</v>
      </c>
      <c r="AF342" s="38" t="e" cm="1">
        <f t="array" aca="1" ref="AF342" ca="1">MIN(100, MAX(0, (IF(R342="ESTUDIANTE", 31, 0)) + (IF(I342&lt;=3, 30, IF(I342&lt;=6, 20, 0))) +(IF(OR(E342="413 - Control de Costes y Enlace Construcción", E342="480 - Secretaría General del Consejo", E342="132 - Civil y estructuras", E342="136 - Mecánica", E342="412 - Planificación", E342="142 - Compras"), 25, 0)) +(IF(OR(S342="GRADO ING. MECÁNICA", S342="GRADO ING. ELÉCTRICA", S342="GRADO DERECHO", S342="GRADO ECONOMÍA", S342="GRADO ING. TECNOLOGÍAS INDUSTRIALES"), 24, 0)) + (IF(AND(K342&gt;=451, K342&lt;=700), 23, 0)) + (IF(AND(AB342&gt;=5, AB342&lt;=8), 17, 0)) +(IF(_xludf.OR(_xludf.AND(AC342&gt;=8, AC342&lt;=10), _xludf.AND(AC342&gt;=0, AC342&lt;=5)), 16, 0)) + (IF(F342="Madrid", 11, 0))))</f>
        <v>#NAME?</v>
      </c>
      <c r="AG342" s="68"/>
      <c r="AH342" s="71" t="s">
        <v>164</v>
      </c>
    </row>
    <row r="343" spans="1:34" ht="14.4" x14ac:dyDescent="0.3">
      <c r="A343" s="66" t="s">
        <v>1321</v>
      </c>
      <c r="B343" s="66" t="s">
        <v>3438</v>
      </c>
      <c r="C343" s="33">
        <v>342</v>
      </c>
      <c r="D343" s="33" t="s">
        <v>5394</v>
      </c>
      <c r="E343" s="34" t="s">
        <v>5248</v>
      </c>
      <c r="F343" s="34" t="s">
        <v>18</v>
      </c>
      <c r="G343" s="57">
        <v>41449</v>
      </c>
      <c r="H343" s="57">
        <v>41477</v>
      </c>
      <c r="I343" s="34">
        <f t="shared" si="15"/>
        <v>0</v>
      </c>
      <c r="J343" s="34">
        <v>40</v>
      </c>
      <c r="K343" s="36">
        <v>650</v>
      </c>
      <c r="L343" s="34" t="s">
        <v>17</v>
      </c>
      <c r="M343" s="57">
        <v>32320</v>
      </c>
      <c r="N343" s="37">
        <f>(YEAR(TablaMadre[[#This Row],[ALTA]])-YEAR(M343))</f>
        <v>25</v>
      </c>
      <c r="O343" s="34" t="s">
        <v>18</v>
      </c>
      <c r="P343" s="34" t="s">
        <v>19</v>
      </c>
      <c r="Q343" s="34" t="s">
        <v>63</v>
      </c>
      <c r="R343" s="58" t="s">
        <v>30</v>
      </c>
      <c r="S343" s="34" t="s">
        <v>297</v>
      </c>
      <c r="T343" s="34"/>
      <c r="U343" s="34"/>
      <c r="V343" s="34" t="s">
        <v>40</v>
      </c>
      <c r="W343" s="34" t="s">
        <v>181</v>
      </c>
      <c r="X343" s="38" t="s">
        <v>164</v>
      </c>
      <c r="Y343" s="62"/>
      <c r="Z343" s="62" t="e">
        <f t="shared" si="16"/>
        <v>#NUM!</v>
      </c>
      <c r="AA343" s="62"/>
      <c r="AB343" s="34"/>
      <c r="AC343" s="34"/>
      <c r="AD343" s="38"/>
      <c r="AE343" s="59" t="str">
        <f t="shared" si="17"/>
        <v>NO</v>
      </c>
      <c r="AF343" s="38" t="e" cm="1">
        <f t="array" aca="1" ref="AF343" ca="1">MIN(100, MAX(0, (IF(R343="ESTUDIANTE", 31, 0)) + (IF(I343&lt;=3, 30, IF(I343&lt;=6, 20, 0))) +(IF(OR(E343="413 - Control de Costes y Enlace Construcción", E343="480 - Secretaría General del Consejo", E343="132 - Civil y estructuras", E343="136 - Mecánica", E343="412 - Planificación", E343="142 - Compras"), 25, 0)) +(IF(OR(S343="GRADO ING. MECÁNICA", S343="GRADO ING. ELÉCTRICA", S343="GRADO DERECHO", S343="GRADO ECONOMÍA", S343="GRADO ING. TECNOLOGÍAS INDUSTRIALES"), 24, 0)) + (IF(AND(K343&gt;=451, K343&lt;=700), 23, 0)) + (IF(AND(AB343&gt;=5, AB343&lt;=8), 17, 0)) +(IF(_xludf.OR(_xludf.AND(AC343&gt;=8, AC343&lt;=10), _xludf.AND(AC343&gt;=0, AC343&lt;=5)), 16, 0)) + (IF(F343="Madrid", 11, 0))))</f>
        <v>#NAME?</v>
      </c>
      <c r="AG343" s="68"/>
      <c r="AH343" s="71" t="s">
        <v>164</v>
      </c>
    </row>
    <row r="344" spans="1:34" ht="14.4" x14ac:dyDescent="0.3">
      <c r="A344" s="66" t="s">
        <v>1323</v>
      </c>
      <c r="B344" s="66" t="s">
        <v>3440</v>
      </c>
      <c r="C344" s="33">
        <v>344</v>
      </c>
      <c r="D344" s="33" t="s">
        <v>5395</v>
      </c>
      <c r="E344" s="34" t="s">
        <v>5273</v>
      </c>
      <c r="F344" s="34" t="s">
        <v>18</v>
      </c>
      <c r="G344" s="57">
        <v>41449</v>
      </c>
      <c r="H344" s="57">
        <v>41813</v>
      </c>
      <c r="I344" s="34">
        <f t="shared" si="15"/>
        <v>11</v>
      </c>
      <c r="J344" s="34">
        <v>40</v>
      </c>
      <c r="K344" s="36">
        <v>900</v>
      </c>
      <c r="L344" s="34" t="s">
        <v>17</v>
      </c>
      <c r="M344" s="57">
        <v>32289</v>
      </c>
      <c r="N344" s="37">
        <f>(YEAR(TablaMadre[[#This Row],[ALTA]])-YEAR(M344))</f>
        <v>25</v>
      </c>
      <c r="O344" s="34" t="s">
        <v>18</v>
      </c>
      <c r="P344" s="34" t="s">
        <v>19</v>
      </c>
      <c r="Q344" s="34" t="s">
        <v>85</v>
      </c>
      <c r="R344" s="34" t="s">
        <v>21</v>
      </c>
      <c r="S344" s="34" t="s">
        <v>322</v>
      </c>
      <c r="T344" s="34"/>
      <c r="U344" s="34"/>
      <c r="V344" s="34" t="s">
        <v>69</v>
      </c>
      <c r="W344" s="34" t="s">
        <v>28</v>
      </c>
      <c r="X344" s="38" t="s">
        <v>173</v>
      </c>
      <c r="Y344" s="62"/>
      <c r="Z344" s="38" t="e">
        <f t="shared" si="16"/>
        <v>#NUM!</v>
      </c>
      <c r="AA344" s="38"/>
      <c r="AB344" s="34"/>
      <c r="AC344" s="34"/>
      <c r="AD344" s="38"/>
      <c r="AE344" s="59" t="str">
        <f t="shared" si="17"/>
        <v>NO</v>
      </c>
      <c r="AF344" s="38" t="e" cm="1">
        <f t="array" aca="1" ref="AF344" ca="1">MIN(100, MAX(0, (IF(R344="ESTUDIANTE", 31, 0)) + (IF(I344&lt;=3, 30, IF(I344&lt;=6, 20, 0))) +(IF(OR(E344="413 - Control de Costes y Enlace Construcción", E344="480 - Secretaría General del Consejo", E344="132 - Civil y estructuras", E344="136 - Mecánica", E344="412 - Planificación", E344="142 - Compras"), 25, 0)) +(IF(OR(S344="GRADO ING. MECÁNICA", S344="GRADO ING. ELÉCTRICA", S344="GRADO DERECHO", S344="GRADO ECONOMÍA", S344="GRADO ING. TECNOLOGÍAS INDUSTRIALES"), 24, 0)) + (IF(AND(K344&gt;=451, K344&lt;=700), 23, 0)) + (IF(AND(AB344&gt;=5, AB344&lt;=8), 17, 0)) +(IF(_xludf.OR(_xludf.AND(AC344&gt;=8, AC344&lt;=10), _xludf.AND(AC344&gt;=0, AC344&lt;=5)), 16, 0)) + (IF(F344="Madrid", 11, 0))))</f>
        <v>#NAME?</v>
      </c>
      <c r="AG344" s="68"/>
      <c r="AH344" s="71" t="s">
        <v>164</v>
      </c>
    </row>
    <row r="345" spans="1:34" ht="14.4" x14ac:dyDescent="0.3">
      <c r="A345" s="66" t="s">
        <v>1324</v>
      </c>
      <c r="B345" s="66" t="s">
        <v>3441</v>
      </c>
      <c r="C345" s="33">
        <v>345</v>
      </c>
      <c r="D345" s="33" t="s">
        <v>5396</v>
      </c>
      <c r="E345" s="34" t="s">
        <v>5222</v>
      </c>
      <c r="F345" s="34" t="s">
        <v>18</v>
      </c>
      <c r="G345" s="57">
        <v>41449</v>
      </c>
      <c r="H345" s="57">
        <v>41813</v>
      </c>
      <c r="I345" s="34">
        <f t="shared" si="15"/>
        <v>11</v>
      </c>
      <c r="J345" s="34">
        <v>40</v>
      </c>
      <c r="K345" s="36">
        <v>900</v>
      </c>
      <c r="L345" s="34" t="s">
        <v>29</v>
      </c>
      <c r="M345" s="57">
        <v>32287</v>
      </c>
      <c r="N345" s="37">
        <f>(YEAR(TablaMadre[[#This Row],[ALTA]])-YEAR(M345))</f>
        <v>25</v>
      </c>
      <c r="O345" s="34" t="s">
        <v>18</v>
      </c>
      <c r="P345" s="34" t="s">
        <v>19</v>
      </c>
      <c r="Q345" s="34" t="s">
        <v>49</v>
      </c>
      <c r="R345" s="34" t="s">
        <v>21</v>
      </c>
      <c r="S345" s="34" t="s">
        <v>297</v>
      </c>
      <c r="T345" s="34"/>
      <c r="U345" s="34"/>
      <c r="V345" s="34" t="s">
        <v>40</v>
      </c>
      <c r="W345" s="34" t="s">
        <v>28</v>
      </c>
      <c r="X345" s="38" t="s">
        <v>164</v>
      </c>
      <c r="Y345" s="62">
        <v>44841</v>
      </c>
      <c r="Z345" s="38">
        <f t="shared" si="16"/>
        <v>8</v>
      </c>
      <c r="AA345" s="38"/>
      <c r="AB345" s="34" t="s">
        <v>24</v>
      </c>
      <c r="AC345" s="34"/>
      <c r="AD345" s="38"/>
      <c r="AE345" s="59" t="str">
        <f t="shared" si="17"/>
        <v>NO</v>
      </c>
      <c r="AF345" s="38" t="e" cm="1">
        <f t="array" aca="1" ref="AF345" ca="1">MIN(100, MAX(0, (IF(R345="ESTUDIANTE", 31, 0)) + (IF(I345&lt;=3, 30, IF(I345&lt;=6, 20, 0))) +(IF(OR(E345="413 - Control de Costes y Enlace Construcción", E345="480 - Secretaría General del Consejo", E345="132 - Civil y estructuras", E345="136 - Mecánica", E345="412 - Planificación", E345="142 - Compras"), 25, 0)) +(IF(OR(S345="GRADO ING. MECÁNICA", S345="GRADO ING. ELÉCTRICA", S345="GRADO DERECHO", S345="GRADO ECONOMÍA", S345="GRADO ING. TECNOLOGÍAS INDUSTRIALES"), 24, 0)) + (IF(AND(K345&gt;=451, K345&lt;=700), 23, 0)) + (IF(AND(AB345&gt;=5, AB345&lt;=8), 17, 0)) +(IF(_xludf.OR(_xludf.AND(AC345&gt;=8, AC345&lt;=10), _xludf.AND(AC345&gt;=0, AC345&lt;=5)), 16, 0)) + (IF(F345="Madrid", 11, 0))))</f>
        <v>#NAME?</v>
      </c>
      <c r="AG345" s="68"/>
      <c r="AH345" s="71" t="s">
        <v>164</v>
      </c>
    </row>
    <row r="346" spans="1:34" ht="14.4" x14ac:dyDescent="0.3">
      <c r="A346" s="66" t="s">
        <v>1325</v>
      </c>
      <c r="B346" s="66" t="s">
        <v>3442</v>
      </c>
      <c r="C346" s="33">
        <v>346</v>
      </c>
      <c r="D346" s="33" t="s">
        <v>5397</v>
      </c>
      <c r="E346" s="34" t="s">
        <v>5256</v>
      </c>
      <c r="F346" s="34" t="s">
        <v>18</v>
      </c>
      <c r="G346" s="57">
        <v>41449</v>
      </c>
      <c r="H346" s="57">
        <v>41820</v>
      </c>
      <c r="I346" s="34">
        <f t="shared" si="15"/>
        <v>12</v>
      </c>
      <c r="J346" s="34">
        <v>40</v>
      </c>
      <c r="K346" s="36">
        <v>750</v>
      </c>
      <c r="L346" s="34" t="s">
        <v>29</v>
      </c>
      <c r="M346" s="57">
        <v>32339</v>
      </c>
      <c r="N346" s="37">
        <f>(YEAR(TablaMadre[[#This Row],[ALTA]])-YEAR(M346))</f>
        <v>25</v>
      </c>
      <c r="O346" s="34" t="s">
        <v>233</v>
      </c>
      <c r="P346" s="34" t="s">
        <v>19</v>
      </c>
      <c r="Q346" s="34" t="s">
        <v>177</v>
      </c>
      <c r="R346" s="34" t="s">
        <v>21</v>
      </c>
      <c r="S346" s="34" t="s">
        <v>397</v>
      </c>
      <c r="T346" s="34"/>
      <c r="U346" s="34"/>
      <c r="V346" s="34" t="s">
        <v>182</v>
      </c>
      <c r="W346" s="34" t="s">
        <v>28</v>
      </c>
      <c r="X346" s="38" t="s">
        <v>164</v>
      </c>
      <c r="Y346" s="62">
        <v>42552</v>
      </c>
      <c r="Z346" s="38">
        <f t="shared" si="16"/>
        <v>2</v>
      </c>
      <c r="AA346" s="38"/>
      <c r="AB346" s="34"/>
      <c r="AC346" s="34"/>
      <c r="AD346" s="38"/>
      <c r="AE346" s="59" t="str">
        <f t="shared" si="17"/>
        <v>SÍ</v>
      </c>
      <c r="AF346" s="38" t="e" cm="1">
        <f t="array" aca="1" ref="AF346" ca="1">MIN(100, MAX(0, (IF(R346="ESTUDIANTE", 31, 0)) + (IF(I346&lt;=3, 30, IF(I346&lt;=6, 20, 0))) +(IF(OR(E346="413 - Control de Costes y Enlace Construcción", E346="480 - Secretaría General del Consejo", E346="132 - Civil y estructuras", E346="136 - Mecánica", E346="412 - Planificación", E346="142 - Compras"), 25, 0)) +(IF(OR(S346="GRADO ING. MECÁNICA", S346="GRADO ING. ELÉCTRICA", S346="GRADO DERECHO", S346="GRADO ECONOMÍA", S346="GRADO ING. TECNOLOGÍAS INDUSTRIALES"), 24, 0)) + (IF(AND(K346&gt;=451, K346&lt;=700), 23, 0)) + (IF(AND(AB346&gt;=5, AB346&lt;=8), 17, 0)) +(IF(_xludf.OR(_xludf.AND(AC346&gt;=8, AC346&lt;=10), _xludf.AND(AC346&gt;=0, AC346&lt;=5)), 16, 0)) + (IF(F346="Madrid", 11, 0))))</f>
        <v>#NAME?</v>
      </c>
      <c r="AG346" s="68"/>
      <c r="AH346" s="71" t="s">
        <v>164</v>
      </c>
    </row>
    <row r="347" spans="1:34" ht="14.4" x14ac:dyDescent="0.3">
      <c r="A347" s="66" t="s">
        <v>1326</v>
      </c>
      <c r="B347" s="66" t="s">
        <v>3443</v>
      </c>
      <c r="C347" s="33">
        <v>347</v>
      </c>
      <c r="D347" s="33" t="s">
        <v>5398</v>
      </c>
      <c r="E347" s="34" t="s">
        <v>5222</v>
      </c>
      <c r="F347" s="34" t="s">
        <v>18</v>
      </c>
      <c r="G347" s="57">
        <v>41449</v>
      </c>
      <c r="H347" s="57">
        <v>41851</v>
      </c>
      <c r="I347" s="34">
        <f t="shared" si="15"/>
        <v>13</v>
      </c>
      <c r="J347" s="34">
        <v>40</v>
      </c>
      <c r="K347" s="36">
        <v>900</v>
      </c>
      <c r="L347" s="34" t="s">
        <v>29</v>
      </c>
      <c r="M347" s="57">
        <v>33231</v>
      </c>
      <c r="N347" s="37">
        <f>(YEAR(TablaMadre[[#This Row],[ALTA]])-YEAR(M347))</f>
        <v>23</v>
      </c>
      <c r="O347" s="34" t="s">
        <v>233</v>
      </c>
      <c r="P347" s="34" t="s">
        <v>19</v>
      </c>
      <c r="Q347" s="34" t="s">
        <v>66</v>
      </c>
      <c r="R347" s="34" t="s">
        <v>21</v>
      </c>
      <c r="S347" s="34" t="s">
        <v>322</v>
      </c>
      <c r="T347" s="34"/>
      <c r="U347" s="34"/>
      <c r="V347" s="34" t="s">
        <v>216</v>
      </c>
      <c r="W347" s="34" t="s">
        <v>28</v>
      </c>
      <c r="X347" s="38" t="s">
        <v>164</v>
      </c>
      <c r="Y347" s="62">
        <v>44302</v>
      </c>
      <c r="Z347" s="38">
        <f t="shared" si="16"/>
        <v>6</v>
      </c>
      <c r="AA347" s="38"/>
      <c r="AB347" s="34"/>
      <c r="AC347" s="34"/>
      <c r="AD347" s="38"/>
      <c r="AE347" s="59" t="str">
        <f t="shared" si="17"/>
        <v>SÍ</v>
      </c>
      <c r="AF347" s="38" t="e" cm="1">
        <f t="array" aca="1" ref="AF347" ca="1">MIN(100, MAX(0, (IF(R347="ESTUDIANTE", 31, 0)) + (IF(I347&lt;=3, 30, IF(I347&lt;=6, 20, 0))) +(IF(OR(E347="413 - Control de Costes y Enlace Construcción", E347="480 - Secretaría General del Consejo", E347="132 - Civil y estructuras", E347="136 - Mecánica", E347="412 - Planificación", E347="142 - Compras"), 25, 0)) +(IF(OR(S347="GRADO ING. MECÁNICA", S347="GRADO ING. ELÉCTRICA", S347="GRADO DERECHO", S347="GRADO ECONOMÍA", S347="GRADO ING. TECNOLOGÍAS INDUSTRIALES"), 24, 0)) + (IF(AND(K347&gt;=451, K347&lt;=700), 23, 0)) + (IF(AND(AB347&gt;=5, AB347&lt;=8), 17, 0)) +(IF(_xludf.OR(_xludf.AND(AC347&gt;=8, AC347&lt;=10), _xludf.AND(AC347&gt;=0, AC347&lt;=5)), 16, 0)) + (IF(F347="Madrid", 11, 0))))</f>
        <v>#NAME?</v>
      </c>
      <c r="AG347" s="68"/>
      <c r="AH347" s="71" t="s">
        <v>164</v>
      </c>
    </row>
    <row r="348" spans="1:34" ht="14.4" x14ac:dyDescent="0.3">
      <c r="A348" s="66" t="s">
        <v>1311</v>
      </c>
      <c r="B348" s="66" t="s">
        <v>3428</v>
      </c>
      <c r="C348" s="33">
        <v>348</v>
      </c>
      <c r="D348" s="33" t="s">
        <v>5399</v>
      </c>
      <c r="E348" s="34" t="s">
        <v>5244</v>
      </c>
      <c r="F348" s="34" t="s">
        <v>18</v>
      </c>
      <c r="G348" s="57">
        <v>41451</v>
      </c>
      <c r="H348" s="57">
        <v>41698</v>
      </c>
      <c r="I348" s="34">
        <f t="shared" si="15"/>
        <v>8</v>
      </c>
      <c r="J348" s="34">
        <v>40</v>
      </c>
      <c r="K348" s="36">
        <v>900</v>
      </c>
      <c r="L348" s="34" t="s">
        <v>17</v>
      </c>
      <c r="M348" s="57">
        <v>32710</v>
      </c>
      <c r="N348" s="37">
        <f>(YEAR(TablaMadre[[#This Row],[ALTA]])-YEAR(M348))</f>
        <v>24</v>
      </c>
      <c r="O348" s="34" t="s">
        <v>18</v>
      </c>
      <c r="P348" s="34" t="s">
        <v>19</v>
      </c>
      <c r="Q348" s="34" t="s">
        <v>20</v>
      </c>
      <c r="R348" s="34" t="s">
        <v>21</v>
      </c>
      <c r="S348" s="34" t="s">
        <v>151</v>
      </c>
      <c r="T348" s="34"/>
      <c r="U348" s="34"/>
      <c r="V348" s="34" t="s">
        <v>22</v>
      </c>
      <c r="W348" s="34" t="s">
        <v>181</v>
      </c>
      <c r="X348" s="38" t="s">
        <v>164</v>
      </c>
      <c r="Y348" s="62"/>
      <c r="Z348" s="62" t="e">
        <f t="shared" si="16"/>
        <v>#NUM!</v>
      </c>
      <c r="AA348" s="62"/>
      <c r="AB348" s="34"/>
      <c r="AC348" s="34"/>
      <c r="AD348" s="38"/>
      <c r="AE348" s="59" t="str">
        <f t="shared" si="17"/>
        <v>NO</v>
      </c>
      <c r="AF348" s="38" t="e" cm="1">
        <f t="array" aca="1" ref="AF348" ca="1">MIN(100, MAX(0, (IF(R348="ESTUDIANTE", 31, 0)) + (IF(I348&lt;=3, 30, IF(I348&lt;=6, 20, 0))) +(IF(OR(E348="413 - Control de Costes y Enlace Construcción", E348="480 - Secretaría General del Consejo", E348="132 - Civil y estructuras", E348="136 - Mecánica", E348="412 - Planificación", E348="142 - Compras"), 25, 0)) +(IF(OR(S348="GRADO ING. MECÁNICA", S348="GRADO ING. ELÉCTRICA", S348="GRADO DERECHO", S348="GRADO ECONOMÍA", S348="GRADO ING. TECNOLOGÍAS INDUSTRIALES"), 24, 0)) + (IF(AND(K348&gt;=451, K348&lt;=700), 23, 0)) + (IF(AND(AB348&gt;=5, AB348&lt;=8), 17, 0)) +(IF(_xludf.OR(_xludf.AND(AC348&gt;=8, AC348&lt;=10), _xludf.AND(AC348&gt;=0, AC348&lt;=5)), 16, 0)) + (IF(F348="Madrid", 11, 0))))</f>
        <v>#NAME?</v>
      </c>
      <c r="AG348" s="68"/>
      <c r="AH348" s="71" t="s">
        <v>164</v>
      </c>
    </row>
    <row r="349" spans="1:34" ht="14.4" x14ac:dyDescent="0.3">
      <c r="A349" s="66" t="s">
        <v>1328</v>
      </c>
      <c r="B349" s="66" t="s">
        <v>3445</v>
      </c>
      <c r="C349" s="33">
        <v>349</v>
      </c>
      <c r="D349" s="33" t="s">
        <v>5400</v>
      </c>
      <c r="E349" s="34" t="s">
        <v>5244</v>
      </c>
      <c r="F349" s="34" t="s">
        <v>18</v>
      </c>
      <c r="G349" s="57">
        <v>41451</v>
      </c>
      <c r="H349" s="57">
        <v>41764</v>
      </c>
      <c r="I349" s="34">
        <f t="shared" si="15"/>
        <v>10</v>
      </c>
      <c r="J349" s="34">
        <v>40</v>
      </c>
      <c r="K349" s="36">
        <v>900</v>
      </c>
      <c r="L349" s="34" t="s">
        <v>17</v>
      </c>
      <c r="M349" s="57">
        <v>33436</v>
      </c>
      <c r="N349" s="37">
        <f>(YEAR(TablaMadre[[#This Row],[ALTA]])-YEAR(M349))</f>
        <v>22</v>
      </c>
      <c r="O349" s="34" t="s">
        <v>18</v>
      </c>
      <c r="P349" s="34" t="s">
        <v>19</v>
      </c>
      <c r="Q349" s="34" t="s">
        <v>85</v>
      </c>
      <c r="R349" s="34" t="s">
        <v>21</v>
      </c>
      <c r="S349" s="34" t="s">
        <v>322</v>
      </c>
      <c r="T349" s="34"/>
      <c r="U349" s="34"/>
      <c r="V349" s="34" t="s">
        <v>22</v>
      </c>
      <c r="W349" s="34" t="s">
        <v>28</v>
      </c>
      <c r="X349" s="38" t="s">
        <v>164</v>
      </c>
      <c r="Y349" s="62">
        <v>42278</v>
      </c>
      <c r="Z349" s="38">
        <f t="shared" si="16"/>
        <v>1</v>
      </c>
      <c r="AA349" s="38"/>
      <c r="AB349" s="34"/>
      <c r="AC349" s="34"/>
      <c r="AD349" s="38"/>
      <c r="AE349" s="59" t="str">
        <f t="shared" si="17"/>
        <v>NO</v>
      </c>
      <c r="AF349" s="38" t="e" cm="1">
        <f t="array" aca="1" ref="AF349" ca="1">MIN(100, MAX(0, (IF(R349="ESTUDIANTE", 31, 0)) + (IF(I349&lt;=3, 30, IF(I349&lt;=6, 20, 0))) +(IF(OR(E349="413 - Control de Costes y Enlace Construcción", E349="480 - Secretaría General del Consejo", E349="132 - Civil y estructuras", E349="136 - Mecánica", E349="412 - Planificación", E349="142 - Compras"), 25, 0)) +(IF(OR(S349="GRADO ING. MECÁNICA", S349="GRADO ING. ELÉCTRICA", S349="GRADO DERECHO", S349="GRADO ECONOMÍA", S349="GRADO ING. TECNOLOGÍAS INDUSTRIALES"), 24, 0)) + (IF(AND(K349&gt;=451, K349&lt;=700), 23, 0)) + (IF(AND(AB349&gt;=5, AB349&lt;=8), 17, 0)) +(IF(_xludf.OR(_xludf.AND(AC349&gt;=8, AC349&lt;=10), _xludf.AND(AC349&gt;=0, AC349&lt;=5)), 16, 0)) + (IF(F349="Madrid", 11, 0))))</f>
        <v>#NAME?</v>
      </c>
      <c r="AG349" s="68"/>
      <c r="AH349" s="71" t="s">
        <v>164</v>
      </c>
    </row>
    <row r="350" spans="1:34" ht="14.4" x14ac:dyDescent="0.3">
      <c r="A350" s="66" t="s">
        <v>1329</v>
      </c>
      <c r="B350" s="66" t="s">
        <v>3446</v>
      </c>
      <c r="C350" s="33">
        <v>350</v>
      </c>
      <c r="D350" s="33" t="s">
        <v>5401</v>
      </c>
      <c r="E350" s="34" t="s">
        <v>5244</v>
      </c>
      <c r="F350" s="34" t="s">
        <v>18</v>
      </c>
      <c r="G350" s="57">
        <v>41451</v>
      </c>
      <c r="H350" s="57">
        <v>41815</v>
      </c>
      <c r="I350" s="34">
        <f t="shared" si="15"/>
        <v>11</v>
      </c>
      <c r="J350" s="34">
        <v>40</v>
      </c>
      <c r="K350" s="36">
        <v>750</v>
      </c>
      <c r="L350" s="34" t="s">
        <v>17</v>
      </c>
      <c r="M350" s="57">
        <v>30853</v>
      </c>
      <c r="N350" s="37">
        <f>(YEAR(TablaMadre[[#This Row],[ALTA]])-YEAR(M350))</f>
        <v>29</v>
      </c>
      <c r="O350" s="34" t="s">
        <v>18</v>
      </c>
      <c r="P350" s="34" t="s">
        <v>19</v>
      </c>
      <c r="Q350" s="34" t="s">
        <v>208</v>
      </c>
      <c r="R350" s="34" t="s">
        <v>21</v>
      </c>
      <c r="S350" s="34" t="s">
        <v>151</v>
      </c>
      <c r="T350" s="34"/>
      <c r="U350" s="34"/>
      <c r="V350" s="34" t="s">
        <v>22</v>
      </c>
      <c r="W350" s="34" t="s">
        <v>28</v>
      </c>
      <c r="X350" s="38" t="s">
        <v>173</v>
      </c>
      <c r="Y350" s="62"/>
      <c r="Z350" s="38" t="e">
        <f t="shared" si="16"/>
        <v>#NUM!</v>
      </c>
      <c r="AA350" s="38"/>
      <c r="AB350" s="34"/>
      <c r="AC350" s="34"/>
      <c r="AD350" s="38"/>
      <c r="AE350" s="59" t="str">
        <f t="shared" si="17"/>
        <v>NO</v>
      </c>
      <c r="AF350" s="38" t="e" cm="1">
        <f t="array" aca="1" ref="AF350" ca="1">MIN(100, MAX(0, (IF(R350="ESTUDIANTE", 31, 0)) + (IF(I350&lt;=3, 30, IF(I350&lt;=6, 20, 0))) +(IF(OR(E350="413 - Control de Costes y Enlace Construcción", E350="480 - Secretaría General del Consejo", E350="132 - Civil y estructuras", E350="136 - Mecánica", E350="412 - Planificación", E350="142 - Compras"), 25, 0)) +(IF(OR(S350="GRADO ING. MECÁNICA", S350="GRADO ING. ELÉCTRICA", S350="GRADO DERECHO", S350="GRADO ECONOMÍA", S350="GRADO ING. TECNOLOGÍAS INDUSTRIALES"), 24, 0)) + (IF(AND(K350&gt;=451, K350&lt;=700), 23, 0)) + (IF(AND(AB350&gt;=5, AB350&lt;=8), 17, 0)) +(IF(_xludf.OR(_xludf.AND(AC350&gt;=8, AC350&lt;=10), _xludf.AND(AC350&gt;=0, AC350&lt;=5)), 16, 0)) + (IF(F350="Madrid", 11, 0))))</f>
        <v>#NAME?</v>
      </c>
      <c r="AG350" s="68"/>
      <c r="AH350" s="71" t="s">
        <v>164</v>
      </c>
    </row>
    <row r="351" spans="1:34" ht="14.4" x14ac:dyDescent="0.3">
      <c r="A351" s="66" t="s">
        <v>1331</v>
      </c>
      <c r="B351" s="66" t="s">
        <v>3448</v>
      </c>
      <c r="C351" s="33">
        <v>352</v>
      </c>
      <c r="D351" s="33" t="s">
        <v>5402</v>
      </c>
      <c r="E351" s="34" t="s">
        <v>5245</v>
      </c>
      <c r="F351" s="34" t="s">
        <v>18</v>
      </c>
      <c r="G351" s="57">
        <v>41470</v>
      </c>
      <c r="H351" s="57">
        <v>41791</v>
      </c>
      <c r="I351" s="34">
        <f t="shared" si="15"/>
        <v>10</v>
      </c>
      <c r="J351" s="34">
        <v>40</v>
      </c>
      <c r="K351" s="36">
        <v>900</v>
      </c>
      <c r="L351" s="34" t="s">
        <v>17</v>
      </c>
      <c r="M351" s="57">
        <v>31982</v>
      </c>
      <c r="N351" s="37">
        <f>(YEAR(TablaMadre[[#This Row],[ALTA]])-YEAR(M351))</f>
        <v>26</v>
      </c>
      <c r="O351" s="34" t="s">
        <v>18</v>
      </c>
      <c r="P351" s="34" t="s">
        <v>19</v>
      </c>
      <c r="Q351" s="34" t="s">
        <v>147</v>
      </c>
      <c r="R351" s="34" t="s">
        <v>21</v>
      </c>
      <c r="S351" s="34" t="s">
        <v>322</v>
      </c>
      <c r="T351" s="34"/>
      <c r="U351" s="34"/>
      <c r="V351" s="34" t="s">
        <v>137</v>
      </c>
      <c r="W351" s="34" t="s">
        <v>28</v>
      </c>
      <c r="X351" s="38" t="s">
        <v>164</v>
      </c>
      <c r="Y351" s="62">
        <v>43610</v>
      </c>
      <c r="Z351" s="38">
        <f t="shared" si="16"/>
        <v>4</v>
      </c>
      <c r="AA351" s="38"/>
      <c r="AB351" s="34"/>
      <c r="AC351" s="34"/>
      <c r="AD351" s="38"/>
      <c r="AE351" s="59" t="str">
        <f t="shared" si="17"/>
        <v>NO</v>
      </c>
      <c r="AF351" s="38" t="e" cm="1">
        <f t="array" aca="1" ref="AF351" ca="1">MIN(100, MAX(0, (IF(R351="ESTUDIANTE", 31, 0)) + (IF(I351&lt;=3, 30, IF(I351&lt;=6, 20, 0))) +(IF(OR(E351="413 - Control de Costes y Enlace Construcción", E351="480 - Secretaría General del Consejo", E351="132 - Civil y estructuras", E351="136 - Mecánica", E351="412 - Planificación", E351="142 - Compras"), 25, 0)) +(IF(OR(S351="GRADO ING. MECÁNICA", S351="GRADO ING. ELÉCTRICA", S351="GRADO DERECHO", S351="GRADO ECONOMÍA", S351="GRADO ING. TECNOLOGÍAS INDUSTRIALES"), 24, 0)) + (IF(AND(K351&gt;=451, K351&lt;=700), 23, 0)) + (IF(AND(AB351&gt;=5, AB351&lt;=8), 17, 0)) +(IF(_xludf.OR(_xludf.AND(AC351&gt;=8, AC351&lt;=10), _xludf.AND(AC351&gt;=0, AC351&lt;=5)), 16, 0)) + (IF(F351="Madrid", 11, 0))))</f>
        <v>#NAME?</v>
      </c>
      <c r="AG351" s="68"/>
      <c r="AH351" s="71" t="s">
        <v>164</v>
      </c>
    </row>
    <row r="352" spans="1:34" ht="14.4" x14ac:dyDescent="0.3">
      <c r="A352" s="66" t="s">
        <v>1332</v>
      </c>
      <c r="B352" s="66" t="s">
        <v>3449</v>
      </c>
      <c r="C352" s="33">
        <v>353</v>
      </c>
      <c r="D352" s="33" t="s">
        <v>5393</v>
      </c>
      <c r="E352" s="34" t="s">
        <v>5273</v>
      </c>
      <c r="F352" s="34" t="s">
        <v>18</v>
      </c>
      <c r="G352" s="57">
        <v>41470</v>
      </c>
      <c r="H352" s="57">
        <v>41834</v>
      </c>
      <c r="I352" s="34">
        <f t="shared" si="15"/>
        <v>11</v>
      </c>
      <c r="J352" s="34">
        <v>40</v>
      </c>
      <c r="K352" s="36">
        <v>750</v>
      </c>
      <c r="L352" s="34" t="s">
        <v>17</v>
      </c>
      <c r="M352" s="57">
        <v>33777</v>
      </c>
      <c r="N352" s="37">
        <f>(YEAR(TablaMadre[[#This Row],[ALTA]])-YEAR(M352))</f>
        <v>21</v>
      </c>
      <c r="O352" s="34" t="s">
        <v>18</v>
      </c>
      <c r="P352" s="34" t="s">
        <v>19</v>
      </c>
      <c r="Q352" s="34" t="s">
        <v>274</v>
      </c>
      <c r="R352" s="34" t="s">
        <v>21</v>
      </c>
      <c r="S352" s="34" t="s">
        <v>229</v>
      </c>
      <c r="T352" s="34"/>
      <c r="U352" s="34"/>
      <c r="V352" s="34" t="s">
        <v>275</v>
      </c>
      <c r="W352" s="34" t="s">
        <v>28</v>
      </c>
      <c r="X352" s="38" t="s">
        <v>164</v>
      </c>
      <c r="Y352" s="62">
        <v>43593</v>
      </c>
      <c r="Z352" s="38">
        <f t="shared" si="16"/>
        <v>4</v>
      </c>
      <c r="AA352" s="38"/>
      <c r="AB352" s="34" t="s">
        <v>24</v>
      </c>
      <c r="AC352" s="34"/>
      <c r="AD352" s="38"/>
      <c r="AE352" s="59" t="str">
        <f t="shared" si="17"/>
        <v>NO</v>
      </c>
      <c r="AF352" s="38" t="e" cm="1">
        <f t="array" aca="1" ref="AF352" ca="1">MIN(100, MAX(0, (IF(R352="ESTUDIANTE", 31, 0)) + (IF(I352&lt;=3, 30, IF(I352&lt;=6, 20, 0))) +(IF(OR(E352="413 - Control de Costes y Enlace Construcción", E352="480 - Secretaría General del Consejo", E352="132 - Civil y estructuras", E352="136 - Mecánica", E352="412 - Planificación", E352="142 - Compras"), 25, 0)) +(IF(OR(S352="GRADO ING. MECÁNICA", S352="GRADO ING. ELÉCTRICA", S352="GRADO DERECHO", S352="GRADO ECONOMÍA", S352="GRADO ING. TECNOLOGÍAS INDUSTRIALES"), 24, 0)) + (IF(AND(K352&gt;=451, K352&lt;=700), 23, 0)) + (IF(AND(AB352&gt;=5, AB352&lt;=8), 17, 0)) +(IF(_xludf.OR(_xludf.AND(AC352&gt;=8, AC352&lt;=10), _xludf.AND(AC352&gt;=0, AC352&lt;=5)), 16, 0)) + (IF(F352="Madrid", 11, 0))))</f>
        <v>#NAME?</v>
      </c>
      <c r="AG352" s="68"/>
      <c r="AH352" s="71" t="s">
        <v>164</v>
      </c>
    </row>
    <row r="353" spans="1:34" ht="14.4" x14ac:dyDescent="0.3">
      <c r="A353" s="66" t="s">
        <v>1333</v>
      </c>
      <c r="B353" s="66" t="s">
        <v>3450</v>
      </c>
      <c r="C353" s="33">
        <v>354</v>
      </c>
      <c r="D353" s="33" t="s">
        <v>5394</v>
      </c>
      <c r="E353" s="34" t="s">
        <v>5245</v>
      </c>
      <c r="F353" s="34" t="s">
        <v>18</v>
      </c>
      <c r="G353" s="57">
        <v>41470</v>
      </c>
      <c r="H353" s="57">
        <v>41834</v>
      </c>
      <c r="I353" s="34">
        <f t="shared" si="15"/>
        <v>11</v>
      </c>
      <c r="J353" s="34">
        <v>40</v>
      </c>
      <c r="K353" s="36">
        <v>900</v>
      </c>
      <c r="L353" s="34" t="s">
        <v>17</v>
      </c>
      <c r="M353" s="57">
        <v>32957</v>
      </c>
      <c r="N353" s="37">
        <f>(YEAR(TablaMadre[[#This Row],[ALTA]])-YEAR(M353))</f>
        <v>23</v>
      </c>
      <c r="O353" s="34" t="s">
        <v>18</v>
      </c>
      <c r="P353" s="34" t="s">
        <v>19</v>
      </c>
      <c r="Q353" s="34" t="s">
        <v>61</v>
      </c>
      <c r="R353" s="34" t="s">
        <v>21</v>
      </c>
      <c r="S353" s="34" t="s">
        <v>322</v>
      </c>
      <c r="T353" s="34"/>
      <c r="U353" s="34"/>
      <c r="V353" s="34" t="s">
        <v>22</v>
      </c>
      <c r="W353" s="34" t="s">
        <v>28</v>
      </c>
      <c r="X353" s="38" t="s">
        <v>164</v>
      </c>
      <c r="Y353" s="62">
        <v>42675</v>
      </c>
      <c r="Z353" s="38">
        <f t="shared" si="16"/>
        <v>2</v>
      </c>
      <c r="AA353" s="38"/>
      <c r="AB353" s="34" t="s">
        <v>24</v>
      </c>
      <c r="AC353" s="34"/>
      <c r="AD353" s="38"/>
      <c r="AE353" s="59" t="str">
        <f t="shared" si="17"/>
        <v>NO</v>
      </c>
      <c r="AF353" s="38" t="e" cm="1">
        <f t="array" aca="1" ref="AF353" ca="1">MIN(100, MAX(0, (IF(R353="ESTUDIANTE", 31, 0)) + (IF(I353&lt;=3, 30, IF(I353&lt;=6, 20, 0))) +(IF(OR(E353="413 - Control de Costes y Enlace Construcción", E353="480 - Secretaría General del Consejo", E353="132 - Civil y estructuras", E353="136 - Mecánica", E353="412 - Planificación", E353="142 - Compras"), 25, 0)) +(IF(OR(S353="GRADO ING. MECÁNICA", S353="GRADO ING. ELÉCTRICA", S353="GRADO DERECHO", S353="GRADO ECONOMÍA", S353="GRADO ING. TECNOLOGÍAS INDUSTRIALES"), 24, 0)) + (IF(AND(K353&gt;=451, K353&lt;=700), 23, 0)) + (IF(AND(AB353&gt;=5, AB353&lt;=8), 17, 0)) +(IF(_xludf.OR(_xludf.AND(AC353&gt;=8, AC353&lt;=10), _xludf.AND(AC353&gt;=0, AC353&lt;=5)), 16, 0)) + (IF(F353="Madrid", 11, 0))))</f>
        <v>#NAME?</v>
      </c>
      <c r="AG353" s="68"/>
      <c r="AH353" s="71" t="s">
        <v>164</v>
      </c>
    </row>
    <row r="354" spans="1:34" ht="14.4" x14ac:dyDescent="0.3">
      <c r="A354" s="66" t="s">
        <v>1334</v>
      </c>
      <c r="B354" s="66" t="s">
        <v>3451</v>
      </c>
      <c r="C354" s="33">
        <v>355</v>
      </c>
      <c r="D354" s="33" t="s">
        <v>5395</v>
      </c>
      <c r="E354" s="34" t="s">
        <v>5222</v>
      </c>
      <c r="F354" s="34" t="s">
        <v>18</v>
      </c>
      <c r="G354" s="57">
        <v>41470</v>
      </c>
      <c r="H354" s="57">
        <v>41834</v>
      </c>
      <c r="I354" s="34">
        <f t="shared" si="15"/>
        <v>11</v>
      </c>
      <c r="J354" s="34">
        <v>40</v>
      </c>
      <c r="K354" s="36">
        <v>900</v>
      </c>
      <c r="L354" s="34" t="s">
        <v>29</v>
      </c>
      <c r="M354" s="57">
        <v>32586</v>
      </c>
      <c r="N354" s="37">
        <f>(YEAR(TablaMadre[[#This Row],[ALTA]])-YEAR(M354))</f>
        <v>24</v>
      </c>
      <c r="O354" s="34" t="s">
        <v>18</v>
      </c>
      <c r="P354" s="34" t="s">
        <v>19</v>
      </c>
      <c r="Q354" s="34" t="s">
        <v>49</v>
      </c>
      <c r="R354" s="34" t="s">
        <v>21</v>
      </c>
      <c r="S354" s="34" t="s">
        <v>297</v>
      </c>
      <c r="T354" s="34"/>
      <c r="U354" s="34"/>
      <c r="V354" s="34" t="s">
        <v>56</v>
      </c>
      <c r="W354" s="34" t="s">
        <v>28</v>
      </c>
      <c r="X354" s="38" t="s">
        <v>164</v>
      </c>
      <c r="Y354" s="62">
        <v>42931</v>
      </c>
      <c r="Z354" s="38">
        <f t="shared" si="16"/>
        <v>3</v>
      </c>
      <c r="AA354" s="38"/>
      <c r="AB354" s="34"/>
      <c r="AC354" s="34"/>
      <c r="AD354" s="38"/>
      <c r="AE354" s="59" t="str">
        <f t="shared" si="17"/>
        <v>NO</v>
      </c>
      <c r="AF354" s="38" t="e" cm="1">
        <f t="array" aca="1" ref="AF354" ca="1">MIN(100, MAX(0, (IF(R354="ESTUDIANTE", 31, 0)) + (IF(I354&lt;=3, 30, IF(I354&lt;=6, 20, 0))) +(IF(OR(E354="413 - Control de Costes y Enlace Construcción", E354="480 - Secretaría General del Consejo", E354="132 - Civil y estructuras", E354="136 - Mecánica", E354="412 - Planificación", E354="142 - Compras"), 25, 0)) +(IF(OR(S354="GRADO ING. MECÁNICA", S354="GRADO ING. ELÉCTRICA", S354="GRADO DERECHO", S354="GRADO ECONOMÍA", S354="GRADO ING. TECNOLOGÍAS INDUSTRIALES"), 24, 0)) + (IF(AND(K354&gt;=451, K354&lt;=700), 23, 0)) + (IF(AND(AB354&gt;=5, AB354&lt;=8), 17, 0)) +(IF(_xludf.OR(_xludf.AND(AC354&gt;=8, AC354&lt;=10), _xludf.AND(AC354&gt;=0, AC354&lt;=5)), 16, 0)) + (IF(F354="Madrid", 11, 0))))</f>
        <v>#NAME?</v>
      </c>
      <c r="AG354" s="68"/>
      <c r="AH354" s="71" t="s">
        <v>164</v>
      </c>
    </row>
    <row r="355" spans="1:34" ht="14.4" x14ac:dyDescent="0.3">
      <c r="A355" s="66" t="s">
        <v>1335</v>
      </c>
      <c r="B355" s="66" t="s">
        <v>3452</v>
      </c>
      <c r="C355" s="33">
        <v>356</v>
      </c>
      <c r="D355" s="33" t="s">
        <v>5396</v>
      </c>
      <c r="E355" s="34" t="s">
        <v>5252</v>
      </c>
      <c r="F355" s="34" t="s">
        <v>18</v>
      </c>
      <c r="G355" s="57">
        <v>41470</v>
      </c>
      <c r="H355" s="57">
        <v>41834</v>
      </c>
      <c r="I355" s="34">
        <f t="shared" si="15"/>
        <v>11</v>
      </c>
      <c r="J355" s="34">
        <v>40</v>
      </c>
      <c r="K355" s="36">
        <v>900</v>
      </c>
      <c r="L355" s="34" t="s">
        <v>17</v>
      </c>
      <c r="M355" s="57">
        <v>33403</v>
      </c>
      <c r="N355" s="37">
        <f>(YEAR(TablaMadre[[#This Row],[ALTA]])-YEAR(M355))</f>
        <v>22</v>
      </c>
      <c r="O355" s="34" t="s">
        <v>18</v>
      </c>
      <c r="P355" s="34" t="s">
        <v>19</v>
      </c>
      <c r="Q355" s="34" t="s">
        <v>61</v>
      </c>
      <c r="R355" s="34" t="s">
        <v>21</v>
      </c>
      <c r="S355" s="34" t="s">
        <v>322</v>
      </c>
      <c r="T355" s="34"/>
      <c r="U355" s="34"/>
      <c r="V355" s="34" t="s">
        <v>22</v>
      </c>
      <c r="W355" s="34" t="s">
        <v>28</v>
      </c>
      <c r="X355" s="38" t="s">
        <v>164</v>
      </c>
      <c r="Y355" s="62">
        <v>44415</v>
      </c>
      <c r="Z355" s="38">
        <f t="shared" si="16"/>
        <v>7</v>
      </c>
      <c r="AA355" s="38"/>
      <c r="AB355" s="34"/>
      <c r="AC355" s="34"/>
      <c r="AD355" s="38"/>
      <c r="AE355" s="59" t="str">
        <f t="shared" si="17"/>
        <v>NO</v>
      </c>
      <c r="AF355" s="38" t="e" cm="1">
        <f t="array" aca="1" ref="AF355" ca="1">MIN(100, MAX(0, (IF(R355="ESTUDIANTE", 31, 0)) + (IF(I355&lt;=3, 30, IF(I355&lt;=6, 20, 0))) +(IF(OR(E355="413 - Control de Costes y Enlace Construcción", E355="480 - Secretaría General del Consejo", E355="132 - Civil y estructuras", E355="136 - Mecánica", E355="412 - Planificación", E355="142 - Compras"), 25, 0)) +(IF(OR(S355="GRADO ING. MECÁNICA", S355="GRADO ING. ELÉCTRICA", S355="GRADO DERECHO", S355="GRADO ECONOMÍA", S355="GRADO ING. TECNOLOGÍAS INDUSTRIALES"), 24, 0)) + (IF(AND(K355&gt;=451, K355&lt;=700), 23, 0)) + (IF(AND(AB355&gt;=5, AB355&lt;=8), 17, 0)) +(IF(_xludf.OR(_xludf.AND(AC355&gt;=8, AC355&lt;=10), _xludf.AND(AC355&gt;=0, AC355&lt;=5)), 16, 0)) + (IF(F355="Madrid", 11, 0))))</f>
        <v>#NAME?</v>
      </c>
      <c r="AG355" s="68"/>
      <c r="AH355" s="71" t="s">
        <v>164</v>
      </c>
    </row>
    <row r="356" spans="1:34" ht="14.4" x14ac:dyDescent="0.3">
      <c r="A356" s="66" t="s">
        <v>1354</v>
      </c>
      <c r="B356" s="66" t="s">
        <v>3471</v>
      </c>
      <c r="C356" s="33">
        <v>351</v>
      </c>
      <c r="D356" s="33" t="s">
        <v>5397</v>
      </c>
      <c r="E356" s="34" t="s">
        <v>5245</v>
      </c>
      <c r="F356" s="34" t="s">
        <v>18</v>
      </c>
      <c r="G356" s="57">
        <v>41470</v>
      </c>
      <c r="H356" s="57">
        <v>41558</v>
      </c>
      <c r="I356" s="34">
        <f t="shared" si="15"/>
        <v>2</v>
      </c>
      <c r="J356" s="34">
        <v>40</v>
      </c>
      <c r="K356" s="36">
        <v>800</v>
      </c>
      <c r="L356" s="34" t="s">
        <v>17</v>
      </c>
      <c r="M356" s="57">
        <v>33083</v>
      </c>
      <c r="N356" s="37">
        <f>(YEAR(TablaMadre[[#This Row],[ALTA]])-YEAR(M356))</f>
        <v>23</v>
      </c>
      <c r="O356" s="34" t="s">
        <v>18</v>
      </c>
      <c r="P356" s="34" t="s">
        <v>19</v>
      </c>
      <c r="Q356" s="34" t="s">
        <v>58</v>
      </c>
      <c r="R356" s="34" t="s">
        <v>21</v>
      </c>
      <c r="S356" s="34" t="s">
        <v>229</v>
      </c>
      <c r="T356" s="34"/>
      <c r="U356" s="34"/>
      <c r="V356" s="34" t="s">
        <v>40</v>
      </c>
      <c r="W356" s="34" t="s">
        <v>183</v>
      </c>
      <c r="X356" s="38" t="s">
        <v>164</v>
      </c>
      <c r="Y356" s="62"/>
      <c r="Z356" s="62" t="e">
        <f t="shared" si="16"/>
        <v>#NUM!</v>
      </c>
      <c r="AA356" s="62"/>
      <c r="AB356" s="34"/>
      <c r="AC356" s="34"/>
      <c r="AD356" s="38"/>
      <c r="AE356" s="59" t="str">
        <f t="shared" si="17"/>
        <v>NO</v>
      </c>
      <c r="AF356" s="38" t="e" cm="1">
        <f t="array" aca="1" ref="AF356" ca="1">MIN(100, MAX(0, (IF(R356="ESTUDIANTE", 31, 0)) + (IF(I356&lt;=3, 30, IF(I356&lt;=6, 20, 0))) +(IF(OR(E356="413 - Control de Costes y Enlace Construcción", E356="480 - Secretaría General del Consejo", E356="132 - Civil y estructuras", E356="136 - Mecánica", E356="412 - Planificación", E356="142 - Compras"), 25, 0)) +(IF(OR(S356="GRADO ING. MECÁNICA", S356="GRADO ING. ELÉCTRICA", S356="GRADO DERECHO", S356="GRADO ECONOMÍA", S356="GRADO ING. TECNOLOGÍAS INDUSTRIALES"), 24, 0)) + (IF(AND(K356&gt;=451, K356&lt;=700), 23, 0)) + (IF(AND(AB356&gt;=5, AB356&lt;=8), 17, 0)) +(IF(_xludf.OR(_xludf.AND(AC356&gt;=8, AC356&lt;=10), _xludf.AND(AC356&gt;=0, AC356&lt;=5)), 16, 0)) + (IF(F356="Madrid", 11, 0))))</f>
        <v>#NAME?</v>
      </c>
      <c r="AG356" s="68"/>
      <c r="AH356" s="71" t="s">
        <v>164</v>
      </c>
    </row>
    <row r="357" spans="1:34" ht="14.4" x14ac:dyDescent="0.3">
      <c r="A357" s="66" t="s">
        <v>1336</v>
      </c>
      <c r="B357" s="66" t="s">
        <v>3453</v>
      </c>
      <c r="C357" s="33">
        <v>357</v>
      </c>
      <c r="D357" s="33" t="s">
        <v>5398</v>
      </c>
      <c r="E357" s="34" t="s">
        <v>5218</v>
      </c>
      <c r="F357" s="34" t="s">
        <v>18</v>
      </c>
      <c r="G357" s="57">
        <v>41473</v>
      </c>
      <c r="H357" s="57">
        <v>41840</v>
      </c>
      <c r="I357" s="34">
        <f t="shared" si="15"/>
        <v>12</v>
      </c>
      <c r="J357" s="34">
        <v>40</v>
      </c>
      <c r="K357" s="36">
        <v>900</v>
      </c>
      <c r="L357" s="34" t="s">
        <v>17</v>
      </c>
      <c r="M357" s="57">
        <v>33011</v>
      </c>
      <c r="N357" s="37">
        <f>(YEAR(TablaMadre[[#This Row],[ALTA]])-YEAR(M357))</f>
        <v>23</v>
      </c>
      <c r="O357" s="34" t="s">
        <v>18</v>
      </c>
      <c r="P357" s="34" t="s">
        <v>19</v>
      </c>
      <c r="Q357" s="34" t="s">
        <v>20</v>
      </c>
      <c r="R357" s="34" t="s">
        <v>21</v>
      </c>
      <c r="S357" s="34" t="s">
        <v>151</v>
      </c>
      <c r="T357" s="34"/>
      <c r="U357" s="34"/>
      <c r="V357" s="34" t="s">
        <v>22</v>
      </c>
      <c r="W357" s="34" t="s">
        <v>28</v>
      </c>
      <c r="X357" s="38" t="s">
        <v>164</v>
      </c>
      <c r="Y357" s="62">
        <v>43121</v>
      </c>
      <c r="Z357" s="38">
        <f t="shared" si="16"/>
        <v>3</v>
      </c>
      <c r="AA357" s="38"/>
      <c r="AB357" s="34" t="s">
        <v>24</v>
      </c>
      <c r="AC357" s="34"/>
      <c r="AD357" s="38"/>
      <c r="AE357" s="59" t="str">
        <f t="shared" si="17"/>
        <v>NO</v>
      </c>
      <c r="AF357" s="38" t="e" cm="1">
        <f t="array" aca="1" ref="AF357" ca="1">MIN(100, MAX(0, (IF(R357="ESTUDIANTE", 31, 0)) + (IF(I357&lt;=3, 30, IF(I357&lt;=6, 20, 0))) +(IF(OR(E357="413 - Control de Costes y Enlace Construcción", E357="480 - Secretaría General del Consejo", E357="132 - Civil y estructuras", E357="136 - Mecánica", E357="412 - Planificación", E357="142 - Compras"), 25, 0)) +(IF(OR(S357="GRADO ING. MECÁNICA", S357="GRADO ING. ELÉCTRICA", S357="GRADO DERECHO", S357="GRADO ECONOMÍA", S357="GRADO ING. TECNOLOGÍAS INDUSTRIALES"), 24, 0)) + (IF(AND(K357&gt;=451, K357&lt;=700), 23, 0)) + (IF(AND(AB357&gt;=5, AB357&lt;=8), 17, 0)) +(IF(_xludf.OR(_xludf.AND(AC357&gt;=8, AC357&lt;=10), _xludf.AND(AC357&gt;=0, AC357&lt;=5)), 16, 0)) + (IF(F357="Madrid", 11, 0))))</f>
        <v>#NAME?</v>
      </c>
      <c r="AG357" s="68"/>
      <c r="AH357" s="71" t="s">
        <v>164</v>
      </c>
    </row>
    <row r="358" spans="1:34" ht="14.4" x14ac:dyDescent="0.3">
      <c r="A358" s="66" t="s">
        <v>1337</v>
      </c>
      <c r="B358" s="66" t="s">
        <v>3454</v>
      </c>
      <c r="C358" s="33">
        <v>358</v>
      </c>
      <c r="D358" s="33" t="s">
        <v>5399</v>
      </c>
      <c r="E358" s="34" t="s">
        <v>5216</v>
      </c>
      <c r="F358" s="34" t="s">
        <v>931</v>
      </c>
      <c r="G358" s="57">
        <v>41478</v>
      </c>
      <c r="H358" s="57">
        <v>41842</v>
      </c>
      <c r="I358" s="34">
        <f t="shared" si="15"/>
        <v>11</v>
      </c>
      <c r="J358" s="34">
        <v>40</v>
      </c>
      <c r="K358" s="36">
        <v>1000</v>
      </c>
      <c r="L358" s="34" t="s">
        <v>17</v>
      </c>
      <c r="M358" s="57">
        <v>30792</v>
      </c>
      <c r="N358" s="37">
        <f>(YEAR(TablaMadre[[#This Row],[ALTA]])-YEAR(M358))</f>
        <v>29</v>
      </c>
      <c r="O358" s="34" t="s">
        <v>95</v>
      </c>
      <c r="P358" s="34" t="s">
        <v>95</v>
      </c>
      <c r="Q358" s="34" t="s">
        <v>49</v>
      </c>
      <c r="R358" s="34" t="s">
        <v>21</v>
      </c>
      <c r="S358" s="34" t="s">
        <v>297</v>
      </c>
      <c r="T358" s="34"/>
      <c r="U358" s="34"/>
      <c r="V358" s="34" t="s">
        <v>90</v>
      </c>
      <c r="W358" s="34" t="s">
        <v>97</v>
      </c>
      <c r="X358" s="38" t="s">
        <v>164</v>
      </c>
      <c r="Y358" s="62">
        <v>41843</v>
      </c>
      <c r="Z358" s="38">
        <f t="shared" si="16"/>
        <v>0</v>
      </c>
      <c r="AA358" s="38"/>
      <c r="AB358" s="34"/>
      <c r="AC358" s="34"/>
      <c r="AD358" s="38"/>
      <c r="AE358" s="59" t="str">
        <f t="shared" si="17"/>
        <v>SÍ</v>
      </c>
      <c r="AF358" s="38" t="e" cm="1">
        <f t="array" aca="1" ref="AF358" ca="1">MIN(100, MAX(0, (IF(R358="ESTUDIANTE", 31, 0)) + (IF(I358&lt;=3, 30, IF(I358&lt;=6, 20, 0))) +(IF(OR(E358="413 - Control de Costes y Enlace Construcción", E358="480 - Secretaría General del Consejo", E358="132 - Civil y estructuras", E358="136 - Mecánica", E358="412 - Planificación", E358="142 - Compras"), 25, 0)) +(IF(OR(S358="GRADO ING. MECÁNICA", S358="GRADO ING. ELÉCTRICA", S358="GRADO DERECHO", S358="GRADO ECONOMÍA", S358="GRADO ING. TECNOLOGÍAS INDUSTRIALES"), 24, 0)) + (IF(AND(K358&gt;=451, K358&lt;=700), 23, 0)) + (IF(AND(AB358&gt;=5, AB358&lt;=8), 17, 0)) +(IF(_xludf.OR(_xludf.AND(AC358&gt;=8, AC358&lt;=10), _xludf.AND(AC358&gt;=0, AC358&lt;=5)), 16, 0)) + (IF(F358="Madrid", 11, 0))))</f>
        <v>#NAME?</v>
      </c>
      <c r="AG358" s="68"/>
      <c r="AH358" s="71" t="s">
        <v>164</v>
      </c>
    </row>
    <row r="359" spans="1:34" ht="14.4" x14ac:dyDescent="0.3">
      <c r="A359" s="66" t="s">
        <v>1338</v>
      </c>
      <c r="B359" s="66" t="s">
        <v>3455</v>
      </c>
      <c r="C359" s="33">
        <v>359</v>
      </c>
      <c r="D359" s="33" t="s">
        <v>5393</v>
      </c>
      <c r="E359" s="34" t="s">
        <v>5233</v>
      </c>
      <c r="F359" s="34" t="s">
        <v>931</v>
      </c>
      <c r="G359" s="57">
        <v>41478</v>
      </c>
      <c r="H359" s="57">
        <v>41842</v>
      </c>
      <c r="I359" s="34">
        <f t="shared" si="15"/>
        <v>11</v>
      </c>
      <c r="J359" s="34">
        <v>40</v>
      </c>
      <c r="K359" s="36">
        <v>1000</v>
      </c>
      <c r="L359" s="34" t="s">
        <v>17</v>
      </c>
      <c r="M359" s="57">
        <v>33841</v>
      </c>
      <c r="N359" s="37">
        <f>(YEAR(TablaMadre[[#This Row],[ALTA]])-YEAR(M359))</f>
        <v>21</v>
      </c>
      <c r="O359" s="34" t="s">
        <v>95</v>
      </c>
      <c r="P359" s="34" t="s">
        <v>95</v>
      </c>
      <c r="Q359" s="34" t="s">
        <v>85</v>
      </c>
      <c r="R359" s="34" t="s">
        <v>21</v>
      </c>
      <c r="S359" s="34" t="s">
        <v>322</v>
      </c>
      <c r="T359" s="34"/>
      <c r="U359" s="34"/>
      <c r="V359" s="34" t="s">
        <v>90</v>
      </c>
      <c r="W359" s="34" t="s">
        <v>97</v>
      </c>
      <c r="X359" s="38" t="s">
        <v>164</v>
      </c>
      <c r="Y359" s="62">
        <v>42110</v>
      </c>
      <c r="Z359" s="38">
        <f t="shared" si="16"/>
        <v>0</v>
      </c>
      <c r="AA359" s="38"/>
      <c r="AB359" s="34"/>
      <c r="AC359" s="34"/>
      <c r="AD359" s="38"/>
      <c r="AE359" s="59" t="str">
        <f t="shared" si="17"/>
        <v>SÍ</v>
      </c>
      <c r="AF359" s="38" t="e" cm="1">
        <f t="array" aca="1" ref="AF359" ca="1">MIN(100, MAX(0, (IF(R359="ESTUDIANTE", 31, 0)) + (IF(I359&lt;=3, 30, IF(I359&lt;=6, 20, 0))) +(IF(OR(E359="413 - Control de Costes y Enlace Construcción", E359="480 - Secretaría General del Consejo", E359="132 - Civil y estructuras", E359="136 - Mecánica", E359="412 - Planificación", E359="142 - Compras"), 25, 0)) +(IF(OR(S359="GRADO ING. MECÁNICA", S359="GRADO ING. ELÉCTRICA", S359="GRADO DERECHO", S359="GRADO ECONOMÍA", S359="GRADO ING. TECNOLOGÍAS INDUSTRIALES"), 24, 0)) + (IF(AND(K359&gt;=451, K359&lt;=700), 23, 0)) + (IF(AND(AB359&gt;=5, AB359&lt;=8), 17, 0)) +(IF(_xludf.OR(_xludf.AND(AC359&gt;=8, AC359&lt;=10), _xludf.AND(AC359&gt;=0, AC359&lt;=5)), 16, 0)) + (IF(F359="Madrid", 11, 0))))</f>
        <v>#NAME?</v>
      </c>
      <c r="AG359" s="68"/>
      <c r="AH359" s="71" t="s">
        <v>164</v>
      </c>
    </row>
    <row r="360" spans="1:34" ht="14.4" x14ac:dyDescent="0.3">
      <c r="A360" s="66" t="s">
        <v>1339</v>
      </c>
      <c r="B360" s="66" t="s">
        <v>3456</v>
      </c>
      <c r="C360" s="33">
        <v>360</v>
      </c>
      <c r="D360" s="33" t="s">
        <v>5394</v>
      </c>
      <c r="E360" s="34" t="s">
        <v>5233</v>
      </c>
      <c r="F360" s="34" t="s">
        <v>931</v>
      </c>
      <c r="G360" s="57">
        <v>41478</v>
      </c>
      <c r="H360" s="57">
        <v>41842</v>
      </c>
      <c r="I360" s="34">
        <f t="shared" si="15"/>
        <v>11</v>
      </c>
      <c r="J360" s="34">
        <v>40</v>
      </c>
      <c r="K360" s="36">
        <v>1000</v>
      </c>
      <c r="L360" s="34" t="s">
        <v>17</v>
      </c>
      <c r="M360" s="57">
        <v>33384</v>
      </c>
      <c r="N360" s="37">
        <f>(YEAR(TablaMadre[[#This Row],[ALTA]])-YEAR(M360))</f>
        <v>22</v>
      </c>
      <c r="O360" s="34" t="s">
        <v>95</v>
      </c>
      <c r="P360" s="34" t="s">
        <v>95</v>
      </c>
      <c r="Q360" s="34" t="s">
        <v>85</v>
      </c>
      <c r="R360" s="34" t="s">
        <v>21</v>
      </c>
      <c r="S360" s="34" t="s">
        <v>322</v>
      </c>
      <c r="T360" s="34"/>
      <c r="U360" s="34"/>
      <c r="V360" s="34" t="s">
        <v>90</v>
      </c>
      <c r="W360" s="34" t="s">
        <v>97</v>
      </c>
      <c r="X360" s="38" t="s">
        <v>164</v>
      </c>
      <c r="Y360" s="62">
        <v>42081</v>
      </c>
      <c r="Z360" s="38">
        <f t="shared" si="16"/>
        <v>0</v>
      </c>
      <c r="AA360" s="38"/>
      <c r="AB360" s="34"/>
      <c r="AC360" s="34"/>
      <c r="AD360" s="38"/>
      <c r="AE360" s="59" t="str">
        <f t="shared" si="17"/>
        <v>SÍ</v>
      </c>
      <c r="AF360" s="38" t="e" cm="1">
        <f t="array" aca="1" ref="AF360" ca="1">MIN(100, MAX(0, (IF(R360="ESTUDIANTE", 31, 0)) + (IF(I360&lt;=3, 30, IF(I360&lt;=6, 20, 0))) +(IF(OR(E360="413 - Control de Costes y Enlace Construcción", E360="480 - Secretaría General del Consejo", E360="132 - Civil y estructuras", E360="136 - Mecánica", E360="412 - Planificación", E360="142 - Compras"), 25, 0)) +(IF(OR(S360="GRADO ING. MECÁNICA", S360="GRADO ING. ELÉCTRICA", S360="GRADO DERECHO", S360="GRADO ECONOMÍA", S360="GRADO ING. TECNOLOGÍAS INDUSTRIALES"), 24, 0)) + (IF(AND(K360&gt;=451, K360&lt;=700), 23, 0)) + (IF(AND(AB360&gt;=5, AB360&lt;=8), 17, 0)) +(IF(_xludf.OR(_xludf.AND(AC360&gt;=8, AC360&lt;=10), _xludf.AND(AC360&gt;=0, AC360&lt;=5)), 16, 0)) + (IF(F360="Madrid", 11, 0))))</f>
        <v>#NAME?</v>
      </c>
      <c r="AG360" s="68"/>
      <c r="AH360" s="71" t="s">
        <v>164</v>
      </c>
    </row>
    <row r="361" spans="1:34" ht="14.4" x14ac:dyDescent="0.3">
      <c r="A361" s="66" t="s">
        <v>1340</v>
      </c>
      <c r="B361" s="66" t="s">
        <v>3457</v>
      </c>
      <c r="C361" s="33">
        <v>361</v>
      </c>
      <c r="D361" s="33" t="s">
        <v>5395</v>
      </c>
      <c r="E361" s="34" t="s">
        <v>5252</v>
      </c>
      <c r="F361" s="34" t="s">
        <v>931</v>
      </c>
      <c r="G361" s="57">
        <v>41478</v>
      </c>
      <c r="H361" s="57">
        <v>41842</v>
      </c>
      <c r="I361" s="34">
        <f t="shared" si="15"/>
        <v>11</v>
      </c>
      <c r="J361" s="34">
        <v>40</v>
      </c>
      <c r="K361" s="36">
        <v>1000</v>
      </c>
      <c r="L361" s="34" t="s">
        <v>17</v>
      </c>
      <c r="M361" s="57">
        <v>33078</v>
      </c>
      <c r="N361" s="37">
        <f>(YEAR(TablaMadre[[#This Row],[ALTA]])-YEAR(M361))</f>
        <v>23</v>
      </c>
      <c r="O361" s="34" t="s">
        <v>95</v>
      </c>
      <c r="P361" s="34" t="s">
        <v>95</v>
      </c>
      <c r="Q361" s="34" t="s">
        <v>85</v>
      </c>
      <c r="R361" s="34" t="s">
        <v>21</v>
      </c>
      <c r="S361" s="34" t="s">
        <v>322</v>
      </c>
      <c r="T361" s="34"/>
      <c r="U361" s="34"/>
      <c r="V361" s="34" t="s">
        <v>90</v>
      </c>
      <c r="W361" s="34" t="s">
        <v>97</v>
      </c>
      <c r="X361" s="38" t="s">
        <v>164</v>
      </c>
      <c r="Y361" s="62">
        <v>42110</v>
      </c>
      <c r="Z361" s="38">
        <f t="shared" si="16"/>
        <v>0</v>
      </c>
      <c r="AA361" s="38"/>
      <c r="AB361" s="34"/>
      <c r="AC361" s="34"/>
      <c r="AD361" s="38"/>
      <c r="AE361" s="59" t="str">
        <f t="shared" si="17"/>
        <v>SÍ</v>
      </c>
      <c r="AF361" s="38" t="e" cm="1">
        <f t="array" aca="1" ref="AF361" ca="1">MIN(100, MAX(0, (IF(R361="ESTUDIANTE", 31, 0)) + (IF(I361&lt;=3, 30, IF(I361&lt;=6, 20, 0))) +(IF(OR(E361="413 - Control de Costes y Enlace Construcción", E361="480 - Secretaría General del Consejo", E361="132 - Civil y estructuras", E361="136 - Mecánica", E361="412 - Planificación", E361="142 - Compras"), 25, 0)) +(IF(OR(S361="GRADO ING. MECÁNICA", S361="GRADO ING. ELÉCTRICA", S361="GRADO DERECHO", S361="GRADO ECONOMÍA", S361="GRADO ING. TECNOLOGÍAS INDUSTRIALES"), 24, 0)) + (IF(AND(K361&gt;=451, K361&lt;=700), 23, 0)) + (IF(AND(AB361&gt;=5, AB361&lt;=8), 17, 0)) +(IF(_xludf.OR(_xludf.AND(AC361&gt;=8, AC361&lt;=10), _xludf.AND(AC361&gt;=0, AC361&lt;=5)), 16, 0)) + (IF(F361="Madrid", 11, 0))))</f>
        <v>#NAME?</v>
      </c>
      <c r="AG361" s="68"/>
      <c r="AH361" s="71" t="s">
        <v>164</v>
      </c>
    </row>
    <row r="362" spans="1:34" ht="14.4" x14ac:dyDescent="0.3">
      <c r="A362" s="66" t="s">
        <v>1341</v>
      </c>
      <c r="B362" s="66" t="s">
        <v>3458</v>
      </c>
      <c r="C362" s="33">
        <v>362</v>
      </c>
      <c r="D362" s="33" t="s">
        <v>5396</v>
      </c>
      <c r="E362" s="34" t="s">
        <v>5235</v>
      </c>
      <c r="F362" s="34" t="s">
        <v>18</v>
      </c>
      <c r="G362" s="57">
        <v>41484</v>
      </c>
      <c r="H362" s="57">
        <v>41864</v>
      </c>
      <c r="I362" s="34">
        <f t="shared" si="15"/>
        <v>12</v>
      </c>
      <c r="J362" s="34">
        <v>40</v>
      </c>
      <c r="K362" s="36">
        <v>750</v>
      </c>
      <c r="L362" s="34" t="s">
        <v>17</v>
      </c>
      <c r="M362" s="57">
        <v>32195</v>
      </c>
      <c r="N362" s="37">
        <f>(YEAR(TablaMadre[[#This Row],[ALTA]])-YEAR(M362))</f>
        <v>25</v>
      </c>
      <c r="O362" s="34" t="s">
        <v>255</v>
      </c>
      <c r="P362" s="34" t="s">
        <v>19</v>
      </c>
      <c r="Q362" s="34" t="s">
        <v>36</v>
      </c>
      <c r="R362" s="34" t="s">
        <v>21</v>
      </c>
      <c r="S362" s="34" t="s">
        <v>307</v>
      </c>
      <c r="T362" s="34"/>
      <c r="U362" s="34"/>
      <c r="V362" s="34" t="s">
        <v>77</v>
      </c>
      <c r="W362" s="34" t="s">
        <v>28</v>
      </c>
      <c r="X362" s="38" t="s">
        <v>173</v>
      </c>
      <c r="Y362" s="62"/>
      <c r="Z362" s="38" t="e">
        <f t="shared" si="16"/>
        <v>#NUM!</v>
      </c>
      <c r="AA362" s="38"/>
      <c r="AB362" s="34" t="s">
        <v>24</v>
      </c>
      <c r="AC362" s="34"/>
      <c r="AD362" s="38"/>
      <c r="AE362" s="59" t="str">
        <f t="shared" si="17"/>
        <v>SÍ</v>
      </c>
      <c r="AF362" s="38" t="e" cm="1">
        <f t="array" aca="1" ref="AF362" ca="1">MIN(100, MAX(0, (IF(R362="ESTUDIANTE", 31, 0)) + (IF(I362&lt;=3, 30, IF(I362&lt;=6, 20, 0))) +(IF(OR(E362="413 - Control de Costes y Enlace Construcción", E362="480 - Secretaría General del Consejo", E362="132 - Civil y estructuras", E362="136 - Mecánica", E362="412 - Planificación", E362="142 - Compras"), 25, 0)) +(IF(OR(S362="GRADO ING. MECÁNICA", S362="GRADO ING. ELÉCTRICA", S362="GRADO DERECHO", S362="GRADO ECONOMÍA", S362="GRADO ING. TECNOLOGÍAS INDUSTRIALES"), 24, 0)) + (IF(AND(K362&gt;=451, K362&lt;=700), 23, 0)) + (IF(AND(AB362&gt;=5, AB362&lt;=8), 17, 0)) +(IF(_xludf.OR(_xludf.AND(AC362&gt;=8, AC362&lt;=10), _xludf.AND(AC362&gt;=0, AC362&lt;=5)), 16, 0)) + (IF(F362="Madrid", 11, 0))))</f>
        <v>#NAME?</v>
      </c>
      <c r="AG362" s="68"/>
      <c r="AH362" s="71" t="s">
        <v>164</v>
      </c>
    </row>
    <row r="363" spans="1:34" ht="14.4" x14ac:dyDescent="0.3">
      <c r="A363" s="66" t="s">
        <v>1343</v>
      </c>
      <c r="B363" s="66" t="s">
        <v>3460</v>
      </c>
      <c r="C363" s="33">
        <v>364</v>
      </c>
      <c r="D363" s="33" t="s">
        <v>5397</v>
      </c>
      <c r="E363" s="34" t="s">
        <v>5244</v>
      </c>
      <c r="F363" s="34" t="s">
        <v>931</v>
      </c>
      <c r="G363" s="57">
        <v>41485</v>
      </c>
      <c r="H363" s="57">
        <v>41849</v>
      </c>
      <c r="I363" s="34">
        <f t="shared" si="15"/>
        <v>11</v>
      </c>
      <c r="J363" s="34">
        <v>40</v>
      </c>
      <c r="K363" s="36">
        <v>1000</v>
      </c>
      <c r="L363" s="34" t="s">
        <v>17</v>
      </c>
      <c r="M363" s="57">
        <v>30116</v>
      </c>
      <c r="N363" s="37">
        <f>(YEAR(TablaMadre[[#This Row],[ALTA]])-YEAR(M363))</f>
        <v>31</v>
      </c>
      <c r="O363" s="34" t="s">
        <v>95</v>
      </c>
      <c r="P363" s="34" t="s">
        <v>95</v>
      </c>
      <c r="Q363" s="34" t="s">
        <v>32</v>
      </c>
      <c r="R363" s="34" t="s">
        <v>21</v>
      </c>
      <c r="S363" s="34" t="s">
        <v>322</v>
      </c>
      <c r="T363" s="34"/>
      <c r="U363" s="34"/>
      <c r="V363" s="34" t="s">
        <v>90</v>
      </c>
      <c r="W363" s="34" t="s">
        <v>97</v>
      </c>
      <c r="X363" s="38" t="s">
        <v>164</v>
      </c>
      <c r="Y363" s="62">
        <v>42064</v>
      </c>
      <c r="Z363" s="38">
        <f t="shared" si="16"/>
        <v>0</v>
      </c>
      <c r="AA363" s="38"/>
      <c r="AB363" s="34"/>
      <c r="AC363" s="34"/>
      <c r="AD363" s="38"/>
      <c r="AE363" s="59" t="str">
        <f t="shared" si="17"/>
        <v>SÍ</v>
      </c>
      <c r="AF363" s="38" t="e" cm="1">
        <f t="array" aca="1" ref="AF363" ca="1">MIN(100, MAX(0, (IF(R363="ESTUDIANTE", 31, 0)) + (IF(I363&lt;=3, 30, IF(I363&lt;=6, 20, 0))) +(IF(OR(E363="413 - Control de Costes y Enlace Construcción", E363="480 - Secretaría General del Consejo", E363="132 - Civil y estructuras", E363="136 - Mecánica", E363="412 - Planificación", E363="142 - Compras"), 25, 0)) +(IF(OR(S363="GRADO ING. MECÁNICA", S363="GRADO ING. ELÉCTRICA", S363="GRADO DERECHO", S363="GRADO ECONOMÍA", S363="GRADO ING. TECNOLOGÍAS INDUSTRIALES"), 24, 0)) + (IF(AND(K363&gt;=451, K363&lt;=700), 23, 0)) + (IF(AND(AB363&gt;=5, AB363&lt;=8), 17, 0)) +(IF(_xludf.OR(_xludf.AND(AC363&gt;=8, AC363&lt;=10), _xludf.AND(AC363&gt;=0, AC363&lt;=5)), 16, 0)) + (IF(F363="Madrid", 11, 0))))</f>
        <v>#NAME?</v>
      </c>
      <c r="AG363" s="68"/>
      <c r="AH363" s="71" t="s">
        <v>164</v>
      </c>
    </row>
    <row r="364" spans="1:34" ht="14.4" x14ac:dyDescent="0.3">
      <c r="A364" s="66" t="s">
        <v>1344</v>
      </c>
      <c r="B364" s="66" t="s">
        <v>3461</v>
      </c>
      <c r="C364" s="33">
        <v>365</v>
      </c>
      <c r="D364" s="33" t="s">
        <v>5393</v>
      </c>
      <c r="E364" s="34" t="s">
        <v>5253</v>
      </c>
      <c r="F364" s="34" t="s">
        <v>931</v>
      </c>
      <c r="G364" s="57">
        <v>41485</v>
      </c>
      <c r="H364" s="57">
        <v>41849</v>
      </c>
      <c r="I364" s="34">
        <f t="shared" si="15"/>
        <v>11</v>
      </c>
      <c r="J364" s="34">
        <v>40</v>
      </c>
      <c r="K364" s="36">
        <v>1000</v>
      </c>
      <c r="L364" s="34" t="s">
        <v>17</v>
      </c>
      <c r="M364" s="57">
        <v>24164</v>
      </c>
      <c r="N364" s="37">
        <f>(YEAR(TablaMadre[[#This Row],[ALTA]])-YEAR(M364))</f>
        <v>47</v>
      </c>
      <c r="O364" s="34" t="s">
        <v>95</v>
      </c>
      <c r="P364" s="34" t="s">
        <v>95</v>
      </c>
      <c r="Q364" s="34" t="s">
        <v>85</v>
      </c>
      <c r="R364" s="34" t="s">
        <v>21</v>
      </c>
      <c r="S364" s="34" t="s">
        <v>322</v>
      </c>
      <c r="T364" s="34"/>
      <c r="U364" s="34"/>
      <c r="V364" s="34" t="s">
        <v>90</v>
      </c>
      <c r="W364" s="34" t="s">
        <v>97</v>
      </c>
      <c r="X364" s="38" t="s">
        <v>164</v>
      </c>
      <c r="Y364" s="62">
        <v>42309</v>
      </c>
      <c r="Z364" s="38">
        <f t="shared" si="16"/>
        <v>1</v>
      </c>
      <c r="AA364" s="38"/>
      <c r="AB364" s="34"/>
      <c r="AC364" s="34"/>
      <c r="AD364" s="38"/>
      <c r="AE364" s="59" t="str">
        <f t="shared" si="17"/>
        <v>SÍ</v>
      </c>
      <c r="AF364" s="38" t="e" cm="1">
        <f t="array" aca="1" ref="AF364" ca="1">MIN(100, MAX(0, (IF(R364="ESTUDIANTE", 31, 0)) + (IF(I364&lt;=3, 30, IF(I364&lt;=6, 20, 0))) +(IF(OR(E364="413 - Control de Costes y Enlace Construcción", E364="480 - Secretaría General del Consejo", E364="132 - Civil y estructuras", E364="136 - Mecánica", E364="412 - Planificación", E364="142 - Compras"), 25, 0)) +(IF(OR(S364="GRADO ING. MECÁNICA", S364="GRADO ING. ELÉCTRICA", S364="GRADO DERECHO", S364="GRADO ECONOMÍA", S364="GRADO ING. TECNOLOGÍAS INDUSTRIALES"), 24, 0)) + (IF(AND(K364&gt;=451, K364&lt;=700), 23, 0)) + (IF(AND(AB364&gt;=5, AB364&lt;=8), 17, 0)) +(IF(_xludf.OR(_xludf.AND(AC364&gt;=8, AC364&lt;=10), _xludf.AND(AC364&gt;=0, AC364&lt;=5)), 16, 0)) + (IF(F364="Madrid", 11, 0))))</f>
        <v>#NAME?</v>
      </c>
      <c r="AG364" s="68"/>
      <c r="AH364" s="71" t="s">
        <v>164</v>
      </c>
    </row>
    <row r="365" spans="1:34" ht="14.4" x14ac:dyDescent="0.3">
      <c r="A365" s="66" t="s">
        <v>1345</v>
      </c>
      <c r="B365" s="66" t="s">
        <v>3462</v>
      </c>
      <c r="C365" s="33">
        <v>366</v>
      </c>
      <c r="D365" s="33" t="s">
        <v>5394</v>
      </c>
      <c r="E365" s="34" t="s">
        <v>5256</v>
      </c>
      <c r="F365" s="34" t="s">
        <v>931</v>
      </c>
      <c r="G365" s="57">
        <v>41485</v>
      </c>
      <c r="H365" s="57">
        <v>41849</v>
      </c>
      <c r="I365" s="34">
        <f t="shared" si="15"/>
        <v>11</v>
      </c>
      <c r="J365" s="34">
        <v>40</v>
      </c>
      <c r="K365" s="36">
        <v>1000</v>
      </c>
      <c r="L365" s="34" t="s">
        <v>17</v>
      </c>
      <c r="M365" s="57">
        <v>33932</v>
      </c>
      <c r="N365" s="37">
        <f>(YEAR(TablaMadre[[#This Row],[ALTA]])-YEAR(M365))</f>
        <v>21</v>
      </c>
      <c r="O365" s="34" t="s">
        <v>95</v>
      </c>
      <c r="P365" s="34" t="s">
        <v>95</v>
      </c>
      <c r="Q365" s="34" t="s">
        <v>32</v>
      </c>
      <c r="R365" s="34" t="s">
        <v>21</v>
      </c>
      <c r="S365" s="34" t="s">
        <v>322</v>
      </c>
      <c r="T365" s="34"/>
      <c r="U365" s="34"/>
      <c r="V365" s="34" t="s">
        <v>90</v>
      </c>
      <c r="W365" s="34" t="s">
        <v>97</v>
      </c>
      <c r="X365" s="38" t="s">
        <v>164</v>
      </c>
      <c r="Y365" s="62">
        <v>42278</v>
      </c>
      <c r="Z365" s="38">
        <f t="shared" si="16"/>
        <v>1</v>
      </c>
      <c r="AA365" s="38"/>
      <c r="AB365" s="34"/>
      <c r="AC365" s="34"/>
      <c r="AD365" s="38"/>
      <c r="AE365" s="59" t="str">
        <f t="shared" si="17"/>
        <v>SÍ</v>
      </c>
      <c r="AF365" s="38" t="e" cm="1">
        <f t="array" aca="1" ref="AF365" ca="1">MIN(100, MAX(0, (IF(R365="ESTUDIANTE", 31, 0)) + (IF(I365&lt;=3, 30, IF(I365&lt;=6, 20, 0))) +(IF(OR(E365="413 - Control de Costes y Enlace Construcción", E365="480 - Secretaría General del Consejo", E365="132 - Civil y estructuras", E365="136 - Mecánica", E365="412 - Planificación", E365="142 - Compras"), 25, 0)) +(IF(OR(S365="GRADO ING. MECÁNICA", S365="GRADO ING. ELÉCTRICA", S365="GRADO DERECHO", S365="GRADO ECONOMÍA", S365="GRADO ING. TECNOLOGÍAS INDUSTRIALES"), 24, 0)) + (IF(AND(K365&gt;=451, K365&lt;=700), 23, 0)) + (IF(AND(AB365&gt;=5, AB365&lt;=8), 17, 0)) +(IF(_xludf.OR(_xludf.AND(AC365&gt;=8, AC365&lt;=10), _xludf.AND(AC365&gt;=0, AC365&lt;=5)), 16, 0)) + (IF(F365="Madrid", 11, 0))))</f>
        <v>#NAME?</v>
      </c>
      <c r="AG365" s="68"/>
      <c r="AH365" s="71" t="s">
        <v>164</v>
      </c>
    </row>
    <row r="366" spans="1:34" ht="14.4" x14ac:dyDescent="0.3">
      <c r="A366" s="66" t="s">
        <v>1346</v>
      </c>
      <c r="B366" s="66" t="s">
        <v>3463</v>
      </c>
      <c r="C366" s="33">
        <v>367</v>
      </c>
      <c r="D366" s="33" t="s">
        <v>5395</v>
      </c>
      <c r="E366" s="34" t="s">
        <v>5252</v>
      </c>
      <c r="F366" s="34" t="s">
        <v>931</v>
      </c>
      <c r="G366" s="57">
        <v>41485</v>
      </c>
      <c r="H366" s="57">
        <v>41849</v>
      </c>
      <c r="I366" s="34">
        <f t="shared" si="15"/>
        <v>11</v>
      </c>
      <c r="J366" s="34">
        <v>40</v>
      </c>
      <c r="K366" s="36">
        <v>1000</v>
      </c>
      <c r="L366" s="34" t="s">
        <v>17</v>
      </c>
      <c r="M366" s="57">
        <v>33015</v>
      </c>
      <c r="N366" s="37">
        <f>(YEAR(TablaMadre[[#This Row],[ALTA]])-YEAR(M366))</f>
        <v>23</v>
      </c>
      <c r="O366" s="34" t="s">
        <v>95</v>
      </c>
      <c r="P366" s="34" t="s">
        <v>95</v>
      </c>
      <c r="Q366" s="34" t="s">
        <v>85</v>
      </c>
      <c r="R366" s="34" t="s">
        <v>21</v>
      </c>
      <c r="S366" s="34" t="s">
        <v>322</v>
      </c>
      <c r="T366" s="34"/>
      <c r="U366" s="34"/>
      <c r="V366" s="34" t="s">
        <v>90</v>
      </c>
      <c r="W366" s="34" t="s">
        <v>97</v>
      </c>
      <c r="X366" s="38" t="s">
        <v>164</v>
      </c>
      <c r="Y366" s="62">
        <v>42028</v>
      </c>
      <c r="Z366" s="38">
        <f t="shared" si="16"/>
        <v>0</v>
      </c>
      <c r="AA366" s="38"/>
      <c r="AB366" s="34"/>
      <c r="AC366" s="34"/>
      <c r="AD366" s="38"/>
      <c r="AE366" s="59" t="str">
        <f t="shared" si="17"/>
        <v>SÍ</v>
      </c>
      <c r="AF366" s="38" t="e" cm="1">
        <f t="array" aca="1" ref="AF366" ca="1">MIN(100, MAX(0, (IF(R366="ESTUDIANTE", 31, 0)) + (IF(I366&lt;=3, 30, IF(I366&lt;=6, 20, 0))) +(IF(OR(E366="413 - Control de Costes y Enlace Construcción", E366="480 - Secretaría General del Consejo", E366="132 - Civil y estructuras", E366="136 - Mecánica", E366="412 - Planificación", E366="142 - Compras"), 25, 0)) +(IF(OR(S366="GRADO ING. MECÁNICA", S366="GRADO ING. ELÉCTRICA", S366="GRADO DERECHO", S366="GRADO ECONOMÍA", S366="GRADO ING. TECNOLOGÍAS INDUSTRIALES"), 24, 0)) + (IF(AND(K366&gt;=451, K366&lt;=700), 23, 0)) + (IF(AND(AB366&gt;=5, AB366&lt;=8), 17, 0)) +(IF(_xludf.OR(_xludf.AND(AC366&gt;=8, AC366&lt;=10), _xludf.AND(AC366&gt;=0, AC366&lt;=5)), 16, 0)) + (IF(F366="Madrid", 11, 0))))</f>
        <v>#NAME?</v>
      </c>
      <c r="AG366" s="68"/>
      <c r="AH366" s="71" t="s">
        <v>164</v>
      </c>
    </row>
    <row r="367" spans="1:34" ht="14.4" x14ac:dyDescent="0.3">
      <c r="A367" s="66" t="s">
        <v>1356</v>
      </c>
      <c r="B367" s="66" t="s">
        <v>3473</v>
      </c>
      <c r="C367" s="33">
        <v>363</v>
      </c>
      <c r="D367" s="33" t="s">
        <v>5396</v>
      </c>
      <c r="E367" s="34" t="s">
        <v>5244</v>
      </c>
      <c r="F367" s="34" t="s">
        <v>931</v>
      </c>
      <c r="G367" s="57">
        <v>41485</v>
      </c>
      <c r="H367" s="57">
        <v>41849</v>
      </c>
      <c r="I367" s="34">
        <f t="shared" si="15"/>
        <v>11</v>
      </c>
      <c r="J367" s="34">
        <v>40</v>
      </c>
      <c r="K367" s="36">
        <v>1000</v>
      </c>
      <c r="L367" s="34" t="s">
        <v>17</v>
      </c>
      <c r="M367" s="57">
        <v>33502</v>
      </c>
      <c r="N367" s="37">
        <f>(YEAR(TablaMadre[[#This Row],[ALTA]])-YEAR(M367))</f>
        <v>22</v>
      </c>
      <c r="O367" s="34" t="s">
        <v>95</v>
      </c>
      <c r="P367" s="34" t="s">
        <v>95</v>
      </c>
      <c r="Q367" s="34" t="s">
        <v>49</v>
      </c>
      <c r="R367" s="34" t="s">
        <v>21</v>
      </c>
      <c r="S367" s="34" t="s">
        <v>297</v>
      </c>
      <c r="T367" s="34"/>
      <c r="U367" s="34"/>
      <c r="V367" s="34" t="s">
        <v>90</v>
      </c>
      <c r="W367" s="34" t="s">
        <v>183</v>
      </c>
      <c r="X367" s="38" t="s">
        <v>164</v>
      </c>
      <c r="Y367" s="62"/>
      <c r="Z367" s="62" t="e">
        <f t="shared" si="16"/>
        <v>#NUM!</v>
      </c>
      <c r="AA367" s="62"/>
      <c r="AB367" s="34"/>
      <c r="AC367" s="34"/>
      <c r="AD367" s="38"/>
      <c r="AE367" s="59" t="str">
        <f t="shared" si="17"/>
        <v>SÍ</v>
      </c>
      <c r="AF367" s="38" t="e" cm="1">
        <f t="array" aca="1" ref="AF367" ca="1">MIN(100, MAX(0, (IF(R367="ESTUDIANTE", 31, 0)) + (IF(I367&lt;=3, 30, IF(I367&lt;=6, 20, 0))) +(IF(OR(E367="413 - Control de Costes y Enlace Construcción", E367="480 - Secretaría General del Consejo", E367="132 - Civil y estructuras", E367="136 - Mecánica", E367="412 - Planificación", E367="142 - Compras"), 25, 0)) +(IF(OR(S367="GRADO ING. MECÁNICA", S367="GRADO ING. ELÉCTRICA", S367="GRADO DERECHO", S367="GRADO ECONOMÍA", S367="GRADO ING. TECNOLOGÍAS INDUSTRIALES"), 24, 0)) + (IF(AND(K367&gt;=451, K367&lt;=700), 23, 0)) + (IF(AND(AB367&gt;=5, AB367&lt;=8), 17, 0)) +(IF(_xludf.OR(_xludf.AND(AC367&gt;=8, AC367&lt;=10), _xludf.AND(AC367&gt;=0, AC367&lt;=5)), 16, 0)) + (IF(F367="Madrid", 11, 0))))</f>
        <v>#NAME?</v>
      </c>
      <c r="AG367" s="68"/>
      <c r="AH367" s="71" t="s">
        <v>164</v>
      </c>
    </row>
    <row r="368" spans="1:34" ht="14.4" x14ac:dyDescent="0.3">
      <c r="A368" s="66" t="s">
        <v>1347</v>
      </c>
      <c r="B368" s="66" t="s">
        <v>3464</v>
      </c>
      <c r="C368" s="33">
        <v>368</v>
      </c>
      <c r="D368" s="33" t="s">
        <v>5397</v>
      </c>
      <c r="E368" s="34" t="s">
        <v>5218</v>
      </c>
      <c r="F368" s="34" t="s">
        <v>18</v>
      </c>
      <c r="G368" s="57">
        <v>41487</v>
      </c>
      <c r="H368" s="57">
        <v>41639</v>
      </c>
      <c r="I368" s="34">
        <f t="shared" si="15"/>
        <v>4</v>
      </c>
      <c r="J368" s="34">
        <v>40</v>
      </c>
      <c r="K368" s="36">
        <v>900</v>
      </c>
      <c r="L368" s="34" t="s">
        <v>29</v>
      </c>
      <c r="M368" s="57">
        <v>31380</v>
      </c>
      <c r="N368" s="37">
        <f>(YEAR(TablaMadre[[#This Row],[ALTA]])-YEAR(M368))</f>
        <v>28</v>
      </c>
      <c r="O368" s="34" t="s">
        <v>18</v>
      </c>
      <c r="P368" s="34" t="s">
        <v>19</v>
      </c>
      <c r="Q368" s="34" t="s">
        <v>20</v>
      </c>
      <c r="R368" s="34" t="s">
        <v>21</v>
      </c>
      <c r="S368" s="34" t="s">
        <v>151</v>
      </c>
      <c r="T368" s="34"/>
      <c r="U368" s="34"/>
      <c r="V368" s="34" t="s">
        <v>22</v>
      </c>
      <c r="W368" s="34" t="s">
        <v>28</v>
      </c>
      <c r="X368" s="38" t="s">
        <v>173</v>
      </c>
      <c r="Y368" s="62"/>
      <c r="Z368" s="38" t="e">
        <f t="shared" si="16"/>
        <v>#NUM!</v>
      </c>
      <c r="AA368" s="38"/>
      <c r="AB368" s="34"/>
      <c r="AC368" s="34"/>
      <c r="AD368" s="38"/>
      <c r="AE368" s="59" t="str">
        <f t="shared" si="17"/>
        <v>NO</v>
      </c>
      <c r="AF368" s="38" t="e" cm="1">
        <f t="array" aca="1" ref="AF368" ca="1">MIN(100, MAX(0, (IF(R368="ESTUDIANTE", 31, 0)) + (IF(I368&lt;=3, 30, IF(I368&lt;=6, 20, 0))) +(IF(OR(E368="413 - Control de Costes y Enlace Construcción", E368="480 - Secretaría General del Consejo", E368="132 - Civil y estructuras", E368="136 - Mecánica", E368="412 - Planificación", E368="142 - Compras"), 25, 0)) +(IF(OR(S368="GRADO ING. MECÁNICA", S368="GRADO ING. ELÉCTRICA", S368="GRADO DERECHO", S368="GRADO ECONOMÍA", S368="GRADO ING. TECNOLOGÍAS INDUSTRIALES"), 24, 0)) + (IF(AND(K368&gt;=451, K368&lt;=700), 23, 0)) + (IF(AND(AB368&gt;=5, AB368&lt;=8), 17, 0)) +(IF(_xludf.OR(_xludf.AND(AC368&gt;=8, AC368&lt;=10), _xludf.AND(AC368&gt;=0, AC368&lt;=5)), 16, 0)) + (IF(F368="Madrid", 11, 0))))</f>
        <v>#NAME?</v>
      </c>
      <c r="AG368" s="68"/>
      <c r="AH368" s="71" t="s">
        <v>164</v>
      </c>
    </row>
    <row r="369" spans="1:34" ht="14.4" x14ac:dyDescent="0.3">
      <c r="A369" s="66" t="s">
        <v>1348</v>
      </c>
      <c r="B369" s="66" t="s">
        <v>3465</v>
      </c>
      <c r="C369" s="33">
        <v>369</v>
      </c>
      <c r="D369" s="33" t="s">
        <v>5398</v>
      </c>
      <c r="E369" s="34" t="s">
        <v>5259</v>
      </c>
      <c r="F369" s="34" t="s">
        <v>18</v>
      </c>
      <c r="G369" s="57">
        <v>41487</v>
      </c>
      <c r="H369" s="57">
        <v>41821</v>
      </c>
      <c r="I369" s="34">
        <f t="shared" si="15"/>
        <v>11</v>
      </c>
      <c r="J369" s="34">
        <v>40</v>
      </c>
      <c r="K369" s="36">
        <v>900</v>
      </c>
      <c r="L369" s="34" t="s">
        <v>17</v>
      </c>
      <c r="M369" s="57">
        <v>32312</v>
      </c>
      <c r="N369" s="37">
        <f>(YEAR(TablaMadre[[#This Row],[ALTA]])-YEAR(M369))</f>
        <v>25</v>
      </c>
      <c r="O369" s="34" t="s">
        <v>18</v>
      </c>
      <c r="P369" s="34" t="s">
        <v>19</v>
      </c>
      <c r="Q369" s="34" t="s">
        <v>270</v>
      </c>
      <c r="R369" s="34" t="s">
        <v>21</v>
      </c>
      <c r="S369" s="34" t="s">
        <v>322</v>
      </c>
      <c r="T369" s="34"/>
      <c r="U369" s="34"/>
      <c r="V369" s="34" t="s">
        <v>67</v>
      </c>
      <c r="W369" s="34" t="s">
        <v>28</v>
      </c>
      <c r="X369" s="38" t="s">
        <v>164</v>
      </c>
      <c r="Y369" s="62">
        <v>44407</v>
      </c>
      <c r="Z369" s="38">
        <f t="shared" si="16"/>
        <v>7</v>
      </c>
      <c r="AA369" s="38"/>
      <c r="AB369" s="34"/>
      <c r="AC369" s="34"/>
      <c r="AD369" s="38"/>
      <c r="AE369" s="59" t="str">
        <f t="shared" si="17"/>
        <v>NO</v>
      </c>
      <c r="AF369" s="38" t="e" cm="1">
        <f t="array" aca="1" ref="AF369" ca="1">MIN(100, MAX(0, (IF(R369="ESTUDIANTE", 31, 0)) + (IF(I369&lt;=3, 30, IF(I369&lt;=6, 20, 0))) +(IF(OR(E369="413 - Control de Costes y Enlace Construcción", E369="480 - Secretaría General del Consejo", E369="132 - Civil y estructuras", E369="136 - Mecánica", E369="412 - Planificación", E369="142 - Compras"), 25, 0)) +(IF(OR(S369="GRADO ING. MECÁNICA", S369="GRADO ING. ELÉCTRICA", S369="GRADO DERECHO", S369="GRADO ECONOMÍA", S369="GRADO ING. TECNOLOGÍAS INDUSTRIALES"), 24, 0)) + (IF(AND(K369&gt;=451, K369&lt;=700), 23, 0)) + (IF(AND(AB369&gt;=5, AB369&lt;=8), 17, 0)) +(IF(_xludf.OR(_xludf.AND(AC369&gt;=8, AC369&lt;=10), _xludf.AND(AC369&gt;=0, AC369&lt;=5)), 16, 0)) + (IF(F369="Madrid", 11, 0))))</f>
        <v>#NAME?</v>
      </c>
      <c r="AG369" s="68"/>
      <c r="AH369" s="71" t="s">
        <v>164</v>
      </c>
    </row>
    <row r="370" spans="1:34" ht="14.4" x14ac:dyDescent="0.3">
      <c r="A370" s="66" t="s">
        <v>1349</v>
      </c>
      <c r="B370" s="66" t="s">
        <v>3466</v>
      </c>
      <c r="C370" s="33">
        <v>370</v>
      </c>
      <c r="D370" s="33" t="s">
        <v>5399</v>
      </c>
      <c r="E370" s="34" t="s">
        <v>5275</v>
      </c>
      <c r="F370" s="34" t="s">
        <v>18</v>
      </c>
      <c r="G370" s="57">
        <v>41487</v>
      </c>
      <c r="H370" s="57">
        <v>41821</v>
      </c>
      <c r="I370" s="34">
        <f t="shared" si="15"/>
        <v>11</v>
      </c>
      <c r="J370" s="34">
        <v>40</v>
      </c>
      <c r="K370" s="36">
        <v>750</v>
      </c>
      <c r="L370" s="34" t="s">
        <v>17</v>
      </c>
      <c r="M370" s="57">
        <v>33650</v>
      </c>
      <c r="N370" s="37">
        <f>(YEAR(TablaMadre[[#This Row],[ALTA]])-YEAR(M370))</f>
        <v>21</v>
      </c>
      <c r="O370" s="34" t="s">
        <v>939</v>
      </c>
      <c r="P370" s="34" t="s">
        <v>19</v>
      </c>
      <c r="Q370" s="34" t="s">
        <v>108</v>
      </c>
      <c r="R370" s="34" t="s">
        <v>21</v>
      </c>
      <c r="S370" s="34" t="s">
        <v>322</v>
      </c>
      <c r="T370" s="34"/>
      <c r="U370" s="34"/>
      <c r="V370" s="34" t="s">
        <v>258</v>
      </c>
      <c r="W370" s="34" t="s">
        <v>28</v>
      </c>
      <c r="X370" s="38" t="s">
        <v>173</v>
      </c>
      <c r="Y370" s="62"/>
      <c r="Z370" s="38" t="e">
        <f t="shared" si="16"/>
        <v>#NUM!</v>
      </c>
      <c r="AA370" s="38"/>
      <c r="AB370" s="34"/>
      <c r="AC370" s="34"/>
      <c r="AD370" s="38"/>
      <c r="AE370" s="59" t="str">
        <f t="shared" si="17"/>
        <v>SÍ</v>
      </c>
      <c r="AF370" s="38" t="e" cm="1">
        <f t="array" aca="1" ref="AF370" ca="1">MIN(100, MAX(0, (IF(R370="ESTUDIANTE", 31, 0)) + (IF(I370&lt;=3, 30, IF(I370&lt;=6, 20, 0))) +(IF(OR(E370="413 - Control de Costes y Enlace Construcción", E370="480 - Secretaría General del Consejo", E370="132 - Civil y estructuras", E370="136 - Mecánica", E370="412 - Planificación", E370="142 - Compras"), 25, 0)) +(IF(OR(S370="GRADO ING. MECÁNICA", S370="GRADO ING. ELÉCTRICA", S370="GRADO DERECHO", S370="GRADO ECONOMÍA", S370="GRADO ING. TECNOLOGÍAS INDUSTRIALES"), 24, 0)) + (IF(AND(K370&gt;=451, K370&lt;=700), 23, 0)) + (IF(AND(AB370&gt;=5, AB370&lt;=8), 17, 0)) +(IF(_xludf.OR(_xludf.AND(AC370&gt;=8, AC370&lt;=10), _xludf.AND(AC370&gt;=0, AC370&lt;=5)), 16, 0)) + (IF(F370="Madrid", 11, 0))))</f>
        <v>#NAME?</v>
      </c>
      <c r="AG370" s="68"/>
      <c r="AH370" s="71" t="s">
        <v>164</v>
      </c>
    </row>
    <row r="371" spans="1:34" ht="14.4" x14ac:dyDescent="0.3">
      <c r="A371" s="66" t="s">
        <v>1350</v>
      </c>
      <c r="B371" s="66" t="s">
        <v>3467</v>
      </c>
      <c r="C371" s="33">
        <v>371</v>
      </c>
      <c r="D371" s="33" t="s">
        <v>5400</v>
      </c>
      <c r="E371" s="34" t="s">
        <v>5235</v>
      </c>
      <c r="F371" s="34" t="s">
        <v>18</v>
      </c>
      <c r="G371" s="57">
        <v>41487</v>
      </c>
      <c r="H371" s="57">
        <v>41821</v>
      </c>
      <c r="I371" s="34">
        <f t="shared" si="15"/>
        <v>11</v>
      </c>
      <c r="J371" s="34">
        <v>40</v>
      </c>
      <c r="K371" s="36">
        <v>900</v>
      </c>
      <c r="L371" s="34" t="s">
        <v>17</v>
      </c>
      <c r="M371" s="57">
        <v>34477</v>
      </c>
      <c r="N371" s="37">
        <f>(YEAR(TablaMadre[[#This Row],[ALTA]])-YEAR(M371))</f>
        <v>19</v>
      </c>
      <c r="O371" s="34" t="s">
        <v>18</v>
      </c>
      <c r="P371" s="34" t="s">
        <v>19</v>
      </c>
      <c r="Q371" s="34" t="s">
        <v>61</v>
      </c>
      <c r="R371" s="34" t="s">
        <v>21</v>
      </c>
      <c r="S371" s="34" t="s">
        <v>322</v>
      </c>
      <c r="T371" s="34"/>
      <c r="U371" s="34"/>
      <c r="V371" s="34" t="s">
        <v>22</v>
      </c>
      <c r="W371" s="34" t="s">
        <v>28</v>
      </c>
      <c r="X371" s="38" t="s">
        <v>164</v>
      </c>
      <c r="Y371" s="62">
        <v>43717</v>
      </c>
      <c r="Z371" s="38">
        <f t="shared" si="16"/>
        <v>5</v>
      </c>
      <c r="AA371" s="38"/>
      <c r="AB371" s="34"/>
      <c r="AC371" s="34"/>
      <c r="AD371" s="38"/>
      <c r="AE371" s="59" t="str">
        <f t="shared" si="17"/>
        <v>NO</v>
      </c>
      <c r="AF371" s="38" t="e" cm="1">
        <f t="array" aca="1" ref="AF371" ca="1">MIN(100, MAX(0, (IF(R371="ESTUDIANTE", 31, 0)) + (IF(I371&lt;=3, 30, IF(I371&lt;=6, 20, 0))) +(IF(OR(E371="413 - Control de Costes y Enlace Construcción", E371="480 - Secretaría General del Consejo", E371="132 - Civil y estructuras", E371="136 - Mecánica", E371="412 - Planificación", E371="142 - Compras"), 25, 0)) +(IF(OR(S371="GRADO ING. MECÁNICA", S371="GRADO ING. ELÉCTRICA", S371="GRADO DERECHO", S371="GRADO ECONOMÍA", S371="GRADO ING. TECNOLOGÍAS INDUSTRIALES"), 24, 0)) + (IF(AND(K371&gt;=451, K371&lt;=700), 23, 0)) + (IF(AND(AB371&gt;=5, AB371&lt;=8), 17, 0)) +(IF(_xludf.OR(_xludf.AND(AC371&gt;=8, AC371&lt;=10), _xludf.AND(AC371&gt;=0, AC371&lt;=5)), 16, 0)) + (IF(F371="Madrid", 11, 0))))</f>
        <v>#NAME?</v>
      </c>
      <c r="AG371" s="68"/>
      <c r="AH371" s="71" t="s">
        <v>164</v>
      </c>
    </row>
    <row r="372" spans="1:34" ht="14.4" x14ac:dyDescent="0.3">
      <c r="A372" s="66" t="s">
        <v>1351</v>
      </c>
      <c r="B372" s="66" t="s">
        <v>3468</v>
      </c>
      <c r="C372" s="33">
        <v>372</v>
      </c>
      <c r="D372" s="33" t="s">
        <v>5401</v>
      </c>
      <c r="E372" s="34" t="s">
        <v>5247</v>
      </c>
      <c r="F372" s="34" t="s">
        <v>18</v>
      </c>
      <c r="G372" s="57">
        <v>41490</v>
      </c>
      <c r="H372" s="57">
        <v>41804</v>
      </c>
      <c r="I372" s="34">
        <f t="shared" si="15"/>
        <v>10</v>
      </c>
      <c r="J372" s="34">
        <v>40</v>
      </c>
      <c r="K372" s="36">
        <v>450</v>
      </c>
      <c r="L372" s="34" t="s">
        <v>17</v>
      </c>
      <c r="M372" s="57">
        <v>31165</v>
      </c>
      <c r="N372" s="37">
        <f>(YEAR(TablaMadre[[#This Row],[ALTA]])-YEAR(M372))</f>
        <v>28</v>
      </c>
      <c r="O372" s="34" t="s">
        <v>18</v>
      </c>
      <c r="P372" s="34" t="s">
        <v>19</v>
      </c>
      <c r="Q372" s="34" t="s">
        <v>200</v>
      </c>
      <c r="R372" s="58" t="s">
        <v>30</v>
      </c>
      <c r="S372" s="34" t="s">
        <v>26</v>
      </c>
      <c r="T372" s="34"/>
      <c r="U372" s="34"/>
      <c r="V372" s="34" t="s">
        <v>27</v>
      </c>
      <c r="W372" s="34" t="s">
        <v>23</v>
      </c>
      <c r="X372" s="38" t="s">
        <v>164</v>
      </c>
      <c r="Y372" s="62"/>
      <c r="Z372" s="62" t="e">
        <f t="shared" si="16"/>
        <v>#NUM!</v>
      </c>
      <c r="AA372" s="62"/>
      <c r="AB372" s="34"/>
      <c r="AC372" s="34"/>
      <c r="AD372" s="38"/>
      <c r="AE372" s="59" t="str">
        <f t="shared" si="17"/>
        <v>NO</v>
      </c>
      <c r="AF372" s="38" t="e" cm="1">
        <f t="array" aca="1" ref="AF372" ca="1">MIN(100, MAX(0, (IF(R372="ESTUDIANTE", 31, 0)) + (IF(I372&lt;=3, 30, IF(I372&lt;=6, 20, 0))) +(IF(OR(E372="413 - Control de Costes y Enlace Construcción", E372="480 - Secretaría General del Consejo", E372="132 - Civil y estructuras", E372="136 - Mecánica", E372="412 - Planificación", E372="142 - Compras"), 25, 0)) +(IF(OR(S372="GRADO ING. MECÁNICA", S372="GRADO ING. ELÉCTRICA", S372="GRADO DERECHO", S372="GRADO ECONOMÍA", S372="GRADO ING. TECNOLOGÍAS INDUSTRIALES"), 24, 0)) + (IF(AND(K372&gt;=451, K372&lt;=700), 23, 0)) + (IF(AND(AB372&gt;=5, AB372&lt;=8), 17, 0)) +(IF(_xludf.OR(_xludf.AND(AC372&gt;=8, AC372&lt;=10), _xludf.AND(AC372&gt;=0, AC372&lt;=5)), 16, 0)) + (IF(F372="Madrid", 11, 0))))</f>
        <v>#NAME?</v>
      </c>
      <c r="AG372" s="68"/>
      <c r="AH372" s="71" t="s">
        <v>164</v>
      </c>
    </row>
    <row r="373" spans="1:34" ht="14.4" x14ac:dyDescent="0.3">
      <c r="A373" s="66" t="s">
        <v>1352</v>
      </c>
      <c r="B373" s="66" t="s">
        <v>3469</v>
      </c>
      <c r="C373" s="33">
        <v>373</v>
      </c>
      <c r="D373" s="33" t="s">
        <v>5402</v>
      </c>
      <c r="E373" s="34" t="s">
        <v>5224</v>
      </c>
      <c r="F373" s="34" t="s">
        <v>18</v>
      </c>
      <c r="G373" s="57">
        <v>41490</v>
      </c>
      <c r="H373" s="57">
        <v>41729</v>
      </c>
      <c r="I373" s="34">
        <f t="shared" si="15"/>
        <v>7</v>
      </c>
      <c r="J373" s="34">
        <v>40</v>
      </c>
      <c r="K373" s="36">
        <v>800</v>
      </c>
      <c r="L373" s="34" t="s">
        <v>17</v>
      </c>
      <c r="M373" s="57">
        <v>32716</v>
      </c>
      <c r="N373" s="37">
        <f>(YEAR(TablaMadre[[#This Row],[ALTA]])-YEAR(M373))</f>
        <v>24</v>
      </c>
      <c r="O373" s="34" t="s">
        <v>293</v>
      </c>
      <c r="P373" s="34" t="s">
        <v>19</v>
      </c>
      <c r="Q373" s="34" t="s">
        <v>58</v>
      </c>
      <c r="R373" s="34" t="s">
        <v>21</v>
      </c>
      <c r="S373" s="34" t="s">
        <v>229</v>
      </c>
      <c r="T373" s="34"/>
      <c r="U373" s="34"/>
      <c r="V373" s="34" t="s">
        <v>180</v>
      </c>
      <c r="W373" s="34" t="s">
        <v>28</v>
      </c>
      <c r="X373" s="38" t="s">
        <v>164</v>
      </c>
      <c r="Y373" s="62">
        <v>43169</v>
      </c>
      <c r="Z373" s="38">
        <f t="shared" si="16"/>
        <v>3</v>
      </c>
      <c r="AA373" s="38"/>
      <c r="AB373" s="34"/>
      <c r="AC373" s="34"/>
      <c r="AD373" s="38"/>
      <c r="AE373" s="59" t="str">
        <f t="shared" si="17"/>
        <v>SÍ</v>
      </c>
      <c r="AF373" s="38" t="e" cm="1">
        <f t="array" aca="1" ref="AF373" ca="1">MIN(100, MAX(0, (IF(R373="ESTUDIANTE", 31, 0)) + (IF(I373&lt;=3, 30, IF(I373&lt;=6, 20, 0))) +(IF(OR(E373="413 - Control de Costes y Enlace Construcción", E373="480 - Secretaría General del Consejo", E373="132 - Civil y estructuras", E373="136 - Mecánica", E373="412 - Planificación", E373="142 - Compras"), 25, 0)) +(IF(OR(S373="GRADO ING. MECÁNICA", S373="GRADO ING. ELÉCTRICA", S373="GRADO DERECHO", S373="GRADO ECONOMÍA", S373="GRADO ING. TECNOLOGÍAS INDUSTRIALES"), 24, 0)) + (IF(AND(K373&gt;=451, K373&lt;=700), 23, 0)) + (IF(AND(AB373&gt;=5, AB373&lt;=8), 17, 0)) +(IF(_xludf.OR(_xludf.AND(AC373&gt;=8, AC373&lt;=10), _xludf.AND(AC373&gt;=0, AC373&lt;=5)), 16, 0)) + (IF(F373="Madrid", 11, 0))))</f>
        <v>#NAME?</v>
      </c>
      <c r="AG373" s="68"/>
      <c r="AH373" s="71" t="s">
        <v>164</v>
      </c>
    </row>
    <row r="374" spans="1:34" ht="14.4" x14ac:dyDescent="0.3">
      <c r="A374" s="66" t="s">
        <v>1299</v>
      </c>
      <c r="B374" s="66" t="s">
        <v>3416</v>
      </c>
      <c r="C374" s="33">
        <v>375</v>
      </c>
      <c r="D374" s="33" t="s">
        <v>5393</v>
      </c>
      <c r="E374" s="34" t="s">
        <v>5266</v>
      </c>
      <c r="F374" s="34" t="s">
        <v>18</v>
      </c>
      <c r="G374" s="57">
        <v>41491</v>
      </c>
      <c r="H374" s="57">
        <v>41578</v>
      </c>
      <c r="I374" s="34">
        <f t="shared" si="15"/>
        <v>2</v>
      </c>
      <c r="J374" s="34">
        <v>40</v>
      </c>
      <c r="K374" s="36">
        <v>750</v>
      </c>
      <c r="L374" s="34" t="s">
        <v>17</v>
      </c>
      <c r="M374" s="57">
        <v>34079</v>
      </c>
      <c r="N374" s="37">
        <f>(YEAR(TablaMadre[[#This Row],[ALTA]])-YEAR(M374))</f>
        <v>20</v>
      </c>
      <c r="O374" s="34" t="s">
        <v>18</v>
      </c>
      <c r="P374" s="34" t="s">
        <v>19</v>
      </c>
      <c r="Q374" s="34" t="s">
        <v>228</v>
      </c>
      <c r="R374" s="34" t="s">
        <v>21</v>
      </c>
      <c r="S374" s="34" t="s">
        <v>189</v>
      </c>
      <c r="T374" s="34"/>
      <c r="U374" s="34"/>
      <c r="V374" s="34" t="s">
        <v>67</v>
      </c>
      <c r="W374" s="34" t="s">
        <v>23</v>
      </c>
      <c r="X374" s="38" t="s">
        <v>164</v>
      </c>
      <c r="Y374" s="62"/>
      <c r="Z374" s="62" t="e">
        <f t="shared" si="16"/>
        <v>#NUM!</v>
      </c>
      <c r="AA374" s="62"/>
      <c r="AB374" s="34"/>
      <c r="AC374" s="34"/>
      <c r="AD374" s="38"/>
      <c r="AE374" s="59" t="str">
        <f t="shared" si="17"/>
        <v>NO</v>
      </c>
      <c r="AF374" s="38" t="e" cm="1">
        <f t="array" aca="1" ref="AF374" ca="1">MIN(100, MAX(0, (IF(R374="ESTUDIANTE", 31, 0)) + (IF(I374&lt;=3, 30, IF(I374&lt;=6, 20, 0))) +(IF(OR(E374="413 - Control de Costes y Enlace Construcción", E374="480 - Secretaría General del Consejo", E374="132 - Civil y estructuras", E374="136 - Mecánica", E374="412 - Planificación", E374="142 - Compras"), 25, 0)) +(IF(OR(S374="GRADO ING. MECÁNICA", S374="GRADO ING. ELÉCTRICA", S374="GRADO DERECHO", S374="GRADO ECONOMÍA", S374="GRADO ING. TECNOLOGÍAS INDUSTRIALES"), 24, 0)) + (IF(AND(K374&gt;=451, K374&lt;=700), 23, 0)) + (IF(AND(AB374&gt;=5, AB374&lt;=8), 17, 0)) +(IF(_xludf.OR(_xludf.AND(AC374&gt;=8, AC374&lt;=10), _xludf.AND(AC374&gt;=0, AC374&lt;=5)), 16, 0)) + (IF(F374="Madrid", 11, 0))))</f>
        <v>#NAME?</v>
      </c>
      <c r="AG374" s="68"/>
      <c r="AH374" s="71" t="s">
        <v>164</v>
      </c>
    </row>
    <row r="375" spans="1:34" s="4" customFormat="1" ht="14.4" x14ac:dyDescent="0.3">
      <c r="A375" s="66" t="s">
        <v>1353</v>
      </c>
      <c r="B375" s="66" t="s">
        <v>3470</v>
      </c>
      <c r="C375" s="33">
        <v>374</v>
      </c>
      <c r="D375" s="33" t="s">
        <v>5394</v>
      </c>
      <c r="E375" s="34" t="s">
        <v>5266</v>
      </c>
      <c r="F375" s="34" t="s">
        <v>18</v>
      </c>
      <c r="G375" s="57">
        <v>41491</v>
      </c>
      <c r="H375" s="57">
        <v>41831</v>
      </c>
      <c r="I375" s="34">
        <f t="shared" si="15"/>
        <v>11</v>
      </c>
      <c r="J375" s="34">
        <v>40</v>
      </c>
      <c r="K375" s="36">
        <v>700</v>
      </c>
      <c r="L375" s="34" t="s">
        <v>29</v>
      </c>
      <c r="M375" s="57">
        <v>34288</v>
      </c>
      <c r="N375" s="37">
        <f>(YEAR(TablaMadre[[#This Row],[ALTA]])-YEAR(M375))</f>
        <v>20</v>
      </c>
      <c r="O375" s="34" t="s">
        <v>18</v>
      </c>
      <c r="P375" s="34" t="s">
        <v>19</v>
      </c>
      <c r="Q375" s="34" t="s">
        <v>195</v>
      </c>
      <c r="R375" s="58" t="s">
        <v>30</v>
      </c>
      <c r="S375" s="34" t="s">
        <v>962</v>
      </c>
      <c r="T375" s="34"/>
      <c r="U375" s="34"/>
      <c r="V375" s="34" t="s">
        <v>67</v>
      </c>
      <c r="W375" s="34" t="s">
        <v>23</v>
      </c>
      <c r="X375" s="34" t="s">
        <v>164</v>
      </c>
      <c r="Y375" s="57"/>
      <c r="Z375" s="57" t="e">
        <f t="shared" si="16"/>
        <v>#NUM!</v>
      </c>
      <c r="AA375" s="57"/>
      <c r="AB375" s="34"/>
      <c r="AC375" s="34"/>
      <c r="AD375" s="34"/>
      <c r="AE375" s="59" t="str">
        <f t="shared" si="17"/>
        <v>NO</v>
      </c>
      <c r="AF375" s="34" t="e" cm="1">
        <f t="array" aca="1" ref="AF375" ca="1">MIN(100, MAX(0, (IF(R375="ESTUDIANTE", 31, 0)) + (IF(I375&lt;=3, 30, IF(I375&lt;=6, 20, 0))) +(IF(OR(E375="413 - Control de Costes y Enlace Construcción", E375="480 - Secretaría General del Consejo", E375="132 - Civil y estructuras", E375="136 - Mecánica", E375="412 - Planificación", E375="142 - Compras"), 25, 0)) +(IF(OR(S375="GRADO ING. MECÁNICA", S375="GRADO ING. ELÉCTRICA", S375="GRADO DERECHO", S375="GRADO ECONOMÍA", S375="GRADO ING. TECNOLOGÍAS INDUSTRIALES"), 24, 0)) + (IF(AND(K375&gt;=451, K375&lt;=700), 23, 0)) + (IF(AND(AB375&gt;=5, AB375&lt;=8), 17, 0)) +(IF(_xludf.OR(_xludf.AND(AC375&gt;=8, AC375&lt;=10), _xludf.AND(AC375&gt;=0, AC375&lt;=5)), 16, 0)) + (IF(F375="Madrid", 11, 0))))</f>
        <v>#NAME?</v>
      </c>
      <c r="AG375" s="69"/>
      <c r="AH375" s="71" t="s">
        <v>164</v>
      </c>
    </row>
    <row r="376" spans="1:34" ht="14.4" x14ac:dyDescent="0.3">
      <c r="A376" s="66" t="s">
        <v>1342</v>
      </c>
      <c r="B376" s="66" t="s">
        <v>3459</v>
      </c>
      <c r="C376" s="33">
        <v>376</v>
      </c>
      <c r="D376" s="33" t="s">
        <v>5395</v>
      </c>
      <c r="E376" s="34" t="s">
        <v>5235</v>
      </c>
      <c r="F376" s="34" t="s">
        <v>18</v>
      </c>
      <c r="G376" s="57">
        <v>41493</v>
      </c>
      <c r="H376" s="57">
        <v>41823</v>
      </c>
      <c r="I376" s="34">
        <f t="shared" si="15"/>
        <v>10</v>
      </c>
      <c r="J376" s="34">
        <v>40</v>
      </c>
      <c r="K376" s="36">
        <v>900</v>
      </c>
      <c r="L376" s="34" t="s">
        <v>17</v>
      </c>
      <c r="M376" s="57">
        <v>33015</v>
      </c>
      <c r="N376" s="37">
        <f>(YEAR(TablaMadre[[#This Row],[ALTA]])-YEAR(M376))</f>
        <v>23</v>
      </c>
      <c r="O376" s="34" t="s">
        <v>271</v>
      </c>
      <c r="P376" s="34" t="s">
        <v>19</v>
      </c>
      <c r="Q376" s="34" t="s">
        <v>272</v>
      </c>
      <c r="R376" s="34" t="s">
        <v>21</v>
      </c>
      <c r="S376" s="34" t="s">
        <v>322</v>
      </c>
      <c r="T376" s="34"/>
      <c r="U376" s="34"/>
      <c r="V376" s="34" t="s">
        <v>37</v>
      </c>
      <c r="W376" s="34" t="s">
        <v>181</v>
      </c>
      <c r="X376" s="38" t="s">
        <v>164</v>
      </c>
      <c r="Y376" s="62"/>
      <c r="Z376" s="62" t="e">
        <f t="shared" si="16"/>
        <v>#NUM!</v>
      </c>
      <c r="AA376" s="62"/>
      <c r="AB376" s="34"/>
      <c r="AC376" s="34"/>
      <c r="AD376" s="38"/>
      <c r="AE376" s="59" t="str">
        <f t="shared" si="17"/>
        <v>SÍ</v>
      </c>
      <c r="AF376" s="38" t="e" cm="1">
        <f t="array" aca="1" ref="AF376" ca="1">MIN(100, MAX(0, (IF(R376="ESTUDIANTE", 31, 0)) + (IF(I376&lt;=3, 30, IF(I376&lt;=6, 20, 0))) +(IF(OR(E376="413 - Control de Costes y Enlace Construcción", E376="480 - Secretaría General del Consejo", E376="132 - Civil y estructuras", E376="136 - Mecánica", E376="412 - Planificación", E376="142 - Compras"), 25, 0)) +(IF(OR(S376="GRADO ING. MECÁNICA", S376="GRADO ING. ELÉCTRICA", S376="GRADO DERECHO", S376="GRADO ECONOMÍA", S376="GRADO ING. TECNOLOGÍAS INDUSTRIALES"), 24, 0)) + (IF(AND(K376&gt;=451, K376&lt;=700), 23, 0)) + (IF(AND(AB376&gt;=5, AB376&lt;=8), 17, 0)) +(IF(_xludf.OR(_xludf.AND(AC376&gt;=8, AC376&lt;=10), _xludf.AND(AC376&gt;=0, AC376&lt;=5)), 16, 0)) + (IF(F376="Madrid", 11, 0))))</f>
        <v>#NAME?</v>
      </c>
      <c r="AG376" s="68"/>
      <c r="AH376" s="71" t="s">
        <v>164</v>
      </c>
    </row>
    <row r="377" spans="1:34" ht="14.4" x14ac:dyDescent="0.3">
      <c r="A377" s="66" t="s">
        <v>1360</v>
      </c>
      <c r="B377" s="66" t="s">
        <v>3477</v>
      </c>
      <c r="C377" s="33">
        <v>377</v>
      </c>
      <c r="D377" s="33" t="s">
        <v>5396</v>
      </c>
      <c r="E377" s="34" t="s">
        <v>5216</v>
      </c>
      <c r="F377" s="34" t="s">
        <v>18</v>
      </c>
      <c r="G377" s="57">
        <v>41505</v>
      </c>
      <c r="H377" s="57">
        <v>41687</v>
      </c>
      <c r="I377" s="34">
        <f t="shared" si="15"/>
        <v>5</v>
      </c>
      <c r="J377" s="34">
        <v>30</v>
      </c>
      <c r="K377" s="36">
        <v>490</v>
      </c>
      <c r="L377" s="34" t="s">
        <v>29</v>
      </c>
      <c r="M377" s="57">
        <v>32992</v>
      </c>
      <c r="N377" s="37">
        <f>(YEAR(TablaMadre[[#This Row],[ALTA]])-YEAR(M377))</f>
        <v>23</v>
      </c>
      <c r="O377" s="34" t="s">
        <v>18</v>
      </c>
      <c r="P377" s="34" t="s">
        <v>19</v>
      </c>
      <c r="Q377" s="34" t="s">
        <v>49</v>
      </c>
      <c r="R377" s="58" t="s">
        <v>30</v>
      </c>
      <c r="S377" s="34" t="s">
        <v>297</v>
      </c>
      <c r="T377" s="34"/>
      <c r="U377" s="34"/>
      <c r="V377" s="34" t="s">
        <v>56</v>
      </c>
      <c r="W377" s="34" t="s">
        <v>23</v>
      </c>
      <c r="X377" s="38" t="s">
        <v>164</v>
      </c>
      <c r="Y377" s="62"/>
      <c r="Z377" s="62" t="e">
        <f t="shared" si="16"/>
        <v>#NUM!</v>
      </c>
      <c r="AA377" s="62"/>
      <c r="AB377" s="34"/>
      <c r="AC377" s="34"/>
      <c r="AD377" s="38"/>
      <c r="AE377" s="59" t="str">
        <f t="shared" si="17"/>
        <v>NO</v>
      </c>
      <c r="AF377" s="38" t="e" cm="1">
        <f t="array" aca="1" ref="AF377" ca="1">MIN(100, MAX(0, (IF(R377="ESTUDIANTE", 31, 0)) + (IF(I377&lt;=3, 30, IF(I377&lt;=6, 20, 0))) +(IF(OR(E377="413 - Control de Costes y Enlace Construcción", E377="480 - Secretaría General del Consejo", E377="132 - Civil y estructuras", E377="136 - Mecánica", E377="412 - Planificación", E377="142 - Compras"), 25, 0)) +(IF(OR(S377="GRADO ING. MECÁNICA", S377="GRADO ING. ELÉCTRICA", S377="GRADO DERECHO", S377="GRADO ECONOMÍA", S377="GRADO ING. TECNOLOGÍAS INDUSTRIALES"), 24, 0)) + (IF(AND(K377&gt;=451, K377&lt;=700), 23, 0)) + (IF(AND(AB377&gt;=5, AB377&lt;=8), 17, 0)) +(IF(_xludf.OR(_xludf.AND(AC377&gt;=8, AC377&lt;=10), _xludf.AND(AC377&gt;=0, AC377&lt;=5)), 16, 0)) + (IF(F377="Madrid", 11, 0))))</f>
        <v>#NAME?</v>
      </c>
      <c r="AG377" s="68"/>
      <c r="AH377" s="71" t="s">
        <v>164</v>
      </c>
    </row>
    <row r="378" spans="1:34" ht="14.4" x14ac:dyDescent="0.3">
      <c r="A378" s="66" t="s">
        <v>1146</v>
      </c>
      <c r="B378" s="66" t="s">
        <v>3263</v>
      </c>
      <c r="C378" s="33">
        <v>264</v>
      </c>
      <c r="D378" s="33" t="s">
        <v>5397</v>
      </c>
      <c r="E378" s="34" t="s">
        <v>5242</v>
      </c>
      <c r="F378" s="34" t="s">
        <v>100</v>
      </c>
      <c r="G378" s="57">
        <v>41518</v>
      </c>
      <c r="H378" s="57">
        <v>41820</v>
      </c>
      <c r="I378" s="34">
        <f t="shared" si="15"/>
        <v>9</v>
      </c>
      <c r="J378" s="34">
        <v>30</v>
      </c>
      <c r="K378" s="36">
        <v>675</v>
      </c>
      <c r="L378" s="34" t="s">
        <v>29</v>
      </c>
      <c r="M378" s="57">
        <v>34418</v>
      </c>
      <c r="N378" s="37">
        <f>(YEAR(TablaMadre[[#This Row],[ALTA]])-YEAR(M378))</f>
        <v>19</v>
      </c>
      <c r="O378" s="34" t="s">
        <v>100</v>
      </c>
      <c r="P378" s="34" t="s">
        <v>19</v>
      </c>
      <c r="Q378" s="34" t="s">
        <v>109</v>
      </c>
      <c r="R378" s="58" t="s">
        <v>30</v>
      </c>
      <c r="S378" s="34" t="s">
        <v>109</v>
      </c>
      <c r="T378" s="34"/>
      <c r="U378" s="34"/>
      <c r="V378" s="34" t="s">
        <v>107</v>
      </c>
      <c r="W378" s="34" t="s">
        <v>23</v>
      </c>
      <c r="X378" s="38" t="s">
        <v>164</v>
      </c>
      <c r="Y378" s="62"/>
      <c r="Z378" s="62" t="e">
        <f t="shared" si="16"/>
        <v>#NUM!</v>
      </c>
      <c r="AA378" s="62"/>
      <c r="AB378" s="34"/>
      <c r="AC378" s="34"/>
      <c r="AD378" s="38"/>
      <c r="AE378" s="59" t="str">
        <f t="shared" si="17"/>
        <v>NO</v>
      </c>
      <c r="AF378" s="38" t="e" cm="1">
        <f t="array" aca="1" ref="AF378" ca="1">MIN(100, MAX(0, (IF(R378="ESTUDIANTE", 31, 0)) + (IF(I378&lt;=3, 30, IF(I378&lt;=6, 20, 0))) +(IF(OR(E378="413 - Control de Costes y Enlace Construcción", E378="480 - Secretaría General del Consejo", E378="132 - Civil y estructuras", E378="136 - Mecánica", E378="412 - Planificación", E378="142 - Compras"), 25, 0)) +(IF(OR(S378="GRADO ING. MECÁNICA", S378="GRADO ING. ELÉCTRICA", S378="GRADO DERECHO", S378="GRADO ECONOMÍA", S378="GRADO ING. TECNOLOGÍAS INDUSTRIALES"), 24, 0)) + (IF(AND(K378&gt;=451, K378&lt;=700), 23, 0)) + (IF(AND(AB378&gt;=5, AB378&lt;=8), 17, 0)) +(IF(_xludf.OR(_xludf.AND(AC378&gt;=8, AC378&lt;=10), _xludf.AND(AC378&gt;=0, AC378&lt;=5)), 16, 0)) + (IF(F378="Madrid", 11, 0))))</f>
        <v>#NAME?</v>
      </c>
      <c r="AG378" s="68"/>
      <c r="AH378" s="71" t="s">
        <v>164</v>
      </c>
    </row>
    <row r="379" spans="1:34" s="4" customFormat="1" ht="14.4" x14ac:dyDescent="0.3">
      <c r="A379" s="66" t="s">
        <v>1357</v>
      </c>
      <c r="B379" s="66" t="s">
        <v>3474</v>
      </c>
      <c r="C379" s="33">
        <v>378</v>
      </c>
      <c r="D379" s="33" t="s">
        <v>5398</v>
      </c>
      <c r="E379" s="34" t="s">
        <v>5236</v>
      </c>
      <c r="F379" s="34" t="s">
        <v>18</v>
      </c>
      <c r="G379" s="57">
        <v>41524</v>
      </c>
      <c r="H379" s="57">
        <v>41858</v>
      </c>
      <c r="I379" s="34">
        <f t="shared" si="15"/>
        <v>11</v>
      </c>
      <c r="J379" s="34">
        <v>40</v>
      </c>
      <c r="K379" s="36">
        <v>825</v>
      </c>
      <c r="L379" s="34" t="s">
        <v>17</v>
      </c>
      <c r="M379" s="57">
        <v>32410</v>
      </c>
      <c r="N379" s="37">
        <f>(YEAR(TablaMadre[[#This Row],[ALTA]])-YEAR(M379))</f>
        <v>25</v>
      </c>
      <c r="O379" s="34" t="s">
        <v>257</v>
      </c>
      <c r="P379" s="34" t="s">
        <v>19</v>
      </c>
      <c r="Q379" s="34" t="s">
        <v>279</v>
      </c>
      <c r="R379" s="34" t="s">
        <v>21</v>
      </c>
      <c r="S379" s="34" t="s">
        <v>280</v>
      </c>
      <c r="T379" s="34"/>
      <c r="U379" s="34"/>
      <c r="V379" s="34" t="s">
        <v>67</v>
      </c>
      <c r="W379" s="34" t="s">
        <v>28</v>
      </c>
      <c r="X379" s="34" t="s">
        <v>173</v>
      </c>
      <c r="Y379" s="57"/>
      <c r="Z379" s="34" t="e">
        <f t="shared" si="16"/>
        <v>#NUM!</v>
      </c>
      <c r="AA379" s="34"/>
      <c r="AB379" s="34"/>
      <c r="AC379" s="34"/>
      <c r="AD379" s="34"/>
      <c r="AE379" s="59" t="str">
        <f t="shared" si="17"/>
        <v>SÍ</v>
      </c>
      <c r="AF379" s="34" t="e" cm="1">
        <f t="array" aca="1" ref="AF379" ca="1">MIN(100, MAX(0, (IF(R379="ESTUDIANTE", 31, 0)) + (IF(I379&lt;=3, 30, IF(I379&lt;=6, 20, 0))) +(IF(OR(E379="413 - Control de Costes y Enlace Construcción", E379="480 - Secretaría General del Consejo", E379="132 - Civil y estructuras", E379="136 - Mecánica", E379="412 - Planificación", E379="142 - Compras"), 25, 0)) +(IF(OR(S379="GRADO ING. MECÁNICA", S379="GRADO ING. ELÉCTRICA", S379="GRADO DERECHO", S379="GRADO ECONOMÍA", S379="GRADO ING. TECNOLOGÍAS INDUSTRIALES"), 24, 0)) + (IF(AND(K379&gt;=451, K379&lt;=700), 23, 0)) + (IF(AND(AB379&gt;=5, AB379&lt;=8), 17, 0)) +(IF(_xludf.OR(_xludf.AND(AC379&gt;=8, AC379&lt;=10), _xludf.AND(AC379&gt;=0, AC379&lt;=5)), 16, 0)) + (IF(F379="Madrid", 11, 0))))</f>
        <v>#NAME?</v>
      </c>
      <c r="AG379" s="69"/>
      <c r="AH379" s="71" t="s">
        <v>164</v>
      </c>
    </row>
    <row r="380" spans="1:34" ht="14.4" x14ac:dyDescent="0.3">
      <c r="A380" s="66" t="s">
        <v>1358</v>
      </c>
      <c r="B380" s="66" t="s">
        <v>3475</v>
      </c>
      <c r="C380" s="33">
        <v>379</v>
      </c>
      <c r="D380" s="33" t="s">
        <v>5399</v>
      </c>
      <c r="E380" s="34" t="s">
        <v>5248</v>
      </c>
      <c r="F380" s="34" t="s">
        <v>18</v>
      </c>
      <c r="G380" s="57">
        <v>41524</v>
      </c>
      <c r="H380" s="57">
        <v>42248</v>
      </c>
      <c r="I380" s="34">
        <f t="shared" si="15"/>
        <v>23</v>
      </c>
      <c r="J380" s="34">
        <v>40</v>
      </c>
      <c r="K380" s="36">
        <v>650</v>
      </c>
      <c r="L380" s="34" t="s">
        <v>29</v>
      </c>
      <c r="M380" s="57">
        <v>32505</v>
      </c>
      <c r="N380" s="37">
        <f>(YEAR(TablaMadre[[#This Row],[ALTA]])-YEAR(M380))</f>
        <v>25</v>
      </c>
      <c r="O380" s="34" t="s">
        <v>18</v>
      </c>
      <c r="P380" s="34" t="s">
        <v>19</v>
      </c>
      <c r="Q380" s="34" t="s">
        <v>49</v>
      </c>
      <c r="R380" s="58" t="s">
        <v>30</v>
      </c>
      <c r="S380" s="34" t="s">
        <v>297</v>
      </c>
      <c r="T380" s="34"/>
      <c r="U380" s="34"/>
      <c r="V380" s="34" t="s">
        <v>40</v>
      </c>
      <c r="W380" s="34" t="s">
        <v>91</v>
      </c>
      <c r="X380" s="38" t="s">
        <v>173</v>
      </c>
      <c r="Y380" s="62"/>
      <c r="Z380" s="62" t="e">
        <f t="shared" si="16"/>
        <v>#NUM!</v>
      </c>
      <c r="AA380" s="62"/>
      <c r="AB380" s="34"/>
      <c r="AC380" s="34"/>
      <c r="AD380" s="38"/>
      <c r="AE380" s="59" t="str">
        <f t="shared" si="17"/>
        <v>NO</v>
      </c>
      <c r="AF380" s="38" t="e" cm="1">
        <f t="array" aca="1" ref="AF380" ca="1">MIN(100, MAX(0, (IF(R380="ESTUDIANTE", 31, 0)) + (IF(I380&lt;=3, 30, IF(I380&lt;=6, 20, 0))) +(IF(OR(E380="413 - Control de Costes y Enlace Construcción", E380="480 - Secretaría General del Consejo", E380="132 - Civil y estructuras", E380="136 - Mecánica", E380="412 - Planificación", E380="142 - Compras"), 25, 0)) +(IF(OR(S380="GRADO ING. MECÁNICA", S380="GRADO ING. ELÉCTRICA", S380="GRADO DERECHO", S380="GRADO ECONOMÍA", S380="GRADO ING. TECNOLOGÍAS INDUSTRIALES"), 24, 0)) + (IF(AND(K380&gt;=451, K380&lt;=700), 23, 0)) + (IF(AND(AB380&gt;=5, AB380&lt;=8), 17, 0)) +(IF(_xludf.OR(_xludf.AND(AC380&gt;=8, AC380&lt;=10), _xludf.AND(AC380&gt;=0, AC380&lt;=5)), 16, 0)) + (IF(F380="Madrid", 11, 0))))</f>
        <v>#NAME?</v>
      </c>
      <c r="AG380" s="68"/>
      <c r="AH380" s="71" t="s">
        <v>164</v>
      </c>
    </row>
    <row r="381" spans="1:34" ht="14.4" x14ac:dyDescent="0.3">
      <c r="A381" s="66" t="s">
        <v>1359</v>
      </c>
      <c r="B381" s="66" t="s">
        <v>3476</v>
      </c>
      <c r="C381" s="33">
        <v>380</v>
      </c>
      <c r="D381" s="33" t="s">
        <v>5393</v>
      </c>
      <c r="E381" s="34" t="s">
        <v>5248</v>
      </c>
      <c r="F381" s="34" t="s">
        <v>18</v>
      </c>
      <c r="G381" s="57">
        <v>41524</v>
      </c>
      <c r="H381" s="57">
        <v>42399</v>
      </c>
      <c r="I381" s="34">
        <f t="shared" si="15"/>
        <v>28</v>
      </c>
      <c r="J381" s="34">
        <v>35</v>
      </c>
      <c r="K381" s="36">
        <v>650</v>
      </c>
      <c r="L381" s="34" t="s">
        <v>17</v>
      </c>
      <c r="M381" s="57">
        <v>31582</v>
      </c>
      <c r="N381" s="37">
        <f>(YEAR(TablaMadre[[#This Row],[ALTA]])-YEAR(M381))</f>
        <v>27</v>
      </c>
      <c r="O381" s="34" t="s">
        <v>18</v>
      </c>
      <c r="P381" s="34" t="s">
        <v>19</v>
      </c>
      <c r="Q381" s="34" t="s">
        <v>39</v>
      </c>
      <c r="R381" s="58" t="s">
        <v>30</v>
      </c>
      <c r="S381" s="34" t="s">
        <v>297</v>
      </c>
      <c r="T381" s="34"/>
      <c r="U381" s="34"/>
      <c r="V381" s="34" t="s">
        <v>40</v>
      </c>
      <c r="W381" s="34" t="s">
        <v>28</v>
      </c>
      <c r="X381" s="38" t="s">
        <v>173</v>
      </c>
      <c r="Y381" s="62"/>
      <c r="Z381" s="38" t="e">
        <f t="shared" si="16"/>
        <v>#NUM!</v>
      </c>
      <c r="AA381" s="38"/>
      <c r="AB381" s="34"/>
      <c r="AC381" s="34"/>
      <c r="AD381" s="38"/>
      <c r="AE381" s="59" t="str">
        <f t="shared" si="17"/>
        <v>NO</v>
      </c>
      <c r="AF381" s="38" t="e" cm="1">
        <f t="array" aca="1" ref="AF381" ca="1">MIN(100, MAX(0, (IF(R381="ESTUDIANTE", 31, 0)) + (IF(I381&lt;=3, 30, IF(I381&lt;=6, 20, 0))) +(IF(OR(E381="413 - Control de Costes y Enlace Construcción", E381="480 - Secretaría General del Consejo", E381="132 - Civil y estructuras", E381="136 - Mecánica", E381="412 - Planificación", E381="142 - Compras"), 25, 0)) +(IF(OR(S381="GRADO ING. MECÁNICA", S381="GRADO ING. ELÉCTRICA", S381="GRADO DERECHO", S381="GRADO ECONOMÍA", S381="GRADO ING. TECNOLOGÍAS INDUSTRIALES"), 24, 0)) + (IF(AND(K381&gt;=451, K381&lt;=700), 23, 0)) + (IF(AND(AB381&gt;=5, AB381&lt;=8), 17, 0)) +(IF(_xludf.OR(_xludf.AND(AC381&gt;=8, AC381&lt;=10), _xludf.AND(AC381&gt;=0, AC381&lt;=5)), 16, 0)) + (IF(F381="Madrid", 11, 0))))</f>
        <v>#NAME?</v>
      </c>
      <c r="AG381" s="68"/>
      <c r="AH381" s="71" t="s">
        <v>164</v>
      </c>
    </row>
    <row r="382" spans="1:34" ht="14.4" x14ac:dyDescent="0.3">
      <c r="A382" s="66" t="s">
        <v>1361</v>
      </c>
      <c r="B382" s="66" t="s">
        <v>3478</v>
      </c>
      <c r="C382" s="33">
        <v>382</v>
      </c>
      <c r="D382" s="33" t="s">
        <v>5394</v>
      </c>
      <c r="E382" s="34" t="s">
        <v>5276</v>
      </c>
      <c r="F382" s="34" t="s">
        <v>18</v>
      </c>
      <c r="G382" s="57">
        <v>41526</v>
      </c>
      <c r="H382" s="57">
        <v>41775</v>
      </c>
      <c r="I382" s="34">
        <f t="shared" si="15"/>
        <v>8</v>
      </c>
      <c r="J382" s="34">
        <v>40</v>
      </c>
      <c r="K382" s="36">
        <v>900</v>
      </c>
      <c r="L382" s="34" t="s">
        <v>29</v>
      </c>
      <c r="M382" s="57">
        <v>33960</v>
      </c>
      <c r="N382" s="37">
        <f>(YEAR(TablaMadre[[#This Row],[ALTA]])-YEAR(M382))</f>
        <v>21</v>
      </c>
      <c r="O382" s="34" t="s">
        <v>18</v>
      </c>
      <c r="P382" s="34" t="s">
        <v>19</v>
      </c>
      <c r="Q382" s="34" t="s">
        <v>237</v>
      </c>
      <c r="R382" s="34" t="s">
        <v>21</v>
      </c>
      <c r="S382" s="34" t="s">
        <v>322</v>
      </c>
      <c r="T382" s="34"/>
      <c r="U382" s="34"/>
      <c r="V382" s="34" t="s">
        <v>137</v>
      </c>
      <c r="W382" s="34" t="s">
        <v>181</v>
      </c>
      <c r="X382" s="38" t="s">
        <v>164</v>
      </c>
      <c r="Y382" s="62"/>
      <c r="Z382" s="62" t="e">
        <f t="shared" si="16"/>
        <v>#NUM!</v>
      </c>
      <c r="AA382" s="62"/>
      <c r="AB382" s="34"/>
      <c r="AC382" s="34"/>
      <c r="AD382" s="38"/>
      <c r="AE382" s="59" t="str">
        <f t="shared" si="17"/>
        <v>NO</v>
      </c>
      <c r="AF382" s="38" t="e" cm="1">
        <f t="array" aca="1" ref="AF382" ca="1">MIN(100, MAX(0, (IF(R382="ESTUDIANTE", 31, 0)) + (IF(I382&lt;=3, 30, IF(I382&lt;=6, 20, 0))) +(IF(OR(E382="413 - Control de Costes y Enlace Construcción", E382="480 - Secretaría General del Consejo", E382="132 - Civil y estructuras", E382="136 - Mecánica", E382="412 - Planificación", E382="142 - Compras"), 25, 0)) +(IF(OR(S382="GRADO ING. MECÁNICA", S382="GRADO ING. ELÉCTRICA", S382="GRADO DERECHO", S382="GRADO ECONOMÍA", S382="GRADO ING. TECNOLOGÍAS INDUSTRIALES"), 24, 0)) + (IF(AND(K382&gt;=451, K382&lt;=700), 23, 0)) + (IF(AND(AB382&gt;=5, AB382&lt;=8), 17, 0)) +(IF(_xludf.OR(_xludf.AND(AC382&gt;=8, AC382&lt;=10), _xludf.AND(AC382&gt;=0, AC382&lt;=5)), 16, 0)) + (IF(F382="Madrid", 11, 0))))</f>
        <v>#NAME?</v>
      </c>
      <c r="AG382" s="68"/>
      <c r="AH382" s="71" t="s">
        <v>164</v>
      </c>
    </row>
    <row r="383" spans="1:34" ht="14.4" x14ac:dyDescent="0.3">
      <c r="A383" s="66" t="s">
        <v>1416</v>
      </c>
      <c r="B383" s="66" t="s">
        <v>3533</v>
      </c>
      <c r="C383" s="33">
        <v>381</v>
      </c>
      <c r="D383" s="33" t="s">
        <v>5395</v>
      </c>
      <c r="E383" s="34" t="s">
        <v>5277</v>
      </c>
      <c r="F383" s="34" t="s">
        <v>18</v>
      </c>
      <c r="G383" s="57">
        <v>41526</v>
      </c>
      <c r="H383" s="57">
        <v>41564</v>
      </c>
      <c r="I383" s="34">
        <f t="shared" si="15"/>
        <v>1</v>
      </c>
      <c r="J383" s="34">
        <v>40</v>
      </c>
      <c r="K383" s="36">
        <v>750</v>
      </c>
      <c r="L383" s="34" t="s">
        <v>29</v>
      </c>
      <c r="M383" s="57">
        <v>33807</v>
      </c>
      <c r="N383" s="37">
        <f>(YEAR(TablaMadre[[#This Row],[ALTA]])-YEAR(M383))</f>
        <v>21</v>
      </c>
      <c r="O383" s="34" t="s">
        <v>18</v>
      </c>
      <c r="P383" s="34" t="s">
        <v>19</v>
      </c>
      <c r="Q383" s="34" t="s">
        <v>229</v>
      </c>
      <c r="R383" s="34" t="s">
        <v>21</v>
      </c>
      <c r="S383" s="34" t="s">
        <v>229</v>
      </c>
      <c r="T383" s="34"/>
      <c r="U383" s="34"/>
      <c r="V383" s="34" t="s">
        <v>137</v>
      </c>
      <c r="W383" s="34" t="s">
        <v>181</v>
      </c>
      <c r="X383" s="38" t="s">
        <v>164</v>
      </c>
      <c r="Y383" s="62"/>
      <c r="Z383" s="62" t="e">
        <f t="shared" si="16"/>
        <v>#NUM!</v>
      </c>
      <c r="AA383" s="62"/>
      <c r="AB383" s="34"/>
      <c r="AC383" s="34"/>
      <c r="AD383" s="38"/>
      <c r="AE383" s="59" t="str">
        <f t="shared" si="17"/>
        <v>NO</v>
      </c>
      <c r="AF383" s="38" t="e" cm="1">
        <f t="array" aca="1" ref="AF383" ca="1">MIN(100, MAX(0, (IF(R383="ESTUDIANTE", 31, 0)) + (IF(I383&lt;=3, 30, IF(I383&lt;=6, 20, 0))) +(IF(OR(E383="413 - Control de Costes y Enlace Construcción", E383="480 - Secretaría General del Consejo", E383="132 - Civil y estructuras", E383="136 - Mecánica", E383="412 - Planificación", E383="142 - Compras"), 25, 0)) +(IF(OR(S383="GRADO ING. MECÁNICA", S383="GRADO ING. ELÉCTRICA", S383="GRADO DERECHO", S383="GRADO ECONOMÍA", S383="GRADO ING. TECNOLOGÍAS INDUSTRIALES"), 24, 0)) + (IF(AND(K383&gt;=451, K383&lt;=700), 23, 0)) + (IF(AND(AB383&gt;=5, AB383&lt;=8), 17, 0)) +(IF(_xludf.OR(_xludf.AND(AC383&gt;=8, AC383&lt;=10), _xludf.AND(AC383&gt;=0, AC383&lt;=5)), 16, 0)) + (IF(F383="Madrid", 11, 0))))</f>
        <v>#NAME?</v>
      </c>
      <c r="AG383" s="68"/>
      <c r="AH383" s="71" t="s">
        <v>164</v>
      </c>
    </row>
    <row r="384" spans="1:34" ht="14.4" x14ac:dyDescent="0.3">
      <c r="A384" s="66" t="s">
        <v>1501</v>
      </c>
      <c r="B384" s="66" t="s">
        <v>3618</v>
      </c>
      <c r="C384" s="33">
        <v>383</v>
      </c>
      <c r="D384" s="33" t="s">
        <v>5396</v>
      </c>
      <c r="E384" s="34" t="s">
        <v>5278</v>
      </c>
      <c r="F384" s="34" t="s">
        <v>18</v>
      </c>
      <c r="G384" s="57">
        <v>41526</v>
      </c>
      <c r="H384" s="57">
        <v>41860</v>
      </c>
      <c r="I384" s="34">
        <f t="shared" si="15"/>
        <v>11</v>
      </c>
      <c r="J384" s="34">
        <v>40</v>
      </c>
      <c r="K384" s="36">
        <v>1916.66</v>
      </c>
      <c r="L384" s="34" t="s">
        <v>17</v>
      </c>
      <c r="M384" s="57">
        <v>33478</v>
      </c>
      <c r="N384" s="37">
        <f>(YEAR(TablaMadre[[#This Row],[ALTA]])-YEAR(M384))</f>
        <v>22</v>
      </c>
      <c r="O384" s="34" t="s">
        <v>211</v>
      </c>
      <c r="P384" s="34" t="s">
        <v>19</v>
      </c>
      <c r="Q384" s="34" t="s">
        <v>32</v>
      </c>
      <c r="R384" s="34" t="s">
        <v>21</v>
      </c>
      <c r="S384" s="34" t="s">
        <v>322</v>
      </c>
      <c r="T384" s="34"/>
      <c r="U384" s="34"/>
      <c r="V384" s="34" t="s">
        <v>50</v>
      </c>
      <c r="W384" s="34" t="s">
        <v>28</v>
      </c>
      <c r="X384" s="38" t="s">
        <v>173</v>
      </c>
      <c r="Y384" s="62"/>
      <c r="Z384" s="38" t="e">
        <f t="shared" si="16"/>
        <v>#NUM!</v>
      </c>
      <c r="AA384" s="38" t="s">
        <v>173</v>
      </c>
      <c r="AB384" s="34"/>
      <c r="AC384" s="34"/>
      <c r="AD384" s="38"/>
      <c r="AE384" s="59" t="str">
        <f t="shared" si="17"/>
        <v>SÍ</v>
      </c>
      <c r="AF384" s="38" t="e" cm="1">
        <f t="array" aca="1" ref="AF384" ca="1">MIN(100, MAX(0, (IF(R384="ESTUDIANTE", 31, 0)) + (IF(I384&lt;=3, 30, IF(I384&lt;=6, 20, 0))) +(IF(OR(E384="413 - Control de Costes y Enlace Construcción", E384="480 - Secretaría General del Consejo", E384="132 - Civil y estructuras", E384="136 - Mecánica", E384="412 - Planificación", E384="142 - Compras"), 25, 0)) +(IF(OR(S384="GRADO ING. MECÁNICA", S384="GRADO ING. ELÉCTRICA", S384="GRADO DERECHO", S384="GRADO ECONOMÍA", S384="GRADO ING. TECNOLOGÍAS INDUSTRIALES"), 24, 0)) + (IF(AND(K384&gt;=451, K384&lt;=700), 23, 0)) + (IF(AND(AB384&gt;=5, AB384&lt;=8), 17, 0)) +(IF(_xludf.OR(_xludf.AND(AC384&gt;=8, AC384&lt;=10), _xludf.AND(AC384&gt;=0, AC384&lt;=5)), 16, 0)) + (IF(F384="Madrid", 11, 0))))</f>
        <v>#NAME?</v>
      </c>
      <c r="AG384" s="68"/>
      <c r="AH384" s="71" t="s">
        <v>164</v>
      </c>
    </row>
    <row r="385" spans="1:34" ht="14.4" x14ac:dyDescent="0.3">
      <c r="A385" s="66" t="s">
        <v>1363</v>
      </c>
      <c r="B385" s="66" t="s">
        <v>3480</v>
      </c>
      <c r="C385" s="33">
        <v>384</v>
      </c>
      <c r="D385" s="33" t="s">
        <v>5397</v>
      </c>
      <c r="E385" s="34" t="s">
        <v>5275</v>
      </c>
      <c r="F385" s="34" t="s">
        <v>18</v>
      </c>
      <c r="G385" s="57">
        <v>41533</v>
      </c>
      <c r="H385" s="57">
        <v>41805</v>
      </c>
      <c r="I385" s="34">
        <f t="shared" si="15"/>
        <v>8</v>
      </c>
      <c r="J385" s="34">
        <v>40</v>
      </c>
      <c r="K385" s="36">
        <v>900</v>
      </c>
      <c r="L385" s="34" t="s">
        <v>17</v>
      </c>
      <c r="M385" s="57">
        <v>31914</v>
      </c>
      <c r="N385" s="37">
        <f>(YEAR(TablaMadre[[#This Row],[ALTA]])-YEAR(M385))</f>
        <v>26</v>
      </c>
      <c r="O385" s="34" t="s">
        <v>18</v>
      </c>
      <c r="P385" s="34" t="s">
        <v>19</v>
      </c>
      <c r="Q385" s="34" t="s">
        <v>262</v>
      </c>
      <c r="R385" s="34" t="s">
        <v>21</v>
      </c>
      <c r="S385" s="34" t="s">
        <v>322</v>
      </c>
      <c r="T385" s="34"/>
      <c r="U385" s="34"/>
      <c r="V385" s="34" t="s">
        <v>67</v>
      </c>
      <c r="W385" s="34" t="s">
        <v>28</v>
      </c>
      <c r="X385" s="38" t="s">
        <v>164</v>
      </c>
      <c r="Y385" s="62">
        <v>45141</v>
      </c>
      <c r="Z385" s="38">
        <f t="shared" si="16"/>
        <v>9</v>
      </c>
      <c r="AA385" s="38"/>
      <c r="AB385" s="34"/>
      <c r="AC385" s="34"/>
      <c r="AD385" s="38"/>
      <c r="AE385" s="59" t="str">
        <f t="shared" si="17"/>
        <v>NO</v>
      </c>
      <c r="AF385" s="38" t="e" cm="1">
        <f t="array" aca="1" ref="AF385" ca="1">MIN(100, MAX(0, (IF(R385="ESTUDIANTE", 31, 0)) + (IF(I385&lt;=3, 30, IF(I385&lt;=6, 20, 0))) +(IF(OR(E385="413 - Control de Costes y Enlace Construcción", E385="480 - Secretaría General del Consejo", E385="132 - Civil y estructuras", E385="136 - Mecánica", E385="412 - Planificación", E385="142 - Compras"), 25, 0)) +(IF(OR(S385="GRADO ING. MECÁNICA", S385="GRADO ING. ELÉCTRICA", S385="GRADO DERECHO", S385="GRADO ECONOMÍA", S385="GRADO ING. TECNOLOGÍAS INDUSTRIALES"), 24, 0)) + (IF(AND(K385&gt;=451, K385&lt;=700), 23, 0)) + (IF(AND(AB385&gt;=5, AB385&lt;=8), 17, 0)) +(IF(_xludf.OR(_xludf.AND(AC385&gt;=8, AC385&lt;=10), _xludf.AND(AC385&gt;=0, AC385&lt;=5)), 16, 0)) + (IF(F385="Madrid", 11, 0))))</f>
        <v>#NAME?</v>
      </c>
      <c r="AG385" s="68"/>
      <c r="AH385" s="71" t="s">
        <v>164</v>
      </c>
    </row>
    <row r="386" spans="1:34" ht="14.4" x14ac:dyDescent="0.3">
      <c r="A386" s="66" t="s">
        <v>1364</v>
      </c>
      <c r="B386" s="66" t="s">
        <v>3481</v>
      </c>
      <c r="C386" s="33">
        <v>385</v>
      </c>
      <c r="D386" s="33" t="s">
        <v>5398</v>
      </c>
      <c r="E386" s="34" t="s">
        <v>5248</v>
      </c>
      <c r="F386" s="34" t="s">
        <v>18</v>
      </c>
      <c r="G386" s="57">
        <v>41533</v>
      </c>
      <c r="H386" s="57">
        <v>41897</v>
      </c>
      <c r="I386" s="34">
        <f t="shared" ref="I386:I449" si="18">DATEDIF(G386, H386, "M")</f>
        <v>11</v>
      </c>
      <c r="J386" s="34">
        <v>40</v>
      </c>
      <c r="K386" s="36">
        <v>900</v>
      </c>
      <c r="L386" s="34" t="s">
        <v>17</v>
      </c>
      <c r="M386" s="57">
        <v>34229</v>
      </c>
      <c r="N386" s="37">
        <f>(YEAR(TablaMadre[[#This Row],[ALTA]])-YEAR(M386))</f>
        <v>20</v>
      </c>
      <c r="O386" s="34" t="s">
        <v>18</v>
      </c>
      <c r="P386" s="34" t="s">
        <v>19</v>
      </c>
      <c r="Q386" s="34" t="s">
        <v>71</v>
      </c>
      <c r="R386" s="34" t="s">
        <v>21</v>
      </c>
      <c r="S386" s="34" t="s">
        <v>297</v>
      </c>
      <c r="T386" s="34"/>
      <c r="U386" s="34"/>
      <c r="V386" s="34" t="s">
        <v>40</v>
      </c>
      <c r="W386" s="34" t="s">
        <v>28</v>
      </c>
      <c r="X386" s="38" t="s">
        <v>173</v>
      </c>
      <c r="Y386" s="62"/>
      <c r="Z386" s="38" t="e">
        <f t="shared" ref="Z386:Z449" si="19">DATEDIF(H386, Y386, "y")</f>
        <v>#NUM!</v>
      </c>
      <c r="AA386" s="38"/>
      <c r="AB386" s="34"/>
      <c r="AC386" s="34"/>
      <c r="AD386" s="38"/>
      <c r="AE386" s="59" t="str">
        <f t="shared" si="17"/>
        <v>NO</v>
      </c>
      <c r="AF386" s="38" t="e" cm="1">
        <f t="array" aca="1" ref="AF386" ca="1">MIN(100, MAX(0, (IF(R386="ESTUDIANTE", 31, 0)) + (IF(I386&lt;=3, 30, IF(I386&lt;=6, 20, 0))) +(IF(OR(E386="413 - Control de Costes y Enlace Construcción", E386="480 - Secretaría General del Consejo", E386="132 - Civil y estructuras", E386="136 - Mecánica", E386="412 - Planificación", E386="142 - Compras"), 25, 0)) +(IF(OR(S386="GRADO ING. MECÁNICA", S386="GRADO ING. ELÉCTRICA", S386="GRADO DERECHO", S386="GRADO ECONOMÍA", S386="GRADO ING. TECNOLOGÍAS INDUSTRIALES"), 24, 0)) + (IF(AND(K386&gt;=451, K386&lt;=700), 23, 0)) + (IF(AND(AB386&gt;=5, AB386&lt;=8), 17, 0)) +(IF(_xludf.OR(_xludf.AND(AC386&gt;=8, AC386&lt;=10), _xludf.AND(AC386&gt;=0, AC386&lt;=5)), 16, 0)) + (IF(F386="Madrid", 11, 0))))</f>
        <v>#NAME?</v>
      </c>
      <c r="AG386" s="68"/>
      <c r="AH386" s="71" t="s">
        <v>164</v>
      </c>
    </row>
    <row r="387" spans="1:34" ht="14.4" x14ac:dyDescent="0.3">
      <c r="A387" s="66" t="s">
        <v>1365</v>
      </c>
      <c r="B387" s="66" t="s">
        <v>3482</v>
      </c>
      <c r="C387" s="33">
        <v>386</v>
      </c>
      <c r="D387" s="33" t="s">
        <v>5399</v>
      </c>
      <c r="E387" s="34" t="s">
        <v>5234</v>
      </c>
      <c r="F387" s="34" t="s">
        <v>18</v>
      </c>
      <c r="G387" s="57">
        <v>41536</v>
      </c>
      <c r="H387" s="57">
        <v>41716</v>
      </c>
      <c r="I387" s="34">
        <f t="shared" si="18"/>
        <v>5</v>
      </c>
      <c r="J387" s="34">
        <v>40</v>
      </c>
      <c r="K387" s="36">
        <v>800</v>
      </c>
      <c r="L387" s="34" t="s">
        <v>17</v>
      </c>
      <c r="M387" s="57">
        <v>31880</v>
      </c>
      <c r="N387" s="37">
        <f>(YEAR(TablaMadre[[#This Row],[ALTA]])-YEAR(M387))</f>
        <v>26</v>
      </c>
      <c r="O387" s="34" t="s">
        <v>18</v>
      </c>
      <c r="P387" s="34" t="s">
        <v>19</v>
      </c>
      <c r="Q387" s="34" t="s">
        <v>55</v>
      </c>
      <c r="R387" s="34" t="s">
        <v>21</v>
      </c>
      <c r="S387" s="34" t="s">
        <v>291</v>
      </c>
      <c r="T387" s="34"/>
      <c r="U387" s="34"/>
      <c r="V387" s="34" t="s">
        <v>56</v>
      </c>
      <c r="W387" s="34" t="s">
        <v>28</v>
      </c>
      <c r="X387" s="38" t="s">
        <v>164</v>
      </c>
      <c r="Y387" s="62">
        <v>44541</v>
      </c>
      <c r="Z387" s="38">
        <f t="shared" si="19"/>
        <v>7</v>
      </c>
      <c r="AA387" s="38"/>
      <c r="AB387" s="34"/>
      <c r="AC387" s="34"/>
      <c r="AD387" s="38"/>
      <c r="AE387" s="59" t="str">
        <f t="shared" ref="AE387:AE450" si="20">IF(F387=O387, "NO", "SÍ")</f>
        <v>NO</v>
      </c>
      <c r="AF387" s="38" t="e" cm="1">
        <f t="array" aca="1" ref="AF387" ca="1">MIN(100, MAX(0, (IF(R387="ESTUDIANTE", 31, 0)) + (IF(I387&lt;=3, 30, IF(I387&lt;=6, 20, 0))) +(IF(OR(E387="413 - Control de Costes y Enlace Construcción", E387="480 - Secretaría General del Consejo", E387="132 - Civil y estructuras", E387="136 - Mecánica", E387="412 - Planificación", E387="142 - Compras"), 25, 0)) +(IF(OR(S387="GRADO ING. MECÁNICA", S387="GRADO ING. ELÉCTRICA", S387="GRADO DERECHO", S387="GRADO ECONOMÍA", S387="GRADO ING. TECNOLOGÍAS INDUSTRIALES"), 24, 0)) + (IF(AND(K387&gt;=451, K387&lt;=700), 23, 0)) + (IF(AND(AB387&gt;=5, AB387&lt;=8), 17, 0)) +(IF(_xludf.OR(_xludf.AND(AC387&gt;=8, AC387&lt;=10), _xludf.AND(AC387&gt;=0, AC387&lt;=5)), 16, 0)) + (IF(F387="Madrid", 11, 0))))</f>
        <v>#NAME?</v>
      </c>
      <c r="AG387" s="68"/>
      <c r="AH387" s="71" t="s">
        <v>164</v>
      </c>
    </row>
    <row r="388" spans="1:34" ht="14.4" x14ac:dyDescent="0.3">
      <c r="A388" s="66" t="s">
        <v>1366</v>
      </c>
      <c r="B388" s="66" t="s">
        <v>3483</v>
      </c>
      <c r="C388" s="33">
        <v>387</v>
      </c>
      <c r="D388" s="33" t="s">
        <v>5400</v>
      </c>
      <c r="E388" s="34" t="s">
        <v>5222</v>
      </c>
      <c r="F388" s="34" t="s">
        <v>18</v>
      </c>
      <c r="G388" s="57">
        <v>41540</v>
      </c>
      <c r="H388" s="57">
        <v>41904</v>
      </c>
      <c r="I388" s="34">
        <f t="shared" si="18"/>
        <v>11</v>
      </c>
      <c r="J388" s="34">
        <v>40</v>
      </c>
      <c r="K388" s="36">
        <v>1350</v>
      </c>
      <c r="L388" s="34" t="s">
        <v>29</v>
      </c>
      <c r="M388" s="57">
        <v>26740</v>
      </c>
      <c r="N388" s="37">
        <f>(YEAR(TablaMadre[[#This Row],[ALTA]])-YEAR(M388))</f>
        <v>40</v>
      </c>
      <c r="O388" s="34" t="s">
        <v>152</v>
      </c>
      <c r="P388" s="34" t="s">
        <v>152</v>
      </c>
      <c r="Q388" s="34" t="s">
        <v>49</v>
      </c>
      <c r="R388" s="34" t="s">
        <v>21</v>
      </c>
      <c r="S388" s="34" t="s">
        <v>297</v>
      </c>
      <c r="T388" s="34"/>
      <c r="U388" s="34"/>
      <c r="V388" s="34" t="s">
        <v>90</v>
      </c>
      <c r="W388" s="34" t="s">
        <v>28</v>
      </c>
      <c r="X388" s="38" t="s">
        <v>164</v>
      </c>
      <c r="Y388" s="62">
        <v>42245</v>
      </c>
      <c r="Z388" s="38">
        <f t="shared" si="19"/>
        <v>0</v>
      </c>
      <c r="AA388" s="38"/>
      <c r="AB388" s="34"/>
      <c r="AC388" s="34"/>
      <c r="AD388" s="38"/>
      <c r="AE388" s="59" t="str">
        <f t="shared" si="20"/>
        <v>SÍ</v>
      </c>
      <c r="AF388" s="38" t="e" cm="1">
        <f t="array" aca="1" ref="AF388" ca="1">MIN(100, MAX(0, (IF(R388="ESTUDIANTE", 31, 0)) + (IF(I388&lt;=3, 30, IF(I388&lt;=6, 20, 0))) +(IF(OR(E388="413 - Control de Costes y Enlace Construcción", E388="480 - Secretaría General del Consejo", E388="132 - Civil y estructuras", E388="136 - Mecánica", E388="412 - Planificación", E388="142 - Compras"), 25, 0)) +(IF(OR(S388="GRADO ING. MECÁNICA", S388="GRADO ING. ELÉCTRICA", S388="GRADO DERECHO", S388="GRADO ECONOMÍA", S388="GRADO ING. TECNOLOGÍAS INDUSTRIALES"), 24, 0)) + (IF(AND(K388&gt;=451, K388&lt;=700), 23, 0)) + (IF(AND(AB388&gt;=5, AB388&lt;=8), 17, 0)) +(IF(_xludf.OR(_xludf.AND(AC388&gt;=8, AC388&lt;=10), _xludf.AND(AC388&gt;=0, AC388&lt;=5)), 16, 0)) + (IF(F388="Madrid", 11, 0))))</f>
        <v>#NAME?</v>
      </c>
      <c r="AG388" s="68"/>
      <c r="AH388" s="71" t="s">
        <v>164</v>
      </c>
    </row>
    <row r="389" spans="1:34" ht="14.4" x14ac:dyDescent="0.3">
      <c r="A389" s="66" t="s">
        <v>1367</v>
      </c>
      <c r="B389" s="66" t="s">
        <v>3484</v>
      </c>
      <c r="C389" s="33">
        <v>388</v>
      </c>
      <c r="D389" s="33" t="s">
        <v>5401</v>
      </c>
      <c r="E389" s="34" t="s">
        <v>5218</v>
      </c>
      <c r="F389" s="34" t="s">
        <v>18</v>
      </c>
      <c r="G389" s="57">
        <v>41551</v>
      </c>
      <c r="H389" s="57">
        <v>41812</v>
      </c>
      <c r="I389" s="34">
        <f t="shared" si="18"/>
        <v>8</v>
      </c>
      <c r="J389" s="34">
        <v>40</v>
      </c>
      <c r="K389" s="36">
        <v>700</v>
      </c>
      <c r="L389" s="34" t="s">
        <v>17</v>
      </c>
      <c r="M389" s="57">
        <v>27112</v>
      </c>
      <c r="N389" s="37">
        <f>(YEAR(TablaMadre[[#This Row],[ALTA]])-YEAR(M389))</f>
        <v>39</v>
      </c>
      <c r="O389" s="34" t="s">
        <v>191</v>
      </c>
      <c r="P389" s="34" t="s">
        <v>191</v>
      </c>
      <c r="Q389" s="34" t="s">
        <v>267</v>
      </c>
      <c r="R389" s="58" t="s">
        <v>30</v>
      </c>
      <c r="S389" s="34" t="s">
        <v>26</v>
      </c>
      <c r="T389" s="34"/>
      <c r="U389" s="34"/>
      <c r="V389" s="34" t="s">
        <v>27</v>
      </c>
      <c r="W389" s="34" t="s">
        <v>28</v>
      </c>
      <c r="X389" s="38" t="s">
        <v>173</v>
      </c>
      <c r="Y389" s="62"/>
      <c r="Z389" s="38" t="e">
        <f t="shared" si="19"/>
        <v>#NUM!</v>
      </c>
      <c r="AA389" s="38"/>
      <c r="AB389" s="34"/>
      <c r="AC389" s="34"/>
      <c r="AD389" s="38"/>
      <c r="AE389" s="59" t="str">
        <f t="shared" si="20"/>
        <v>SÍ</v>
      </c>
      <c r="AF389" s="38" t="e" cm="1">
        <f t="array" aca="1" ref="AF389" ca="1">MIN(100, MAX(0, (IF(R389="ESTUDIANTE", 31, 0)) + (IF(I389&lt;=3, 30, IF(I389&lt;=6, 20, 0))) +(IF(OR(E389="413 - Control de Costes y Enlace Construcción", E389="480 - Secretaría General del Consejo", E389="132 - Civil y estructuras", E389="136 - Mecánica", E389="412 - Planificación", E389="142 - Compras"), 25, 0)) +(IF(OR(S389="GRADO ING. MECÁNICA", S389="GRADO ING. ELÉCTRICA", S389="GRADO DERECHO", S389="GRADO ECONOMÍA", S389="GRADO ING. TECNOLOGÍAS INDUSTRIALES"), 24, 0)) + (IF(AND(K389&gt;=451, K389&lt;=700), 23, 0)) + (IF(AND(AB389&gt;=5, AB389&lt;=8), 17, 0)) +(IF(_xludf.OR(_xludf.AND(AC389&gt;=8, AC389&lt;=10), _xludf.AND(AC389&gt;=0, AC389&lt;=5)), 16, 0)) + (IF(F389="Madrid", 11, 0))))</f>
        <v>#NAME?</v>
      </c>
      <c r="AG389" s="68"/>
      <c r="AH389" s="71" t="s">
        <v>164</v>
      </c>
    </row>
    <row r="390" spans="1:34" ht="14.4" x14ac:dyDescent="0.3">
      <c r="A390" s="66" t="s">
        <v>1368</v>
      </c>
      <c r="B390" s="66" t="s">
        <v>3485</v>
      </c>
      <c r="C390" s="33">
        <v>389</v>
      </c>
      <c r="D390" s="33" t="s">
        <v>5402</v>
      </c>
      <c r="E390" s="34" t="s">
        <v>5216</v>
      </c>
      <c r="F390" s="34" t="s">
        <v>18</v>
      </c>
      <c r="G390" s="57">
        <v>41554</v>
      </c>
      <c r="H390" s="57">
        <v>41942</v>
      </c>
      <c r="I390" s="34">
        <f t="shared" si="18"/>
        <v>12</v>
      </c>
      <c r="J390" s="34">
        <v>40</v>
      </c>
      <c r="K390" s="36">
        <v>650</v>
      </c>
      <c r="L390" s="34" t="s">
        <v>17</v>
      </c>
      <c r="M390" s="57">
        <v>32705</v>
      </c>
      <c r="N390" s="37">
        <f>(YEAR(TablaMadre[[#This Row],[ALTA]])-YEAR(M390))</f>
        <v>24</v>
      </c>
      <c r="O390" s="34" t="s">
        <v>18</v>
      </c>
      <c r="P390" s="34" t="s">
        <v>19</v>
      </c>
      <c r="Q390" s="34" t="s">
        <v>49</v>
      </c>
      <c r="R390" s="58" t="s">
        <v>30</v>
      </c>
      <c r="S390" s="34" t="s">
        <v>297</v>
      </c>
      <c r="T390" s="34"/>
      <c r="U390" s="34"/>
      <c r="V390" s="34" t="s">
        <v>56</v>
      </c>
      <c r="W390" s="34" t="s">
        <v>28</v>
      </c>
      <c r="X390" s="38" t="s">
        <v>164</v>
      </c>
      <c r="Y390" s="62">
        <v>43042</v>
      </c>
      <c r="Z390" s="38">
        <f t="shared" si="19"/>
        <v>3</v>
      </c>
      <c r="AA390" s="38"/>
      <c r="AB390" s="34"/>
      <c r="AC390" s="34"/>
      <c r="AD390" s="38"/>
      <c r="AE390" s="59" t="str">
        <f t="shared" si="20"/>
        <v>NO</v>
      </c>
      <c r="AF390" s="38" t="e" cm="1">
        <f t="array" aca="1" ref="AF390" ca="1">MIN(100, MAX(0, (IF(R390="ESTUDIANTE", 31, 0)) + (IF(I390&lt;=3, 30, IF(I390&lt;=6, 20, 0))) +(IF(OR(E390="413 - Control de Costes y Enlace Construcción", E390="480 - Secretaría General del Consejo", E390="132 - Civil y estructuras", E390="136 - Mecánica", E390="412 - Planificación", E390="142 - Compras"), 25, 0)) +(IF(OR(S390="GRADO ING. MECÁNICA", S390="GRADO ING. ELÉCTRICA", S390="GRADO DERECHO", S390="GRADO ECONOMÍA", S390="GRADO ING. TECNOLOGÍAS INDUSTRIALES"), 24, 0)) + (IF(AND(K390&gt;=451, K390&lt;=700), 23, 0)) + (IF(AND(AB390&gt;=5, AB390&lt;=8), 17, 0)) +(IF(_xludf.OR(_xludf.AND(AC390&gt;=8, AC390&lt;=10), _xludf.AND(AC390&gt;=0, AC390&lt;=5)), 16, 0)) + (IF(F390="Madrid", 11, 0))))</f>
        <v>#NAME?</v>
      </c>
      <c r="AG390" s="68"/>
      <c r="AH390" s="71" t="s">
        <v>164</v>
      </c>
    </row>
    <row r="391" spans="1:34" ht="14.4" x14ac:dyDescent="0.3">
      <c r="A391" s="66" t="s">
        <v>1369</v>
      </c>
      <c r="B391" s="66" t="s">
        <v>3486</v>
      </c>
      <c r="C391" s="33">
        <v>390</v>
      </c>
      <c r="D391" s="33" t="s">
        <v>5393</v>
      </c>
      <c r="E391" s="34" t="s">
        <v>5245</v>
      </c>
      <c r="F391" s="34" t="s">
        <v>18</v>
      </c>
      <c r="G391" s="57">
        <v>41561</v>
      </c>
      <c r="H391" s="57">
        <v>41833</v>
      </c>
      <c r="I391" s="34">
        <f t="shared" si="18"/>
        <v>8</v>
      </c>
      <c r="J391" s="34">
        <v>40</v>
      </c>
      <c r="K391" s="36">
        <v>800</v>
      </c>
      <c r="L391" s="34" t="s">
        <v>29</v>
      </c>
      <c r="M391" s="57">
        <v>32956</v>
      </c>
      <c r="N391" s="37">
        <f>(YEAR(TablaMadre[[#This Row],[ALTA]])-YEAR(M391))</f>
        <v>23</v>
      </c>
      <c r="O391" s="34" t="s">
        <v>153</v>
      </c>
      <c r="P391" s="34" t="s">
        <v>273</v>
      </c>
      <c r="Q391" s="34" t="s">
        <v>58</v>
      </c>
      <c r="R391" s="34" t="s">
        <v>21</v>
      </c>
      <c r="S391" s="34" t="s">
        <v>229</v>
      </c>
      <c r="T391" s="34"/>
      <c r="U391" s="34"/>
      <c r="V391" s="34" t="s">
        <v>56</v>
      </c>
      <c r="W391" s="34" t="s">
        <v>28</v>
      </c>
      <c r="X391" s="38" t="s">
        <v>164</v>
      </c>
      <c r="Y391" s="62">
        <v>43722</v>
      </c>
      <c r="Z391" s="38">
        <f t="shared" si="19"/>
        <v>5</v>
      </c>
      <c r="AA391" s="38"/>
      <c r="AB391" s="34"/>
      <c r="AC391" s="34"/>
      <c r="AD391" s="38"/>
      <c r="AE391" s="59" t="str">
        <f t="shared" si="20"/>
        <v>SÍ</v>
      </c>
      <c r="AF391" s="38" t="e" cm="1">
        <f t="array" aca="1" ref="AF391" ca="1">MIN(100, MAX(0, (IF(R391="ESTUDIANTE", 31, 0)) + (IF(I391&lt;=3, 30, IF(I391&lt;=6, 20, 0))) +(IF(OR(E391="413 - Control de Costes y Enlace Construcción", E391="480 - Secretaría General del Consejo", E391="132 - Civil y estructuras", E391="136 - Mecánica", E391="412 - Planificación", E391="142 - Compras"), 25, 0)) +(IF(OR(S391="GRADO ING. MECÁNICA", S391="GRADO ING. ELÉCTRICA", S391="GRADO DERECHO", S391="GRADO ECONOMÍA", S391="GRADO ING. TECNOLOGÍAS INDUSTRIALES"), 24, 0)) + (IF(AND(K391&gt;=451, K391&lt;=700), 23, 0)) + (IF(AND(AB391&gt;=5, AB391&lt;=8), 17, 0)) +(IF(_xludf.OR(_xludf.AND(AC391&gt;=8, AC391&lt;=10), _xludf.AND(AC391&gt;=0, AC391&lt;=5)), 16, 0)) + (IF(F391="Madrid", 11, 0))))</f>
        <v>#NAME?</v>
      </c>
      <c r="AG391" s="68"/>
      <c r="AH391" s="71" t="s">
        <v>164</v>
      </c>
    </row>
    <row r="392" spans="1:34" ht="14.4" x14ac:dyDescent="0.3">
      <c r="A392" s="66" t="s">
        <v>1370</v>
      </c>
      <c r="B392" s="66" t="s">
        <v>3487</v>
      </c>
      <c r="C392" s="33">
        <v>391</v>
      </c>
      <c r="D392" s="33" t="s">
        <v>5394</v>
      </c>
      <c r="E392" s="34" t="s">
        <v>5245</v>
      </c>
      <c r="F392" s="34" t="s">
        <v>18</v>
      </c>
      <c r="G392" s="57">
        <v>41561</v>
      </c>
      <c r="H392" s="57">
        <v>41834</v>
      </c>
      <c r="I392" s="34">
        <f t="shared" si="18"/>
        <v>9</v>
      </c>
      <c r="J392" s="34">
        <v>40</v>
      </c>
      <c r="K392" s="36">
        <v>900</v>
      </c>
      <c r="L392" s="34" t="s">
        <v>29</v>
      </c>
      <c r="M392" s="57">
        <v>35270</v>
      </c>
      <c r="N392" s="37">
        <f>(YEAR(TablaMadre[[#This Row],[ALTA]])-YEAR(M392))</f>
        <v>17</v>
      </c>
      <c r="O392" s="34" t="s">
        <v>18</v>
      </c>
      <c r="P392" s="34" t="s">
        <v>19</v>
      </c>
      <c r="Q392" s="34" t="s">
        <v>49</v>
      </c>
      <c r="R392" s="34" t="s">
        <v>21</v>
      </c>
      <c r="S392" s="34" t="s">
        <v>297</v>
      </c>
      <c r="T392" s="34"/>
      <c r="U392" s="34"/>
      <c r="V392" s="34" t="s">
        <v>56</v>
      </c>
      <c r="W392" s="34" t="s">
        <v>28</v>
      </c>
      <c r="X392" s="38" t="s">
        <v>164</v>
      </c>
      <c r="Y392" s="62">
        <v>43020</v>
      </c>
      <c r="Z392" s="38">
        <f t="shared" si="19"/>
        <v>3</v>
      </c>
      <c r="AA392" s="38"/>
      <c r="AB392" s="34" t="s">
        <v>24</v>
      </c>
      <c r="AC392" s="34"/>
      <c r="AD392" s="38"/>
      <c r="AE392" s="59" t="str">
        <f t="shared" si="20"/>
        <v>NO</v>
      </c>
      <c r="AF392" s="38" t="e" cm="1">
        <f t="array" aca="1" ref="AF392" ca="1">MIN(100, MAX(0, (IF(R392="ESTUDIANTE", 31, 0)) + (IF(I392&lt;=3, 30, IF(I392&lt;=6, 20, 0))) +(IF(OR(E392="413 - Control de Costes y Enlace Construcción", E392="480 - Secretaría General del Consejo", E392="132 - Civil y estructuras", E392="136 - Mecánica", E392="412 - Planificación", E392="142 - Compras"), 25, 0)) +(IF(OR(S392="GRADO ING. MECÁNICA", S392="GRADO ING. ELÉCTRICA", S392="GRADO DERECHO", S392="GRADO ECONOMÍA", S392="GRADO ING. TECNOLOGÍAS INDUSTRIALES"), 24, 0)) + (IF(AND(K392&gt;=451, K392&lt;=700), 23, 0)) + (IF(AND(AB392&gt;=5, AB392&lt;=8), 17, 0)) +(IF(_xludf.OR(_xludf.AND(AC392&gt;=8, AC392&lt;=10), _xludf.AND(AC392&gt;=0, AC392&lt;=5)), 16, 0)) + (IF(F392="Madrid", 11, 0))))</f>
        <v>#NAME?</v>
      </c>
      <c r="AG392" s="68"/>
      <c r="AH392" s="71" t="s">
        <v>164</v>
      </c>
    </row>
    <row r="393" spans="1:34" ht="14.4" x14ac:dyDescent="0.3">
      <c r="A393" s="66" t="s">
        <v>1371</v>
      </c>
      <c r="B393" s="66" t="s">
        <v>3488</v>
      </c>
      <c r="C393" s="33">
        <v>392</v>
      </c>
      <c r="D393" s="33" t="s">
        <v>5395</v>
      </c>
      <c r="E393" s="34" t="s">
        <v>5244</v>
      </c>
      <c r="F393" s="34" t="s">
        <v>18</v>
      </c>
      <c r="G393" s="57">
        <v>41561</v>
      </c>
      <c r="H393" s="57">
        <v>41925</v>
      </c>
      <c r="I393" s="34">
        <f t="shared" si="18"/>
        <v>11</v>
      </c>
      <c r="J393" s="34">
        <v>40</v>
      </c>
      <c r="K393" s="36">
        <v>900</v>
      </c>
      <c r="L393" s="34" t="s">
        <v>17</v>
      </c>
      <c r="M393" s="57">
        <v>32223</v>
      </c>
      <c r="N393" s="37">
        <f>(YEAR(TablaMadre[[#This Row],[ALTA]])-YEAR(M393))</f>
        <v>25</v>
      </c>
      <c r="O393" s="34" t="s">
        <v>118</v>
      </c>
      <c r="P393" s="34" t="s">
        <v>19</v>
      </c>
      <c r="Q393" s="34" t="s">
        <v>256</v>
      </c>
      <c r="R393" s="34" t="s">
        <v>21</v>
      </c>
      <c r="S393" s="34" t="s">
        <v>322</v>
      </c>
      <c r="T393" s="34"/>
      <c r="U393" s="34"/>
      <c r="V393" s="34" t="s">
        <v>37</v>
      </c>
      <c r="W393" s="34" t="s">
        <v>28</v>
      </c>
      <c r="X393" s="38" t="s">
        <v>173</v>
      </c>
      <c r="Y393" s="62"/>
      <c r="Z393" s="38" t="e">
        <f t="shared" si="19"/>
        <v>#NUM!</v>
      </c>
      <c r="AA393" s="38"/>
      <c r="AB393" s="34"/>
      <c r="AC393" s="34"/>
      <c r="AD393" s="38"/>
      <c r="AE393" s="59" t="str">
        <f t="shared" si="20"/>
        <v>SÍ</v>
      </c>
      <c r="AF393" s="38" t="e" cm="1">
        <f t="array" aca="1" ref="AF393" ca="1">MIN(100, MAX(0, (IF(R393="ESTUDIANTE", 31, 0)) + (IF(I393&lt;=3, 30, IF(I393&lt;=6, 20, 0))) +(IF(OR(E393="413 - Control de Costes y Enlace Construcción", E393="480 - Secretaría General del Consejo", E393="132 - Civil y estructuras", E393="136 - Mecánica", E393="412 - Planificación", E393="142 - Compras"), 25, 0)) +(IF(OR(S393="GRADO ING. MECÁNICA", S393="GRADO ING. ELÉCTRICA", S393="GRADO DERECHO", S393="GRADO ECONOMÍA", S393="GRADO ING. TECNOLOGÍAS INDUSTRIALES"), 24, 0)) + (IF(AND(K393&gt;=451, K393&lt;=700), 23, 0)) + (IF(AND(AB393&gt;=5, AB393&lt;=8), 17, 0)) +(IF(_xludf.OR(_xludf.AND(AC393&gt;=8, AC393&lt;=10), _xludf.AND(AC393&gt;=0, AC393&lt;=5)), 16, 0)) + (IF(F393="Madrid", 11, 0))))</f>
        <v>#NAME?</v>
      </c>
      <c r="AG393" s="68"/>
      <c r="AH393" s="71" t="s">
        <v>164</v>
      </c>
    </row>
    <row r="394" spans="1:34" ht="14.4" x14ac:dyDescent="0.3">
      <c r="A394" s="66" t="s">
        <v>1372</v>
      </c>
      <c r="B394" s="66" t="s">
        <v>3489</v>
      </c>
      <c r="C394" s="33">
        <v>393</v>
      </c>
      <c r="D394" s="33" t="s">
        <v>5396</v>
      </c>
      <c r="E394" s="34" t="s">
        <v>5244</v>
      </c>
      <c r="F394" s="34" t="s">
        <v>18</v>
      </c>
      <c r="G394" s="57">
        <v>41561</v>
      </c>
      <c r="H394" s="57">
        <v>41973</v>
      </c>
      <c r="I394" s="34">
        <f t="shared" si="18"/>
        <v>13</v>
      </c>
      <c r="J394" s="34">
        <v>40</v>
      </c>
      <c r="K394" s="36">
        <v>650</v>
      </c>
      <c r="L394" s="34" t="s">
        <v>17</v>
      </c>
      <c r="M394" s="57">
        <v>32920</v>
      </c>
      <c r="N394" s="37">
        <f>(YEAR(TablaMadre[[#This Row],[ALTA]])-YEAR(M394))</f>
        <v>23</v>
      </c>
      <c r="O394" s="34" t="s">
        <v>18</v>
      </c>
      <c r="P394" s="34" t="s">
        <v>19</v>
      </c>
      <c r="Q394" s="34" t="s">
        <v>85</v>
      </c>
      <c r="R394" s="58" t="s">
        <v>30</v>
      </c>
      <c r="S394" s="34" t="s">
        <v>322</v>
      </c>
      <c r="T394" s="34"/>
      <c r="U394" s="34"/>
      <c r="V394" s="34" t="s">
        <v>22</v>
      </c>
      <c r="W394" s="34" t="s">
        <v>28</v>
      </c>
      <c r="X394" s="38" t="s">
        <v>164</v>
      </c>
      <c r="Y394" s="62">
        <v>42898</v>
      </c>
      <c r="Z394" s="38">
        <f t="shared" si="19"/>
        <v>2</v>
      </c>
      <c r="AA394" s="38"/>
      <c r="AB394" s="34"/>
      <c r="AC394" s="34"/>
      <c r="AD394" s="38"/>
      <c r="AE394" s="59" t="str">
        <f t="shared" si="20"/>
        <v>NO</v>
      </c>
      <c r="AF394" s="38" t="e" cm="1">
        <f t="array" aca="1" ref="AF394" ca="1">MIN(100, MAX(0, (IF(R394="ESTUDIANTE", 31, 0)) + (IF(I394&lt;=3, 30, IF(I394&lt;=6, 20, 0))) +(IF(OR(E394="413 - Control de Costes y Enlace Construcción", E394="480 - Secretaría General del Consejo", E394="132 - Civil y estructuras", E394="136 - Mecánica", E394="412 - Planificación", E394="142 - Compras"), 25, 0)) +(IF(OR(S394="GRADO ING. MECÁNICA", S394="GRADO ING. ELÉCTRICA", S394="GRADO DERECHO", S394="GRADO ECONOMÍA", S394="GRADO ING. TECNOLOGÍAS INDUSTRIALES"), 24, 0)) + (IF(AND(K394&gt;=451, K394&lt;=700), 23, 0)) + (IF(AND(AB394&gt;=5, AB394&lt;=8), 17, 0)) +(IF(_xludf.OR(_xludf.AND(AC394&gt;=8, AC394&lt;=10), _xludf.AND(AC394&gt;=0, AC394&lt;=5)), 16, 0)) + (IF(F394="Madrid", 11, 0))))</f>
        <v>#NAME?</v>
      </c>
      <c r="AG394" s="68"/>
      <c r="AH394" s="71" t="s">
        <v>164</v>
      </c>
    </row>
    <row r="395" spans="1:34" ht="14.4" x14ac:dyDescent="0.3">
      <c r="A395" s="66" t="s">
        <v>1373</v>
      </c>
      <c r="B395" s="66" t="s">
        <v>3490</v>
      </c>
      <c r="C395" s="33">
        <v>394</v>
      </c>
      <c r="D395" s="33" t="s">
        <v>5397</v>
      </c>
      <c r="E395" s="34" t="s">
        <v>5276</v>
      </c>
      <c r="F395" s="34" t="s">
        <v>18</v>
      </c>
      <c r="G395" s="57">
        <v>41568</v>
      </c>
      <c r="H395" s="57">
        <v>41749</v>
      </c>
      <c r="I395" s="34">
        <f t="shared" si="18"/>
        <v>5</v>
      </c>
      <c r="J395" s="34">
        <v>40</v>
      </c>
      <c r="K395" s="36">
        <v>900</v>
      </c>
      <c r="L395" s="34" t="s">
        <v>29</v>
      </c>
      <c r="M395" s="57">
        <v>33287</v>
      </c>
      <c r="N395" s="37">
        <f>(YEAR(TablaMadre[[#This Row],[ALTA]])-YEAR(M395))</f>
        <v>22</v>
      </c>
      <c r="O395" s="34" t="s">
        <v>64</v>
      </c>
      <c r="P395" s="34" t="s">
        <v>19</v>
      </c>
      <c r="Q395" s="34" t="s">
        <v>253</v>
      </c>
      <c r="R395" s="34" t="s">
        <v>21</v>
      </c>
      <c r="S395" s="34" t="s">
        <v>297</v>
      </c>
      <c r="T395" s="34"/>
      <c r="U395" s="34"/>
      <c r="V395" s="34" t="s">
        <v>56</v>
      </c>
      <c r="W395" s="34" t="s">
        <v>28</v>
      </c>
      <c r="X395" s="38" t="s">
        <v>164</v>
      </c>
      <c r="Y395" s="62">
        <v>43931</v>
      </c>
      <c r="Z395" s="38">
        <f t="shared" si="19"/>
        <v>5</v>
      </c>
      <c r="AA395" s="38"/>
      <c r="AB395" s="34"/>
      <c r="AC395" s="34"/>
      <c r="AD395" s="38"/>
      <c r="AE395" s="59" t="str">
        <f t="shared" si="20"/>
        <v>SÍ</v>
      </c>
      <c r="AF395" s="38" t="e" cm="1">
        <f t="array" aca="1" ref="AF395" ca="1">MIN(100, MAX(0, (IF(R395="ESTUDIANTE", 31, 0)) + (IF(I395&lt;=3, 30, IF(I395&lt;=6, 20, 0))) +(IF(OR(E395="413 - Control de Costes y Enlace Construcción", E395="480 - Secretaría General del Consejo", E395="132 - Civil y estructuras", E395="136 - Mecánica", E395="412 - Planificación", E395="142 - Compras"), 25, 0)) +(IF(OR(S395="GRADO ING. MECÁNICA", S395="GRADO ING. ELÉCTRICA", S395="GRADO DERECHO", S395="GRADO ECONOMÍA", S395="GRADO ING. TECNOLOGÍAS INDUSTRIALES"), 24, 0)) + (IF(AND(K395&gt;=451, K395&lt;=700), 23, 0)) + (IF(AND(AB395&gt;=5, AB395&lt;=8), 17, 0)) +(IF(_xludf.OR(_xludf.AND(AC395&gt;=8, AC395&lt;=10), _xludf.AND(AC395&gt;=0, AC395&lt;=5)), 16, 0)) + (IF(F395="Madrid", 11, 0))))</f>
        <v>#NAME?</v>
      </c>
      <c r="AG395" s="68"/>
      <c r="AH395" s="71" t="s">
        <v>164</v>
      </c>
    </row>
    <row r="396" spans="1:34" ht="14.4" x14ac:dyDescent="0.3">
      <c r="A396" s="66" t="s">
        <v>1374</v>
      </c>
      <c r="B396" s="66" t="s">
        <v>3491</v>
      </c>
      <c r="C396" s="33">
        <v>395</v>
      </c>
      <c r="D396" s="33" t="s">
        <v>5398</v>
      </c>
      <c r="E396" s="34" t="s">
        <v>5249</v>
      </c>
      <c r="F396" s="34" t="s">
        <v>18</v>
      </c>
      <c r="G396" s="57">
        <v>41568</v>
      </c>
      <c r="H396" s="57">
        <v>41749</v>
      </c>
      <c r="I396" s="34">
        <f t="shared" si="18"/>
        <v>5</v>
      </c>
      <c r="J396" s="34">
        <v>40</v>
      </c>
      <c r="K396" s="36">
        <v>900</v>
      </c>
      <c r="L396" s="34" t="s">
        <v>17</v>
      </c>
      <c r="M396" s="57">
        <v>31153</v>
      </c>
      <c r="N396" s="37">
        <f>(YEAR(TablaMadre[[#This Row],[ALTA]])-YEAR(M396))</f>
        <v>28</v>
      </c>
      <c r="O396" s="34" t="s">
        <v>18</v>
      </c>
      <c r="P396" s="34" t="s">
        <v>19</v>
      </c>
      <c r="Q396" s="34" t="s">
        <v>254</v>
      </c>
      <c r="R396" s="34" t="s">
        <v>21</v>
      </c>
      <c r="S396" s="34" t="s">
        <v>322</v>
      </c>
      <c r="T396" s="34"/>
      <c r="U396" s="34"/>
      <c r="V396" s="34" t="s">
        <v>22</v>
      </c>
      <c r="W396" s="34" t="s">
        <v>28</v>
      </c>
      <c r="X396" s="38" t="s">
        <v>164</v>
      </c>
      <c r="Y396" s="62">
        <v>45705</v>
      </c>
      <c r="Z396" s="38">
        <f t="shared" si="19"/>
        <v>10</v>
      </c>
      <c r="AA396" s="38"/>
      <c r="AB396" s="34"/>
      <c r="AC396" s="34"/>
      <c r="AD396" s="38"/>
      <c r="AE396" s="59" t="str">
        <f t="shared" si="20"/>
        <v>NO</v>
      </c>
      <c r="AF396" s="38" t="e" cm="1">
        <f t="array" aca="1" ref="AF396" ca="1">MIN(100, MAX(0, (IF(R396="ESTUDIANTE", 31, 0)) + (IF(I396&lt;=3, 30, IF(I396&lt;=6, 20, 0))) +(IF(OR(E396="413 - Control de Costes y Enlace Construcción", E396="480 - Secretaría General del Consejo", E396="132 - Civil y estructuras", E396="136 - Mecánica", E396="412 - Planificación", E396="142 - Compras"), 25, 0)) +(IF(OR(S396="GRADO ING. MECÁNICA", S396="GRADO ING. ELÉCTRICA", S396="GRADO DERECHO", S396="GRADO ECONOMÍA", S396="GRADO ING. TECNOLOGÍAS INDUSTRIALES"), 24, 0)) + (IF(AND(K396&gt;=451, K396&lt;=700), 23, 0)) + (IF(AND(AB396&gt;=5, AB396&lt;=8), 17, 0)) +(IF(_xludf.OR(_xludf.AND(AC396&gt;=8, AC396&lt;=10), _xludf.AND(AC396&gt;=0, AC396&lt;=5)), 16, 0)) + (IF(F396="Madrid", 11, 0))))</f>
        <v>#NAME?</v>
      </c>
      <c r="AG396" s="68"/>
      <c r="AH396" s="71" t="s">
        <v>164</v>
      </c>
    </row>
    <row r="397" spans="1:34" ht="14.4" x14ac:dyDescent="0.3">
      <c r="A397" s="66" t="s">
        <v>1375</v>
      </c>
      <c r="B397" s="66" t="s">
        <v>3492</v>
      </c>
      <c r="C397" s="33">
        <v>396</v>
      </c>
      <c r="D397" s="33" t="s">
        <v>5399</v>
      </c>
      <c r="E397" s="34" t="s">
        <v>5245</v>
      </c>
      <c r="F397" s="34" t="s">
        <v>18</v>
      </c>
      <c r="G397" s="57">
        <v>41568</v>
      </c>
      <c r="H397" s="57">
        <v>41840</v>
      </c>
      <c r="I397" s="34">
        <f t="shared" si="18"/>
        <v>8</v>
      </c>
      <c r="J397" s="34">
        <v>40</v>
      </c>
      <c r="K397" s="36">
        <v>900</v>
      </c>
      <c r="L397" s="34" t="s">
        <v>29</v>
      </c>
      <c r="M397" s="57">
        <v>33737</v>
      </c>
      <c r="N397" s="37">
        <f>(YEAR(TablaMadre[[#This Row],[ALTA]])-YEAR(M397))</f>
        <v>21</v>
      </c>
      <c r="O397" s="34" t="s">
        <v>945</v>
      </c>
      <c r="P397" s="34" t="s">
        <v>19</v>
      </c>
      <c r="Q397" s="34" t="s">
        <v>85</v>
      </c>
      <c r="R397" s="34" t="s">
        <v>21</v>
      </c>
      <c r="S397" s="34" t="s">
        <v>322</v>
      </c>
      <c r="T397" s="34"/>
      <c r="U397" s="34"/>
      <c r="V397" s="34" t="s">
        <v>22</v>
      </c>
      <c r="W397" s="34" t="s">
        <v>28</v>
      </c>
      <c r="X397" s="38" t="s">
        <v>164</v>
      </c>
      <c r="Y397" s="62">
        <v>42887</v>
      </c>
      <c r="Z397" s="38">
        <f t="shared" si="19"/>
        <v>2</v>
      </c>
      <c r="AA397" s="38"/>
      <c r="AB397" s="34" t="s">
        <v>24</v>
      </c>
      <c r="AC397" s="34"/>
      <c r="AD397" s="38"/>
      <c r="AE397" s="59" t="str">
        <f t="shared" si="20"/>
        <v>SÍ</v>
      </c>
      <c r="AF397" s="38" t="e" cm="1">
        <f t="array" aca="1" ref="AF397" ca="1">MIN(100, MAX(0, (IF(R397="ESTUDIANTE", 31, 0)) + (IF(I397&lt;=3, 30, IF(I397&lt;=6, 20, 0))) +(IF(OR(E397="413 - Control de Costes y Enlace Construcción", E397="480 - Secretaría General del Consejo", E397="132 - Civil y estructuras", E397="136 - Mecánica", E397="412 - Planificación", E397="142 - Compras"), 25, 0)) +(IF(OR(S397="GRADO ING. MECÁNICA", S397="GRADO ING. ELÉCTRICA", S397="GRADO DERECHO", S397="GRADO ECONOMÍA", S397="GRADO ING. TECNOLOGÍAS INDUSTRIALES"), 24, 0)) + (IF(AND(K397&gt;=451, K397&lt;=700), 23, 0)) + (IF(AND(AB397&gt;=5, AB397&lt;=8), 17, 0)) +(IF(_xludf.OR(_xludf.AND(AC397&gt;=8, AC397&lt;=10), _xludf.AND(AC397&gt;=0, AC397&lt;=5)), 16, 0)) + (IF(F397="Madrid", 11, 0))))</f>
        <v>#NAME?</v>
      </c>
      <c r="AG397" s="68"/>
      <c r="AH397" s="71" t="s">
        <v>164</v>
      </c>
    </row>
    <row r="398" spans="1:34" ht="14.4" x14ac:dyDescent="0.3">
      <c r="A398" s="66" t="s">
        <v>1376</v>
      </c>
      <c r="B398" s="66" t="s">
        <v>3493</v>
      </c>
      <c r="C398" s="33">
        <v>397</v>
      </c>
      <c r="D398" s="33" t="s">
        <v>5393</v>
      </c>
      <c r="E398" s="34" t="s">
        <v>5252</v>
      </c>
      <c r="F398" s="34" t="s">
        <v>931</v>
      </c>
      <c r="G398" s="57">
        <v>41575</v>
      </c>
      <c r="H398" s="57">
        <v>41939</v>
      </c>
      <c r="I398" s="34">
        <f t="shared" si="18"/>
        <v>11</v>
      </c>
      <c r="J398" s="34">
        <v>40</v>
      </c>
      <c r="K398" s="36">
        <v>1000</v>
      </c>
      <c r="L398" s="34" t="s">
        <v>17</v>
      </c>
      <c r="M398" s="57">
        <v>33287</v>
      </c>
      <c r="N398" s="37">
        <f>(YEAR(TablaMadre[[#This Row],[ALTA]])-YEAR(M398))</f>
        <v>22</v>
      </c>
      <c r="O398" s="34" t="s">
        <v>95</v>
      </c>
      <c r="P398" s="34" t="s">
        <v>95</v>
      </c>
      <c r="Q398" s="34" t="s">
        <v>85</v>
      </c>
      <c r="R398" s="34" t="s">
        <v>21</v>
      </c>
      <c r="S398" s="34" t="s">
        <v>322</v>
      </c>
      <c r="T398" s="34"/>
      <c r="U398" s="34"/>
      <c r="V398" s="34" t="s">
        <v>90</v>
      </c>
      <c r="W398" s="34" t="s">
        <v>23</v>
      </c>
      <c r="X398" s="38" t="s">
        <v>164</v>
      </c>
      <c r="Y398" s="62"/>
      <c r="Z398" s="62" t="e">
        <f t="shared" si="19"/>
        <v>#NUM!</v>
      </c>
      <c r="AA398" s="62"/>
      <c r="AB398" s="34"/>
      <c r="AC398" s="34"/>
      <c r="AD398" s="38"/>
      <c r="AE398" s="59" t="str">
        <f t="shared" si="20"/>
        <v>SÍ</v>
      </c>
      <c r="AF398" s="38" t="e" cm="1">
        <f t="array" aca="1" ref="AF398" ca="1">MIN(100, MAX(0, (IF(R398="ESTUDIANTE", 31, 0)) + (IF(I398&lt;=3, 30, IF(I398&lt;=6, 20, 0))) +(IF(OR(E398="413 - Control de Costes y Enlace Construcción", E398="480 - Secretaría General del Consejo", E398="132 - Civil y estructuras", E398="136 - Mecánica", E398="412 - Planificación", E398="142 - Compras"), 25, 0)) +(IF(OR(S398="GRADO ING. MECÁNICA", S398="GRADO ING. ELÉCTRICA", S398="GRADO DERECHO", S398="GRADO ECONOMÍA", S398="GRADO ING. TECNOLOGÍAS INDUSTRIALES"), 24, 0)) + (IF(AND(K398&gt;=451, K398&lt;=700), 23, 0)) + (IF(AND(AB398&gt;=5, AB398&lt;=8), 17, 0)) +(IF(_xludf.OR(_xludf.AND(AC398&gt;=8, AC398&lt;=10), _xludf.AND(AC398&gt;=0, AC398&lt;=5)), 16, 0)) + (IF(F398="Madrid", 11, 0))))</f>
        <v>#NAME?</v>
      </c>
      <c r="AG398" s="68"/>
      <c r="AH398" s="71" t="s">
        <v>164</v>
      </c>
    </row>
    <row r="399" spans="1:34" ht="14.4" x14ac:dyDescent="0.3">
      <c r="A399" s="66" t="s">
        <v>1377</v>
      </c>
      <c r="B399" s="66" t="s">
        <v>3494</v>
      </c>
      <c r="C399" s="33">
        <v>398</v>
      </c>
      <c r="D399" s="33" t="s">
        <v>5394</v>
      </c>
      <c r="E399" s="34" t="s">
        <v>5253</v>
      </c>
      <c r="F399" s="34" t="s">
        <v>931</v>
      </c>
      <c r="G399" s="57">
        <v>41575</v>
      </c>
      <c r="H399" s="57">
        <v>41939</v>
      </c>
      <c r="I399" s="34">
        <f t="shared" si="18"/>
        <v>11</v>
      </c>
      <c r="J399" s="34">
        <v>40</v>
      </c>
      <c r="K399" s="36">
        <v>1000</v>
      </c>
      <c r="L399" s="34" t="s">
        <v>17</v>
      </c>
      <c r="M399" s="57">
        <v>31737</v>
      </c>
      <c r="N399" s="37">
        <f>(YEAR(TablaMadre[[#This Row],[ALTA]])-YEAR(M399))</f>
        <v>27</v>
      </c>
      <c r="O399" s="34" t="s">
        <v>95</v>
      </c>
      <c r="P399" s="34" t="s">
        <v>95</v>
      </c>
      <c r="Q399" s="34" t="s">
        <v>85</v>
      </c>
      <c r="R399" s="34" t="s">
        <v>21</v>
      </c>
      <c r="S399" s="34" t="s">
        <v>322</v>
      </c>
      <c r="T399" s="34"/>
      <c r="U399" s="34"/>
      <c r="V399" s="34" t="s">
        <v>90</v>
      </c>
      <c r="W399" s="34" t="s">
        <v>23</v>
      </c>
      <c r="X399" s="38" t="s">
        <v>164</v>
      </c>
      <c r="Y399" s="62"/>
      <c r="Z399" s="62" t="e">
        <f t="shared" si="19"/>
        <v>#NUM!</v>
      </c>
      <c r="AA399" s="62"/>
      <c r="AB399" s="34"/>
      <c r="AC399" s="34"/>
      <c r="AD399" s="38"/>
      <c r="AE399" s="59" t="str">
        <f t="shared" si="20"/>
        <v>SÍ</v>
      </c>
      <c r="AF399" s="38" t="e" cm="1">
        <f t="array" aca="1" ref="AF399" ca="1">MIN(100, MAX(0, (IF(R399="ESTUDIANTE", 31, 0)) + (IF(I399&lt;=3, 30, IF(I399&lt;=6, 20, 0))) +(IF(OR(E399="413 - Control de Costes y Enlace Construcción", E399="480 - Secretaría General del Consejo", E399="132 - Civil y estructuras", E399="136 - Mecánica", E399="412 - Planificación", E399="142 - Compras"), 25, 0)) +(IF(OR(S399="GRADO ING. MECÁNICA", S399="GRADO ING. ELÉCTRICA", S399="GRADO DERECHO", S399="GRADO ECONOMÍA", S399="GRADO ING. TECNOLOGÍAS INDUSTRIALES"), 24, 0)) + (IF(AND(K399&gt;=451, K399&lt;=700), 23, 0)) + (IF(AND(AB399&gt;=5, AB399&lt;=8), 17, 0)) +(IF(_xludf.OR(_xludf.AND(AC399&gt;=8, AC399&lt;=10), _xludf.AND(AC399&gt;=0, AC399&lt;=5)), 16, 0)) + (IF(F399="Madrid", 11, 0))))</f>
        <v>#NAME?</v>
      </c>
      <c r="AG399" s="68"/>
      <c r="AH399" s="71" t="s">
        <v>164</v>
      </c>
    </row>
    <row r="400" spans="1:34" ht="14.4" x14ac:dyDescent="0.3">
      <c r="A400" s="66" t="s">
        <v>1378</v>
      </c>
      <c r="B400" s="66" t="s">
        <v>3495</v>
      </c>
      <c r="C400" s="33">
        <v>399</v>
      </c>
      <c r="D400" s="33" t="s">
        <v>5395</v>
      </c>
      <c r="E400" s="34" t="s">
        <v>5241</v>
      </c>
      <c r="F400" s="34" t="s">
        <v>18</v>
      </c>
      <c r="G400" s="57">
        <v>41580</v>
      </c>
      <c r="H400" s="57">
        <v>41763</v>
      </c>
      <c r="I400" s="34">
        <f t="shared" si="18"/>
        <v>6</v>
      </c>
      <c r="J400" s="34">
        <v>40</v>
      </c>
      <c r="K400" s="36">
        <v>650</v>
      </c>
      <c r="L400" s="34" t="s">
        <v>29</v>
      </c>
      <c r="M400" s="57">
        <v>30463</v>
      </c>
      <c r="N400" s="37">
        <f>(YEAR(TablaMadre[[#This Row],[ALTA]])-YEAR(M400))</f>
        <v>30</v>
      </c>
      <c r="O400" s="34" t="s">
        <v>18</v>
      </c>
      <c r="P400" s="34" t="s">
        <v>19</v>
      </c>
      <c r="Q400" s="34" t="s">
        <v>63</v>
      </c>
      <c r="R400" s="58" t="s">
        <v>30</v>
      </c>
      <c r="S400" s="34" t="s">
        <v>297</v>
      </c>
      <c r="T400" s="34"/>
      <c r="U400" s="34"/>
      <c r="V400" s="34" t="s">
        <v>40</v>
      </c>
      <c r="W400" s="34" t="s">
        <v>23</v>
      </c>
      <c r="X400" s="38" t="s">
        <v>164</v>
      </c>
      <c r="Y400" s="62"/>
      <c r="Z400" s="62" t="e">
        <f t="shared" si="19"/>
        <v>#NUM!</v>
      </c>
      <c r="AA400" s="62"/>
      <c r="AB400" s="34"/>
      <c r="AC400" s="34"/>
      <c r="AD400" s="38"/>
      <c r="AE400" s="59" t="str">
        <f t="shared" si="20"/>
        <v>NO</v>
      </c>
      <c r="AF400" s="38" t="e" cm="1">
        <f t="array" aca="1" ref="AF400" ca="1">MIN(100, MAX(0, (IF(R400="ESTUDIANTE", 31, 0)) + (IF(I400&lt;=3, 30, IF(I400&lt;=6, 20, 0))) +(IF(OR(E400="413 - Control de Costes y Enlace Construcción", E400="480 - Secretaría General del Consejo", E400="132 - Civil y estructuras", E400="136 - Mecánica", E400="412 - Planificación", E400="142 - Compras"), 25, 0)) +(IF(OR(S400="GRADO ING. MECÁNICA", S400="GRADO ING. ELÉCTRICA", S400="GRADO DERECHO", S400="GRADO ECONOMÍA", S400="GRADO ING. TECNOLOGÍAS INDUSTRIALES"), 24, 0)) + (IF(AND(K400&gt;=451, K400&lt;=700), 23, 0)) + (IF(AND(AB400&gt;=5, AB400&lt;=8), 17, 0)) +(IF(_xludf.OR(_xludf.AND(AC400&gt;=8, AC400&lt;=10), _xludf.AND(AC400&gt;=0, AC400&lt;=5)), 16, 0)) + (IF(F400="Madrid", 11, 0))))</f>
        <v>#NAME?</v>
      </c>
      <c r="AG400" s="68"/>
      <c r="AH400" s="71" t="s">
        <v>164</v>
      </c>
    </row>
    <row r="401" spans="1:34" ht="14.4" x14ac:dyDescent="0.3">
      <c r="A401" s="66" t="s">
        <v>1379</v>
      </c>
      <c r="B401" s="66" t="s">
        <v>3496</v>
      </c>
      <c r="C401" s="33">
        <v>400</v>
      </c>
      <c r="D401" s="33" t="s">
        <v>5396</v>
      </c>
      <c r="E401" s="34" t="s">
        <v>5253</v>
      </c>
      <c r="F401" s="34" t="s">
        <v>18</v>
      </c>
      <c r="G401" s="57">
        <v>41581</v>
      </c>
      <c r="H401" s="57">
        <v>41924</v>
      </c>
      <c r="I401" s="34">
        <f t="shared" si="18"/>
        <v>11</v>
      </c>
      <c r="J401" s="34">
        <v>40</v>
      </c>
      <c r="K401" s="36">
        <v>900</v>
      </c>
      <c r="L401" s="34" t="s">
        <v>17</v>
      </c>
      <c r="M401" s="57">
        <v>32381</v>
      </c>
      <c r="N401" s="37">
        <f>(YEAR(TablaMadre[[#This Row],[ALTA]])-YEAR(M401))</f>
        <v>25</v>
      </c>
      <c r="O401" s="34" t="s">
        <v>18</v>
      </c>
      <c r="P401" s="34" t="s">
        <v>19</v>
      </c>
      <c r="Q401" s="34" t="s">
        <v>20</v>
      </c>
      <c r="R401" s="34" t="s">
        <v>21</v>
      </c>
      <c r="S401" s="34" t="s">
        <v>151</v>
      </c>
      <c r="T401" s="34"/>
      <c r="U401" s="34"/>
      <c r="V401" s="34" t="s">
        <v>22</v>
      </c>
      <c r="W401" s="34" t="s">
        <v>28</v>
      </c>
      <c r="X401" s="38" t="s">
        <v>173</v>
      </c>
      <c r="Y401" s="62"/>
      <c r="Z401" s="38" t="e">
        <f t="shared" si="19"/>
        <v>#NUM!</v>
      </c>
      <c r="AA401" s="38"/>
      <c r="AB401" s="34"/>
      <c r="AC401" s="34"/>
      <c r="AD401" s="38"/>
      <c r="AE401" s="59" t="str">
        <f t="shared" si="20"/>
        <v>NO</v>
      </c>
      <c r="AF401" s="38" t="e" cm="1">
        <f t="array" aca="1" ref="AF401" ca="1">MIN(100, MAX(0, (IF(R401="ESTUDIANTE", 31, 0)) + (IF(I401&lt;=3, 30, IF(I401&lt;=6, 20, 0))) +(IF(OR(E401="413 - Control de Costes y Enlace Construcción", E401="480 - Secretaría General del Consejo", E401="132 - Civil y estructuras", E401="136 - Mecánica", E401="412 - Planificación", E401="142 - Compras"), 25, 0)) +(IF(OR(S401="GRADO ING. MECÁNICA", S401="GRADO ING. ELÉCTRICA", S401="GRADO DERECHO", S401="GRADO ECONOMÍA", S401="GRADO ING. TECNOLOGÍAS INDUSTRIALES"), 24, 0)) + (IF(AND(K401&gt;=451, K401&lt;=700), 23, 0)) + (IF(AND(AB401&gt;=5, AB401&lt;=8), 17, 0)) +(IF(_xludf.OR(_xludf.AND(AC401&gt;=8, AC401&lt;=10), _xludf.AND(AC401&gt;=0, AC401&lt;=5)), 16, 0)) + (IF(F401="Madrid", 11, 0))))</f>
        <v>#NAME?</v>
      </c>
      <c r="AG401" s="68"/>
      <c r="AH401" s="71" t="s">
        <v>164</v>
      </c>
    </row>
    <row r="402" spans="1:34" s="4" customFormat="1" ht="14.4" x14ac:dyDescent="0.3">
      <c r="A402" s="66" t="s">
        <v>1380</v>
      </c>
      <c r="B402" s="66" t="s">
        <v>3497</v>
      </c>
      <c r="C402" s="33">
        <v>401</v>
      </c>
      <c r="D402" s="33" t="s">
        <v>5397</v>
      </c>
      <c r="E402" s="34" t="s">
        <v>5256</v>
      </c>
      <c r="F402" s="34" t="s">
        <v>18</v>
      </c>
      <c r="G402" s="57">
        <v>41581</v>
      </c>
      <c r="H402" s="57">
        <v>41794</v>
      </c>
      <c r="I402" s="34">
        <f t="shared" si="18"/>
        <v>7</v>
      </c>
      <c r="J402" s="34">
        <v>40</v>
      </c>
      <c r="K402" s="36">
        <v>900</v>
      </c>
      <c r="L402" s="34" t="s">
        <v>29</v>
      </c>
      <c r="M402" s="57">
        <v>33439</v>
      </c>
      <c r="N402" s="37">
        <f>(YEAR(TablaMadre[[#This Row],[ALTA]])-YEAR(M402))</f>
        <v>22</v>
      </c>
      <c r="O402" s="34" t="s">
        <v>18</v>
      </c>
      <c r="P402" s="34" t="s">
        <v>19</v>
      </c>
      <c r="Q402" s="34" t="s">
        <v>259</v>
      </c>
      <c r="R402" s="34" t="s">
        <v>21</v>
      </c>
      <c r="S402" s="34" t="s">
        <v>260</v>
      </c>
      <c r="T402" s="34"/>
      <c r="U402" s="34"/>
      <c r="V402" s="34" t="s">
        <v>158</v>
      </c>
      <c r="W402" s="34" t="s">
        <v>28</v>
      </c>
      <c r="X402" s="34" t="s">
        <v>173</v>
      </c>
      <c r="Y402" s="57"/>
      <c r="Z402" s="34" t="e">
        <f t="shared" si="19"/>
        <v>#NUM!</v>
      </c>
      <c r="AA402" s="34"/>
      <c r="AB402" s="34"/>
      <c r="AC402" s="34"/>
      <c r="AD402" s="34"/>
      <c r="AE402" s="59" t="str">
        <f t="shared" si="20"/>
        <v>NO</v>
      </c>
      <c r="AF402" s="34" t="e" cm="1">
        <f t="array" aca="1" ref="AF402" ca="1">MIN(100, MAX(0, (IF(R402="ESTUDIANTE", 31, 0)) + (IF(I402&lt;=3, 30, IF(I402&lt;=6, 20, 0))) +(IF(OR(E402="413 - Control de Costes y Enlace Construcción", E402="480 - Secretaría General del Consejo", E402="132 - Civil y estructuras", E402="136 - Mecánica", E402="412 - Planificación", E402="142 - Compras"), 25, 0)) +(IF(OR(S402="GRADO ING. MECÁNICA", S402="GRADO ING. ELÉCTRICA", S402="GRADO DERECHO", S402="GRADO ECONOMÍA", S402="GRADO ING. TECNOLOGÍAS INDUSTRIALES"), 24, 0)) + (IF(AND(K402&gt;=451, K402&lt;=700), 23, 0)) + (IF(AND(AB402&gt;=5, AB402&lt;=8), 17, 0)) +(IF(_xludf.OR(_xludf.AND(AC402&gt;=8, AC402&lt;=10), _xludf.AND(AC402&gt;=0, AC402&lt;=5)), 16, 0)) + (IF(F402="Madrid", 11, 0))))</f>
        <v>#NAME?</v>
      </c>
      <c r="AG402" s="69"/>
      <c r="AH402" s="71" t="s">
        <v>164</v>
      </c>
    </row>
    <row r="403" spans="1:34" ht="14.4" x14ac:dyDescent="0.3">
      <c r="A403" s="66" t="s">
        <v>1381</v>
      </c>
      <c r="B403" s="66" t="s">
        <v>3498</v>
      </c>
      <c r="C403" s="33">
        <v>402</v>
      </c>
      <c r="D403" s="33" t="s">
        <v>5393</v>
      </c>
      <c r="E403" s="34" t="s">
        <v>5226</v>
      </c>
      <c r="F403" s="34" t="s">
        <v>118</v>
      </c>
      <c r="G403" s="57">
        <v>41581</v>
      </c>
      <c r="H403" s="57">
        <v>41915</v>
      </c>
      <c r="I403" s="34">
        <f t="shared" si="18"/>
        <v>11</v>
      </c>
      <c r="J403" s="34">
        <v>40</v>
      </c>
      <c r="K403" s="36">
        <v>900</v>
      </c>
      <c r="L403" s="34" t="s">
        <v>17</v>
      </c>
      <c r="M403" s="57">
        <v>32836</v>
      </c>
      <c r="N403" s="37">
        <f>(YEAR(TablaMadre[[#This Row],[ALTA]])-YEAR(M403))</f>
        <v>24</v>
      </c>
      <c r="O403" s="34" t="s">
        <v>257</v>
      </c>
      <c r="P403" s="34" t="s">
        <v>19</v>
      </c>
      <c r="Q403" s="34" t="s">
        <v>61</v>
      </c>
      <c r="R403" s="34" t="s">
        <v>21</v>
      </c>
      <c r="S403" s="34" t="s">
        <v>322</v>
      </c>
      <c r="T403" s="34"/>
      <c r="U403" s="34"/>
      <c r="V403" s="34" t="s">
        <v>142</v>
      </c>
      <c r="W403" s="34" t="s">
        <v>28</v>
      </c>
      <c r="X403" s="38" t="s">
        <v>173</v>
      </c>
      <c r="Y403" s="62"/>
      <c r="Z403" s="38" t="e">
        <f t="shared" si="19"/>
        <v>#NUM!</v>
      </c>
      <c r="AA403" s="38"/>
      <c r="AB403" s="34"/>
      <c r="AC403" s="34"/>
      <c r="AD403" s="38"/>
      <c r="AE403" s="59" t="str">
        <f t="shared" si="20"/>
        <v>SÍ</v>
      </c>
      <c r="AF403" s="38" t="e" cm="1">
        <f t="array" aca="1" ref="AF403" ca="1">MIN(100, MAX(0, (IF(R403="ESTUDIANTE", 31, 0)) + (IF(I403&lt;=3, 30, IF(I403&lt;=6, 20, 0))) +(IF(OR(E403="413 - Control de Costes y Enlace Construcción", E403="480 - Secretaría General del Consejo", E403="132 - Civil y estructuras", E403="136 - Mecánica", E403="412 - Planificación", E403="142 - Compras"), 25, 0)) +(IF(OR(S403="GRADO ING. MECÁNICA", S403="GRADO ING. ELÉCTRICA", S403="GRADO DERECHO", S403="GRADO ECONOMÍA", S403="GRADO ING. TECNOLOGÍAS INDUSTRIALES"), 24, 0)) + (IF(AND(K403&gt;=451, K403&lt;=700), 23, 0)) + (IF(AND(AB403&gt;=5, AB403&lt;=8), 17, 0)) +(IF(_xludf.OR(_xludf.AND(AC403&gt;=8, AC403&lt;=10), _xludf.AND(AC403&gt;=0, AC403&lt;=5)), 16, 0)) + (IF(F403="Madrid", 11, 0))))</f>
        <v>#NAME?</v>
      </c>
      <c r="AG403" s="68"/>
      <c r="AH403" s="71" t="s">
        <v>164</v>
      </c>
    </row>
    <row r="404" spans="1:34" ht="14.4" x14ac:dyDescent="0.3">
      <c r="A404" s="66" t="s">
        <v>1382</v>
      </c>
      <c r="B404" s="66" t="s">
        <v>3499</v>
      </c>
      <c r="C404" s="33">
        <v>403</v>
      </c>
      <c r="D404" s="33" t="s">
        <v>5394</v>
      </c>
      <c r="E404" s="34" t="s">
        <v>5222</v>
      </c>
      <c r="F404" s="34" t="s">
        <v>18</v>
      </c>
      <c r="G404" s="57">
        <v>41582</v>
      </c>
      <c r="H404" s="57">
        <v>41916</v>
      </c>
      <c r="I404" s="34">
        <f t="shared" si="18"/>
        <v>11</v>
      </c>
      <c r="J404" s="34">
        <v>40</v>
      </c>
      <c r="K404" s="36">
        <v>900</v>
      </c>
      <c r="L404" s="34" t="s">
        <v>17</v>
      </c>
      <c r="M404" s="57">
        <v>34175</v>
      </c>
      <c r="N404" s="37">
        <f>(YEAR(TablaMadre[[#This Row],[ALTA]])-YEAR(M404))</f>
        <v>20</v>
      </c>
      <c r="O404" s="34" t="s">
        <v>18</v>
      </c>
      <c r="P404" s="34" t="s">
        <v>19</v>
      </c>
      <c r="Q404" s="34" t="s">
        <v>49</v>
      </c>
      <c r="R404" s="34" t="s">
        <v>21</v>
      </c>
      <c r="S404" s="34" t="s">
        <v>297</v>
      </c>
      <c r="T404" s="34"/>
      <c r="U404" s="34"/>
      <c r="V404" s="34" t="s">
        <v>40</v>
      </c>
      <c r="W404" s="34" t="s">
        <v>28</v>
      </c>
      <c r="X404" s="38" t="s">
        <v>164</v>
      </c>
      <c r="Y404" s="62">
        <v>42109</v>
      </c>
      <c r="Z404" s="38">
        <f t="shared" si="19"/>
        <v>0</v>
      </c>
      <c r="AA404" s="38"/>
      <c r="AB404" s="34"/>
      <c r="AC404" s="34"/>
      <c r="AD404" s="38"/>
      <c r="AE404" s="59" t="str">
        <f t="shared" si="20"/>
        <v>NO</v>
      </c>
      <c r="AF404" s="38" t="e" cm="1">
        <f t="array" aca="1" ref="AF404" ca="1">MIN(100, MAX(0, (IF(R404="ESTUDIANTE", 31, 0)) + (IF(I404&lt;=3, 30, IF(I404&lt;=6, 20, 0))) +(IF(OR(E404="413 - Control de Costes y Enlace Construcción", E404="480 - Secretaría General del Consejo", E404="132 - Civil y estructuras", E404="136 - Mecánica", E404="412 - Planificación", E404="142 - Compras"), 25, 0)) +(IF(OR(S404="GRADO ING. MECÁNICA", S404="GRADO ING. ELÉCTRICA", S404="GRADO DERECHO", S404="GRADO ECONOMÍA", S404="GRADO ING. TECNOLOGÍAS INDUSTRIALES"), 24, 0)) + (IF(AND(K404&gt;=451, K404&lt;=700), 23, 0)) + (IF(AND(AB404&gt;=5, AB404&lt;=8), 17, 0)) +(IF(_xludf.OR(_xludf.AND(AC404&gt;=8, AC404&lt;=10), _xludf.AND(AC404&gt;=0, AC404&lt;=5)), 16, 0)) + (IF(F404="Madrid", 11, 0))))</f>
        <v>#NAME?</v>
      </c>
      <c r="AG404" s="68"/>
      <c r="AH404" s="71" t="s">
        <v>164</v>
      </c>
    </row>
    <row r="405" spans="1:34" ht="14.4" x14ac:dyDescent="0.3">
      <c r="A405" s="66" t="s">
        <v>1383</v>
      </c>
      <c r="B405" s="66" t="s">
        <v>3500</v>
      </c>
      <c r="C405" s="33">
        <v>404</v>
      </c>
      <c r="D405" s="33" t="s">
        <v>5395</v>
      </c>
      <c r="E405" s="34" t="s">
        <v>5259</v>
      </c>
      <c r="F405" s="34" t="s">
        <v>18</v>
      </c>
      <c r="G405" s="57">
        <v>41584</v>
      </c>
      <c r="H405" s="57">
        <v>41805</v>
      </c>
      <c r="I405" s="34">
        <f t="shared" si="18"/>
        <v>7</v>
      </c>
      <c r="J405" s="34">
        <v>40</v>
      </c>
      <c r="K405" s="36">
        <v>900</v>
      </c>
      <c r="L405" s="34" t="s">
        <v>17</v>
      </c>
      <c r="M405" s="57">
        <v>33798</v>
      </c>
      <c r="N405" s="37">
        <f>(YEAR(TablaMadre[[#This Row],[ALTA]])-YEAR(M405))</f>
        <v>21</v>
      </c>
      <c r="O405" s="34" t="s">
        <v>18</v>
      </c>
      <c r="P405" s="34" t="s">
        <v>19</v>
      </c>
      <c r="Q405" s="34" t="s">
        <v>85</v>
      </c>
      <c r="R405" s="34" t="s">
        <v>21</v>
      </c>
      <c r="S405" s="34" t="s">
        <v>322</v>
      </c>
      <c r="T405" s="34"/>
      <c r="U405" s="34"/>
      <c r="V405" s="34" t="s">
        <v>22</v>
      </c>
      <c r="W405" s="34" t="s">
        <v>28</v>
      </c>
      <c r="X405" s="38" t="s">
        <v>173</v>
      </c>
      <c r="Y405" s="62"/>
      <c r="Z405" s="38" t="e">
        <f t="shared" si="19"/>
        <v>#NUM!</v>
      </c>
      <c r="AA405" s="38"/>
      <c r="AB405" s="34"/>
      <c r="AC405" s="34"/>
      <c r="AD405" s="38"/>
      <c r="AE405" s="59" t="str">
        <f t="shared" si="20"/>
        <v>NO</v>
      </c>
      <c r="AF405" s="38" t="e" cm="1">
        <f t="array" aca="1" ref="AF405" ca="1">MIN(100, MAX(0, (IF(R405="ESTUDIANTE", 31, 0)) + (IF(I405&lt;=3, 30, IF(I405&lt;=6, 20, 0))) +(IF(OR(E405="413 - Control de Costes y Enlace Construcción", E405="480 - Secretaría General del Consejo", E405="132 - Civil y estructuras", E405="136 - Mecánica", E405="412 - Planificación", E405="142 - Compras"), 25, 0)) +(IF(OR(S405="GRADO ING. MECÁNICA", S405="GRADO ING. ELÉCTRICA", S405="GRADO DERECHO", S405="GRADO ECONOMÍA", S405="GRADO ING. TECNOLOGÍAS INDUSTRIALES"), 24, 0)) + (IF(AND(K405&gt;=451, K405&lt;=700), 23, 0)) + (IF(AND(AB405&gt;=5, AB405&lt;=8), 17, 0)) +(IF(_xludf.OR(_xludf.AND(AC405&gt;=8, AC405&lt;=10), _xludf.AND(AC405&gt;=0, AC405&lt;=5)), 16, 0)) + (IF(F405="Madrid", 11, 0))))</f>
        <v>#NAME?</v>
      </c>
      <c r="AG405" s="68"/>
      <c r="AH405" s="71" t="s">
        <v>164</v>
      </c>
    </row>
    <row r="406" spans="1:34" ht="14.4" x14ac:dyDescent="0.3">
      <c r="A406" s="66" t="s">
        <v>1384</v>
      </c>
      <c r="B406" s="66" t="s">
        <v>3501</v>
      </c>
      <c r="C406" s="33">
        <v>405</v>
      </c>
      <c r="D406" s="33" t="s">
        <v>5396</v>
      </c>
      <c r="E406" s="34" t="s">
        <v>5245</v>
      </c>
      <c r="F406" s="34" t="s">
        <v>18</v>
      </c>
      <c r="G406" s="57">
        <v>41588</v>
      </c>
      <c r="H406" s="57">
        <v>41834</v>
      </c>
      <c r="I406" s="34">
        <f t="shared" si="18"/>
        <v>8</v>
      </c>
      <c r="J406" s="34">
        <v>40</v>
      </c>
      <c r="K406" s="36">
        <v>900</v>
      </c>
      <c r="L406" s="34" t="s">
        <v>29</v>
      </c>
      <c r="M406" s="57">
        <v>32621</v>
      </c>
      <c r="N406" s="37">
        <f>(YEAR(TablaMadre[[#This Row],[ALTA]])-YEAR(M406))</f>
        <v>24</v>
      </c>
      <c r="O406" s="34" t="s">
        <v>18</v>
      </c>
      <c r="P406" s="34" t="s">
        <v>19</v>
      </c>
      <c r="Q406" s="34" t="s">
        <v>39</v>
      </c>
      <c r="R406" s="34" t="s">
        <v>21</v>
      </c>
      <c r="S406" s="34" t="s">
        <v>960</v>
      </c>
      <c r="T406" s="34"/>
      <c r="U406" s="34"/>
      <c r="V406" s="34" t="s">
        <v>40</v>
      </c>
      <c r="W406" s="34" t="s">
        <v>28</v>
      </c>
      <c r="X406" s="38" t="s">
        <v>173</v>
      </c>
      <c r="Y406" s="62"/>
      <c r="Z406" s="38" t="e">
        <f t="shared" si="19"/>
        <v>#NUM!</v>
      </c>
      <c r="AA406" s="38"/>
      <c r="AB406" s="34" t="s">
        <v>24</v>
      </c>
      <c r="AC406" s="34"/>
      <c r="AD406" s="38"/>
      <c r="AE406" s="59" t="str">
        <f t="shared" si="20"/>
        <v>NO</v>
      </c>
      <c r="AF406" s="38" t="e" cm="1">
        <f t="array" aca="1" ref="AF406" ca="1">MIN(100, MAX(0, (IF(R406="ESTUDIANTE", 31, 0)) + (IF(I406&lt;=3, 30, IF(I406&lt;=6, 20, 0))) +(IF(OR(E406="413 - Control de Costes y Enlace Construcción", E406="480 - Secretaría General del Consejo", E406="132 - Civil y estructuras", E406="136 - Mecánica", E406="412 - Planificación", E406="142 - Compras"), 25, 0)) +(IF(OR(S406="GRADO ING. MECÁNICA", S406="GRADO ING. ELÉCTRICA", S406="GRADO DERECHO", S406="GRADO ECONOMÍA", S406="GRADO ING. TECNOLOGÍAS INDUSTRIALES"), 24, 0)) + (IF(AND(K406&gt;=451, K406&lt;=700), 23, 0)) + (IF(AND(AB406&gt;=5, AB406&lt;=8), 17, 0)) +(IF(_xludf.OR(_xludf.AND(AC406&gt;=8, AC406&lt;=10), _xludf.AND(AC406&gt;=0, AC406&lt;=5)), 16, 0)) + (IF(F406="Madrid", 11, 0))))</f>
        <v>#NAME?</v>
      </c>
      <c r="AG406" s="68"/>
      <c r="AH406" s="71" t="s">
        <v>164</v>
      </c>
    </row>
    <row r="407" spans="1:34" ht="14.4" x14ac:dyDescent="0.3">
      <c r="A407" s="66" t="s">
        <v>1385</v>
      </c>
      <c r="B407" s="66" t="s">
        <v>3502</v>
      </c>
      <c r="C407" s="33">
        <v>406</v>
      </c>
      <c r="D407" s="33" t="s">
        <v>5397</v>
      </c>
      <c r="E407" s="34" t="s">
        <v>5272</v>
      </c>
      <c r="F407" s="34" t="s">
        <v>18</v>
      </c>
      <c r="G407" s="57">
        <v>41589</v>
      </c>
      <c r="H407" s="57">
        <v>41923</v>
      </c>
      <c r="I407" s="34">
        <f t="shared" si="18"/>
        <v>11</v>
      </c>
      <c r="J407" s="34">
        <v>40</v>
      </c>
      <c r="K407" s="36">
        <v>900</v>
      </c>
      <c r="L407" s="34" t="s">
        <v>17</v>
      </c>
      <c r="M407" s="57">
        <v>33190</v>
      </c>
      <c r="N407" s="37">
        <f>(YEAR(TablaMadre[[#This Row],[ALTA]])-YEAR(M407))</f>
        <v>23</v>
      </c>
      <c r="O407" s="34" t="s">
        <v>18</v>
      </c>
      <c r="P407" s="34" t="s">
        <v>19</v>
      </c>
      <c r="Q407" s="34" t="s">
        <v>85</v>
      </c>
      <c r="R407" s="34" t="s">
        <v>21</v>
      </c>
      <c r="S407" s="34" t="s">
        <v>322</v>
      </c>
      <c r="T407" s="34"/>
      <c r="U407" s="34"/>
      <c r="V407" s="34" t="s">
        <v>137</v>
      </c>
      <c r="W407" s="34" t="s">
        <v>28</v>
      </c>
      <c r="X407" s="38" t="s">
        <v>164</v>
      </c>
      <c r="Y407" s="62">
        <v>43707</v>
      </c>
      <c r="Z407" s="38">
        <f t="shared" si="19"/>
        <v>4</v>
      </c>
      <c r="AA407" s="38"/>
      <c r="AB407" s="34"/>
      <c r="AC407" s="34"/>
      <c r="AD407" s="38"/>
      <c r="AE407" s="59" t="str">
        <f t="shared" si="20"/>
        <v>NO</v>
      </c>
      <c r="AF407" s="38" t="e" cm="1">
        <f t="array" aca="1" ref="AF407" ca="1">MIN(100, MAX(0, (IF(R407="ESTUDIANTE", 31, 0)) + (IF(I407&lt;=3, 30, IF(I407&lt;=6, 20, 0))) +(IF(OR(E407="413 - Control de Costes y Enlace Construcción", E407="480 - Secretaría General del Consejo", E407="132 - Civil y estructuras", E407="136 - Mecánica", E407="412 - Planificación", E407="142 - Compras"), 25, 0)) +(IF(OR(S407="GRADO ING. MECÁNICA", S407="GRADO ING. ELÉCTRICA", S407="GRADO DERECHO", S407="GRADO ECONOMÍA", S407="GRADO ING. TECNOLOGÍAS INDUSTRIALES"), 24, 0)) + (IF(AND(K407&gt;=451, K407&lt;=700), 23, 0)) + (IF(AND(AB407&gt;=5, AB407&lt;=8), 17, 0)) +(IF(_xludf.OR(_xludf.AND(AC407&gt;=8, AC407&lt;=10), _xludf.AND(AC407&gt;=0, AC407&lt;=5)), 16, 0)) + (IF(F407="Madrid", 11, 0))))</f>
        <v>#NAME?</v>
      </c>
      <c r="AG407" s="68"/>
      <c r="AH407" s="71" t="s">
        <v>164</v>
      </c>
    </row>
    <row r="408" spans="1:34" ht="14.4" x14ac:dyDescent="0.3">
      <c r="A408" s="66" t="s">
        <v>1386</v>
      </c>
      <c r="B408" s="66" t="s">
        <v>3503</v>
      </c>
      <c r="C408" s="33">
        <v>407</v>
      </c>
      <c r="D408" s="33" t="s">
        <v>5398</v>
      </c>
      <c r="E408" s="34" t="s">
        <v>5244</v>
      </c>
      <c r="F408" s="34" t="s">
        <v>18</v>
      </c>
      <c r="G408" s="57">
        <v>41596</v>
      </c>
      <c r="H408" s="57">
        <v>41960</v>
      </c>
      <c r="I408" s="34">
        <f t="shared" si="18"/>
        <v>11</v>
      </c>
      <c r="J408" s="34">
        <v>40</v>
      </c>
      <c r="K408" s="36">
        <v>750</v>
      </c>
      <c r="L408" s="34" t="s">
        <v>29</v>
      </c>
      <c r="M408" s="57">
        <v>32647</v>
      </c>
      <c r="N408" s="37">
        <f>(YEAR(TablaMadre[[#This Row],[ALTA]])-YEAR(M408))</f>
        <v>24</v>
      </c>
      <c r="O408" s="34" t="s">
        <v>255</v>
      </c>
      <c r="P408" s="34" t="s">
        <v>19</v>
      </c>
      <c r="Q408" s="34" t="s">
        <v>93</v>
      </c>
      <c r="R408" s="34" t="s">
        <v>21</v>
      </c>
      <c r="S408" s="34" t="s">
        <v>151</v>
      </c>
      <c r="T408" s="34"/>
      <c r="U408" s="34"/>
      <c r="V408" s="34" t="s">
        <v>59</v>
      </c>
      <c r="W408" s="34" t="s">
        <v>28</v>
      </c>
      <c r="X408" s="38" t="s">
        <v>164</v>
      </c>
      <c r="Y408" s="62">
        <v>43424</v>
      </c>
      <c r="Z408" s="38">
        <f t="shared" si="19"/>
        <v>4</v>
      </c>
      <c r="AA408" s="38"/>
      <c r="AB408" s="34" t="s">
        <v>24</v>
      </c>
      <c r="AC408" s="34" t="s">
        <v>289</v>
      </c>
      <c r="AD408" s="38"/>
      <c r="AE408" s="59" t="str">
        <f t="shared" si="20"/>
        <v>SÍ</v>
      </c>
      <c r="AF408" s="38" t="e" cm="1">
        <f t="array" aca="1" ref="AF408" ca="1">MIN(100, MAX(0, (IF(R408="ESTUDIANTE", 31, 0)) + (IF(I408&lt;=3, 30, IF(I408&lt;=6, 20, 0))) +(IF(OR(E408="413 - Control de Costes y Enlace Construcción", E408="480 - Secretaría General del Consejo", E408="132 - Civil y estructuras", E408="136 - Mecánica", E408="412 - Planificación", E408="142 - Compras"), 25, 0)) +(IF(OR(S408="GRADO ING. MECÁNICA", S408="GRADO ING. ELÉCTRICA", S408="GRADO DERECHO", S408="GRADO ECONOMÍA", S408="GRADO ING. TECNOLOGÍAS INDUSTRIALES"), 24, 0)) + (IF(AND(K408&gt;=451, K408&lt;=700), 23, 0)) + (IF(AND(AB408&gt;=5, AB408&lt;=8), 17, 0)) +(IF(_xludf.OR(_xludf.AND(AC408&gt;=8, AC408&lt;=10), _xludf.AND(AC408&gt;=0, AC408&lt;=5)), 16, 0)) + (IF(F408="Madrid", 11, 0))))</f>
        <v>#NAME?</v>
      </c>
      <c r="AG408" s="68"/>
      <c r="AH408" s="71" t="s">
        <v>164</v>
      </c>
    </row>
    <row r="409" spans="1:34" ht="14.4" x14ac:dyDescent="0.3">
      <c r="A409" s="66" t="s">
        <v>1387</v>
      </c>
      <c r="B409" s="66" t="s">
        <v>3504</v>
      </c>
      <c r="C409" s="33">
        <v>408</v>
      </c>
      <c r="D409" s="33" t="s">
        <v>5399</v>
      </c>
      <c r="E409" s="34" t="s">
        <v>5218</v>
      </c>
      <c r="F409" s="34" t="s">
        <v>18</v>
      </c>
      <c r="G409" s="57">
        <v>41616</v>
      </c>
      <c r="H409" s="57">
        <v>41882</v>
      </c>
      <c r="I409" s="34">
        <f t="shared" si="18"/>
        <v>8</v>
      </c>
      <c r="J409" s="34">
        <v>40</v>
      </c>
      <c r="K409" s="36">
        <v>900</v>
      </c>
      <c r="L409" s="34" t="s">
        <v>17</v>
      </c>
      <c r="M409" s="57">
        <v>33480</v>
      </c>
      <c r="N409" s="37">
        <f>(YEAR(TablaMadre[[#This Row],[ALTA]])-YEAR(M409))</f>
        <v>22</v>
      </c>
      <c r="O409" s="34" t="s">
        <v>121</v>
      </c>
      <c r="P409" s="34" t="s">
        <v>19</v>
      </c>
      <c r="Q409" s="34" t="s">
        <v>20</v>
      </c>
      <c r="R409" s="34" t="s">
        <v>21</v>
      </c>
      <c r="S409" s="34" t="s">
        <v>151</v>
      </c>
      <c r="T409" s="34"/>
      <c r="U409" s="34"/>
      <c r="V409" s="34" t="s">
        <v>22</v>
      </c>
      <c r="W409" s="34" t="s">
        <v>28</v>
      </c>
      <c r="X409" s="38" t="s">
        <v>173</v>
      </c>
      <c r="Y409" s="62"/>
      <c r="Z409" s="38" t="e">
        <f t="shared" si="19"/>
        <v>#NUM!</v>
      </c>
      <c r="AA409" s="38"/>
      <c r="AB409" s="34"/>
      <c r="AC409" s="34"/>
      <c r="AD409" s="38"/>
      <c r="AE409" s="59" t="str">
        <f t="shared" si="20"/>
        <v>SÍ</v>
      </c>
      <c r="AF409" s="38" t="e" cm="1">
        <f t="array" aca="1" ref="AF409" ca="1">MIN(100, MAX(0, (IF(R409="ESTUDIANTE", 31, 0)) + (IF(I409&lt;=3, 30, IF(I409&lt;=6, 20, 0))) +(IF(OR(E409="413 - Control de Costes y Enlace Construcción", E409="480 - Secretaría General del Consejo", E409="132 - Civil y estructuras", E409="136 - Mecánica", E409="412 - Planificación", E409="142 - Compras"), 25, 0)) +(IF(OR(S409="GRADO ING. MECÁNICA", S409="GRADO ING. ELÉCTRICA", S409="GRADO DERECHO", S409="GRADO ECONOMÍA", S409="GRADO ING. TECNOLOGÍAS INDUSTRIALES"), 24, 0)) + (IF(AND(K409&gt;=451, K409&lt;=700), 23, 0)) + (IF(AND(AB409&gt;=5, AB409&lt;=8), 17, 0)) +(IF(_xludf.OR(_xludf.AND(AC409&gt;=8, AC409&lt;=10), _xludf.AND(AC409&gt;=0, AC409&lt;=5)), 16, 0)) + (IF(F409="Madrid", 11, 0))))</f>
        <v>#NAME?</v>
      </c>
      <c r="AG409" s="68"/>
      <c r="AH409" s="71" t="s">
        <v>164</v>
      </c>
    </row>
    <row r="410" spans="1:34" ht="14.4" x14ac:dyDescent="0.3">
      <c r="A410" s="66" t="s">
        <v>1390</v>
      </c>
      <c r="B410" s="66" t="s">
        <v>3507</v>
      </c>
      <c r="C410" s="33">
        <v>411</v>
      </c>
      <c r="D410" s="33" t="s">
        <v>5400</v>
      </c>
      <c r="E410" s="34" t="s">
        <v>5244</v>
      </c>
      <c r="F410" s="34" t="s">
        <v>118</v>
      </c>
      <c r="G410" s="57">
        <v>41643</v>
      </c>
      <c r="H410" s="57">
        <v>42094</v>
      </c>
      <c r="I410" s="34">
        <f t="shared" si="18"/>
        <v>14</v>
      </c>
      <c r="J410" s="34">
        <v>40</v>
      </c>
      <c r="K410" s="36">
        <v>900</v>
      </c>
      <c r="L410" s="34" t="s">
        <v>17</v>
      </c>
      <c r="M410" s="57">
        <v>34045</v>
      </c>
      <c r="N410" s="37">
        <f>(YEAR(TablaMadre[[#This Row],[ALTA]])-YEAR(M410))</f>
        <v>21</v>
      </c>
      <c r="O410" s="34" t="s">
        <v>118</v>
      </c>
      <c r="P410" s="34" t="s">
        <v>19</v>
      </c>
      <c r="Q410" s="34" t="s">
        <v>49</v>
      </c>
      <c r="R410" s="34" t="s">
        <v>21</v>
      </c>
      <c r="S410" s="34" t="s">
        <v>297</v>
      </c>
      <c r="T410" s="34"/>
      <c r="U410" s="34"/>
      <c r="V410" s="34" t="s">
        <v>119</v>
      </c>
      <c r="W410" s="34" t="s">
        <v>28</v>
      </c>
      <c r="X410" s="38" t="s">
        <v>164</v>
      </c>
      <c r="Y410" s="62">
        <v>42461</v>
      </c>
      <c r="Z410" s="38">
        <f t="shared" si="19"/>
        <v>1</v>
      </c>
      <c r="AA410" s="38"/>
      <c r="AB410" s="34"/>
      <c r="AC410" s="34"/>
      <c r="AD410" s="38"/>
      <c r="AE410" s="59" t="str">
        <f t="shared" si="20"/>
        <v>NO</v>
      </c>
      <c r="AF410" s="38" t="e" cm="1">
        <f t="array" aca="1" ref="AF410" ca="1">MIN(100, MAX(0, (IF(R410="ESTUDIANTE", 31, 0)) + (IF(I410&lt;=3, 30, IF(I410&lt;=6, 20, 0))) +(IF(OR(E410="413 - Control de Costes y Enlace Construcción", E410="480 - Secretaría General del Consejo", E410="132 - Civil y estructuras", E410="136 - Mecánica", E410="412 - Planificación", E410="142 - Compras"), 25, 0)) +(IF(OR(S410="GRADO ING. MECÁNICA", S410="GRADO ING. ELÉCTRICA", S410="GRADO DERECHO", S410="GRADO ECONOMÍA", S410="GRADO ING. TECNOLOGÍAS INDUSTRIALES"), 24, 0)) + (IF(AND(K410&gt;=451, K410&lt;=700), 23, 0)) + (IF(AND(AB410&gt;=5, AB410&lt;=8), 17, 0)) +(IF(_xludf.OR(_xludf.AND(AC410&gt;=8, AC410&lt;=10), _xludf.AND(AC410&gt;=0, AC410&lt;=5)), 16, 0)) + (IF(F410="Madrid", 11, 0))))</f>
        <v>#NAME?</v>
      </c>
      <c r="AG410" s="68"/>
      <c r="AH410" s="71" t="s">
        <v>164</v>
      </c>
    </row>
    <row r="411" spans="1:34" ht="14.4" x14ac:dyDescent="0.3">
      <c r="A411" s="66" t="s">
        <v>1445</v>
      </c>
      <c r="B411" s="66" t="s">
        <v>3562</v>
      </c>
      <c r="C411" s="33">
        <v>409</v>
      </c>
      <c r="D411" s="33" t="s">
        <v>5401</v>
      </c>
      <c r="E411" s="34" t="s">
        <v>5244</v>
      </c>
      <c r="F411" s="34" t="s">
        <v>18</v>
      </c>
      <c r="G411" s="57">
        <v>41643</v>
      </c>
      <c r="H411" s="57">
        <v>42094</v>
      </c>
      <c r="I411" s="34">
        <f t="shared" si="18"/>
        <v>14</v>
      </c>
      <c r="J411" s="34">
        <v>40</v>
      </c>
      <c r="K411" s="36">
        <v>750</v>
      </c>
      <c r="L411" s="34" t="s">
        <v>29</v>
      </c>
      <c r="M411" s="57">
        <v>33712</v>
      </c>
      <c r="N411" s="37">
        <f>(YEAR(TablaMadre[[#This Row],[ALTA]])-YEAR(M411))</f>
        <v>22</v>
      </c>
      <c r="O411" s="34" t="s">
        <v>18</v>
      </c>
      <c r="P411" s="34" t="s">
        <v>19</v>
      </c>
      <c r="Q411" s="34" t="s">
        <v>177</v>
      </c>
      <c r="R411" s="34" t="s">
        <v>21</v>
      </c>
      <c r="S411" s="34" t="s">
        <v>397</v>
      </c>
      <c r="T411" s="34"/>
      <c r="U411" s="34"/>
      <c r="V411" s="34" t="s">
        <v>22</v>
      </c>
      <c r="W411" s="34" t="s">
        <v>28</v>
      </c>
      <c r="X411" s="38" t="s">
        <v>173</v>
      </c>
      <c r="Y411" s="62"/>
      <c r="Z411" s="38" t="e">
        <f t="shared" si="19"/>
        <v>#NUM!</v>
      </c>
      <c r="AA411" s="38" t="s">
        <v>173</v>
      </c>
      <c r="AB411" s="34"/>
      <c r="AC411" s="34"/>
      <c r="AD411" s="38"/>
      <c r="AE411" s="59" t="str">
        <f t="shared" si="20"/>
        <v>NO</v>
      </c>
      <c r="AF411" s="38" t="e" cm="1">
        <f t="array" aca="1" ref="AF411" ca="1">MIN(100, MAX(0, (IF(R411="ESTUDIANTE", 31, 0)) + (IF(I411&lt;=3, 30, IF(I411&lt;=6, 20, 0))) +(IF(OR(E411="413 - Control de Costes y Enlace Construcción", E411="480 - Secretaría General del Consejo", E411="132 - Civil y estructuras", E411="136 - Mecánica", E411="412 - Planificación", E411="142 - Compras"), 25, 0)) +(IF(OR(S411="GRADO ING. MECÁNICA", S411="GRADO ING. ELÉCTRICA", S411="GRADO DERECHO", S411="GRADO ECONOMÍA", S411="GRADO ING. TECNOLOGÍAS INDUSTRIALES"), 24, 0)) + (IF(AND(K411&gt;=451, K411&lt;=700), 23, 0)) + (IF(AND(AB411&gt;=5, AB411&lt;=8), 17, 0)) +(IF(_xludf.OR(_xludf.AND(AC411&gt;=8, AC411&lt;=10), _xludf.AND(AC411&gt;=0, AC411&lt;=5)), 16, 0)) + (IF(F411="Madrid", 11, 0))))</f>
        <v>#NAME?</v>
      </c>
      <c r="AG411" s="68"/>
      <c r="AH411" s="71" t="s">
        <v>164</v>
      </c>
    </row>
    <row r="412" spans="1:34" ht="14.4" x14ac:dyDescent="0.3">
      <c r="A412" s="66" t="s">
        <v>1454</v>
      </c>
      <c r="B412" s="66" t="s">
        <v>3571</v>
      </c>
      <c r="C412" s="33">
        <v>410</v>
      </c>
      <c r="D412" s="33" t="s">
        <v>5402</v>
      </c>
      <c r="E412" s="34" t="s">
        <v>5273</v>
      </c>
      <c r="F412" s="34" t="s">
        <v>18</v>
      </c>
      <c r="G412" s="57">
        <v>41643</v>
      </c>
      <c r="H412" s="57">
        <v>42094</v>
      </c>
      <c r="I412" s="34">
        <f t="shared" si="18"/>
        <v>14</v>
      </c>
      <c r="J412" s="34">
        <v>40</v>
      </c>
      <c r="K412" s="36">
        <v>800</v>
      </c>
      <c r="L412" s="34" t="s">
        <v>17</v>
      </c>
      <c r="M412" s="57">
        <v>33285</v>
      </c>
      <c r="N412" s="37">
        <f>(YEAR(TablaMadre[[#This Row],[ALTA]])-YEAR(M412))</f>
        <v>23</v>
      </c>
      <c r="O412" s="34" t="s">
        <v>18</v>
      </c>
      <c r="P412" s="34" t="s">
        <v>19</v>
      </c>
      <c r="Q412" s="34" t="s">
        <v>54</v>
      </c>
      <c r="R412" s="34" t="s">
        <v>21</v>
      </c>
      <c r="S412" s="34" t="s">
        <v>690</v>
      </c>
      <c r="T412" s="34"/>
      <c r="U412" s="34"/>
      <c r="V412" s="34" t="s">
        <v>40</v>
      </c>
      <c r="W412" s="34" t="s">
        <v>28</v>
      </c>
      <c r="X412" s="38" t="s">
        <v>173</v>
      </c>
      <c r="Y412" s="62"/>
      <c r="Z412" s="38" t="e">
        <f t="shared" si="19"/>
        <v>#NUM!</v>
      </c>
      <c r="AA412" s="38" t="s">
        <v>173</v>
      </c>
      <c r="AB412" s="34"/>
      <c r="AC412" s="34"/>
      <c r="AD412" s="38"/>
      <c r="AE412" s="59" t="str">
        <f t="shared" si="20"/>
        <v>NO</v>
      </c>
      <c r="AF412" s="38" t="e" cm="1">
        <f t="array" aca="1" ref="AF412" ca="1">MIN(100, MAX(0, (IF(R412="ESTUDIANTE", 31, 0)) + (IF(I412&lt;=3, 30, IF(I412&lt;=6, 20, 0))) +(IF(OR(E412="413 - Control de Costes y Enlace Construcción", E412="480 - Secretaría General del Consejo", E412="132 - Civil y estructuras", E412="136 - Mecánica", E412="412 - Planificación", E412="142 - Compras"), 25, 0)) +(IF(OR(S412="GRADO ING. MECÁNICA", S412="GRADO ING. ELÉCTRICA", S412="GRADO DERECHO", S412="GRADO ECONOMÍA", S412="GRADO ING. TECNOLOGÍAS INDUSTRIALES"), 24, 0)) + (IF(AND(K412&gt;=451, K412&lt;=700), 23, 0)) + (IF(AND(AB412&gt;=5, AB412&lt;=8), 17, 0)) +(IF(_xludf.OR(_xludf.AND(AC412&gt;=8, AC412&lt;=10), _xludf.AND(AC412&gt;=0, AC412&lt;=5)), 16, 0)) + (IF(F412="Madrid", 11, 0))))</f>
        <v>#NAME?</v>
      </c>
      <c r="AG412" s="68"/>
      <c r="AH412" s="71" t="s">
        <v>164</v>
      </c>
    </row>
    <row r="413" spans="1:34" ht="14.4" x14ac:dyDescent="0.3">
      <c r="A413" s="66" t="s">
        <v>1391</v>
      </c>
      <c r="B413" s="66" t="s">
        <v>3508</v>
      </c>
      <c r="C413" s="33">
        <v>412</v>
      </c>
      <c r="D413" s="33" t="s">
        <v>5393</v>
      </c>
      <c r="E413" s="34" t="s">
        <v>5258</v>
      </c>
      <c r="F413" s="34" t="s">
        <v>18</v>
      </c>
      <c r="G413" s="57">
        <v>41646</v>
      </c>
      <c r="H413" s="57">
        <v>42185</v>
      </c>
      <c r="I413" s="34">
        <f t="shared" si="18"/>
        <v>17</v>
      </c>
      <c r="J413" s="34">
        <v>40</v>
      </c>
      <c r="K413" s="36">
        <v>750</v>
      </c>
      <c r="L413" s="34" t="s">
        <v>29</v>
      </c>
      <c r="M413" s="57">
        <v>29004</v>
      </c>
      <c r="N413" s="37">
        <f>(YEAR(TablaMadre[[#This Row],[ALTA]])-YEAR(M413))</f>
        <v>35</v>
      </c>
      <c r="O413" s="34" t="s">
        <v>18</v>
      </c>
      <c r="P413" s="34" t="s">
        <v>19</v>
      </c>
      <c r="Q413" s="34" t="s">
        <v>316</v>
      </c>
      <c r="R413" s="34" t="s">
        <v>21</v>
      </c>
      <c r="S413" s="34" t="s">
        <v>316</v>
      </c>
      <c r="T413" s="34"/>
      <c r="U413" s="34"/>
      <c r="V413" s="34" t="s">
        <v>74</v>
      </c>
      <c r="W413" s="34" t="s">
        <v>23</v>
      </c>
      <c r="X413" s="38" t="s">
        <v>164</v>
      </c>
      <c r="Y413" s="62">
        <v>42429</v>
      </c>
      <c r="Z413" s="38">
        <f t="shared" si="19"/>
        <v>0</v>
      </c>
      <c r="AA413" s="38"/>
      <c r="AB413" s="34"/>
      <c r="AC413" s="34"/>
      <c r="AD413" s="38"/>
      <c r="AE413" s="59" t="str">
        <f t="shared" si="20"/>
        <v>NO</v>
      </c>
      <c r="AF413" s="38" t="e" cm="1">
        <f t="array" aca="1" ref="AF413" ca="1">MIN(100, MAX(0, (IF(R413="ESTUDIANTE", 31, 0)) + (IF(I413&lt;=3, 30, IF(I413&lt;=6, 20, 0))) +(IF(OR(E413="413 - Control de Costes y Enlace Construcción", E413="480 - Secretaría General del Consejo", E413="132 - Civil y estructuras", E413="136 - Mecánica", E413="412 - Planificación", E413="142 - Compras"), 25, 0)) +(IF(OR(S413="GRADO ING. MECÁNICA", S413="GRADO ING. ELÉCTRICA", S413="GRADO DERECHO", S413="GRADO ECONOMÍA", S413="GRADO ING. TECNOLOGÍAS INDUSTRIALES"), 24, 0)) + (IF(AND(K413&gt;=451, K413&lt;=700), 23, 0)) + (IF(AND(AB413&gt;=5, AB413&lt;=8), 17, 0)) +(IF(_xludf.OR(_xludf.AND(AC413&gt;=8, AC413&lt;=10), _xludf.AND(AC413&gt;=0, AC413&lt;=5)), 16, 0)) + (IF(F413="Madrid", 11, 0))))</f>
        <v>#NAME?</v>
      </c>
      <c r="AG413" s="68"/>
      <c r="AH413" s="71" t="s">
        <v>164</v>
      </c>
    </row>
    <row r="414" spans="1:34" ht="14.4" x14ac:dyDescent="0.3">
      <c r="A414" s="66" t="s">
        <v>1392</v>
      </c>
      <c r="B414" s="66" t="s">
        <v>3509</v>
      </c>
      <c r="C414" s="33">
        <v>413</v>
      </c>
      <c r="D414" s="33" t="s">
        <v>5394</v>
      </c>
      <c r="E414" s="34" t="s">
        <v>5229</v>
      </c>
      <c r="F414" s="34" t="s">
        <v>18</v>
      </c>
      <c r="G414" s="57">
        <v>41646</v>
      </c>
      <c r="H414" s="57">
        <v>42185</v>
      </c>
      <c r="I414" s="34">
        <f t="shared" si="18"/>
        <v>17</v>
      </c>
      <c r="J414" s="34">
        <v>40</v>
      </c>
      <c r="K414" s="36">
        <v>700</v>
      </c>
      <c r="L414" s="34" t="s">
        <v>17</v>
      </c>
      <c r="M414" s="57">
        <v>32775</v>
      </c>
      <c r="N414" s="37">
        <f>(YEAR(TablaMadre[[#This Row],[ALTA]])-YEAR(M414))</f>
        <v>25</v>
      </c>
      <c r="O414" s="34" t="s">
        <v>99</v>
      </c>
      <c r="P414" s="34" t="s">
        <v>19</v>
      </c>
      <c r="Q414" s="34" t="s">
        <v>317</v>
      </c>
      <c r="R414" s="58" t="s">
        <v>30</v>
      </c>
      <c r="S414" s="34" t="s">
        <v>26</v>
      </c>
      <c r="T414" s="34"/>
      <c r="U414" s="34"/>
      <c r="V414" s="34" t="s">
        <v>27</v>
      </c>
      <c r="W414" s="34" t="s">
        <v>28</v>
      </c>
      <c r="X414" s="38" t="s">
        <v>164</v>
      </c>
      <c r="Y414" s="62">
        <v>45397</v>
      </c>
      <c r="Z414" s="38">
        <f t="shared" si="19"/>
        <v>8</v>
      </c>
      <c r="AA414" s="38"/>
      <c r="AB414" s="34"/>
      <c r="AC414" s="34"/>
      <c r="AD414" s="38"/>
      <c r="AE414" s="59" t="str">
        <f t="shared" si="20"/>
        <v>SÍ</v>
      </c>
      <c r="AF414" s="38" t="e" cm="1">
        <f t="array" aca="1" ref="AF414" ca="1">MIN(100, MAX(0, (IF(R414="ESTUDIANTE", 31, 0)) + (IF(I414&lt;=3, 30, IF(I414&lt;=6, 20, 0))) +(IF(OR(E414="413 - Control de Costes y Enlace Construcción", E414="480 - Secretaría General del Consejo", E414="132 - Civil y estructuras", E414="136 - Mecánica", E414="412 - Planificación", E414="142 - Compras"), 25, 0)) +(IF(OR(S414="GRADO ING. MECÁNICA", S414="GRADO ING. ELÉCTRICA", S414="GRADO DERECHO", S414="GRADO ECONOMÍA", S414="GRADO ING. TECNOLOGÍAS INDUSTRIALES"), 24, 0)) + (IF(AND(K414&gt;=451, K414&lt;=700), 23, 0)) + (IF(AND(AB414&gt;=5, AB414&lt;=8), 17, 0)) +(IF(_xludf.OR(_xludf.AND(AC414&gt;=8, AC414&lt;=10), _xludf.AND(AC414&gt;=0, AC414&lt;=5)), 16, 0)) + (IF(F414="Madrid", 11, 0))))</f>
        <v>#NAME?</v>
      </c>
      <c r="AG414" s="68"/>
      <c r="AH414" s="71" t="s">
        <v>164</v>
      </c>
    </row>
    <row r="415" spans="1:34" ht="14.4" x14ac:dyDescent="0.3">
      <c r="A415" s="66" t="s">
        <v>1237</v>
      </c>
      <c r="B415" s="66" t="s">
        <v>3354</v>
      </c>
      <c r="C415" s="33">
        <v>416</v>
      </c>
      <c r="D415" s="33" t="s">
        <v>5395</v>
      </c>
      <c r="E415" s="34" t="s">
        <v>5216</v>
      </c>
      <c r="F415" s="34" t="s">
        <v>18</v>
      </c>
      <c r="G415" s="57">
        <v>41648</v>
      </c>
      <c r="H415" s="57">
        <v>42155</v>
      </c>
      <c r="I415" s="34">
        <f t="shared" si="18"/>
        <v>16</v>
      </c>
      <c r="J415" s="34">
        <v>40</v>
      </c>
      <c r="K415" s="36">
        <v>900</v>
      </c>
      <c r="L415" s="34" t="s">
        <v>29</v>
      </c>
      <c r="M415" s="57">
        <v>32500</v>
      </c>
      <c r="N415" s="37">
        <f>(YEAR(TablaMadre[[#This Row],[ALTA]])-YEAR(M415))</f>
        <v>26</v>
      </c>
      <c r="O415" s="34" t="s">
        <v>92</v>
      </c>
      <c r="P415" s="34" t="s">
        <v>19</v>
      </c>
      <c r="Q415" s="34" t="s">
        <v>49</v>
      </c>
      <c r="R415" s="34" t="s">
        <v>21</v>
      </c>
      <c r="S415" s="34" t="s">
        <v>297</v>
      </c>
      <c r="T415" s="34"/>
      <c r="U415" s="34"/>
      <c r="V415" s="34" t="s">
        <v>33</v>
      </c>
      <c r="W415" s="34" t="s">
        <v>28</v>
      </c>
      <c r="X415" s="38" t="s">
        <v>173</v>
      </c>
      <c r="Y415" s="62"/>
      <c r="Z415" s="38" t="e">
        <f t="shared" si="19"/>
        <v>#NUM!</v>
      </c>
      <c r="AA415" s="38" t="s">
        <v>173</v>
      </c>
      <c r="AB415" s="34" t="s">
        <v>303</v>
      </c>
      <c r="AC415" s="34"/>
      <c r="AD415" s="38"/>
      <c r="AE415" s="59" t="str">
        <f t="shared" si="20"/>
        <v>SÍ</v>
      </c>
      <c r="AF415" s="38" t="e" cm="1">
        <f t="array" aca="1" ref="AF415" ca="1">MIN(100, MAX(0, (IF(R415="ESTUDIANTE", 31, 0)) + (IF(I415&lt;=3, 30, IF(I415&lt;=6, 20, 0))) +(IF(OR(E415="413 - Control de Costes y Enlace Construcción", E415="480 - Secretaría General del Consejo", E415="132 - Civil y estructuras", E415="136 - Mecánica", E415="412 - Planificación", E415="142 - Compras"), 25, 0)) +(IF(OR(S415="GRADO ING. MECÁNICA", S415="GRADO ING. ELÉCTRICA", S415="GRADO DERECHO", S415="GRADO ECONOMÍA", S415="GRADO ING. TECNOLOGÍAS INDUSTRIALES"), 24, 0)) + (IF(AND(K415&gt;=451, K415&lt;=700), 23, 0)) + (IF(AND(AB415&gt;=5, AB415&lt;=8), 17, 0)) +(IF(_xludf.OR(_xludf.AND(AC415&gt;=8, AC415&lt;=10), _xludf.AND(AC415&gt;=0, AC415&lt;=5)), 16, 0)) + (IF(F415="Madrid", 11, 0))))</f>
        <v>#NAME?</v>
      </c>
      <c r="AG415" s="68"/>
      <c r="AH415" s="71" t="s">
        <v>164</v>
      </c>
    </row>
    <row r="416" spans="1:34" ht="14.4" x14ac:dyDescent="0.3">
      <c r="A416" s="66" t="s">
        <v>1393</v>
      </c>
      <c r="B416" s="66" t="s">
        <v>3510</v>
      </c>
      <c r="C416" s="33">
        <v>414</v>
      </c>
      <c r="D416" s="33" t="s">
        <v>5396</v>
      </c>
      <c r="E416" s="34" t="s">
        <v>5244</v>
      </c>
      <c r="F416" s="34" t="s">
        <v>18</v>
      </c>
      <c r="G416" s="57">
        <v>41648</v>
      </c>
      <c r="H416" s="57">
        <v>42063</v>
      </c>
      <c r="I416" s="34">
        <f t="shared" si="18"/>
        <v>13</v>
      </c>
      <c r="J416" s="34">
        <v>40</v>
      </c>
      <c r="K416" s="36">
        <v>900</v>
      </c>
      <c r="L416" s="34" t="s">
        <v>17</v>
      </c>
      <c r="M416" s="57">
        <v>33310</v>
      </c>
      <c r="N416" s="37">
        <f>(YEAR(TablaMadre[[#This Row],[ALTA]])-YEAR(M416))</f>
        <v>23</v>
      </c>
      <c r="O416" s="34" t="s">
        <v>942</v>
      </c>
      <c r="P416" s="34" t="s">
        <v>19</v>
      </c>
      <c r="Q416" s="34" t="s">
        <v>61</v>
      </c>
      <c r="R416" s="34" t="s">
        <v>21</v>
      </c>
      <c r="S416" s="34" t="s">
        <v>322</v>
      </c>
      <c r="T416" s="34"/>
      <c r="U416" s="34"/>
      <c r="V416" s="34" t="s">
        <v>22</v>
      </c>
      <c r="W416" s="34" t="s">
        <v>28</v>
      </c>
      <c r="X416" s="38" t="s">
        <v>164</v>
      </c>
      <c r="Y416" s="62">
        <v>44204</v>
      </c>
      <c r="Z416" s="38">
        <f t="shared" si="19"/>
        <v>5</v>
      </c>
      <c r="AA416" s="38"/>
      <c r="AB416" s="34">
        <v>9</v>
      </c>
      <c r="AC416" s="34"/>
      <c r="AD416" s="38"/>
      <c r="AE416" s="59" t="str">
        <f t="shared" si="20"/>
        <v>SÍ</v>
      </c>
      <c r="AF416" s="38" t="e" cm="1">
        <f t="array" aca="1" ref="AF416" ca="1">MIN(100, MAX(0, (IF(R416="ESTUDIANTE", 31, 0)) + (IF(I416&lt;=3, 30, IF(I416&lt;=6, 20, 0))) +(IF(OR(E416="413 - Control de Costes y Enlace Construcción", E416="480 - Secretaría General del Consejo", E416="132 - Civil y estructuras", E416="136 - Mecánica", E416="412 - Planificación", E416="142 - Compras"), 25, 0)) +(IF(OR(S416="GRADO ING. MECÁNICA", S416="GRADO ING. ELÉCTRICA", S416="GRADO DERECHO", S416="GRADO ECONOMÍA", S416="GRADO ING. TECNOLOGÍAS INDUSTRIALES"), 24, 0)) + (IF(AND(K416&gt;=451, K416&lt;=700), 23, 0)) + (IF(AND(AB416&gt;=5, AB416&lt;=8), 17, 0)) +(IF(_xludf.OR(_xludf.AND(AC416&gt;=8, AC416&lt;=10), _xludf.AND(AC416&gt;=0, AC416&lt;=5)), 16, 0)) + (IF(F416="Madrid", 11, 0))))</f>
        <v>#NAME?</v>
      </c>
      <c r="AG416" s="68"/>
      <c r="AH416" s="71" t="s">
        <v>164</v>
      </c>
    </row>
    <row r="417" spans="1:34" ht="14.4" x14ac:dyDescent="0.3">
      <c r="A417" s="66" t="s">
        <v>1394</v>
      </c>
      <c r="B417" s="66" t="s">
        <v>3511</v>
      </c>
      <c r="C417" s="33">
        <v>415</v>
      </c>
      <c r="D417" s="33" t="s">
        <v>5397</v>
      </c>
      <c r="E417" s="34" t="s">
        <v>5242</v>
      </c>
      <c r="F417" s="34" t="s">
        <v>100</v>
      </c>
      <c r="G417" s="57">
        <v>41648</v>
      </c>
      <c r="H417" s="57">
        <v>42094</v>
      </c>
      <c r="I417" s="34">
        <f t="shared" si="18"/>
        <v>14</v>
      </c>
      <c r="J417" s="34">
        <v>15</v>
      </c>
      <c r="K417" s="36">
        <v>675</v>
      </c>
      <c r="L417" s="34" t="s">
        <v>29</v>
      </c>
      <c r="M417" s="57">
        <v>32682</v>
      </c>
      <c r="N417" s="37">
        <f>(YEAR(TablaMadre[[#This Row],[ALTA]])-YEAR(M417))</f>
        <v>25</v>
      </c>
      <c r="O417" s="34" t="s">
        <v>100</v>
      </c>
      <c r="P417" s="34" t="s">
        <v>19</v>
      </c>
      <c r="Q417" s="34" t="s">
        <v>109</v>
      </c>
      <c r="R417" s="58" t="s">
        <v>30</v>
      </c>
      <c r="S417" s="34" t="s">
        <v>109</v>
      </c>
      <c r="T417" s="34"/>
      <c r="U417" s="34"/>
      <c r="V417" s="34" t="s">
        <v>107</v>
      </c>
      <c r="W417" s="34" t="s">
        <v>23</v>
      </c>
      <c r="X417" s="38" t="s">
        <v>164</v>
      </c>
      <c r="Y417" s="62">
        <v>42095</v>
      </c>
      <c r="Z417" s="38">
        <f t="shared" si="19"/>
        <v>0</v>
      </c>
      <c r="AA417" s="38"/>
      <c r="AB417" s="34">
        <v>8</v>
      </c>
      <c r="AC417" s="34">
        <v>8</v>
      </c>
      <c r="AD417" s="38"/>
      <c r="AE417" s="59" t="str">
        <f t="shared" si="20"/>
        <v>NO</v>
      </c>
      <c r="AF417" s="38" t="e" cm="1">
        <f t="array" aca="1" ref="AF417" ca="1">MIN(100, MAX(0, (IF(R417="ESTUDIANTE", 31, 0)) + (IF(I417&lt;=3, 30, IF(I417&lt;=6, 20, 0))) +(IF(OR(E417="413 - Control de Costes y Enlace Construcción", E417="480 - Secretaría General del Consejo", E417="132 - Civil y estructuras", E417="136 - Mecánica", E417="412 - Planificación", E417="142 - Compras"), 25, 0)) +(IF(OR(S417="GRADO ING. MECÁNICA", S417="GRADO ING. ELÉCTRICA", S417="GRADO DERECHO", S417="GRADO ECONOMÍA", S417="GRADO ING. TECNOLOGÍAS INDUSTRIALES"), 24, 0)) + (IF(AND(K417&gt;=451, K417&lt;=700), 23, 0)) + (IF(AND(AB417&gt;=5, AB417&lt;=8), 17, 0)) +(IF(_xludf.OR(_xludf.AND(AC417&gt;=8, AC417&lt;=10), _xludf.AND(AC417&gt;=0, AC417&lt;=5)), 16, 0)) + (IF(F417="Madrid", 11, 0))))</f>
        <v>#NAME?</v>
      </c>
      <c r="AG417" s="68"/>
      <c r="AH417" s="71" t="s">
        <v>164</v>
      </c>
    </row>
    <row r="418" spans="1:34" ht="14.4" x14ac:dyDescent="0.3">
      <c r="A418" s="66" t="s">
        <v>1396</v>
      </c>
      <c r="B418" s="66" t="s">
        <v>3513</v>
      </c>
      <c r="C418" s="33">
        <v>417</v>
      </c>
      <c r="D418" s="33" t="s">
        <v>5398</v>
      </c>
      <c r="E418" s="34" t="s">
        <v>5216</v>
      </c>
      <c r="F418" s="34" t="s">
        <v>18</v>
      </c>
      <c r="G418" s="57">
        <v>41648</v>
      </c>
      <c r="H418" s="57">
        <v>42155</v>
      </c>
      <c r="I418" s="34">
        <f t="shared" si="18"/>
        <v>16</v>
      </c>
      <c r="J418" s="34">
        <v>40</v>
      </c>
      <c r="K418" s="36">
        <v>900</v>
      </c>
      <c r="L418" s="34" t="s">
        <v>29</v>
      </c>
      <c r="M418" s="57">
        <v>33707</v>
      </c>
      <c r="N418" s="37">
        <f>(YEAR(TablaMadre[[#This Row],[ALTA]])-YEAR(M418))</f>
        <v>22</v>
      </c>
      <c r="O418" s="34" t="s">
        <v>64</v>
      </c>
      <c r="P418" s="34" t="s">
        <v>19</v>
      </c>
      <c r="Q418" s="34" t="s">
        <v>49</v>
      </c>
      <c r="R418" s="34" t="s">
        <v>21</v>
      </c>
      <c r="S418" s="34" t="s">
        <v>297</v>
      </c>
      <c r="T418" s="34"/>
      <c r="U418" s="34"/>
      <c r="V418" s="34" t="s">
        <v>56</v>
      </c>
      <c r="W418" s="34" t="s">
        <v>28</v>
      </c>
      <c r="X418" s="38" t="s">
        <v>164</v>
      </c>
      <c r="Y418" s="62">
        <v>44663</v>
      </c>
      <c r="Z418" s="38">
        <f t="shared" si="19"/>
        <v>6</v>
      </c>
      <c r="AA418" s="38"/>
      <c r="AB418" s="34">
        <v>10</v>
      </c>
      <c r="AC418" s="34"/>
      <c r="AD418" s="38"/>
      <c r="AE418" s="59" t="str">
        <f t="shared" si="20"/>
        <v>SÍ</v>
      </c>
      <c r="AF418" s="38" t="e" cm="1">
        <f t="array" aca="1" ref="AF418" ca="1">MIN(100, MAX(0, (IF(R418="ESTUDIANTE", 31, 0)) + (IF(I418&lt;=3, 30, IF(I418&lt;=6, 20, 0))) +(IF(OR(E418="413 - Control de Costes y Enlace Construcción", E418="480 - Secretaría General del Consejo", E418="132 - Civil y estructuras", E418="136 - Mecánica", E418="412 - Planificación", E418="142 - Compras"), 25, 0)) +(IF(OR(S418="GRADO ING. MECÁNICA", S418="GRADO ING. ELÉCTRICA", S418="GRADO DERECHO", S418="GRADO ECONOMÍA", S418="GRADO ING. TECNOLOGÍAS INDUSTRIALES"), 24, 0)) + (IF(AND(K418&gt;=451, K418&lt;=700), 23, 0)) + (IF(AND(AB418&gt;=5, AB418&lt;=8), 17, 0)) +(IF(_xludf.OR(_xludf.AND(AC418&gt;=8, AC418&lt;=10), _xludf.AND(AC418&gt;=0, AC418&lt;=5)), 16, 0)) + (IF(F418="Madrid", 11, 0))))</f>
        <v>#NAME?</v>
      </c>
      <c r="AG418" s="68"/>
      <c r="AH418" s="71" t="s">
        <v>164</v>
      </c>
    </row>
    <row r="419" spans="1:34" ht="14.4" x14ac:dyDescent="0.3">
      <c r="A419" s="66" t="s">
        <v>1397</v>
      </c>
      <c r="B419" s="66" t="s">
        <v>3514</v>
      </c>
      <c r="C419" s="33">
        <v>418</v>
      </c>
      <c r="D419" s="33" t="s">
        <v>5399</v>
      </c>
      <c r="E419" s="34" t="s">
        <v>5248</v>
      </c>
      <c r="F419" s="34" t="s">
        <v>18</v>
      </c>
      <c r="G419" s="57">
        <v>41648</v>
      </c>
      <c r="H419" s="57">
        <v>42247</v>
      </c>
      <c r="I419" s="34">
        <f t="shared" si="18"/>
        <v>19</v>
      </c>
      <c r="J419" s="34">
        <v>40</v>
      </c>
      <c r="K419" s="36">
        <v>900</v>
      </c>
      <c r="L419" s="34" t="s">
        <v>17</v>
      </c>
      <c r="M419" s="57">
        <v>34200</v>
      </c>
      <c r="N419" s="37">
        <f>(YEAR(TablaMadre[[#This Row],[ALTA]])-YEAR(M419))</f>
        <v>21</v>
      </c>
      <c r="O419" s="34" t="s">
        <v>18</v>
      </c>
      <c r="P419" s="34" t="s">
        <v>19</v>
      </c>
      <c r="Q419" s="34" t="s">
        <v>297</v>
      </c>
      <c r="R419" s="34" t="s">
        <v>21</v>
      </c>
      <c r="S419" s="34" t="s">
        <v>297</v>
      </c>
      <c r="T419" s="34"/>
      <c r="U419" s="34"/>
      <c r="V419" s="34" t="s">
        <v>40</v>
      </c>
      <c r="W419" s="34" t="s">
        <v>28</v>
      </c>
      <c r="X419" s="38" t="s">
        <v>173</v>
      </c>
      <c r="Y419" s="62"/>
      <c r="Z419" s="38" t="e">
        <f t="shared" si="19"/>
        <v>#NUM!</v>
      </c>
      <c r="AA419" s="38"/>
      <c r="AB419" s="34">
        <v>9</v>
      </c>
      <c r="AC419" s="34">
        <v>8</v>
      </c>
      <c r="AD419" s="38"/>
      <c r="AE419" s="59" t="str">
        <f t="shared" si="20"/>
        <v>NO</v>
      </c>
      <c r="AF419" s="38" t="e" cm="1">
        <f t="array" aca="1" ref="AF419" ca="1">MIN(100, MAX(0, (IF(R419="ESTUDIANTE", 31, 0)) + (IF(I419&lt;=3, 30, IF(I419&lt;=6, 20, 0))) +(IF(OR(E419="413 - Control de Costes y Enlace Construcción", E419="480 - Secretaría General del Consejo", E419="132 - Civil y estructuras", E419="136 - Mecánica", E419="412 - Planificación", E419="142 - Compras"), 25, 0)) +(IF(OR(S419="GRADO ING. MECÁNICA", S419="GRADO ING. ELÉCTRICA", S419="GRADO DERECHO", S419="GRADO ECONOMÍA", S419="GRADO ING. TECNOLOGÍAS INDUSTRIALES"), 24, 0)) + (IF(AND(K419&gt;=451, K419&lt;=700), 23, 0)) + (IF(AND(AB419&gt;=5, AB419&lt;=8), 17, 0)) +(IF(_xludf.OR(_xludf.AND(AC419&gt;=8, AC419&lt;=10), _xludf.AND(AC419&gt;=0, AC419&lt;=5)), 16, 0)) + (IF(F419="Madrid", 11, 0))))</f>
        <v>#NAME?</v>
      </c>
      <c r="AG419" s="68"/>
      <c r="AH419" s="71" t="s">
        <v>164</v>
      </c>
    </row>
    <row r="420" spans="1:34" ht="14.4" x14ac:dyDescent="0.3">
      <c r="A420" s="66" t="s">
        <v>1398</v>
      </c>
      <c r="B420" s="66" t="s">
        <v>3515</v>
      </c>
      <c r="C420" s="33">
        <v>419</v>
      </c>
      <c r="D420" s="33" t="s">
        <v>5400</v>
      </c>
      <c r="E420" s="34" t="s">
        <v>5248</v>
      </c>
      <c r="F420" s="34" t="s">
        <v>18</v>
      </c>
      <c r="G420" s="57">
        <v>41648</v>
      </c>
      <c r="H420" s="57">
        <v>42247</v>
      </c>
      <c r="I420" s="34">
        <f t="shared" si="18"/>
        <v>19</v>
      </c>
      <c r="J420" s="34">
        <v>40</v>
      </c>
      <c r="K420" s="36">
        <v>900</v>
      </c>
      <c r="L420" s="34" t="s">
        <v>29</v>
      </c>
      <c r="M420" s="57">
        <v>33707</v>
      </c>
      <c r="N420" s="37">
        <f>(YEAR(TablaMadre[[#This Row],[ALTA]])-YEAR(M420))</f>
        <v>22</v>
      </c>
      <c r="O420" s="34" t="s">
        <v>18</v>
      </c>
      <c r="P420" s="34" t="s">
        <v>19</v>
      </c>
      <c r="Q420" s="34" t="s">
        <v>297</v>
      </c>
      <c r="R420" s="34" t="s">
        <v>21</v>
      </c>
      <c r="S420" s="34" t="s">
        <v>297</v>
      </c>
      <c r="T420" s="34"/>
      <c r="U420" s="34"/>
      <c r="V420" s="34" t="s">
        <v>40</v>
      </c>
      <c r="W420" s="34" t="s">
        <v>28</v>
      </c>
      <c r="X420" s="38" t="s">
        <v>164</v>
      </c>
      <c r="Y420" s="62">
        <v>45425</v>
      </c>
      <c r="Z420" s="38">
        <f t="shared" si="19"/>
        <v>8</v>
      </c>
      <c r="AA420" s="38"/>
      <c r="AB420" s="34">
        <v>9</v>
      </c>
      <c r="AC420" s="34">
        <v>8</v>
      </c>
      <c r="AD420" s="38"/>
      <c r="AE420" s="59" t="str">
        <f t="shared" si="20"/>
        <v>NO</v>
      </c>
      <c r="AF420" s="38" t="e" cm="1">
        <f t="array" aca="1" ref="AF420" ca="1">MIN(100, MAX(0, (IF(R420="ESTUDIANTE", 31, 0)) + (IF(I420&lt;=3, 30, IF(I420&lt;=6, 20, 0))) +(IF(OR(E420="413 - Control de Costes y Enlace Construcción", E420="480 - Secretaría General del Consejo", E420="132 - Civil y estructuras", E420="136 - Mecánica", E420="412 - Planificación", E420="142 - Compras"), 25, 0)) +(IF(OR(S420="GRADO ING. MECÁNICA", S420="GRADO ING. ELÉCTRICA", S420="GRADO DERECHO", S420="GRADO ECONOMÍA", S420="GRADO ING. TECNOLOGÍAS INDUSTRIALES"), 24, 0)) + (IF(AND(K420&gt;=451, K420&lt;=700), 23, 0)) + (IF(AND(AB420&gt;=5, AB420&lt;=8), 17, 0)) +(IF(_xludf.OR(_xludf.AND(AC420&gt;=8, AC420&lt;=10), _xludf.AND(AC420&gt;=0, AC420&lt;=5)), 16, 0)) + (IF(F420="Madrid", 11, 0))))</f>
        <v>#NAME?</v>
      </c>
      <c r="AG420" s="68"/>
      <c r="AH420" s="71" t="s">
        <v>164</v>
      </c>
    </row>
    <row r="421" spans="1:34" ht="14.4" x14ac:dyDescent="0.3">
      <c r="A421" s="66" t="s">
        <v>1399</v>
      </c>
      <c r="B421" s="66" t="s">
        <v>3516</v>
      </c>
      <c r="C421" s="33">
        <v>420</v>
      </c>
      <c r="D421" s="33" t="s">
        <v>5401</v>
      </c>
      <c r="E421" s="34" t="s">
        <v>5216</v>
      </c>
      <c r="F421" s="34" t="s">
        <v>18</v>
      </c>
      <c r="G421" s="57">
        <v>41648</v>
      </c>
      <c r="H421" s="57">
        <v>42644</v>
      </c>
      <c r="I421" s="34">
        <f t="shared" si="18"/>
        <v>32</v>
      </c>
      <c r="J421" s="34">
        <v>40</v>
      </c>
      <c r="K421" s="36">
        <v>900</v>
      </c>
      <c r="L421" s="34" t="s">
        <v>17</v>
      </c>
      <c r="M421" s="57">
        <v>32280</v>
      </c>
      <c r="N421" s="37">
        <f>(YEAR(TablaMadre[[#This Row],[ALTA]])-YEAR(M421))</f>
        <v>26</v>
      </c>
      <c r="O421" s="34" t="s">
        <v>18</v>
      </c>
      <c r="P421" s="34" t="s">
        <v>19</v>
      </c>
      <c r="Q421" s="34" t="s">
        <v>49</v>
      </c>
      <c r="R421" s="34" t="s">
        <v>21</v>
      </c>
      <c r="S421" s="34" t="s">
        <v>297</v>
      </c>
      <c r="T421" s="34"/>
      <c r="U421" s="34"/>
      <c r="V421" s="34" t="s">
        <v>56</v>
      </c>
      <c r="W421" s="34" t="s">
        <v>28</v>
      </c>
      <c r="X421" s="38" t="s">
        <v>173</v>
      </c>
      <c r="Y421" s="62"/>
      <c r="Z421" s="38" t="e">
        <f t="shared" si="19"/>
        <v>#NUM!</v>
      </c>
      <c r="AA421" s="38"/>
      <c r="AB421" s="34">
        <v>10</v>
      </c>
      <c r="AC421" s="34"/>
      <c r="AD421" s="38"/>
      <c r="AE421" s="59" t="str">
        <f t="shared" si="20"/>
        <v>NO</v>
      </c>
      <c r="AF421" s="38" t="e" cm="1">
        <f t="array" aca="1" ref="AF421" ca="1">MIN(100, MAX(0, (IF(R421="ESTUDIANTE", 31, 0)) + (IF(I421&lt;=3, 30, IF(I421&lt;=6, 20, 0))) +(IF(OR(E421="413 - Control de Costes y Enlace Construcción", E421="480 - Secretaría General del Consejo", E421="132 - Civil y estructuras", E421="136 - Mecánica", E421="412 - Planificación", E421="142 - Compras"), 25, 0)) +(IF(OR(S421="GRADO ING. MECÁNICA", S421="GRADO ING. ELÉCTRICA", S421="GRADO DERECHO", S421="GRADO ECONOMÍA", S421="GRADO ING. TECNOLOGÍAS INDUSTRIALES"), 24, 0)) + (IF(AND(K421&gt;=451, K421&lt;=700), 23, 0)) + (IF(AND(AB421&gt;=5, AB421&lt;=8), 17, 0)) +(IF(_xludf.OR(_xludf.AND(AC421&gt;=8, AC421&lt;=10), _xludf.AND(AC421&gt;=0, AC421&lt;=5)), 16, 0)) + (IF(F421="Madrid", 11, 0))))</f>
        <v>#NAME?</v>
      </c>
      <c r="AG421" s="68"/>
      <c r="AH421" s="71" t="s">
        <v>164</v>
      </c>
    </row>
    <row r="422" spans="1:34" ht="14.4" x14ac:dyDescent="0.3">
      <c r="A422" s="66" t="s">
        <v>1400</v>
      </c>
      <c r="B422" s="66" t="s">
        <v>3517</v>
      </c>
      <c r="C422" s="33">
        <v>421</v>
      </c>
      <c r="D422" s="33" t="s">
        <v>5402</v>
      </c>
      <c r="E422" s="34" t="s">
        <v>5215</v>
      </c>
      <c r="F422" s="34" t="s">
        <v>118</v>
      </c>
      <c r="G422" s="57">
        <v>41649</v>
      </c>
      <c r="H422" s="57">
        <v>42015</v>
      </c>
      <c r="I422" s="34">
        <f t="shared" si="18"/>
        <v>12</v>
      </c>
      <c r="J422" s="34">
        <v>40</v>
      </c>
      <c r="K422" s="36">
        <v>900</v>
      </c>
      <c r="L422" s="34" t="s">
        <v>29</v>
      </c>
      <c r="M422" s="57">
        <v>33405</v>
      </c>
      <c r="N422" s="37">
        <f>(YEAR(TablaMadre[[#This Row],[ALTA]])-YEAR(M422))</f>
        <v>23</v>
      </c>
      <c r="O422" s="34" t="s">
        <v>118</v>
      </c>
      <c r="P422" s="34" t="s">
        <v>19</v>
      </c>
      <c r="Q422" s="34" t="s">
        <v>140</v>
      </c>
      <c r="R422" s="34" t="s">
        <v>21</v>
      </c>
      <c r="S422" s="34" t="s">
        <v>151</v>
      </c>
      <c r="T422" s="34"/>
      <c r="U422" s="34"/>
      <c r="V422" s="34" t="s">
        <v>193</v>
      </c>
      <c r="W422" s="34" t="s">
        <v>28</v>
      </c>
      <c r="X422" s="38" t="s">
        <v>173</v>
      </c>
      <c r="Y422" s="62"/>
      <c r="Z422" s="38" t="e">
        <f t="shared" si="19"/>
        <v>#NUM!</v>
      </c>
      <c r="AA422" s="38"/>
      <c r="AB422" s="34">
        <v>9</v>
      </c>
      <c r="AC422" s="34"/>
      <c r="AD422" s="38"/>
      <c r="AE422" s="59" t="str">
        <f t="shared" si="20"/>
        <v>NO</v>
      </c>
      <c r="AF422" s="38" t="e" cm="1">
        <f t="array" aca="1" ref="AF422" ca="1">MIN(100, MAX(0, (IF(R422="ESTUDIANTE", 31, 0)) + (IF(I422&lt;=3, 30, IF(I422&lt;=6, 20, 0))) +(IF(OR(E422="413 - Control de Costes y Enlace Construcción", E422="480 - Secretaría General del Consejo", E422="132 - Civil y estructuras", E422="136 - Mecánica", E422="412 - Planificación", E422="142 - Compras"), 25, 0)) +(IF(OR(S422="GRADO ING. MECÁNICA", S422="GRADO ING. ELÉCTRICA", S422="GRADO DERECHO", S422="GRADO ECONOMÍA", S422="GRADO ING. TECNOLOGÍAS INDUSTRIALES"), 24, 0)) + (IF(AND(K422&gt;=451, K422&lt;=700), 23, 0)) + (IF(AND(AB422&gt;=5, AB422&lt;=8), 17, 0)) +(IF(_xludf.OR(_xludf.AND(AC422&gt;=8, AC422&lt;=10), _xludf.AND(AC422&gt;=0, AC422&lt;=5)), 16, 0)) + (IF(F422="Madrid", 11, 0))))</f>
        <v>#NAME?</v>
      </c>
      <c r="AG422" s="68"/>
      <c r="AH422" s="71" t="s">
        <v>164</v>
      </c>
    </row>
    <row r="423" spans="1:34" ht="14.4" x14ac:dyDescent="0.3">
      <c r="A423" s="66" t="s">
        <v>1401</v>
      </c>
      <c r="B423" s="66" t="s">
        <v>3518</v>
      </c>
      <c r="C423" s="33">
        <v>422</v>
      </c>
      <c r="D423" s="33" t="s">
        <v>5393</v>
      </c>
      <c r="E423" s="34" t="s">
        <v>5273</v>
      </c>
      <c r="F423" s="34" t="s">
        <v>18</v>
      </c>
      <c r="G423" s="57">
        <v>41649</v>
      </c>
      <c r="H423" s="57">
        <v>42096</v>
      </c>
      <c r="I423" s="34">
        <f t="shared" si="18"/>
        <v>14</v>
      </c>
      <c r="J423" s="34">
        <v>40</v>
      </c>
      <c r="K423" s="36">
        <v>900</v>
      </c>
      <c r="L423" s="34" t="s">
        <v>17</v>
      </c>
      <c r="M423" s="57">
        <v>32561</v>
      </c>
      <c r="N423" s="37">
        <f>(YEAR(TablaMadre[[#This Row],[ALTA]])-YEAR(M423))</f>
        <v>25</v>
      </c>
      <c r="O423" s="34" t="s">
        <v>18</v>
      </c>
      <c r="P423" s="34" t="s">
        <v>19</v>
      </c>
      <c r="Q423" s="34" t="s">
        <v>85</v>
      </c>
      <c r="R423" s="34" t="s">
        <v>21</v>
      </c>
      <c r="S423" s="34" t="s">
        <v>322</v>
      </c>
      <c r="T423" s="34"/>
      <c r="U423" s="34"/>
      <c r="V423" s="34" t="s">
        <v>22</v>
      </c>
      <c r="W423" s="34" t="s">
        <v>97</v>
      </c>
      <c r="X423" s="38" t="s">
        <v>164</v>
      </c>
      <c r="Y423" s="62">
        <v>44968</v>
      </c>
      <c r="Z423" s="38">
        <f t="shared" si="19"/>
        <v>7</v>
      </c>
      <c r="AA423" s="38"/>
      <c r="AB423" s="34" t="s">
        <v>230</v>
      </c>
      <c r="AC423" s="34" t="s">
        <v>230</v>
      </c>
      <c r="AD423" s="38"/>
      <c r="AE423" s="59" t="str">
        <f t="shared" si="20"/>
        <v>NO</v>
      </c>
      <c r="AF423" s="38" t="e" cm="1">
        <f t="array" aca="1" ref="AF423" ca="1">MIN(100, MAX(0, (IF(R423="ESTUDIANTE", 31, 0)) + (IF(I423&lt;=3, 30, IF(I423&lt;=6, 20, 0))) +(IF(OR(E423="413 - Control de Costes y Enlace Construcción", E423="480 - Secretaría General del Consejo", E423="132 - Civil y estructuras", E423="136 - Mecánica", E423="412 - Planificación", E423="142 - Compras"), 25, 0)) +(IF(OR(S423="GRADO ING. MECÁNICA", S423="GRADO ING. ELÉCTRICA", S423="GRADO DERECHO", S423="GRADO ECONOMÍA", S423="GRADO ING. TECNOLOGÍAS INDUSTRIALES"), 24, 0)) + (IF(AND(K423&gt;=451, K423&lt;=700), 23, 0)) + (IF(AND(AB423&gt;=5, AB423&lt;=8), 17, 0)) +(IF(_xludf.OR(_xludf.AND(AC423&gt;=8, AC423&lt;=10), _xludf.AND(AC423&gt;=0, AC423&lt;=5)), 16, 0)) + (IF(F423="Madrid", 11, 0))))</f>
        <v>#NAME?</v>
      </c>
      <c r="AG423" s="68"/>
      <c r="AH423" s="71" t="s">
        <v>164</v>
      </c>
    </row>
    <row r="424" spans="1:34" ht="14.4" x14ac:dyDescent="0.3">
      <c r="A424" s="66" t="s">
        <v>1402</v>
      </c>
      <c r="B424" s="66" t="s">
        <v>3519</v>
      </c>
      <c r="C424" s="33">
        <v>423</v>
      </c>
      <c r="D424" s="33" t="s">
        <v>5394</v>
      </c>
      <c r="E424" s="34" t="s">
        <v>5256</v>
      </c>
      <c r="F424" s="34" t="s">
        <v>18</v>
      </c>
      <c r="G424" s="57">
        <v>41649</v>
      </c>
      <c r="H424" s="57">
        <v>42185</v>
      </c>
      <c r="I424" s="34">
        <f t="shared" si="18"/>
        <v>17</v>
      </c>
      <c r="J424" s="34">
        <v>40</v>
      </c>
      <c r="K424" s="36">
        <v>2000</v>
      </c>
      <c r="L424" s="34" t="s">
        <v>29</v>
      </c>
      <c r="M424" s="57">
        <v>34025</v>
      </c>
      <c r="N424" s="37">
        <f>(YEAR(TablaMadre[[#This Row],[ALTA]])-YEAR(M424))</f>
        <v>21</v>
      </c>
      <c r="O424" s="34" t="s">
        <v>102</v>
      </c>
      <c r="P424" s="34" t="s">
        <v>103</v>
      </c>
      <c r="Q424" s="34" t="s">
        <v>49</v>
      </c>
      <c r="R424" s="34" t="s">
        <v>21</v>
      </c>
      <c r="S424" s="34" t="s">
        <v>297</v>
      </c>
      <c r="T424" s="34"/>
      <c r="U424" s="34"/>
      <c r="V424" s="34" t="s">
        <v>16</v>
      </c>
      <c r="W424" s="34" t="s">
        <v>28</v>
      </c>
      <c r="X424" s="38" t="s">
        <v>164</v>
      </c>
      <c r="Y424" s="62">
        <v>42917</v>
      </c>
      <c r="Z424" s="38">
        <f t="shared" si="19"/>
        <v>2</v>
      </c>
      <c r="AA424" s="38"/>
      <c r="AB424" s="34">
        <v>7</v>
      </c>
      <c r="AC424" s="34"/>
      <c r="AD424" s="38"/>
      <c r="AE424" s="59" t="str">
        <f t="shared" si="20"/>
        <v>SÍ</v>
      </c>
      <c r="AF424" s="38" t="e" cm="1">
        <f t="array" aca="1" ref="AF424" ca="1">MIN(100, MAX(0, (IF(R424="ESTUDIANTE", 31, 0)) + (IF(I424&lt;=3, 30, IF(I424&lt;=6, 20, 0))) +(IF(OR(E424="413 - Control de Costes y Enlace Construcción", E424="480 - Secretaría General del Consejo", E424="132 - Civil y estructuras", E424="136 - Mecánica", E424="412 - Planificación", E424="142 - Compras"), 25, 0)) +(IF(OR(S424="GRADO ING. MECÁNICA", S424="GRADO ING. ELÉCTRICA", S424="GRADO DERECHO", S424="GRADO ECONOMÍA", S424="GRADO ING. TECNOLOGÍAS INDUSTRIALES"), 24, 0)) + (IF(AND(K424&gt;=451, K424&lt;=700), 23, 0)) + (IF(AND(AB424&gt;=5, AB424&lt;=8), 17, 0)) +(IF(_xludf.OR(_xludf.AND(AC424&gt;=8, AC424&lt;=10), _xludf.AND(AC424&gt;=0, AC424&lt;=5)), 16, 0)) + (IF(F424="Madrid", 11, 0))))</f>
        <v>#NAME?</v>
      </c>
      <c r="AG424" s="68"/>
      <c r="AH424" s="71" t="s">
        <v>164</v>
      </c>
    </row>
    <row r="425" spans="1:34" ht="14.4" x14ac:dyDescent="0.3">
      <c r="A425" s="66" t="s">
        <v>1403</v>
      </c>
      <c r="B425" s="66" t="s">
        <v>3520</v>
      </c>
      <c r="C425" s="33">
        <v>424</v>
      </c>
      <c r="D425" s="33" t="s">
        <v>5395</v>
      </c>
      <c r="E425" s="34" t="s">
        <v>5216</v>
      </c>
      <c r="F425" s="34" t="s">
        <v>18</v>
      </c>
      <c r="G425" s="57">
        <v>41649</v>
      </c>
      <c r="H425" s="57">
        <v>42185</v>
      </c>
      <c r="I425" s="34">
        <f t="shared" si="18"/>
        <v>17</v>
      </c>
      <c r="J425" s="34">
        <v>40</v>
      </c>
      <c r="K425" s="36">
        <v>2000</v>
      </c>
      <c r="L425" s="34" t="s">
        <v>29</v>
      </c>
      <c r="M425" s="57">
        <v>33654</v>
      </c>
      <c r="N425" s="37">
        <f>(YEAR(TablaMadre[[#This Row],[ALTA]])-YEAR(M425))</f>
        <v>22</v>
      </c>
      <c r="O425" s="34" t="s">
        <v>430</v>
      </c>
      <c r="P425" s="34" t="s">
        <v>103</v>
      </c>
      <c r="Q425" s="34" t="s">
        <v>49</v>
      </c>
      <c r="R425" s="34" t="s">
        <v>21</v>
      </c>
      <c r="S425" s="34" t="s">
        <v>297</v>
      </c>
      <c r="T425" s="34"/>
      <c r="U425" s="34"/>
      <c r="V425" s="34" t="s">
        <v>16</v>
      </c>
      <c r="W425" s="34" t="s">
        <v>23</v>
      </c>
      <c r="X425" s="38" t="s">
        <v>164</v>
      </c>
      <c r="Y425" s="62">
        <v>42186</v>
      </c>
      <c r="Z425" s="38">
        <f t="shared" si="19"/>
        <v>0</v>
      </c>
      <c r="AA425" s="38"/>
      <c r="AB425" s="34">
        <v>7</v>
      </c>
      <c r="AC425" s="34"/>
      <c r="AD425" s="38"/>
      <c r="AE425" s="59" t="str">
        <f t="shared" si="20"/>
        <v>SÍ</v>
      </c>
      <c r="AF425" s="38" t="e" cm="1">
        <f t="array" aca="1" ref="AF425" ca="1">MIN(100, MAX(0, (IF(R425="ESTUDIANTE", 31, 0)) + (IF(I425&lt;=3, 30, IF(I425&lt;=6, 20, 0))) +(IF(OR(E425="413 - Control de Costes y Enlace Construcción", E425="480 - Secretaría General del Consejo", E425="132 - Civil y estructuras", E425="136 - Mecánica", E425="412 - Planificación", E425="142 - Compras"), 25, 0)) +(IF(OR(S425="GRADO ING. MECÁNICA", S425="GRADO ING. ELÉCTRICA", S425="GRADO DERECHO", S425="GRADO ECONOMÍA", S425="GRADO ING. TECNOLOGÍAS INDUSTRIALES"), 24, 0)) + (IF(AND(K425&gt;=451, K425&lt;=700), 23, 0)) + (IF(AND(AB425&gt;=5, AB425&lt;=8), 17, 0)) +(IF(_xludf.OR(_xludf.AND(AC425&gt;=8, AC425&lt;=10), _xludf.AND(AC425&gt;=0, AC425&lt;=5)), 16, 0)) + (IF(F425="Madrid", 11, 0))))</f>
        <v>#NAME?</v>
      </c>
      <c r="AG425" s="68"/>
      <c r="AH425" s="71" t="s">
        <v>164</v>
      </c>
    </row>
    <row r="426" spans="1:34" ht="14.4" x14ac:dyDescent="0.3">
      <c r="A426" s="66" t="s">
        <v>1404</v>
      </c>
      <c r="B426" s="66" t="s">
        <v>3521</v>
      </c>
      <c r="C426" s="33">
        <v>425</v>
      </c>
      <c r="D426" s="33" t="s">
        <v>5396</v>
      </c>
      <c r="E426" s="34" t="s">
        <v>5273</v>
      </c>
      <c r="F426" s="34" t="s">
        <v>18</v>
      </c>
      <c r="G426" s="57">
        <v>41649</v>
      </c>
      <c r="H426" s="57">
        <v>42277</v>
      </c>
      <c r="I426" s="34">
        <f t="shared" si="18"/>
        <v>20</v>
      </c>
      <c r="J426" s="34">
        <v>40</v>
      </c>
      <c r="K426" s="36">
        <v>900</v>
      </c>
      <c r="L426" s="34" t="s">
        <v>17</v>
      </c>
      <c r="M426" s="57">
        <v>33356</v>
      </c>
      <c r="N426" s="37">
        <f>(YEAR(TablaMadre[[#This Row],[ALTA]])-YEAR(M426))</f>
        <v>23</v>
      </c>
      <c r="O426" s="34" t="s">
        <v>18</v>
      </c>
      <c r="P426" s="34" t="s">
        <v>19</v>
      </c>
      <c r="Q426" s="34" t="s">
        <v>20</v>
      </c>
      <c r="R426" s="34" t="s">
        <v>21</v>
      </c>
      <c r="S426" s="34" t="s">
        <v>151</v>
      </c>
      <c r="T426" s="34"/>
      <c r="U426" s="34"/>
      <c r="V426" s="34" t="s">
        <v>22</v>
      </c>
      <c r="W426" s="34" t="s">
        <v>28</v>
      </c>
      <c r="X426" s="38" t="s">
        <v>164</v>
      </c>
      <c r="Y426" s="62">
        <v>44623</v>
      </c>
      <c r="Z426" s="38">
        <f t="shared" si="19"/>
        <v>6</v>
      </c>
      <c r="AA426" s="38"/>
      <c r="AB426" s="34">
        <v>8</v>
      </c>
      <c r="AC426" s="34" t="s">
        <v>328</v>
      </c>
      <c r="AD426" s="38"/>
      <c r="AE426" s="59" t="str">
        <f t="shared" si="20"/>
        <v>NO</v>
      </c>
      <c r="AF426" s="38" t="e" cm="1">
        <f t="array" aca="1" ref="AF426" ca="1">MIN(100, MAX(0, (IF(R426="ESTUDIANTE", 31, 0)) + (IF(I426&lt;=3, 30, IF(I426&lt;=6, 20, 0))) +(IF(OR(E426="413 - Control de Costes y Enlace Construcción", E426="480 - Secretaría General del Consejo", E426="132 - Civil y estructuras", E426="136 - Mecánica", E426="412 - Planificación", E426="142 - Compras"), 25, 0)) +(IF(OR(S426="GRADO ING. MECÁNICA", S426="GRADO ING. ELÉCTRICA", S426="GRADO DERECHO", S426="GRADO ECONOMÍA", S426="GRADO ING. TECNOLOGÍAS INDUSTRIALES"), 24, 0)) + (IF(AND(K426&gt;=451, K426&lt;=700), 23, 0)) + (IF(AND(AB426&gt;=5, AB426&lt;=8), 17, 0)) +(IF(_xludf.OR(_xludf.AND(AC426&gt;=8, AC426&lt;=10), _xludf.AND(AC426&gt;=0, AC426&lt;=5)), 16, 0)) + (IF(F426="Madrid", 11, 0))))</f>
        <v>#NAME?</v>
      </c>
      <c r="AG426" s="68"/>
      <c r="AH426" s="71" t="s">
        <v>164</v>
      </c>
    </row>
    <row r="427" spans="1:34" ht="14.4" x14ac:dyDescent="0.3">
      <c r="A427" s="66" t="s">
        <v>1405</v>
      </c>
      <c r="B427" s="66" t="s">
        <v>3522</v>
      </c>
      <c r="C427" s="33">
        <v>426</v>
      </c>
      <c r="D427" s="33" t="s">
        <v>5397</v>
      </c>
      <c r="E427" s="34" t="s">
        <v>5251</v>
      </c>
      <c r="F427" s="34" t="s">
        <v>18</v>
      </c>
      <c r="G427" s="57">
        <v>41649</v>
      </c>
      <c r="H427" s="57">
        <v>42277</v>
      </c>
      <c r="I427" s="34">
        <f t="shared" si="18"/>
        <v>20</v>
      </c>
      <c r="J427" s="34">
        <v>40</v>
      </c>
      <c r="K427" s="36">
        <v>900</v>
      </c>
      <c r="L427" s="34" t="s">
        <v>29</v>
      </c>
      <c r="M427" s="57">
        <v>33351</v>
      </c>
      <c r="N427" s="37">
        <f>(YEAR(TablaMadre[[#This Row],[ALTA]])-YEAR(M427))</f>
        <v>23</v>
      </c>
      <c r="O427" s="34" t="s">
        <v>411</v>
      </c>
      <c r="P427" s="34" t="s">
        <v>19</v>
      </c>
      <c r="Q427" s="34" t="s">
        <v>49</v>
      </c>
      <c r="R427" s="34" t="s">
        <v>21</v>
      </c>
      <c r="S427" s="34" t="s">
        <v>297</v>
      </c>
      <c r="T427" s="34"/>
      <c r="U427" s="34"/>
      <c r="V427" s="34" t="s">
        <v>142</v>
      </c>
      <c r="W427" s="34" t="s">
        <v>28</v>
      </c>
      <c r="X427" s="38" t="s">
        <v>164</v>
      </c>
      <c r="Y427" s="62">
        <v>43646</v>
      </c>
      <c r="Z427" s="38">
        <f t="shared" si="19"/>
        <v>3</v>
      </c>
      <c r="AA427" s="38"/>
      <c r="AB427" s="34">
        <v>9</v>
      </c>
      <c r="AC427" s="34"/>
      <c r="AD427" s="38"/>
      <c r="AE427" s="59" t="str">
        <f t="shared" si="20"/>
        <v>SÍ</v>
      </c>
      <c r="AF427" s="38" t="e" cm="1">
        <f t="array" aca="1" ref="AF427" ca="1">MIN(100, MAX(0, (IF(R427="ESTUDIANTE", 31, 0)) + (IF(I427&lt;=3, 30, IF(I427&lt;=6, 20, 0))) +(IF(OR(E427="413 - Control de Costes y Enlace Construcción", E427="480 - Secretaría General del Consejo", E427="132 - Civil y estructuras", E427="136 - Mecánica", E427="412 - Planificación", E427="142 - Compras"), 25, 0)) +(IF(OR(S427="GRADO ING. MECÁNICA", S427="GRADO ING. ELÉCTRICA", S427="GRADO DERECHO", S427="GRADO ECONOMÍA", S427="GRADO ING. TECNOLOGÍAS INDUSTRIALES"), 24, 0)) + (IF(AND(K427&gt;=451, K427&lt;=700), 23, 0)) + (IF(AND(AB427&gt;=5, AB427&lt;=8), 17, 0)) +(IF(_xludf.OR(_xludf.AND(AC427&gt;=8, AC427&lt;=10), _xludf.AND(AC427&gt;=0, AC427&lt;=5)), 16, 0)) + (IF(F427="Madrid", 11, 0))))</f>
        <v>#NAME?</v>
      </c>
      <c r="AG427" s="68"/>
      <c r="AH427" s="71" t="s">
        <v>164</v>
      </c>
    </row>
    <row r="428" spans="1:34" ht="14.4" x14ac:dyDescent="0.3">
      <c r="A428" s="66" t="s">
        <v>1406</v>
      </c>
      <c r="B428" s="66" t="s">
        <v>3523</v>
      </c>
      <c r="C428" s="33">
        <v>427</v>
      </c>
      <c r="D428" s="33" t="s">
        <v>5398</v>
      </c>
      <c r="E428" s="34" t="s">
        <v>5279</v>
      </c>
      <c r="F428" s="34" t="s">
        <v>18</v>
      </c>
      <c r="G428" s="57">
        <v>41649</v>
      </c>
      <c r="H428" s="57">
        <v>42277</v>
      </c>
      <c r="I428" s="34">
        <f t="shared" si="18"/>
        <v>20</v>
      </c>
      <c r="J428" s="34">
        <v>40</v>
      </c>
      <c r="K428" s="36">
        <v>900</v>
      </c>
      <c r="L428" s="34" t="s">
        <v>29</v>
      </c>
      <c r="M428" s="57">
        <v>33343</v>
      </c>
      <c r="N428" s="37">
        <f>(YEAR(TablaMadre[[#This Row],[ALTA]])-YEAR(M428))</f>
        <v>23</v>
      </c>
      <c r="O428" s="34" t="s">
        <v>18</v>
      </c>
      <c r="P428" s="34" t="s">
        <v>19</v>
      </c>
      <c r="Q428" s="34" t="s">
        <v>329</v>
      </c>
      <c r="R428" s="34" t="s">
        <v>21</v>
      </c>
      <c r="S428" s="34" t="s">
        <v>395</v>
      </c>
      <c r="T428" s="34"/>
      <c r="U428" s="34"/>
      <c r="V428" s="34" t="s">
        <v>22</v>
      </c>
      <c r="W428" s="34" t="s">
        <v>28</v>
      </c>
      <c r="X428" s="38" t="s">
        <v>164</v>
      </c>
      <c r="Y428" s="62">
        <v>44973</v>
      </c>
      <c r="Z428" s="38">
        <f t="shared" si="19"/>
        <v>7</v>
      </c>
      <c r="AA428" s="38"/>
      <c r="AB428" s="34">
        <v>9</v>
      </c>
      <c r="AC428" s="34">
        <v>7</v>
      </c>
      <c r="AD428" s="38"/>
      <c r="AE428" s="59" t="str">
        <f t="shared" si="20"/>
        <v>NO</v>
      </c>
      <c r="AF428" s="38" t="e" cm="1">
        <f t="array" aca="1" ref="AF428" ca="1">MIN(100, MAX(0, (IF(R428="ESTUDIANTE", 31, 0)) + (IF(I428&lt;=3, 30, IF(I428&lt;=6, 20, 0))) +(IF(OR(E428="413 - Control de Costes y Enlace Construcción", E428="480 - Secretaría General del Consejo", E428="132 - Civil y estructuras", E428="136 - Mecánica", E428="412 - Planificación", E428="142 - Compras"), 25, 0)) +(IF(OR(S428="GRADO ING. MECÁNICA", S428="GRADO ING. ELÉCTRICA", S428="GRADO DERECHO", S428="GRADO ECONOMÍA", S428="GRADO ING. TECNOLOGÍAS INDUSTRIALES"), 24, 0)) + (IF(AND(K428&gt;=451, K428&lt;=700), 23, 0)) + (IF(AND(AB428&gt;=5, AB428&lt;=8), 17, 0)) +(IF(_xludf.OR(_xludf.AND(AC428&gt;=8, AC428&lt;=10), _xludf.AND(AC428&gt;=0, AC428&lt;=5)), 16, 0)) + (IF(F428="Madrid", 11, 0))))</f>
        <v>#NAME?</v>
      </c>
      <c r="AG428" s="68"/>
      <c r="AH428" s="71" t="s">
        <v>164</v>
      </c>
    </row>
    <row r="429" spans="1:34" ht="14.4" x14ac:dyDescent="0.3">
      <c r="A429" s="66" t="s">
        <v>1407</v>
      </c>
      <c r="B429" s="66" t="s">
        <v>3524</v>
      </c>
      <c r="C429" s="33">
        <v>428</v>
      </c>
      <c r="D429" s="33" t="s">
        <v>5399</v>
      </c>
      <c r="E429" s="34" t="s">
        <v>5244</v>
      </c>
      <c r="F429" s="34" t="s">
        <v>18</v>
      </c>
      <c r="G429" s="57">
        <v>41649</v>
      </c>
      <c r="H429" s="57">
        <v>42277</v>
      </c>
      <c r="I429" s="34">
        <f t="shared" si="18"/>
        <v>20</v>
      </c>
      <c r="J429" s="34">
        <v>40</v>
      </c>
      <c r="K429" s="36">
        <v>900</v>
      </c>
      <c r="L429" s="34" t="s">
        <v>17</v>
      </c>
      <c r="M429" s="57">
        <v>34756</v>
      </c>
      <c r="N429" s="37">
        <f>(YEAR(TablaMadre[[#This Row],[ALTA]])-YEAR(M429))</f>
        <v>19</v>
      </c>
      <c r="O429" s="34" t="s">
        <v>146</v>
      </c>
      <c r="P429" s="34" t="s">
        <v>19</v>
      </c>
      <c r="Q429" s="34" t="s">
        <v>66</v>
      </c>
      <c r="R429" s="34" t="s">
        <v>21</v>
      </c>
      <c r="S429" s="34" t="s">
        <v>322</v>
      </c>
      <c r="T429" s="34"/>
      <c r="U429" s="34"/>
      <c r="V429" s="34" t="s">
        <v>22</v>
      </c>
      <c r="W429" s="34" t="s">
        <v>28</v>
      </c>
      <c r="X429" s="38" t="s">
        <v>173</v>
      </c>
      <c r="Y429" s="62"/>
      <c r="Z429" s="38" t="e">
        <f t="shared" si="19"/>
        <v>#NUM!</v>
      </c>
      <c r="AA429" s="38"/>
      <c r="AB429" s="34"/>
      <c r="AC429" s="34" t="s">
        <v>303</v>
      </c>
      <c r="AD429" s="38"/>
      <c r="AE429" s="59" t="str">
        <f t="shared" si="20"/>
        <v>SÍ</v>
      </c>
      <c r="AF429" s="38" t="e" cm="1">
        <f t="array" aca="1" ref="AF429" ca="1">MIN(100, MAX(0, (IF(R429="ESTUDIANTE", 31, 0)) + (IF(I429&lt;=3, 30, IF(I429&lt;=6, 20, 0))) +(IF(OR(E429="413 - Control de Costes y Enlace Construcción", E429="480 - Secretaría General del Consejo", E429="132 - Civil y estructuras", E429="136 - Mecánica", E429="412 - Planificación", E429="142 - Compras"), 25, 0)) +(IF(OR(S429="GRADO ING. MECÁNICA", S429="GRADO ING. ELÉCTRICA", S429="GRADO DERECHO", S429="GRADO ECONOMÍA", S429="GRADO ING. TECNOLOGÍAS INDUSTRIALES"), 24, 0)) + (IF(AND(K429&gt;=451, K429&lt;=700), 23, 0)) + (IF(AND(AB429&gt;=5, AB429&lt;=8), 17, 0)) +(IF(_xludf.OR(_xludf.AND(AC429&gt;=8, AC429&lt;=10), _xludf.AND(AC429&gt;=0, AC429&lt;=5)), 16, 0)) + (IF(F429="Madrid", 11, 0))))</f>
        <v>#NAME?</v>
      </c>
      <c r="AG429" s="68"/>
      <c r="AH429" s="71" t="s">
        <v>164</v>
      </c>
    </row>
    <row r="430" spans="1:34" ht="14.4" x14ac:dyDescent="0.3">
      <c r="A430" s="66" t="s">
        <v>1408</v>
      </c>
      <c r="B430" s="66" t="s">
        <v>3525</v>
      </c>
      <c r="C430" s="33">
        <v>429</v>
      </c>
      <c r="D430" s="33" t="s">
        <v>5393</v>
      </c>
      <c r="E430" s="34" t="s">
        <v>5244</v>
      </c>
      <c r="F430" s="34" t="s">
        <v>18</v>
      </c>
      <c r="G430" s="57">
        <v>41649</v>
      </c>
      <c r="H430" s="57">
        <v>42277</v>
      </c>
      <c r="I430" s="34">
        <f t="shared" si="18"/>
        <v>20</v>
      </c>
      <c r="J430" s="34">
        <v>40</v>
      </c>
      <c r="K430" s="36">
        <v>825</v>
      </c>
      <c r="L430" s="34" t="s">
        <v>29</v>
      </c>
      <c r="M430" s="57">
        <v>34324</v>
      </c>
      <c r="N430" s="37">
        <f>(YEAR(TablaMadre[[#This Row],[ALTA]])-YEAR(M430))</f>
        <v>21</v>
      </c>
      <c r="O430" s="34" t="s">
        <v>105</v>
      </c>
      <c r="P430" s="34" t="s">
        <v>19</v>
      </c>
      <c r="Q430" s="34" t="s">
        <v>177</v>
      </c>
      <c r="R430" s="34" t="s">
        <v>21</v>
      </c>
      <c r="S430" s="34" t="s">
        <v>397</v>
      </c>
      <c r="T430" s="34"/>
      <c r="U430" s="34"/>
      <c r="V430" s="34" t="s">
        <v>22</v>
      </c>
      <c r="W430" s="34" t="s">
        <v>28</v>
      </c>
      <c r="X430" s="38" t="s">
        <v>164</v>
      </c>
      <c r="Y430" s="62">
        <v>43738</v>
      </c>
      <c r="Z430" s="38">
        <f t="shared" si="19"/>
        <v>4</v>
      </c>
      <c r="AA430" s="38"/>
      <c r="AB430" s="34">
        <v>7</v>
      </c>
      <c r="AC430" s="34" t="s">
        <v>303</v>
      </c>
      <c r="AD430" s="38"/>
      <c r="AE430" s="59" t="str">
        <f t="shared" si="20"/>
        <v>SÍ</v>
      </c>
      <c r="AF430" s="38" t="e" cm="1">
        <f t="array" aca="1" ref="AF430" ca="1">MIN(100, MAX(0, (IF(R430="ESTUDIANTE", 31, 0)) + (IF(I430&lt;=3, 30, IF(I430&lt;=6, 20, 0))) +(IF(OR(E430="413 - Control de Costes y Enlace Construcción", E430="480 - Secretaría General del Consejo", E430="132 - Civil y estructuras", E430="136 - Mecánica", E430="412 - Planificación", E430="142 - Compras"), 25, 0)) +(IF(OR(S430="GRADO ING. MECÁNICA", S430="GRADO ING. ELÉCTRICA", S430="GRADO DERECHO", S430="GRADO ECONOMÍA", S430="GRADO ING. TECNOLOGÍAS INDUSTRIALES"), 24, 0)) + (IF(AND(K430&gt;=451, K430&lt;=700), 23, 0)) + (IF(AND(AB430&gt;=5, AB430&lt;=8), 17, 0)) +(IF(_xludf.OR(_xludf.AND(AC430&gt;=8, AC430&lt;=10), _xludf.AND(AC430&gt;=0, AC430&lt;=5)), 16, 0)) + (IF(F430="Madrid", 11, 0))))</f>
        <v>#NAME?</v>
      </c>
      <c r="AG430" s="68"/>
      <c r="AH430" s="71" t="s">
        <v>164</v>
      </c>
    </row>
    <row r="431" spans="1:34" ht="14.4" x14ac:dyDescent="0.3">
      <c r="A431" s="66" t="s">
        <v>1409</v>
      </c>
      <c r="B431" s="66" t="s">
        <v>3526</v>
      </c>
      <c r="C431" s="33">
        <v>430</v>
      </c>
      <c r="D431" s="33" t="s">
        <v>5394</v>
      </c>
      <c r="E431" s="34" t="s">
        <v>5216</v>
      </c>
      <c r="F431" s="34" t="s">
        <v>18</v>
      </c>
      <c r="G431" s="57">
        <v>41651</v>
      </c>
      <c r="H431" s="57">
        <v>42155</v>
      </c>
      <c r="I431" s="34">
        <f t="shared" si="18"/>
        <v>16</v>
      </c>
      <c r="J431" s="34">
        <v>30</v>
      </c>
      <c r="K431" s="36">
        <v>675</v>
      </c>
      <c r="L431" s="34" t="s">
        <v>29</v>
      </c>
      <c r="M431" s="57">
        <v>33504</v>
      </c>
      <c r="N431" s="37">
        <f>(YEAR(TablaMadre[[#This Row],[ALTA]])-YEAR(M431))</f>
        <v>23</v>
      </c>
      <c r="O431" s="34" t="s">
        <v>153</v>
      </c>
      <c r="P431" s="34" t="s">
        <v>273</v>
      </c>
      <c r="Q431" s="34" t="s">
        <v>49</v>
      </c>
      <c r="R431" s="58" t="s">
        <v>30</v>
      </c>
      <c r="S431" s="34" t="s">
        <v>297</v>
      </c>
      <c r="T431" s="34"/>
      <c r="U431" s="34"/>
      <c r="V431" s="34" t="s">
        <v>90</v>
      </c>
      <c r="W431" s="34" t="s">
        <v>28</v>
      </c>
      <c r="X431" s="38" t="s">
        <v>164</v>
      </c>
      <c r="Y431" s="62">
        <v>44684</v>
      </c>
      <c r="Z431" s="38">
        <f t="shared" si="19"/>
        <v>6</v>
      </c>
      <c r="AA431" s="38"/>
      <c r="AB431" s="34"/>
      <c r="AC431" s="34"/>
      <c r="AD431" s="38"/>
      <c r="AE431" s="59" t="str">
        <f t="shared" si="20"/>
        <v>SÍ</v>
      </c>
      <c r="AF431" s="38" t="e" cm="1">
        <f t="array" aca="1" ref="AF431" ca="1">MIN(100, MAX(0, (IF(R431="ESTUDIANTE", 31, 0)) + (IF(I431&lt;=3, 30, IF(I431&lt;=6, 20, 0))) +(IF(OR(E431="413 - Control de Costes y Enlace Construcción", E431="480 - Secretaría General del Consejo", E431="132 - Civil y estructuras", E431="136 - Mecánica", E431="412 - Planificación", E431="142 - Compras"), 25, 0)) +(IF(OR(S431="GRADO ING. MECÁNICA", S431="GRADO ING. ELÉCTRICA", S431="GRADO DERECHO", S431="GRADO ECONOMÍA", S431="GRADO ING. TECNOLOGÍAS INDUSTRIALES"), 24, 0)) + (IF(AND(K431&gt;=451, K431&lt;=700), 23, 0)) + (IF(AND(AB431&gt;=5, AB431&lt;=8), 17, 0)) +(IF(_xludf.OR(_xludf.AND(AC431&gt;=8, AC431&lt;=10), _xludf.AND(AC431&gt;=0, AC431&lt;=5)), 16, 0)) + (IF(F431="Madrid", 11, 0))))</f>
        <v>#NAME?</v>
      </c>
      <c r="AG431" s="68"/>
      <c r="AH431" s="71" t="s">
        <v>164</v>
      </c>
    </row>
    <row r="432" spans="1:34" ht="14.4" x14ac:dyDescent="0.3">
      <c r="A432" s="66" t="s">
        <v>1410</v>
      </c>
      <c r="B432" s="66" t="s">
        <v>3527</v>
      </c>
      <c r="C432" s="33">
        <v>431</v>
      </c>
      <c r="D432" s="33" t="s">
        <v>5395</v>
      </c>
      <c r="E432" s="34" t="s">
        <v>5280</v>
      </c>
      <c r="F432" s="34" t="s">
        <v>18</v>
      </c>
      <c r="G432" s="57">
        <v>41651</v>
      </c>
      <c r="H432" s="57">
        <v>42338</v>
      </c>
      <c r="I432" s="34">
        <f t="shared" si="18"/>
        <v>22</v>
      </c>
      <c r="J432" s="34">
        <v>40</v>
      </c>
      <c r="K432" s="36">
        <v>800</v>
      </c>
      <c r="L432" s="34" t="s">
        <v>29</v>
      </c>
      <c r="M432" s="57">
        <v>35176</v>
      </c>
      <c r="N432" s="37">
        <f>(YEAR(TablaMadre[[#This Row],[ALTA]])-YEAR(M432))</f>
        <v>18</v>
      </c>
      <c r="O432" s="34" t="s">
        <v>146</v>
      </c>
      <c r="P432" s="34" t="s">
        <v>19</v>
      </c>
      <c r="Q432" s="34" t="s">
        <v>337</v>
      </c>
      <c r="R432" s="34" t="s">
        <v>21</v>
      </c>
      <c r="S432" s="34" t="s">
        <v>338</v>
      </c>
      <c r="T432" s="34"/>
      <c r="U432" s="34"/>
      <c r="V432" s="34" t="s">
        <v>339</v>
      </c>
      <c r="W432" s="34" t="s">
        <v>28</v>
      </c>
      <c r="X432" s="38" t="s">
        <v>164</v>
      </c>
      <c r="Y432" s="62">
        <v>43843</v>
      </c>
      <c r="Z432" s="38">
        <f t="shared" si="19"/>
        <v>4</v>
      </c>
      <c r="AA432" s="38"/>
      <c r="AB432" s="34"/>
      <c r="AC432" s="34"/>
      <c r="AD432" s="38"/>
      <c r="AE432" s="59" t="str">
        <f t="shared" si="20"/>
        <v>SÍ</v>
      </c>
      <c r="AF432" s="38" t="e" cm="1">
        <f t="array" aca="1" ref="AF432" ca="1">MIN(100, MAX(0, (IF(R432="ESTUDIANTE", 31, 0)) + (IF(I432&lt;=3, 30, IF(I432&lt;=6, 20, 0))) +(IF(OR(E432="413 - Control de Costes y Enlace Construcción", E432="480 - Secretaría General del Consejo", E432="132 - Civil y estructuras", E432="136 - Mecánica", E432="412 - Planificación", E432="142 - Compras"), 25, 0)) +(IF(OR(S432="GRADO ING. MECÁNICA", S432="GRADO ING. ELÉCTRICA", S432="GRADO DERECHO", S432="GRADO ECONOMÍA", S432="GRADO ING. TECNOLOGÍAS INDUSTRIALES"), 24, 0)) + (IF(AND(K432&gt;=451, K432&lt;=700), 23, 0)) + (IF(AND(AB432&gt;=5, AB432&lt;=8), 17, 0)) +(IF(_xludf.OR(_xludf.AND(AC432&gt;=8, AC432&lt;=10), _xludf.AND(AC432&gt;=0, AC432&lt;=5)), 16, 0)) + (IF(F432="Madrid", 11, 0))))</f>
        <v>#NAME?</v>
      </c>
      <c r="AG432" s="68"/>
      <c r="AH432" s="71" t="s">
        <v>164</v>
      </c>
    </row>
    <row r="433" spans="1:34" ht="14.4" x14ac:dyDescent="0.3">
      <c r="A433" s="66" t="s">
        <v>1411</v>
      </c>
      <c r="B433" s="66" t="s">
        <v>3528</v>
      </c>
      <c r="C433" s="33">
        <v>432</v>
      </c>
      <c r="D433" s="33" t="s">
        <v>5396</v>
      </c>
      <c r="E433" s="34" t="s">
        <v>5276</v>
      </c>
      <c r="F433" s="34" t="s">
        <v>18</v>
      </c>
      <c r="G433" s="57">
        <v>41651</v>
      </c>
      <c r="H433" s="57">
        <v>42338</v>
      </c>
      <c r="I433" s="34">
        <f t="shared" si="18"/>
        <v>22</v>
      </c>
      <c r="J433" s="34">
        <v>40</v>
      </c>
      <c r="K433" s="36">
        <v>900</v>
      </c>
      <c r="L433" s="34" t="s">
        <v>17</v>
      </c>
      <c r="M433" s="57">
        <v>34163</v>
      </c>
      <c r="N433" s="37">
        <f>(YEAR(TablaMadre[[#This Row],[ALTA]])-YEAR(M433))</f>
        <v>21</v>
      </c>
      <c r="O433" s="34" t="s">
        <v>18</v>
      </c>
      <c r="P433" s="34" t="s">
        <v>19</v>
      </c>
      <c r="Q433" s="34" t="s">
        <v>187</v>
      </c>
      <c r="R433" s="34" t="s">
        <v>21</v>
      </c>
      <c r="S433" s="34" t="s">
        <v>322</v>
      </c>
      <c r="T433" s="34"/>
      <c r="U433" s="34"/>
      <c r="V433" s="34" t="s">
        <v>137</v>
      </c>
      <c r="W433" s="34" t="s">
        <v>28</v>
      </c>
      <c r="X433" s="38" t="s">
        <v>164</v>
      </c>
      <c r="Y433" s="62">
        <v>44142</v>
      </c>
      <c r="Z433" s="38">
        <f t="shared" si="19"/>
        <v>4</v>
      </c>
      <c r="AA433" s="38"/>
      <c r="AB433" s="34">
        <v>7</v>
      </c>
      <c r="AC433" s="34"/>
      <c r="AD433" s="38"/>
      <c r="AE433" s="59" t="str">
        <f t="shared" si="20"/>
        <v>NO</v>
      </c>
      <c r="AF433" s="38" t="e" cm="1">
        <f t="array" aca="1" ref="AF433" ca="1">MIN(100, MAX(0, (IF(R433="ESTUDIANTE", 31, 0)) + (IF(I433&lt;=3, 30, IF(I433&lt;=6, 20, 0))) +(IF(OR(E433="413 - Control de Costes y Enlace Construcción", E433="480 - Secretaría General del Consejo", E433="132 - Civil y estructuras", E433="136 - Mecánica", E433="412 - Planificación", E433="142 - Compras"), 25, 0)) +(IF(OR(S433="GRADO ING. MECÁNICA", S433="GRADO ING. ELÉCTRICA", S433="GRADO DERECHO", S433="GRADO ECONOMÍA", S433="GRADO ING. TECNOLOGÍAS INDUSTRIALES"), 24, 0)) + (IF(AND(K433&gt;=451, K433&lt;=700), 23, 0)) + (IF(AND(AB433&gt;=5, AB433&lt;=8), 17, 0)) +(IF(_xludf.OR(_xludf.AND(AC433&gt;=8, AC433&lt;=10), _xludf.AND(AC433&gt;=0, AC433&lt;=5)), 16, 0)) + (IF(F433="Madrid", 11, 0))))</f>
        <v>#NAME?</v>
      </c>
      <c r="AG433" s="68"/>
      <c r="AH433" s="71" t="s">
        <v>164</v>
      </c>
    </row>
    <row r="434" spans="1:34" ht="14.4" x14ac:dyDescent="0.3">
      <c r="A434" s="66" t="s">
        <v>1412</v>
      </c>
      <c r="B434" s="66" t="s">
        <v>3529</v>
      </c>
      <c r="C434" s="33">
        <v>433</v>
      </c>
      <c r="D434" s="33" t="s">
        <v>5397</v>
      </c>
      <c r="E434" s="34" t="s">
        <v>5221</v>
      </c>
      <c r="F434" s="34" t="s">
        <v>118</v>
      </c>
      <c r="G434" s="57">
        <v>41651</v>
      </c>
      <c r="H434" s="57">
        <v>42338</v>
      </c>
      <c r="I434" s="34">
        <f t="shared" si="18"/>
        <v>22</v>
      </c>
      <c r="J434" s="34">
        <v>40</v>
      </c>
      <c r="K434" s="36">
        <v>900</v>
      </c>
      <c r="L434" s="34" t="s">
        <v>17</v>
      </c>
      <c r="M434" s="57">
        <v>33389</v>
      </c>
      <c r="N434" s="37">
        <f>(YEAR(TablaMadre[[#This Row],[ALTA]])-YEAR(M434))</f>
        <v>23</v>
      </c>
      <c r="O434" s="34" t="s">
        <v>100</v>
      </c>
      <c r="P434" s="34" t="s">
        <v>19</v>
      </c>
      <c r="Q434" s="34" t="s">
        <v>49</v>
      </c>
      <c r="R434" s="34" t="s">
        <v>21</v>
      </c>
      <c r="S434" s="34" t="s">
        <v>297</v>
      </c>
      <c r="T434" s="34"/>
      <c r="U434" s="34"/>
      <c r="V434" s="34" t="s">
        <v>107</v>
      </c>
      <c r="W434" s="34" t="s">
        <v>28</v>
      </c>
      <c r="X434" s="38" t="s">
        <v>173</v>
      </c>
      <c r="Y434" s="62"/>
      <c r="Z434" s="38" t="e">
        <f t="shared" si="19"/>
        <v>#NUM!</v>
      </c>
      <c r="AA434" s="38"/>
      <c r="AB434" s="34">
        <v>9</v>
      </c>
      <c r="AC434" s="34">
        <v>9</v>
      </c>
      <c r="AD434" s="38"/>
      <c r="AE434" s="59" t="str">
        <f t="shared" si="20"/>
        <v>SÍ</v>
      </c>
      <c r="AF434" s="38" t="e" cm="1">
        <f t="array" aca="1" ref="AF434" ca="1">MIN(100, MAX(0, (IF(R434="ESTUDIANTE", 31, 0)) + (IF(I434&lt;=3, 30, IF(I434&lt;=6, 20, 0))) +(IF(OR(E434="413 - Control de Costes y Enlace Construcción", E434="480 - Secretaría General del Consejo", E434="132 - Civil y estructuras", E434="136 - Mecánica", E434="412 - Planificación", E434="142 - Compras"), 25, 0)) +(IF(OR(S434="GRADO ING. MECÁNICA", S434="GRADO ING. ELÉCTRICA", S434="GRADO DERECHO", S434="GRADO ECONOMÍA", S434="GRADO ING. TECNOLOGÍAS INDUSTRIALES"), 24, 0)) + (IF(AND(K434&gt;=451, K434&lt;=700), 23, 0)) + (IF(AND(AB434&gt;=5, AB434&lt;=8), 17, 0)) +(IF(_xludf.OR(_xludf.AND(AC434&gt;=8, AC434&lt;=10), _xludf.AND(AC434&gt;=0, AC434&lt;=5)), 16, 0)) + (IF(F434="Madrid", 11, 0))))</f>
        <v>#NAME?</v>
      </c>
      <c r="AG434" s="68"/>
      <c r="AH434" s="71" t="s">
        <v>164</v>
      </c>
    </row>
    <row r="435" spans="1:34" ht="14.4" x14ac:dyDescent="0.3">
      <c r="A435" s="66" t="s">
        <v>1413</v>
      </c>
      <c r="B435" s="66" t="s">
        <v>3530</v>
      </c>
      <c r="C435" s="33">
        <v>434</v>
      </c>
      <c r="D435" s="33" t="s">
        <v>5398</v>
      </c>
      <c r="E435" s="34" t="s">
        <v>5244</v>
      </c>
      <c r="F435" s="34" t="s">
        <v>18</v>
      </c>
      <c r="G435" s="57">
        <v>41651</v>
      </c>
      <c r="H435" s="57">
        <v>42338</v>
      </c>
      <c r="I435" s="34">
        <f t="shared" si="18"/>
        <v>22</v>
      </c>
      <c r="J435" s="34">
        <v>40</v>
      </c>
      <c r="K435" s="36">
        <v>900</v>
      </c>
      <c r="L435" s="34" t="s">
        <v>29</v>
      </c>
      <c r="M435" s="57">
        <v>33864</v>
      </c>
      <c r="N435" s="37">
        <f>(YEAR(TablaMadre[[#This Row],[ALTA]])-YEAR(M435))</f>
        <v>22</v>
      </c>
      <c r="O435" s="34" t="s">
        <v>118</v>
      </c>
      <c r="P435" s="34" t="s">
        <v>19</v>
      </c>
      <c r="Q435" s="34" t="s">
        <v>20</v>
      </c>
      <c r="R435" s="34" t="s">
        <v>21</v>
      </c>
      <c r="S435" s="34" t="s">
        <v>151</v>
      </c>
      <c r="T435" s="34"/>
      <c r="U435" s="34"/>
      <c r="V435" s="34" t="s">
        <v>69</v>
      </c>
      <c r="W435" s="34" t="s">
        <v>28</v>
      </c>
      <c r="X435" s="38" t="s">
        <v>164</v>
      </c>
      <c r="Y435" s="62">
        <v>44207</v>
      </c>
      <c r="Z435" s="38">
        <f t="shared" si="19"/>
        <v>5</v>
      </c>
      <c r="AA435" s="38"/>
      <c r="AB435" s="34">
        <v>9</v>
      </c>
      <c r="AC435" s="34">
        <v>7</v>
      </c>
      <c r="AD435" s="38"/>
      <c r="AE435" s="59" t="str">
        <f t="shared" si="20"/>
        <v>SÍ</v>
      </c>
      <c r="AF435" s="38" t="e" cm="1">
        <f t="array" aca="1" ref="AF435" ca="1">MIN(100, MAX(0, (IF(R435="ESTUDIANTE", 31, 0)) + (IF(I435&lt;=3, 30, IF(I435&lt;=6, 20, 0))) +(IF(OR(E435="413 - Control de Costes y Enlace Construcción", E435="480 - Secretaría General del Consejo", E435="132 - Civil y estructuras", E435="136 - Mecánica", E435="412 - Planificación", E435="142 - Compras"), 25, 0)) +(IF(OR(S435="GRADO ING. MECÁNICA", S435="GRADO ING. ELÉCTRICA", S435="GRADO DERECHO", S435="GRADO ECONOMÍA", S435="GRADO ING. TECNOLOGÍAS INDUSTRIALES"), 24, 0)) + (IF(AND(K435&gt;=451, K435&lt;=700), 23, 0)) + (IF(AND(AB435&gt;=5, AB435&lt;=8), 17, 0)) +(IF(_xludf.OR(_xludf.AND(AC435&gt;=8, AC435&lt;=10), _xludf.AND(AC435&gt;=0, AC435&lt;=5)), 16, 0)) + (IF(F435="Madrid", 11, 0))))</f>
        <v>#NAME?</v>
      </c>
      <c r="AG435" s="68"/>
      <c r="AH435" s="71" t="s">
        <v>164</v>
      </c>
    </row>
    <row r="436" spans="1:34" ht="14.4" x14ac:dyDescent="0.3">
      <c r="A436" s="66" t="s">
        <v>1414</v>
      </c>
      <c r="B436" s="66" t="s">
        <v>3531</v>
      </c>
      <c r="C436" s="33">
        <v>435</v>
      </c>
      <c r="D436" s="33" t="s">
        <v>5399</v>
      </c>
      <c r="E436" s="34" t="s">
        <v>5233</v>
      </c>
      <c r="F436" s="34" t="s">
        <v>18</v>
      </c>
      <c r="G436" s="57">
        <v>41652</v>
      </c>
      <c r="H436" s="57">
        <v>41835</v>
      </c>
      <c r="I436" s="34">
        <f t="shared" si="18"/>
        <v>6</v>
      </c>
      <c r="J436" s="34">
        <v>40</v>
      </c>
      <c r="K436" s="36">
        <v>900</v>
      </c>
      <c r="L436" s="34" t="s">
        <v>17</v>
      </c>
      <c r="M436" s="57">
        <v>32620</v>
      </c>
      <c r="N436" s="37">
        <f>(YEAR(TablaMadre[[#This Row],[ALTA]])-YEAR(M436))</f>
        <v>25</v>
      </c>
      <c r="O436" s="34" t="s">
        <v>197</v>
      </c>
      <c r="P436" s="34" t="s">
        <v>197</v>
      </c>
      <c r="Q436" s="34" t="s">
        <v>49</v>
      </c>
      <c r="R436" s="34" t="s">
        <v>21</v>
      </c>
      <c r="S436" s="34" t="s">
        <v>297</v>
      </c>
      <c r="T436" s="34"/>
      <c r="U436" s="34"/>
      <c r="V436" s="34" t="s">
        <v>56</v>
      </c>
      <c r="W436" s="34" t="s">
        <v>28</v>
      </c>
      <c r="X436" s="38" t="s">
        <v>164</v>
      </c>
      <c r="Y436" s="62">
        <v>44558</v>
      </c>
      <c r="Z436" s="38">
        <f t="shared" si="19"/>
        <v>7</v>
      </c>
      <c r="AA436" s="38"/>
      <c r="AB436" s="34"/>
      <c r="AC436" s="34"/>
      <c r="AD436" s="38"/>
      <c r="AE436" s="59" t="str">
        <f t="shared" si="20"/>
        <v>SÍ</v>
      </c>
      <c r="AF436" s="38" t="e" cm="1">
        <f t="array" aca="1" ref="AF436" ca="1">MIN(100, MAX(0, (IF(R436="ESTUDIANTE", 31, 0)) + (IF(I436&lt;=3, 30, IF(I436&lt;=6, 20, 0))) +(IF(OR(E436="413 - Control de Costes y Enlace Construcción", E436="480 - Secretaría General del Consejo", E436="132 - Civil y estructuras", E436="136 - Mecánica", E436="412 - Planificación", E436="142 - Compras"), 25, 0)) +(IF(OR(S436="GRADO ING. MECÁNICA", S436="GRADO ING. ELÉCTRICA", S436="GRADO DERECHO", S436="GRADO ECONOMÍA", S436="GRADO ING. TECNOLOGÍAS INDUSTRIALES"), 24, 0)) + (IF(AND(K436&gt;=451, K436&lt;=700), 23, 0)) + (IF(AND(AB436&gt;=5, AB436&lt;=8), 17, 0)) +(IF(_xludf.OR(_xludf.AND(AC436&gt;=8, AC436&lt;=10), _xludf.AND(AC436&gt;=0, AC436&lt;=5)), 16, 0)) + (IF(F436="Madrid", 11, 0))))</f>
        <v>#NAME?</v>
      </c>
      <c r="AG436" s="68"/>
      <c r="AH436" s="71" t="s">
        <v>164</v>
      </c>
    </row>
    <row r="437" spans="1:34" ht="14.4" x14ac:dyDescent="0.3">
      <c r="A437" s="66" t="s">
        <v>1415</v>
      </c>
      <c r="B437" s="66" t="s">
        <v>3532</v>
      </c>
      <c r="C437" s="33">
        <v>436</v>
      </c>
      <c r="D437" s="33" t="s">
        <v>5400</v>
      </c>
      <c r="E437" s="34" t="s">
        <v>5256</v>
      </c>
      <c r="F437" s="34" t="s">
        <v>18</v>
      </c>
      <c r="G437" s="57">
        <v>41652</v>
      </c>
      <c r="H437" s="57">
        <v>41912</v>
      </c>
      <c r="I437" s="34">
        <f t="shared" si="18"/>
        <v>8</v>
      </c>
      <c r="J437" s="34">
        <v>40</v>
      </c>
      <c r="K437" s="36">
        <v>900</v>
      </c>
      <c r="L437" s="34" t="s">
        <v>29</v>
      </c>
      <c r="M437" s="57">
        <v>34416</v>
      </c>
      <c r="N437" s="37">
        <f>(YEAR(TablaMadre[[#This Row],[ALTA]])-YEAR(M437))</f>
        <v>20</v>
      </c>
      <c r="O437" s="34" t="s">
        <v>18</v>
      </c>
      <c r="P437" s="34" t="s">
        <v>19</v>
      </c>
      <c r="Q437" s="34" t="s">
        <v>259</v>
      </c>
      <c r="R437" s="34" t="s">
        <v>21</v>
      </c>
      <c r="S437" s="34" t="s">
        <v>260</v>
      </c>
      <c r="T437" s="34"/>
      <c r="U437" s="34"/>
      <c r="V437" s="34" t="s">
        <v>158</v>
      </c>
      <c r="W437" s="34" t="s">
        <v>28</v>
      </c>
      <c r="X437" s="38" t="s">
        <v>164</v>
      </c>
      <c r="Y437" s="62">
        <v>45352</v>
      </c>
      <c r="Z437" s="38">
        <f t="shared" si="19"/>
        <v>9</v>
      </c>
      <c r="AA437" s="38"/>
      <c r="AB437" s="34"/>
      <c r="AC437" s="34"/>
      <c r="AD437" s="38"/>
      <c r="AE437" s="59" t="str">
        <f t="shared" si="20"/>
        <v>NO</v>
      </c>
      <c r="AF437" s="38" t="e" cm="1">
        <f t="array" aca="1" ref="AF437" ca="1">MIN(100, MAX(0, (IF(R437="ESTUDIANTE", 31, 0)) + (IF(I437&lt;=3, 30, IF(I437&lt;=6, 20, 0))) +(IF(OR(E437="413 - Control de Costes y Enlace Construcción", E437="480 - Secretaría General del Consejo", E437="132 - Civil y estructuras", E437="136 - Mecánica", E437="412 - Planificación", E437="142 - Compras"), 25, 0)) +(IF(OR(S437="GRADO ING. MECÁNICA", S437="GRADO ING. ELÉCTRICA", S437="GRADO DERECHO", S437="GRADO ECONOMÍA", S437="GRADO ING. TECNOLOGÍAS INDUSTRIALES"), 24, 0)) + (IF(AND(K437&gt;=451, K437&lt;=700), 23, 0)) + (IF(AND(AB437&gt;=5, AB437&lt;=8), 17, 0)) +(IF(_xludf.OR(_xludf.AND(AC437&gt;=8, AC437&lt;=10), _xludf.AND(AC437&gt;=0, AC437&lt;=5)), 16, 0)) + (IF(F437="Madrid", 11, 0))))</f>
        <v>#NAME?</v>
      </c>
      <c r="AG437" s="68"/>
      <c r="AH437" s="71" t="s">
        <v>164</v>
      </c>
    </row>
    <row r="438" spans="1:34" ht="14.4" x14ac:dyDescent="0.3">
      <c r="A438" s="66" t="s">
        <v>1189</v>
      </c>
      <c r="B438" s="66" t="s">
        <v>3306</v>
      </c>
      <c r="C438" s="33">
        <v>438</v>
      </c>
      <c r="D438" s="33" t="s">
        <v>5401</v>
      </c>
      <c r="E438" s="34" t="s">
        <v>5231</v>
      </c>
      <c r="F438" s="34" t="s">
        <v>18</v>
      </c>
      <c r="G438" s="57">
        <v>41676</v>
      </c>
      <c r="H438" s="57">
        <v>41882</v>
      </c>
      <c r="I438" s="34">
        <f t="shared" si="18"/>
        <v>6</v>
      </c>
      <c r="J438" s="34">
        <v>40</v>
      </c>
      <c r="K438" s="36">
        <v>650</v>
      </c>
      <c r="L438" s="34" t="s">
        <v>17</v>
      </c>
      <c r="M438" s="57">
        <v>34197</v>
      </c>
      <c r="N438" s="37">
        <f>(YEAR(TablaMadre[[#This Row],[ALTA]])-YEAR(M438))</f>
        <v>21</v>
      </c>
      <c r="O438" s="34" t="s">
        <v>18</v>
      </c>
      <c r="P438" s="34" t="s">
        <v>282</v>
      </c>
      <c r="Q438" s="34" t="s">
        <v>85</v>
      </c>
      <c r="R438" s="58" t="s">
        <v>30</v>
      </c>
      <c r="S438" s="34" t="s">
        <v>322</v>
      </c>
      <c r="T438" s="34"/>
      <c r="U438" s="34"/>
      <c r="V438" s="34" t="s">
        <v>74</v>
      </c>
      <c r="W438" s="34" t="s">
        <v>23</v>
      </c>
      <c r="X438" s="38" t="s">
        <v>164</v>
      </c>
      <c r="Y438" s="62"/>
      <c r="Z438" s="38" t="e">
        <f t="shared" si="19"/>
        <v>#NUM!</v>
      </c>
      <c r="AA438" s="38"/>
      <c r="AB438" s="34"/>
      <c r="AC438" s="34"/>
      <c r="AD438" s="38"/>
      <c r="AE438" s="59" t="str">
        <f t="shared" si="20"/>
        <v>NO</v>
      </c>
      <c r="AF438" s="38" t="e" cm="1">
        <f t="array" aca="1" ref="AF438" ca="1">MIN(100, MAX(0, (IF(R438="ESTUDIANTE", 31, 0)) + (IF(I438&lt;=3, 30, IF(I438&lt;=6, 20, 0))) +(IF(OR(E438="413 - Control de Costes y Enlace Construcción", E438="480 - Secretaría General del Consejo", E438="132 - Civil y estructuras", E438="136 - Mecánica", E438="412 - Planificación", E438="142 - Compras"), 25, 0)) +(IF(OR(S438="GRADO ING. MECÁNICA", S438="GRADO ING. ELÉCTRICA", S438="GRADO DERECHO", S438="GRADO ECONOMÍA", S438="GRADO ING. TECNOLOGÍAS INDUSTRIALES"), 24, 0)) + (IF(AND(K438&gt;=451, K438&lt;=700), 23, 0)) + (IF(AND(AB438&gt;=5, AB438&lt;=8), 17, 0)) +(IF(_xludf.OR(_xludf.AND(AC438&gt;=8, AC438&lt;=10), _xludf.AND(AC438&gt;=0, AC438&lt;=5)), 16, 0)) + (IF(F438="Madrid", 11, 0))))</f>
        <v>#NAME?</v>
      </c>
      <c r="AG438" s="68"/>
      <c r="AH438" s="71" t="s">
        <v>164</v>
      </c>
    </row>
    <row r="439" spans="1:34" ht="14.4" x14ac:dyDescent="0.3">
      <c r="A439" s="66" t="s">
        <v>1418</v>
      </c>
      <c r="B439" s="66" t="s">
        <v>3535</v>
      </c>
      <c r="C439" s="33">
        <v>439</v>
      </c>
      <c r="D439" s="33" t="s">
        <v>5402</v>
      </c>
      <c r="E439" s="34" t="s">
        <v>5235</v>
      </c>
      <c r="F439" s="34" t="s">
        <v>18</v>
      </c>
      <c r="G439" s="57">
        <v>41676</v>
      </c>
      <c r="H439" s="57">
        <v>42155</v>
      </c>
      <c r="I439" s="34">
        <f t="shared" si="18"/>
        <v>15</v>
      </c>
      <c r="J439" s="34">
        <v>40</v>
      </c>
      <c r="K439" s="36">
        <v>900</v>
      </c>
      <c r="L439" s="34" t="s">
        <v>29</v>
      </c>
      <c r="M439" s="57">
        <v>34407</v>
      </c>
      <c r="N439" s="37">
        <f>(YEAR(TablaMadre[[#This Row],[ALTA]])-YEAR(M439))</f>
        <v>20</v>
      </c>
      <c r="O439" s="34" t="s">
        <v>118</v>
      </c>
      <c r="P439" s="34" t="s">
        <v>19</v>
      </c>
      <c r="Q439" s="34" t="s">
        <v>61</v>
      </c>
      <c r="R439" s="34" t="s">
        <v>21</v>
      </c>
      <c r="S439" s="34" t="s">
        <v>322</v>
      </c>
      <c r="T439" s="34"/>
      <c r="U439" s="34"/>
      <c r="V439" s="34" t="s">
        <v>22</v>
      </c>
      <c r="W439" s="34" t="s">
        <v>28</v>
      </c>
      <c r="X439" s="38" t="s">
        <v>164</v>
      </c>
      <c r="Y439" s="62">
        <v>44560</v>
      </c>
      <c r="Z439" s="38">
        <f t="shared" si="19"/>
        <v>6</v>
      </c>
      <c r="AA439" s="38"/>
      <c r="AB439" s="34"/>
      <c r="AC439" s="34"/>
      <c r="AD439" s="38"/>
      <c r="AE439" s="59" t="str">
        <f t="shared" si="20"/>
        <v>SÍ</v>
      </c>
      <c r="AF439" s="38" t="e" cm="1">
        <f t="array" aca="1" ref="AF439" ca="1">MIN(100, MAX(0, (IF(R439="ESTUDIANTE", 31, 0)) + (IF(I439&lt;=3, 30, IF(I439&lt;=6, 20, 0))) +(IF(OR(E439="413 - Control de Costes y Enlace Construcción", E439="480 - Secretaría General del Consejo", E439="132 - Civil y estructuras", E439="136 - Mecánica", E439="412 - Planificación", E439="142 - Compras"), 25, 0)) +(IF(OR(S439="GRADO ING. MECÁNICA", S439="GRADO ING. ELÉCTRICA", S439="GRADO DERECHO", S439="GRADO ECONOMÍA", S439="GRADO ING. TECNOLOGÍAS INDUSTRIALES"), 24, 0)) + (IF(AND(K439&gt;=451, K439&lt;=700), 23, 0)) + (IF(AND(AB439&gt;=5, AB439&lt;=8), 17, 0)) +(IF(_xludf.OR(_xludf.AND(AC439&gt;=8, AC439&lt;=10), _xludf.AND(AC439&gt;=0, AC439&lt;=5)), 16, 0)) + (IF(F439="Madrid", 11, 0))))</f>
        <v>#NAME?</v>
      </c>
      <c r="AG439" s="68"/>
      <c r="AH439" s="71" t="s">
        <v>164</v>
      </c>
    </row>
    <row r="440" spans="1:34" ht="14.4" x14ac:dyDescent="0.3">
      <c r="A440" s="66" t="s">
        <v>1419</v>
      </c>
      <c r="B440" s="66" t="s">
        <v>3536</v>
      </c>
      <c r="C440" s="33">
        <v>440</v>
      </c>
      <c r="D440" s="33" t="s">
        <v>5393</v>
      </c>
      <c r="E440" s="34" t="s">
        <v>5244</v>
      </c>
      <c r="F440" s="34" t="s">
        <v>18</v>
      </c>
      <c r="G440" s="57">
        <v>41676</v>
      </c>
      <c r="H440" s="57">
        <v>42155</v>
      </c>
      <c r="I440" s="34">
        <f t="shared" si="18"/>
        <v>15</v>
      </c>
      <c r="J440" s="34">
        <v>40</v>
      </c>
      <c r="K440" s="36">
        <v>900</v>
      </c>
      <c r="L440" s="34" t="s">
        <v>29</v>
      </c>
      <c r="M440" s="57">
        <v>32950</v>
      </c>
      <c r="N440" s="37">
        <f>(YEAR(TablaMadre[[#This Row],[ALTA]])-YEAR(M440))</f>
        <v>24</v>
      </c>
      <c r="O440" s="34" t="s">
        <v>100</v>
      </c>
      <c r="P440" s="34" t="s">
        <v>19</v>
      </c>
      <c r="Q440" s="34" t="s">
        <v>61</v>
      </c>
      <c r="R440" s="34" t="s">
        <v>21</v>
      </c>
      <c r="S440" s="34" t="s">
        <v>322</v>
      </c>
      <c r="T440" s="34"/>
      <c r="U440" s="34"/>
      <c r="V440" s="34" t="s">
        <v>107</v>
      </c>
      <c r="W440" s="34" t="s">
        <v>28</v>
      </c>
      <c r="X440" s="38" t="s">
        <v>173</v>
      </c>
      <c r="Y440" s="62"/>
      <c r="Z440" s="38" t="e">
        <f t="shared" si="19"/>
        <v>#NUM!</v>
      </c>
      <c r="AA440" s="38"/>
      <c r="AB440" s="34"/>
      <c r="AC440" s="34"/>
      <c r="AD440" s="38"/>
      <c r="AE440" s="59" t="str">
        <f t="shared" si="20"/>
        <v>SÍ</v>
      </c>
      <c r="AF440" s="38" t="e" cm="1">
        <f t="array" aca="1" ref="AF440" ca="1">MIN(100, MAX(0, (IF(R440="ESTUDIANTE", 31, 0)) + (IF(I440&lt;=3, 30, IF(I440&lt;=6, 20, 0))) +(IF(OR(E440="413 - Control de Costes y Enlace Construcción", E440="480 - Secretaría General del Consejo", E440="132 - Civil y estructuras", E440="136 - Mecánica", E440="412 - Planificación", E440="142 - Compras"), 25, 0)) +(IF(OR(S440="GRADO ING. MECÁNICA", S440="GRADO ING. ELÉCTRICA", S440="GRADO DERECHO", S440="GRADO ECONOMÍA", S440="GRADO ING. TECNOLOGÍAS INDUSTRIALES"), 24, 0)) + (IF(AND(K440&gt;=451, K440&lt;=700), 23, 0)) + (IF(AND(AB440&gt;=5, AB440&lt;=8), 17, 0)) +(IF(_xludf.OR(_xludf.AND(AC440&gt;=8, AC440&lt;=10), _xludf.AND(AC440&gt;=0, AC440&lt;=5)), 16, 0)) + (IF(F440="Madrid", 11, 0))))</f>
        <v>#NAME?</v>
      </c>
      <c r="AG440" s="68"/>
      <c r="AH440" s="71" t="s">
        <v>164</v>
      </c>
    </row>
    <row r="441" spans="1:34" ht="14.4" x14ac:dyDescent="0.3">
      <c r="A441" s="66" t="s">
        <v>1420</v>
      </c>
      <c r="B441" s="66" t="s">
        <v>3537</v>
      </c>
      <c r="C441" s="33">
        <v>441</v>
      </c>
      <c r="D441" s="33" t="s">
        <v>5394</v>
      </c>
      <c r="E441" s="34" t="s">
        <v>5244</v>
      </c>
      <c r="F441" s="34" t="s">
        <v>18</v>
      </c>
      <c r="G441" s="57">
        <v>41676</v>
      </c>
      <c r="H441" s="57">
        <v>42155</v>
      </c>
      <c r="I441" s="34">
        <f t="shared" si="18"/>
        <v>15</v>
      </c>
      <c r="J441" s="34">
        <v>40</v>
      </c>
      <c r="K441" s="36">
        <v>900</v>
      </c>
      <c r="L441" s="34" t="s">
        <v>17</v>
      </c>
      <c r="M441" s="57">
        <v>32192</v>
      </c>
      <c r="N441" s="37">
        <f>(YEAR(TablaMadre[[#This Row],[ALTA]])-YEAR(M441))</f>
        <v>26</v>
      </c>
      <c r="O441" s="34" t="s">
        <v>18</v>
      </c>
      <c r="P441" s="34" t="s">
        <v>19</v>
      </c>
      <c r="Q441" s="34" t="s">
        <v>20</v>
      </c>
      <c r="R441" s="34" t="s">
        <v>21</v>
      </c>
      <c r="S441" s="34" t="s">
        <v>151</v>
      </c>
      <c r="T441" s="34"/>
      <c r="U441" s="34"/>
      <c r="V441" s="34" t="s">
        <v>22</v>
      </c>
      <c r="W441" s="34" t="s">
        <v>28</v>
      </c>
      <c r="X441" s="38" t="s">
        <v>164</v>
      </c>
      <c r="Y441" s="62">
        <v>44464</v>
      </c>
      <c r="Z441" s="38">
        <f t="shared" si="19"/>
        <v>6</v>
      </c>
      <c r="AA441" s="38"/>
      <c r="AB441" s="34"/>
      <c r="AC441" s="34"/>
      <c r="AD441" s="38"/>
      <c r="AE441" s="59" t="str">
        <f t="shared" si="20"/>
        <v>NO</v>
      </c>
      <c r="AF441" s="38" t="e" cm="1">
        <f t="array" aca="1" ref="AF441" ca="1">MIN(100, MAX(0, (IF(R441="ESTUDIANTE", 31, 0)) + (IF(I441&lt;=3, 30, IF(I441&lt;=6, 20, 0))) +(IF(OR(E441="413 - Control de Costes y Enlace Construcción", E441="480 - Secretaría General del Consejo", E441="132 - Civil y estructuras", E441="136 - Mecánica", E441="412 - Planificación", E441="142 - Compras"), 25, 0)) +(IF(OR(S441="GRADO ING. MECÁNICA", S441="GRADO ING. ELÉCTRICA", S441="GRADO DERECHO", S441="GRADO ECONOMÍA", S441="GRADO ING. TECNOLOGÍAS INDUSTRIALES"), 24, 0)) + (IF(AND(K441&gt;=451, K441&lt;=700), 23, 0)) + (IF(AND(AB441&gt;=5, AB441&lt;=8), 17, 0)) +(IF(_xludf.OR(_xludf.AND(AC441&gt;=8, AC441&lt;=10), _xludf.AND(AC441&gt;=0, AC441&lt;=5)), 16, 0)) + (IF(F441="Madrid", 11, 0))))</f>
        <v>#NAME?</v>
      </c>
      <c r="AG441" s="68"/>
      <c r="AH441" s="71" t="s">
        <v>164</v>
      </c>
    </row>
    <row r="442" spans="1:34" ht="14.4" x14ac:dyDescent="0.3">
      <c r="A442" s="66" t="s">
        <v>1421</v>
      </c>
      <c r="B442" s="66" t="s">
        <v>3538</v>
      </c>
      <c r="C442" s="33">
        <v>442</v>
      </c>
      <c r="D442" s="33" t="s">
        <v>5395</v>
      </c>
      <c r="E442" s="34" t="s">
        <v>5244</v>
      </c>
      <c r="F442" s="34" t="s">
        <v>18</v>
      </c>
      <c r="G442" s="57">
        <v>41676</v>
      </c>
      <c r="H442" s="57">
        <v>42155</v>
      </c>
      <c r="I442" s="34">
        <f t="shared" si="18"/>
        <v>15</v>
      </c>
      <c r="J442" s="34">
        <v>40</v>
      </c>
      <c r="K442" s="36">
        <v>900</v>
      </c>
      <c r="L442" s="34" t="s">
        <v>29</v>
      </c>
      <c r="M442" s="57">
        <v>33681</v>
      </c>
      <c r="N442" s="37">
        <f>(YEAR(TablaMadre[[#This Row],[ALTA]])-YEAR(M442))</f>
        <v>22</v>
      </c>
      <c r="O442" s="34" t="s">
        <v>62</v>
      </c>
      <c r="P442" s="34" t="s">
        <v>19</v>
      </c>
      <c r="Q442" s="34" t="s">
        <v>20</v>
      </c>
      <c r="R442" s="34" t="s">
        <v>21</v>
      </c>
      <c r="S442" s="34" t="s">
        <v>151</v>
      </c>
      <c r="T442" s="34"/>
      <c r="U442" s="34"/>
      <c r="V442" s="34" t="s">
        <v>142</v>
      </c>
      <c r="W442" s="34" t="s">
        <v>28</v>
      </c>
      <c r="X442" s="38" t="s">
        <v>164</v>
      </c>
      <c r="Y442" s="62">
        <v>44152</v>
      </c>
      <c r="Z442" s="38">
        <f t="shared" si="19"/>
        <v>5</v>
      </c>
      <c r="AA442" s="38"/>
      <c r="AB442" s="34"/>
      <c r="AC442" s="34"/>
      <c r="AD442" s="38"/>
      <c r="AE442" s="59" t="str">
        <f t="shared" si="20"/>
        <v>SÍ</v>
      </c>
      <c r="AF442" s="38" t="e" cm="1">
        <f t="array" aca="1" ref="AF442" ca="1">MIN(100, MAX(0, (IF(R442="ESTUDIANTE", 31, 0)) + (IF(I442&lt;=3, 30, IF(I442&lt;=6, 20, 0))) +(IF(OR(E442="413 - Control de Costes y Enlace Construcción", E442="480 - Secretaría General del Consejo", E442="132 - Civil y estructuras", E442="136 - Mecánica", E442="412 - Planificación", E442="142 - Compras"), 25, 0)) +(IF(OR(S442="GRADO ING. MECÁNICA", S442="GRADO ING. ELÉCTRICA", S442="GRADO DERECHO", S442="GRADO ECONOMÍA", S442="GRADO ING. TECNOLOGÍAS INDUSTRIALES"), 24, 0)) + (IF(AND(K442&gt;=451, K442&lt;=700), 23, 0)) + (IF(AND(AB442&gt;=5, AB442&lt;=8), 17, 0)) +(IF(_xludf.OR(_xludf.AND(AC442&gt;=8, AC442&lt;=10), _xludf.AND(AC442&gt;=0, AC442&lt;=5)), 16, 0)) + (IF(F442="Madrid", 11, 0))))</f>
        <v>#NAME?</v>
      </c>
      <c r="AG442" s="68"/>
      <c r="AH442" s="71" t="s">
        <v>164</v>
      </c>
    </row>
    <row r="443" spans="1:34" ht="14.4" x14ac:dyDescent="0.3">
      <c r="A443" s="66" t="s">
        <v>1461</v>
      </c>
      <c r="B443" s="66" t="s">
        <v>3578</v>
      </c>
      <c r="C443" s="33">
        <v>437</v>
      </c>
      <c r="D443" s="33" t="s">
        <v>5396</v>
      </c>
      <c r="E443" s="34" t="s">
        <v>5224</v>
      </c>
      <c r="F443" s="34" t="s">
        <v>18</v>
      </c>
      <c r="G443" s="57">
        <v>41676</v>
      </c>
      <c r="H443" s="57">
        <v>41851</v>
      </c>
      <c r="I443" s="34">
        <f t="shared" si="18"/>
        <v>5</v>
      </c>
      <c r="J443" s="34">
        <v>40</v>
      </c>
      <c r="K443" s="36">
        <v>650</v>
      </c>
      <c r="L443" s="34" t="s">
        <v>29</v>
      </c>
      <c r="M443" s="57">
        <v>35790</v>
      </c>
      <c r="N443" s="37">
        <f>(YEAR(TablaMadre[[#This Row],[ALTA]])-YEAR(M443))</f>
        <v>17</v>
      </c>
      <c r="O443" s="34" t="s">
        <v>18</v>
      </c>
      <c r="P443" s="34" t="s">
        <v>19</v>
      </c>
      <c r="Q443" s="34" t="s">
        <v>58</v>
      </c>
      <c r="R443" s="58" t="s">
        <v>30</v>
      </c>
      <c r="S443" s="34" t="s">
        <v>229</v>
      </c>
      <c r="T443" s="34"/>
      <c r="U443" s="34"/>
      <c r="V443" s="34" t="s">
        <v>16</v>
      </c>
      <c r="W443" s="34" t="s">
        <v>23</v>
      </c>
      <c r="X443" s="38" t="s">
        <v>164</v>
      </c>
      <c r="Y443" s="62"/>
      <c r="Z443" s="38" t="e">
        <f t="shared" si="19"/>
        <v>#NUM!</v>
      </c>
      <c r="AA443" s="38"/>
      <c r="AB443" s="34"/>
      <c r="AC443" s="34"/>
      <c r="AD443" s="38"/>
      <c r="AE443" s="59" t="str">
        <f t="shared" si="20"/>
        <v>NO</v>
      </c>
      <c r="AF443" s="38" t="e" cm="1">
        <f t="array" aca="1" ref="AF443" ca="1">MIN(100, MAX(0, (IF(R443="ESTUDIANTE", 31, 0)) + (IF(I443&lt;=3, 30, IF(I443&lt;=6, 20, 0))) +(IF(OR(E443="413 - Control de Costes y Enlace Construcción", E443="480 - Secretaría General del Consejo", E443="132 - Civil y estructuras", E443="136 - Mecánica", E443="412 - Planificación", E443="142 - Compras"), 25, 0)) +(IF(OR(S443="GRADO ING. MECÁNICA", S443="GRADO ING. ELÉCTRICA", S443="GRADO DERECHO", S443="GRADO ECONOMÍA", S443="GRADO ING. TECNOLOGÍAS INDUSTRIALES"), 24, 0)) + (IF(AND(K443&gt;=451, K443&lt;=700), 23, 0)) + (IF(AND(AB443&gt;=5, AB443&lt;=8), 17, 0)) +(IF(_xludf.OR(_xludf.AND(AC443&gt;=8, AC443&lt;=10), _xludf.AND(AC443&gt;=0, AC443&lt;=5)), 16, 0)) + (IF(F443="Madrid", 11, 0))))</f>
        <v>#NAME?</v>
      </c>
      <c r="AG443" s="68"/>
      <c r="AH443" s="71" t="s">
        <v>164</v>
      </c>
    </row>
    <row r="444" spans="1:34" ht="14.4" x14ac:dyDescent="0.3">
      <c r="A444" s="66" t="s">
        <v>1422</v>
      </c>
      <c r="B444" s="66" t="s">
        <v>3539</v>
      </c>
      <c r="C444" s="33">
        <v>443</v>
      </c>
      <c r="D444" s="33" t="s">
        <v>5397</v>
      </c>
      <c r="E444" s="34" t="s">
        <v>5238</v>
      </c>
      <c r="F444" s="34" t="s">
        <v>18</v>
      </c>
      <c r="G444" s="57">
        <v>41683</v>
      </c>
      <c r="H444" s="57">
        <v>42047</v>
      </c>
      <c r="I444" s="34">
        <f t="shared" si="18"/>
        <v>11</v>
      </c>
      <c r="J444" s="34">
        <v>40</v>
      </c>
      <c r="K444" s="36">
        <v>900</v>
      </c>
      <c r="L444" s="34" t="s">
        <v>29</v>
      </c>
      <c r="M444" s="57">
        <v>33101</v>
      </c>
      <c r="N444" s="37">
        <f>(YEAR(TablaMadre[[#This Row],[ALTA]])-YEAR(M444))</f>
        <v>24</v>
      </c>
      <c r="O444" s="34" t="s">
        <v>18</v>
      </c>
      <c r="P444" s="34" t="s">
        <v>19</v>
      </c>
      <c r="Q444" s="34" t="s">
        <v>145</v>
      </c>
      <c r="R444" s="34" t="s">
        <v>21</v>
      </c>
      <c r="S444" s="34" t="s">
        <v>354</v>
      </c>
      <c r="T444" s="34"/>
      <c r="U444" s="34"/>
      <c r="V444" s="34" t="s">
        <v>90</v>
      </c>
      <c r="W444" s="34" t="s">
        <v>28</v>
      </c>
      <c r="X444" s="38" t="s">
        <v>173</v>
      </c>
      <c r="Y444" s="62"/>
      <c r="Z444" s="38" t="e">
        <f t="shared" si="19"/>
        <v>#NUM!</v>
      </c>
      <c r="AA444" s="38"/>
      <c r="AB444" s="34"/>
      <c r="AC444" s="34"/>
      <c r="AD444" s="38"/>
      <c r="AE444" s="59" t="str">
        <f t="shared" si="20"/>
        <v>NO</v>
      </c>
      <c r="AF444" s="38" t="e" cm="1">
        <f t="array" aca="1" ref="AF444" ca="1">MIN(100, MAX(0, (IF(R444="ESTUDIANTE", 31, 0)) + (IF(I444&lt;=3, 30, IF(I444&lt;=6, 20, 0))) +(IF(OR(E444="413 - Control de Costes y Enlace Construcción", E444="480 - Secretaría General del Consejo", E444="132 - Civil y estructuras", E444="136 - Mecánica", E444="412 - Planificación", E444="142 - Compras"), 25, 0)) +(IF(OR(S444="GRADO ING. MECÁNICA", S444="GRADO ING. ELÉCTRICA", S444="GRADO DERECHO", S444="GRADO ECONOMÍA", S444="GRADO ING. TECNOLOGÍAS INDUSTRIALES"), 24, 0)) + (IF(AND(K444&gt;=451, K444&lt;=700), 23, 0)) + (IF(AND(AB444&gt;=5, AB444&lt;=8), 17, 0)) +(IF(_xludf.OR(_xludf.AND(AC444&gt;=8, AC444&lt;=10), _xludf.AND(AC444&gt;=0, AC444&lt;=5)), 16, 0)) + (IF(F444="Madrid", 11, 0))))</f>
        <v>#NAME?</v>
      </c>
      <c r="AG444" s="68"/>
      <c r="AH444" s="71" t="s">
        <v>164</v>
      </c>
    </row>
    <row r="445" spans="1:34" ht="14.4" x14ac:dyDescent="0.3">
      <c r="A445" s="66" t="s">
        <v>1423</v>
      </c>
      <c r="B445" s="66" t="s">
        <v>3540</v>
      </c>
      <c r="C445" s="33">
        <v>444</v>
      </c>
      <c r="D445" s="33" t="s">
        <v>5398</v>
      </c>
      <c r="E445" s="34" t="s">
        <v>5222</v>
      </c>
      <c r="F445" s="34" t="s">
        <v>931</v>
      </c>
      <c r="G445" s="57">
        <v>41695</v>
      </c>
      <c r="H445" s="57">
        <v>42059</v>
      </c>
      <c r="I445" s="34">
        <f t="shared" si="18"/>
        <v>11</v>
      </c>
      <c r="J445" s="34">
        <v>40</v>
      </c>
      <c r="K445" s="36">
        <v>1000</v>
      </c>
      <c r="L445" s="34" t="s">
        <v>17</v>
      </c>
      <c r="M445" s="57">
        <v>35199</v>
      </c>
      <c r="N445" s="37">
        <f>(YEAR(TablaMadre[[#This Row],[ALTA]])-YEAR(M445))</f>
        <v>18</v>
      </c>
      <c r="O445" s="34" t="s">
        <v>95</v>
      </c>
      <c r="P445" s="34" t="s">
        <v>95</v>
      </c>
      <c r="Q445" s="34" t="s">
        <v>256</v>
      </c>
      <c r="R445" s="34" t="s">
        <v>21</v>
      </c>
      <c r="S445" s="34" t="s">
        <v>322</v>
      </c>
      <c r="T445" s="34"/>
      <c r="U445" s="34"/>
      <c r="V445" s="34" t="s">
        <v>90</v>
      </c>
      <c r="W445" s="34" t="s">
        <v>97</v>
      </c>
      <c r="X445" s="38" t="s">
        <v>164</v>
      </c>
      <c r="Y445" s="62">
        <v>42411</v>
      </c>
      <c r="Z445" s="38">
        <f t="shared" si="19"/>
        <v>0</v>
      </c>
      <c r="AA445" s="38"/>
      <c r="AB445" s="34"/>
      <c r="AC445" s="34"/>
      <c r="AD445" s="38"/>
      <c r="AE445" s="59" t="str">
        <f t="shared" si="20"/>
        <v>SÍ</v>
      </c>
      <c r="AF445" s="38" t="e" cm="1">
        <f t="array" aca="1" ref="AF445" ca="1">MIN(100, MAX(0, (IF(R445="ESTUDIANTE", 31, 0)) + (IF(I445&lt;=3, 30, IF(I445&lt;=6, 20, 0))) +(IF(OR(E445="413 - Control de Costes y Enlace Construcción", E445="480 - Secretaría General del Consejo", E445="132 - Civil y estructuras", E445="136 - Mecánica", E445="412 - Planificación", E445="142 - Compras"), 25, 0)) +(IF(OR(S445="GRADO ING. MECÁNICA", S445="GRADO ING. ELÉCTRICA", S445="GRADO DERECHO", S445="GRADO ECONOMÍA", S445="GRADO ING. TECNOLOGÍAS INDUSTRIALES"), 24, 0)) + (IF(AND(K445&gt;=451, K445&lt;=700), 23, 0)) + (IF(AND(AB445&gt;=5, AB445&lt;=8), 17, 0)) +(IF(_xludf.OR(_xludf.AND(AC445&gt;=8, AC445&lt;=10), _xludf.AND(AC445&gt;=0, AC445&lt;=5)), 16, 0)) + (IF(F445="Madrid", 11, 0))))</f>
        <v>#NAME?</v>
      </c>
      <c r="AG445" s="68"/>
      <c r="AH445" s="71" t="s">
        <v>164</v>
      </c>
    </row>
    <row r="446" spans="1:34" ht="14.4" x14ac:dyDescent="0.3">
      <c r="A446" s="66" t="s">
        <v>1424</v>
      </c>
      <c r="B446" s="66" t="s">
        <v>3541</v>
      </c>
      <c r="C446" s="33">
        <v>445</v>
      </c>
      <c r="D446" s="33" t="s">
        <v>5399</v>
      </c>
      <c r="E446" s="34" t="s">
        <v>5278</v>
      </c>
      <c r="F446" s="34" t="s">
        <v>931</v>
      </c>
      <c r="G446" s="57">
        <v>41695</v>
      </c>
      <c r="H446" s="57">
        <v>42059</v>
      </c>
      <c r="I446" s="34">
        <f t="shared" si="18"/>
        <v>11</v>
      </c>
      <c r="J446" s="34">
        <v>40</v>
      </c>
      <c r="K446" s="36">
        <v>1000</v>
      </c>
      <c r="L446" s="34" t="s">
        <v>17</v>
      </c>
      <c r="M446" s="57">
        <v>34074</v>
      </c>
      <c r="N446" s="37">
        <f>(YEAR(TablaMadre[[#This Row],[ALTA]])-YEAR(M446))</f>
        <v>21</v>
      </c>
      <c r="O446" s="34" t="s">
        <v>95</v>
      </c>
      <c r="P446" s="34" t="s">
        <v>95</v>
      </c>
      <c r="Q446" s="34" t="s">
        <v>237</v>
      </c>
      <c r="R446" s="34" t="s">
        <v>21</v>
      </c>
      <c r="S446" s="34" t="s">
        <v>322</v>
      </c>
      <c r="T446" s="34"/>
      <c r="U446" s="34"/>
      <c r="V446" s="34" t="s">
        <v>90</v>
      </c>
      <c r="W446" s="34" t="s">
        <v>97</v>
      </c>
      <c r="X446" s="38" t="s">
        <v>164</v>
      </c>
      <c r="Y446" s="62">
        <v>42061</v>
      </c>
      <c r="Z446" s="38">
        <f t="shared" si="19"/>
        <v>0</v>
      </c>
      <c r="AA446" s="38"/>
      <c r="AB446" s="34"/>
      <c r="AC446" s="34"/>
      <c r="AD446" s="38"/>
      <c r="AE446" s="59" t="str">
        <f t="shared" si="20"/>
        <v>SÍ</v>
      </c>
      <c r="AF446" s="38" t="e" cm="1">
        <f t="array" aca="1" ref="AF446" ca="1">MIN(100, MAX(0, (IF(R446="ESTUDIANTE", 31, 0)) + (IF(I446&lt;=3, 30, IF(I446&lt;=6, 20, 0))) +(IF(OR(E446="413 - Control de Costes y Enlace Construcción", E446="480 - Secretaría General del Consejo", E446="132 - Civil y estructuras", E446="136 - Mecánica", E446="412 - Planificación", E446="142 - Compras"), 25, 0)) +(IF(OR(S446="GRADO ING. MECÁNICA", S446="GRADO ING. ELÉCTRICA", S446="GRADO DERECHO", S446="GRADO ECONOMÍA", S446="GRADO ING. TECNOLOGÍAS INDUSTRIALES"), 24, 0)) + (IF(AND(K446&gt;=451, K446&lt;=700), 23, 0)) + (IF(AND(AB446&gt;=5, AB446&lt;=8), 17, 0)) +(IF(_xludf.OR(_xludf.AND(AC446&gt;=8, AC446&lt;=10), _xludf.AND(AC446&gt;=0, AC446&lt;=5)), 16, 0)) + (IF(F446="Madrid", 11, 0))))</f>
        <v>#NAME?</v>
      </c>
      <c r="AG446" s="68"/>
      <c r="AH446" s="71" t="s">
        <v>164</v>
      </c>
    </row>
    <row r="447" spans="1:34" ht="14.4" x14ac:dyDescent="0.3">
      <c r="A447" s="66" t="s">
        <v>1053</v>
      </c>
      <c r="B447" s="66" t="s">
        <v>3170</v>
      </c>
      <c r="C447" s="33">
        <v>447</v>
      </c>
      <c r="D447" s="33" t="s">
        <v>5393</v>
      </c>
      <c r="E447" s="34" t="s">
        <v>5241</v>
      </c>
      <c r="F447" s="34" t="s">
        <v>18</v>
      </c>
      <c r="G447" s="57">
        <v>41701</v>
      </c>
      <c r="H447" s="57">
        <v>42038</v>
      </c>
      <c r="I447" s="34">
        <f t="shared" si="18"/>
        <v>11</v>
      </c>
      <c r="J447" s="34">
        <v>40</v>
      </c>
      <c r="K447" s="36">
        <v>900</v>
      </c>
      <c r="L447" s="34" t="s">
        <v>17</v>
      </c>
      <c r="M447" s="57">
        <v>33907</v>
      </c>
      <c r="N447" s="37">
        <f>(YEAR(TablaMadre[[#This Row],[ALTA]])-YEAR(M447))</f>
        <v>22</v>
      </c>
      <c r="O447" s="34" t="s">
        <v>18</v>
      </c>
      <c r="P447" s="34" t="s">
        <v>19</v>
      </c>
      <c r="Q447" s="34" t="s">
        <v>49</v>
      </c>
      <c r="R447" s="34" t="s">
        <v>21</v>
      </c>
      <c r="S447" s="34" t="s">
        <v>297</v>
      </c>
      <c r="T447" s="34"/>
      <c r="U447" s="34"/>
      <c r="V447" s="34" t="s">
        <v>40</v>
      </c>
      <c r="W447" s="34" t="s">
        <v>28</v>
      </c>
      <c r="X447" s="38" t="s">
        <v>173</v>
      </c>
      <c r="Y447" s="62"/>
      <c r="Z447" s="38" t="e">
        <f t="shared" si="19"/>
        <v>#NUM!</v>
      </c>
      <c r="AA447" s="38" t="s">
        <v>173</v>
      </c>
      <c r="AB447" s="34"/>
      <c r="AC447" s="34"/>
      <c r="AD447" s="38"/>
      <c r="AE447" s="59" t="str">
        <f t="shared" si="20"/>
        <v>NO</v>
      </c>
      <c r="AF447" s="38" t="e" cm="1">
        <f t="array" aca="1" ref="AF447" ca="1">MIN(100, MAX(0, (IF(R447="ESTUDIANTE", 31, 0)) + (IF(I447&lt;=3, 30, IF(I447&lt;=6, 20, 0))) +(IF(OR(E447="413 - Control de Costes y Enlace Construcción", E447="480 - Secretaría General del Consejo", E447="132 - Civil y estructuras", E447="136 - Mecánica", E447="412 - Planificación", E447="142 - Compras"), 25, 0)) +(IF(OR(S447="GRADO ING. MECÁNICA", S447="GRADO ING. ELÉCTRICA", S447="GRADO DERECHO", S447="GRADO ECONOMÍA", S447="GRADO ING. TECNOLOGÍAS INDUSTRIALES"), 24, 0)) + (IF(AND(K447&gt;=451, K447&lt;=700), 23, 0)) + (IF(AND(AB447&gt;=5, AB447&lt;=8), 17, 0)) +(IF(_xludf.OR(_xludf.AND(AC447&gt;=8, AC447&lt;=10), _xludf.AND(AC447&gt;=0, AC447&lt;=5)), 16, 0)) + (IF(F447="Madrid", 11, 0))))</f>
        <v>#NAME?</v>
      </c>
      <c r="AG447" s="68"/>
      <c r="AH447" s="71" t="s">
        <v>164</v>
      </c>
    </row>
    <row r="448" spans="1:34" ht="14.4" x14ac:dyDescent="0.3">
      <c r="A448" s="66" t="s">
        <v>1074</v>
      </c>
      <c r="B448" s="66" t="s">
        <v>3191</v>
      </c>
      <c r="C448" s="33">
        <v>448</v>
      </c>
      <c r="D448" s="33" t="s">
        <v>5394</v>
      </c>
      <c r="E448" s="34" t="s">
        <v>5241</v>
      </c>
      <c r="F448" s="34" t="s">
        <v>18</v>
      </c>
      <c r="G448" s="57">
        <v>41701</v>
      </c>
      <c r="H448" s="57">
        <v>42038</v>
      </c>
      <c r="I448" s="34">
        <f t="shared" si="18"/>
        <v>11</v>
      </c>
      <c r="J448" s="34">
        <v>40</v>
      </c>
      <c r="K448" s="36">
        <v>900</v>
      </c>
      <c r="L448" s="34" t="s">
        <v>17</v>
      </c>
      <c r="M448" s="57">
        <v>32040</v>
      </c>
      <c r="N448" s="37">
        <f>(YEAR(TablaMadre[[#This Row],[ALTA]])-YEAR(M448))</f>
        <v>27</v>
      </c>
      <c r="O448" s="34" t="s">
        <v>558</v>
      </c>
      <c r="P448" s="34" t="s">
        <v>19</v>
      </c>
      <c r="Q448" s="34" t="s">
        <v>49</v>
      </c>
      <c r="R448" s="34" t="s">
        <v>21</v>
      </c>
      <c r="S448" s="34" t="s">
        <v>297</v>
      </c>
      <c r="T448" s="34"/>
      <c r="U448" s="34"/>
      <c r="V448" s="34" t="s">
        <v>22</v>
      </c>
      <c r="W448" s="34" t="s">
        <v>28</v>
      </c>
      <c r="X448" s="38" t="s">
        <v>173</v>
      </c>
      <c r="Y448" s="62"/>
      <c r="Z448" s="38" t="e">
        <f t="shared" si="19"/>
        <v>#NUM!</v>
      </c>
      <c r="AA448" s="38" t="s">
        <v>173</v>
      </c>
      <c r="AB448" s="34"/>
      <c r="AC448" s="34"/>
      <c r="AD448" s="38"/>
      <c r="AE448" s="59" t="str">
        <f t="shared" si="20"/>
        <v>SÍ</v>
      </c>
      <c r="AF448" s="38" t="e" cm="1">
        <f t="array" aca="1" ref="AF448" ca="1">MIN(100, MAX(0, (IF(R448="ESTUDIANTE", 31, 0)) + (IF(I448&lt;=3, 30, IF(I448&lt;=6, 20, 0))) +(IF(OR(E448="413 - Control de Costes y Enlace Construcción", E448="480 - Secretaría General del Consejo", E448="132 - Civil y estructuras", E448="136 - Mecánica", E448="412 - Planificación", E448="142 - Compras"), 25, 0)) +(IF(OR(S448="GRADO ING. MECÁNICA", S448="GRADO ING. ELÉCTRICA", S448="GRADO DERECHO", S448="GRADO ECONOMÍA", S448="GRADO ING. TECNOLOGÍAS INDUSTRIALES"), 24, 0)) + (IF(AND(K448&gt;=451, K448&lt;=700), 23, 0)) + (IF(AND(AB448&gt;=5, AB448&lt;=8), 17, 0)) +(IF(_xludf.OR(_xludf.AND(AC448&gt;=8, AC448&lt;=10), _xludf.AND(AC448&gt;=0, AC448&lt;=5)), 16, 0)) + (IF(F448="Madrid", 11, 0))))</f>
        <v>#NAME?</v>
      </c>
      <c r="AG448" s="68"/>
      <c r="AH448" s="71" t="s">
        <v>164</v>
      </c>
    </row>
    <row r="449" spans="1:34" ht="14.4" x14ac:dyDescent="0.3">
      <c r="A449" s="66" t="s">
        <v>1095</v>
      </c>
      <c r="B449" s="66" t="s">
        <v>3212</v>
      </c>
      <c r="C449" s="33">
        <v>449</v>
      </c>
      <c r="D449" s="33" t="s">
        <v>5395</v>
      </c>
      <c r="E449" s="34" t="s">
        <v>5241</v>
      </c>
      <c r="F449" s="34" t="s">
        <v>18</v>
      </c>
      <c r="G449" s="57">
        <v>41701</v>
      </c>
      <c r="H449" s="57">
        <v>42038</v>
      </c>
      <c r="I449" s="34">
        <f t="shared" si="18"/>
        <v>11</v>
      </c>
      <c r="J449" s="34">
        <v>40</v>
      </c>
      <c r="K449" s="36">
        <v>900</v>
      </c>
      <c r="L449" s="34" t="s">
        <v>17</v>
      </c>
      <c r="M449" s="57">
        <v>34477</v>
      </c>
      <c r="N449" s="37">
        <f>(YEAR(TablaMadre[[#This Row],[ALTA]])-YEAR(M449))</f>
        <v>20</v>
      </c>
      <c r="O449" s="34" t="s">
        <v>18</v>
      </c>
      <c r="P449" s="34" t="s">
        <v>19</v>
      </c>
      <c r="Q449" s="34" t="s">
        <v>49</v>
      </c>
      <c r="R449" s="34" t="s">
        <v>21</v>
      </c>
      <c r="S449" s="34" t="s">
        <v>297</v>
      </c>
      <c r="T449" s="34"/>
      <c r="U449" s="34"/>
      <c r="V449" s="34" t="s">
        <v>40</v>
      </c>
      <c r="W449" s="34" t="s">
        <v>28</v>
      </c>
      <c r="X449" s="38" t="s">
        <v>173</v>
      </c>
      <c r="Y449" s="62"/>
      <c r="Z449" s="38" t="e">
        <f t="shared" si="19"/>
        <v>#NUM!</v>
      </c>
      <c r="AA449" s="38" t="s">
        <v>173</v>
      </c>
      <c r="AB449" s="34"/>
      <c r="AC449" s="34"/>
      <c r="AD449" s="38"/>
      <c r="AE449" s="59" t="str">
        <f t="shared" si="20"/>
        <v>NO</v>
      </c>
      <c r="AF449" s="38" t="e" cm="1">
        <f t="array" aca="1" ref="AF449" ca="1">MIN(100, MAX(0, (IF(R449="ESTUDIANTE", 31, 0)) + (IF(I449&lt;=3, 30, IF(I449&lt;=6, 20, 0))) +(IF(OR(E449="413 - Control de Costes y Enlace Construcción", E449="480 - Secretaría General del Consejo", E449="132 - Civil y estructuras", E449="136 - Mecánica", E449="412 - Planificación", E449="142 - Compras"), 25, 0)) +(IF(OR(S449="GRADO ING. MECÁNICA", S449="GRADO ING. ELÉCTRICA", S449="GRADO DERECHO", S449="GRADO ECONOMÍA", S449="GRADO ING. TECNOLOGÍAS INDUSTRIALES"), 24, 0)) + (IF(AND(K449&gt;=451, K449&lt;=700), 23, 0)) + (IF(AND(AB449&gt;=5, AB449&lt;=8), 17, 0)) +(IF(_xludf.OR(_xludf.AND(AC449&gt;=8, AC449&lt;=10), _xludf.AND(AC449&gt;=0, AC449&lt;=5)), 16, 0)) + (IF(F449="Madrid", 11, 0))))</f>
        <v>#NAME?</v>
      </c>
      <c r="AG449" s="68"/>
      <c r="AH449" s="71" t="s">
        <v>164</v>
      </c>
    </row>
    <row r="450" spans="1:34" ht="14.4" x14ac:dyDescent="0.3">
      <c r="A450" s="66" t="s">
        <v>1429</v>
      </c>
      <c r="B450" s="66" t="s">
        <v>3546</v>
      </c>
      <c r="C450" s="33">
        <v>450</v>
      </c>
      <c r="D450" s="33" t="s">
        <v>5396</v>
      </c>
      <c r="E450" s="34" t="s">
        <v>5281</v>
      </c>
      <c r="F450" s="34" t="s">
        <v>18</v>
      </c>
      <c r="G450" s="57">
        <v>41701</v>
      </c>
      <c r="H450" s="57">
        <v>42038</v>
      </c>
      <c r="I450" s="34">
        <f t="shared" ref="I450:I513" si="21">DATEDIF(G450, H450, "M")</f>
        <v>11</v>
      </c>
      <c r="J450" s="34">
        <v>40</v>
      </c>
      <c r="K450" s="36">
        <v>700</v>
      </c>
      <c r="L450" s="34" t="s">
        <v>17</v>
      </c>
      <c r="M450" s="57">
        <v>33708</v>
      </c>
      <c r="N450" s="37">
        <f>(YEAR(TablaMadre[[#This Row],[ALTA]])-YEAR(M450))</f>
        <v>22</v>
      </c>
      <c r="O450" s="34" t="s">
        <v>176</v>
      </c>
      <c r="P450" s="34" t="s">
        <v>19</v>
      </c>
      <c r="Q450" s="34" t="s">
        <v>299</v>
      </c>
      <c r="R450" s="58" t="s">
        <v>30</v>
      </c>
      <c r="S450" s="34" t="s">
        <v>26</v>
      </c>
      <c r="T450" s="34"/>
      <c r="U450" s="34"/>
      <c r="V450" s="34" t="s">
        <v>27</v>
      </c>
      <c r="W450" s="34" t="s">
        <v>28</v>
      </c>
      <c r="X450" s="38" t="s">
        <v>164</v>
      </c>
      <c r="Y450" s="62">
        <v>42795</v>
      </c>
      <c r="Z450" s="38">
        <f t="shared" ref="Z450:Z513" si="22">DATEDIF(H450, Y450, "y")</f>
        <v>2</v>
      </c>
      <c r="AA450" s="38"/>
      <c r="AB450" s="34"/>
      <c r="AC450" s="34"/>
      <c r="AD450" s="38"/>
      <c r="AE450" s="59" t="str">
        <f t="shared" si="20"/>
        <v>SÍ</v>
      </c>
      <c r="AF450" s="38" t="e" cm="1">
        <f t="array" aca="1" ref="AF450" ca="1">MIN(100, MAX(0, (IF(R450="ESTUDIANTE", 31, 0)) + (IF(I450&lt;=3, 30, IF(I450&lt;=6, 20, 0))) +(IF(OR(E450="413 - Control de Costes y Enlace Construcción", E450="480 - Secretaría General del Consejo", E450="132 - Civil y estructuras", E450="136 - Mecánica", E450="412 - Planificación", E450="142 - Compras"), 25, 0)) +(IF(OR(S450="GRADO ING. MECÁNICA", S450="GRADO ING. ELÉCTRICA", S450="GRADO DERECHO", S450="GRADO ECONOMÍA", S450="GRADO ING. TECNOLOGÍAS INDUSTRIALES"), 24, 0)) + (IF(AND(K450&gt;=451, K450&lt;=700), 23, 0)) + (IF(AND(AB450&gt;=5, AB450&lt;=8), 17, 0)) +(IF(_xludf.OR(_xludf.AND(AC450&gt;=8, AC450&lt;=10), _xludf.AND(AC450&gt;=0, AC450&lt;=5)), 16, 0)) + (IF(F450="Madrid", 11, 0))))</f>
        <v>#NAME?</v>
      </c>
      <c r="AG450" s="68"/>
      <c r="AH450" s="71" t="s">
        <v>164</v>
      </c>
    </row>
    <row r="451" spans="1:34" ht="14.4" x14ac:dyDescent="0.3">
      <c r="A451" s="66" t="s">
        <v>1430</v>
      </c>
      <c r="B451" s="66" t="s">
        <v>3547</v>
      </c>
      <c r="C451" s="33">
        <v>446</v>
      </c>
      <c r="D451" s="33" t="s">
        <v>5397</v>
      </c>
      <c r="E451" s="34" t="s">
        <v>5225</v>
      </c>
      <c r="F451" s="34" t="s">
        <v>18</v>
      </c>
      <c r="G451" s="57">
        <v>41701</v>
      </c>
      <c r="H451" s="57">
        <v>41790</v>
      </c>
      <c r="I451" s="34">
        <f t="shared" si="21"/>
        <v>2</v>
      </c>
      <c r="J451" s="34">
        <v>40</v>
      </c>
      <c r="K451" s="36">
        <v>750</v>
      </c>
      <c r="L451" s="34" t="s">
        <v>17</v>
      </c>
      <c r="M451" s="57">
        <v>35176</v>
      </c>
      <c r="N451" s="37">
        <f>(YEAR(TablaMadre[[#This Row],[ALTA]])-YEAR(M451))</f>
        <v>18</v>
      </c>
      <c r="O451" s="34" t="s">
        <v>146</v>
      </c>
      <c r="P451" s="34" t="s">
        <v>19</v>
      </c>
      <c r="Q451" s="34" t="s">
        <v>125</v>
      </c>
      <c r="R451" s="34" t="s">
        <v>21</v>
      </c>
      <c r="S451" s="34" t="s">
        <v>395</v>
      </c>
      <c r="T451" s="34"/>
      <c r="U451" s="34"/>
      <c r="V451" s="34" t="s">
        <v>258</v>
      </c>
      <c r="W451" s="34" t="s">
        <v>23</v>
      </c>
      <c r="X451" s="38" t="s">
        <v>164</v>
      </c>
      <c r="Y451" s="62"/>
      <c r="Z451" s="38" t="e">
        <f t="shared" si="22"/>
        <v>#NUM!</v>
      </c>
      <c r="AA451" s="38"/>
      <c r="AB451" s="34"/>
      <c r="AC451" s="34"/>
      <c r="AD451" s="38"/>
      <c r="AE451" s="59" t="str">
        <f t="shared" ref="AE451:AE514" si="23">IF(F451=O451, "NO", "SÍ")</f>
        <v>SÍ</v>
      </c>
      <c r="AF451" s="38" t="e" cm="1">
        <f t="array" aca="1" ref="AF451" ca="1">MIN(100, MAX(0, (IF(R451="ESTUDIANTE", 31, 0)) + (IF(I451&lt;=3, 30, IF(I451&lt;=6, 20, 0))) +(IF(OR(E451="413 - Control de Costes y Enlace Construcción", E451="480 - Secretaría General del Consejo", E451="132 - Civil y estructuras", E451="136 - Mecánica", E451="412 - Planificación", E451="142 - Compras"), 25, 0)) +(IF(OR(S451="GRADO ING. MECÁNICA", S451="GRADO ING. ELÉCTRICA", S451="GRADO DERECHO", S451="GRADO ECONOMÍA", S451="GRADO ING. TECNOLOGÍAS INDUSTRIALES"), 24, 0)) + (IF(AND(K451&gt;=451, K451&lt;=700), 23, 0)) + (IF(AND(AB451&gt;=5, AB451&lt;=8), 17, 0)) +(IF(_xludf.OR(_xludf.AND(AC451&gt;=8, AC451&lt;=10), _xludf.AND(AC451&gt;=0, AC451&lt;=5)), 16, 0)) + (IF(F451="Madrid", 11, 0))))</f>
        <v>#NAME?</v>
      </c>
      <c r="AG451" s="68"/>
      <c r="AH451" s="71" t="s">
        <v>164</v>
      </c>
    </row>
    <row r="452" spans="1:34" ht="14.4" x14ac:dyDescent="0.3">
      <c r="A452" s="66" t="s">
        <v>1524</v>
      </c>
      <c r="B452" s="66" t="s">
        <v>3641</v>
      </c>
      <c r="C452" s="33">
        <v>451</v>
      </c>
      <c r="D452" s="33" t="s">
        <v>5393</v>
      </c>
      <c r="E452" s="34" t="s">
        <v>5256</v>
      </c>
      <c r="F452" s="34" t="s">
        <v>18</v>
      </c>
      <c r="G452" s="57">
        <v>41707</v>
      </c>
      <c r="H452" s="57">
        <v>42094</v>
      </c>
      <c r="I452" s="34">
        <f t="shared" si="21"/>
        <v>12</v>
      </c>
      <c r="J452" s="34">
        <v>40</v>
      </c>
      <c r="K452" s="36">
        <v>900</v>
      </c>
      <c r="L452" s="34" t="s">
        <v>17</v>
      </c>
      <c r="M452" s="57">
        <v>33716</v>
      </c>
      <c r="N452" s="37">
        <f>(YEAR(TablaMadre[[#This Row],[ALTA]])-YEAR(M452))</f>
        <v>22</v>
      </c>
      <c r="O452" s="34" t="s">
        <v>654</v>
      </c>
      <c r="P452" s="34" t="s">
        <v>19</v>
      </c>
      <c r="Q452" s="34" t="s">
        <v>259</v>
      </c>
      <c r="R452" s="34" t="s">
        <v>21</v>
      </c>
      <c r="S452" s="34" t="s">
        <v>260</v>
      </c>
      <c r="T452" s="34"/>
      <c r="U452" s="34"/>
      <c r="V452" s="34" t="s">
        <v>131</v>
      </c>
      <c r="W452" s="34" t="s">
        <v>23</v>
      </c>
      <c r="X452" s="38" t="s">
        <v>164</v>
      </c>
      <c r="Y452" s="62"/>
      <c r="Z452" s="38" t="e">
        <f t="shared" si="22"/>
        <v>#NUM!</v>
      </c>
      <c r="AA452" s="38"/>
      <c r="AB452" s="34"/>
      <c r="AC452" s="34"/>
      <c r="AD452" s="38"/>
      <c r="AE452" s="59" t="str">
        <f t="shared" si="23"/>
        <v>SÍ</v>
      </c>
      <c r="AF452" s="38" t="e" cm="1">
        <f t="array" aca="1" ref="AF452" ca="1">MIN(100, MAX(0, (IF(R452="ESTUDIANTE", 31, 0)) + (IF(I452&lt;=3, 30, IF(I452&lt;=6, 20, 0))) +(IF(OR(E452="413 - Control de Costes y Enlace Construcción", E452="480 - Secretaría General del Consejo", E452="132 - Civil y estructuras", E452="136 - Mecánica", E452="412 - Planificación", E452="142 - Compras"), 25, 0)) +(IF(OR(S452="GRADO ING. MECÁNICA", S452="GRADO ING. ELÉCTRICA", S452="GRADO DERECHO", S452="GRADO ECONOMÍA", S452="GRADO ING. TECNOLOGÍAS INDUSTRIALES"), 24, 0)) + (IF(AND(K452&gt;=451, K452&lt;=700), 23, 0)) + (IF(AND(AB452&gt;=5, AB452&lt;=8), 17, 0)) +(IF(_xludf.OR(_xludf.AND(AC452&gt;=8, AC452&lt;=10), _xludf.AND(AC452&gt;=0, AC452&lt;=5)), 16, 0)) + (IF(F452="Madrid", 11, 0))))</f>
        <v>#NAME?</v>
      </c>
      <c r="AG452" s="68"/>
      <c r="AH452" s="71" t="s">
        <v>164</v>
      </c>
    </row>
    <row r="453" spans="1:34" ht="14.4" x14ac:dyDescent="0.3">
      <c r="A453" s="66" t="s">
        <v>1431</v>
      </c>
      <c r="B453" s="66" t="s">
        <v>3548</v>
      </c>
      <c r="C453" s="33">
        <v>452</v>
      </c>
      <c r="D453" s="33" t="s">
        <v>5394</v>
      </c>
      <c r="E453" s="34" t="s">
        <v>5218</v>
      </c>
      <c r="F453" s="34" t="s">
        <v>18</v>
      </c>
      <c r="G453" s="57">
        <v>41709</v>
      </c>
      <c r="H453" s="57">
        <v>42124</v>
      </c>
      <c r="I453" s="34">
        <f t="shared" si="21"/>
        <v>13</v>
      </c>
      <c r="J453" s="34">
        <v>40</v>
      </c>
      <c r="K453" s="36">
        <v>900</v>
      </c>
      <c r="L453" s="34" t="s">
        <v>29</v>
      </c>
      <c r="M453" s="57">
        <v>35052</v>
      </c>
      <c r="N453" s="37">
        <f>(YEAR(TablaMadre[[#This Row],[ALTA]])-YEAR(M453))</f>
        <v>19</v>
      </c>
      <c r="O453" s="34" t="s">
        <v>18</v>
      </c>
      <c r="P453" s="34" t="s">
        <v>19</v>
      </c>
      <c r="Q453" s="34" t="s">
        <v>20</v>
      </c>
      <c r="R453" s="34" t="s">
        <v>21</v>
      </c>
      <c r="S453" s="34" t="s">
        <v>151</v>
      </c>
      <c r="T453" s="34"/>
      <c r="U453" s="34"/>
      <c r="V453" s="34" t="s">
        <v>22</v>
      </c>
      <c r="W453" s="34" t="s">
        <v>28</v>
      </c>
      <c r="X453" s="38" t="s">
        <v>164</v>
      </c>
      <c r="Y453" s="62">
        <v>42501</v>
      </c>
      <c r="Z453" s="38">
        <f t="shared" si="22"/>
        <v>1</v>
      </c>
      <c r="AA453" s="38"/>
      <c r="AB453" s="34"/>
      <c r="AC453" s="34"/>
      <c r="AD453" s="38"/>
      <c r="AE453" s="59" t="str">
        <f t="shared" si="23"/>
        <v>NO</v>
      </c>
      <c r="AF453" s="38" t="e" cm="1">
        <f t="array" aca="1" ref="AF453" ca="1">MIN(100, MAX(0, (IF(R453="ESTUDIANTE", 31, 0)) + (IF(I453&lt;=3, 30, IF(I453&lt;=6, 20, 0))) +(IF(OR(E453="413 - Control de Costes y Enlace Construcción", E453="480 - Secretaría General del Consejo", E453="132 - Civil y estructuras", E453="136 - Mecánica", E453="412 - Planificación", E453="142 - Compras"), 25, 0)) +(IF(OR(S453="GRADO ING. MECÁNICA", S453="GRADO ING. ELÉCTRICA", S453="GRADO DERECHO", S453="GRADO ECONOMÍA", S453="GRADO ING. TECNOLOGÍAS INDUSTRIALES"), 24, 0)) + (IF(AND(K453&gt;=451, K453&lt;=700), 23, 0)) + (IF(AND(AB453&gt;=5, AB453&lt;=8), 17, 0)) +(IF(_xludf.OR(_xludf.AND(AC453&gt;=8, AC453&lt;=10), _xludf.AND(AC453&gt;=0, AC453&lt;=5)), 16, 0)) + (IF(F453="Madrid", 11, 0))))</f>
        <v>#NAME?</v>
      </c>
      <c r="AG453" s="68"/>
      <c r="AH453" s="71" t="s">
        <v>164</v>
      </c>
    </row>
    <row r="454" spans="1:34" ht="14.4" x14ac:dyDescent="0.3">
      <c r="A454" s="66" t="s">
        <v>1432</v>
      </c>
      <c r="B454" s="66" t="s">
        <v>3549</v>
      </c>
      <c r="C454" s="33">
        <v>453</v>
      </c>
      <c r="D454" s="33" t="s">
        <v>5395</v>
      </c>
      <c r="E454" s="34" t="s">
        <v>5260</v>
      </c>
      <c r="F454" s="34" t="s">
        <v>18</v>
      </c>
      <c r="G454" s="57">
        <v>41709</v>
      </c>
      <c r="H454" s="57">
        <v>42308</v>
      </c>
      <c r="I454" s="34">
        <f t="shared" si="21"/>
        <v>19</v>
      </c>
      <c r="J454" s="34">
        <v>40</v>
      </c>
      <c r="K454" s="36">
        <v>900</v>
      </c>
      <c r="L454" s="34" t="s">
        <v>29</v>
      </c>
      <c r="M454" s="57">
        <v>36061</v>
      </c>
      <c r="N454" s="37">
        <f>(YEAR(TablaMadre[[#This Row],[ALTA]])-YEAR(M454))</f>
        <v>16</v>
      </c>
      <c r="O454" s="34" t="s">
        <v>255</v>
      </c>
      <c r="P454" s="34" t="s">
        <v>19</v>
      </c>
      <c r="Q454" s="34" t="s">
        <v>66</v>
      </c>
      <c r="R454" s="34" t="s">
        <v>21</v>
      </c>
      <c r="S454" s="34" t="s">
        <v>322</v>
      </c>
      <c r="T454" s="34"/>
      <c r="U454" s="34"/>
      <c r="V454" s="34" t="s">
        <v>22</v>
      </c>
      <c r="W454" s="34" t="s">
        <v>28</v>
      </c>
      <c r="X454" s="38" t="s">
        <v>164</v>
      </c>
      <c r="Y454" s="62">
        <v>42676</v>
      </c>
      <c r="Z454" s="38">
        <f t="shared" si="22"/>
        <v>1</v>
      </c>
      <c r="AA454" s="38"/>
      <c r="AB454" s="34"/>
      <c r="AC454" s="34"/>
      <c r="AD454" s="38"/>
      <c r="AE454" s="59" t="str">
        <f t="shared" si="23"/>
        <v>SÍ</v>
      </c>
      <c r="AF454" s="38" t="e" cm="1">
        <f t="array" aca="1" ref="AF454" ca="1">MIN(100, MAX(0, (IF(R454="ESTUDIANTE", 31, 0)) + (IF(I454&lt;=3, 30, IF(I454&lt;=6, 20, 0))) +(IF(OR(E454="413 - Control de Costes y Enlace Construcción", E454="480 - Secretaría General del Consejo", E454="132 - Civil y estructuras", E454="136 - Mecánica", E454="412 - Planificación", E454="142 - Compras"), 25, 0)) +(IF(OR(S454="GRADO ING. MECÁNICA", S454="GRADO ING. ELÉCTRICA", S454="GRADO DERECHO", S454="GRADO ECONOMÍA", S454="GRADO ING. TECNOLOGÍAS INDUSTRIALES"), 24, 0)) + (IF(AND(K454&gt;=451, K454&lt;=700), 23, 0)) + (IF(AND(AB454&gt;=5, AB454&lt;=8), 17, 0)) +(IF(_xludf.OR(_xludf.AND(AC454&gt;=8, AC454&lt;=10), _xludf.AND(AC454&gt;=0, AC454&lt;=5)), 16, 0)) + (IF(F454="Madrid", 11, 0))))</f>
        <v>#NAME?</v>
      </c>
      <c r="AG454" s="68"/>
      <c r="AH454" s="71" t="s">
        <v>164</v>
      </c>
    </row>
    <row r="455" spans="1:34" ht="14.4" x14ac:dyDescent="0.3">
      <c r="A455" s="66" t="s">
        <v>1389</v>
      </c>
      <c r="B455" s="66" t="s">
        <v>3506</v>
      </c>
      <c r="C455" s="33">
        <v>455</v>
      </c>
      <c r="D455" s="33" t="s">
        <v>5396</v>
      </c>
      <c r="E455" s="34" t="s">
        <v>5231</v>
      </c>
      <c r="F455" s="34" t="s">
        <v>18</v>
      </c>
      <c r="G455" s="57">
        <v>41710</v>
      </c>
      <c r="H455" s="57">
        <v>42338</v>
      </c>
      <c r="I455" s="34">
        <f t="shared" si="21"/>
        <v>20</v>
      </c>
      <c r="J455" s="34">
        <v>40</v>
      </c>
      <c r="K455" s="36">
        <v>900</v>
      </c>
      <c r="L455" s="34" t="s">
        <v>17</v>
      </c>
      <c r="M455" s="57">
        <v>34773</v>
      </c>
      <c r="N455" s="37">
        <f>(YEAR(TablaMadre[[#This Row],[ALTA]])-YEAR(M455))</f>
        <v>19</v>
      </c>
      <c r="O455" s="34" t="s">
        <v>18</v>
      </c>
      <c r="P455" s="34" t="s">
        <v>19</v>
      </c>
      <c r="Q455" s="34" t="s">
        <v>85</v>
      </c>
      <c r="R455" s="34" t="s">
        <v>21</v>
      </c>
      <c r="S455" s="34" t="s">
        <v>322</v>
      </c>
      <c r="T455" s="34"/>
      <c r="U455" s="34"/>
      <c r="V455" s="34" t="s">
        <v>67</v>
      </c>
      <c r="W455" s="34" t="s">
        <v>28</v>
      </c>
      <c r="X455" s="38" t="s">
        <v>164</v>
      </c>
      <c r="Y455" s="62">
        <v>44856</v>
      </c>
      <c r="Z455" s="38">
        <f t="shared" si="22"/>
        <v>6</v>
      </c>
      <c r="AA455" s="38" t="s">
        <v>173</v>
      </c>
      <c r="AB455" s="34">
        <v>9</v>
      </c>
      <c r="AC455" s="34"/>
      <c r="AD455" s="38"/>
      <c r="AE455" s="59" t="str">
        <f t="shared" si="23"/>
        <v>NO</v>
      </c>
      <c r="AF455" s="38" t="e" cm="1">
        <f t="array" aca="1" ref="AF455" ca="1">MIN(100, MAX(0, (IF(R455="ESTUDIANTE", 31, 0)) + (IF(I455&lt;=3, 30, IF(I455&lt;=6, 20, 0))) +(IF(OR(E455="413 - Control de Costes y Enlace Construcción", E455="480 - Secretaría General del Consejo", E455="132 - Civil y estructuras", E455="136 - Mecánica", E455="412 - Planificación", E455="142 - Compras"), 25, 0)) +(IF(OR(S455="GRADO ING. MECÁNICA", S455="GRADO ING. ELÉCTRICA", S455="GRADO DERECHO", S455="GRADO ECONOMÍA", S455="GRADO ING. TECNOLOGÍAS INDUSTRIALES"), 24, 0)) + (IF(AND(K455&gt;=451, K455&lt;=700), 23, 0)) + (IF(AND(AB455&gt;=5, AB455&lt;=8), 17, 0)) +(IF(_xludf.OR(_xludf.AND(AC455&gt;=8, AC455&lt;=10), _xludf.AND(AC455&gt;=0, AC455&lt;=5)), 16, 0)) + (IF(F455="Madrid", 11, 0))))</f>
        <v>#NAME?</v>
      </c>
      <c r="AG455" s="68"/>
      <c r="AH455" s="71" t="s">
        <v>164</v>
      </c>
    </row>
    <row r="456" spans="1:34" ht="14.4" x14ac:dyDescent="0.3">
      <c r="A456" s="66" t="s">
        <v>1395</v>
      </c>
      <c r="B456" s="66" t="s">
        <v>3512</v>
      </c>
      <c r="C456" s="33">
        <v>456</v>
      </c>
      <c r="D456" s="33" t="s">
        <v>5397</v>
      </c>
      <c r="E456" s="34" t="s">
        <v>5231</v>
      </c>
      <c r="F456" s="34" t="s">
        <v>18</v>
      </c>
      <c r="G456" s="57">
        <v>41710</v>
      </c>
      <c r="H456" s="57">
        <v>42338</v>
      </c>
      <c r="I456" s="34">
        <f t="shared" si="21"/>
        <v>20</v>
      </c>
      <c r="J456" s="34">
        <v>40</v>
      </c>
      <c r="K456" s="36">
        <v>750</v>
      </c>
      <c r="L456" s="34" t="s">
        <v>17</v>
      </c>
      <c r="M456" s="57">
        <v>33349</v>
      </c>
      <c r="N456" s="37">
        <f>(YEAR(TablaMadre[[#This Row],[ALTA]])-YEAR(M456))</f>
        <v>23</v>
      </c>
      <c r="O456" s="34" t="s">
        <v>18</v>
      </c>
      <c r="P456" s="34" t="s">
        <v>19</v>
      </c>
      <c r="Q456" s="34" t="s">
        <v>325</v>
      </c>
      <c r="R456" s="34" t="s">
        <v>21</v>
      </c>
      <c r="S456" s="34" t="s">
        <v>322</v>
      </c>
      <c r="T456" s="34"/>
      <c r="U456" s="34"/>
      <c r="V456" s="34" t="s">
        <v>22</v>
      </c>
      <c r="W456" s="34" t="s">
        <v>28</v>
      </c>
      <c r="X456" s="38" t="s">
        <v>173</v>
      </c>
      <c r="Y456" s="62"/>
      <c r="Z456" s="38" t="e">
        <f t="shared" si="22"/>
        <v>#NUM!</v>
      </c>
      <c r="AA456" s="38" t="s">
        <v>173</v>
      </c>
      <c r="AB456" s="34">
        <v>9</v>
      </c>
      <c r="AC456" s="34"/>
      <c r="AD456" s="38"/>
      <c r="AE456" s="59" t="str">
        <f t="shared" si="23"/>
        <v>NO</v>
      </c>
      <c r="AF456" s="38" t="e" cm="1">
        <f t="array" aca="1" ref="AF456" ca="1">MIN(100, MAX(0, (IF(R456="ESTUDIANTE", 31, 0)) + (IF(I456&lt;=3, 30, IF(I456&lt;=6, 20, 0))) +(IF(OR(E456="413 - Control de Costes y Enlace Construcción", E456="480 - Secretaría General del Consejo", E456="132 - Civil y estructuras", E456="136 - Mecánica", E456="412 - Planificación", E456="142 - Compras"), 25, 0)) +(IF(OR(S456="GRADO ING. MECÁNICA", S456="GRADO ING. ELÉCTRICA", S456="GRADO DERECHO", S456="GRADO ECONOMÍA", S456="GRADO ING. TECNOLOGÍAS INDUSTRIALES"), 24, 0)) + (IF(AND(K456&gt;=451, K456&lt;=700), 23, 0)) + (IF(AND(AB456&gt;=5, AB456&lt;=8), 17, 0)) +(IF(_xludf.OR(_xludf.AND(AC456&gt;=8, AC456&lt;=10), _xludf.AND(AC456&gt;=0, AC456&lt;=5)), 16, 0)) + (IF(F456="Madrid", 11, 0))))</f>
        <v>#NAME?</v>
      </c>
      <c r="AG456" s="68"/>
      <c r="AH456" s="71" t="s">
        <v>164</v>
      </c>
    </row>
    <row r="457" spans="1:34" ht="14.4" x14ac:dyDescent="0.3">
      <c r="A457" s="66" t="s">
        <v>1433</v>
      </c>
      <c r="B457" s="66" t="s">
        <v>3550</v>
      </c>
      <c r="C457" s="33">
        <v>454</v>
      </c>
      <c r="D457" s="33" t="s">
        <v>5398</v>
      </c>
      <c r="E457" s="34" t="s">
        <v>5240</v>
      </c>
      <c r="F457" s="34" t="s">
        <v>18</v>
      </c>
      <c r="G457" s="57">
        <v>41710</v>
      </c>
      <c r="H457" s="57">
        <v>42047</v>
      </c>
      <c r="I457" s="34">
        <f t="shared" si="21"/>
        <v>11</v>
      </c>
      <c r="J457" s="34">
        <v>40</v>
      </c>
      <c r="K457" s="36">
        <v>700</v>
      </c>
      <c r="L457" s="34" t="s">
        <v>17</v>
      </c>
      <c r="M457" s="57">
        <v>33737</v>
      </c>
      <c r="N457" s="37">
        <f>(YEAR(TablaMadre[[#This Row],[ALTA]])-YEAR(M457))</f>
        <v>22</v>
      </c>
      <c r="O457" s="34" t="s">
        <v>18</v>
      </c>
      <c r="P457" s="34" t="s">
        <v>19</v>
      </c>
      <c r="Q457" s="34" t="s">
        <v>292</v>
      </c>
      <c r="R457" s="58" t="s">
        <v>30</v>
      </c>
      <c r="S457" s="34" t="s">
        <v>26</v>
      </c>
      <c r="T457" s="34"/>
      <c r="U457" s="34"/>
      <c r="V457" s="34" t="s">
        <v>27</v>
      </c>
      <c r="W457" s="34" t="s">
        <v>127</v>
      </c>
      <c r="X457" s="38" t="s">
        <v>164</v>
      </c>
      <c r="Y457" s="62">
        <v>45098</v>
      </c>
      <c r="Z457" s="38">
        <f t="shared" si="22"/>
        <v>8</v>
      </c>
      <c r="AA457" s="38"/>
      <c r="AB457" s="34">
        <v>8</v>
      </c>
      <c r="AC457" s="34"/>
      <c r="AD457" s="38"/>
      <c r="AE457" s="59" t="str">
        <f t="shared" si="23"/>
        <v>NO</v>
      </c>
      <c r="AF457" s="38" t="e" cm="1">
        <f t="array" aca="1" ref="AF457" ca="1">MIN(100, MAX(0, (IF(R457="ESTUDIANTE", 31, 0)) + (IF(I457&lt;=3, 30, IF(I457&lt;=6, 20, 0))) +(IF(OR(E457="413 - Control de Costes y Enlace Construcción", E457="480 - Secretaría General del Consejo", E457="132 - Civil y estructuras", E457="136 - Mecánica", E457="412 - Planificación", E457="142 - Compras"), 25, 0)) +(IF(OR(S457="GRADO ING. MECÁNICA", S457="GRADO ING. ELÉCTRICA", S457="GRADO DERECHO", S457="GRADO ECONOMÍA", S457="GRADO ING. TECNOLOGÍAS INDUSTRIALES"), 24, 0)) + (IF(AND(K457&gt;=451, K457&lt;=700), 23, 0)) + (IF(AND(AB457&gt;=5, AB457&lt;=8), 17, 0)) +(IF(_xludf.OR(_xludf.AND(AC457&gt;=8, AC457&lt;=10), _xludf.AND(AC457&gt;=0, AC457&lt;=5)), 16, 0)) + (IF(F457="Madrid", 11, 0))))</f>
        <v>#NAME?</v>
      </c>
      <c r="AG457" s="68"/>
      <c r="AH457" s="71" t="s">
        <v>164</v>
      </c>
    </row>
    <row r="458" spans="1:34" ht="14.4" x14ac:dyDescent="0.3">
      <c r="A458" s="66" t="s">
        <v>1436</v>
      </c>
      <c r="B458" s="66" t="s">
        <v>3553</v>
      </c>
      <c r="C458" s="33">
        <v>457</v>
      </c>
      <c r="D458" s="33" t="s">
        <v>5399</v>
      </c>
      <c r="E458" s="34" t="s">
        <v>5252</v>
      </c>
      <c r="F458" s="34" t="s">
        <v>18</v>
      </c>
      <c r="G458" s="57">
        <v>41717</v>
      </c>
      <c r="H458" s="57">
        <v>41981</v>
      </c>
      <c r="I458" s="34">
        <f t="shared" si="21"/>
        <v>8</v>
      </c>
      <c r="J458" s="34">
        <v>15</v>
      </c>
      <c r="K458" s="36">
        <v>700</v>
      </c>
      <c r="L458" s="34" t="s">
        <v>17</v>
      </c>
      <c r="M458" s="57">
        <v>33649</v>
      </c>
      <c r="N458" s="37">
        <f>(YEAR(TablaMadre[[#This Row],[ALTA]])-YEAR(M458))</f>
        <v>22</v>
      </c>
      <c r="O458" s="34" t="s">
        <v>18</v>
      </c>
      <c r="P458" s="34" t="s">
        <v>19</v>
      </c>
      <c r="Q458" s="34" t="s">
        <v>292</v>
      </c>
      <c r="R458" s="58" t="s">
        <v>30</v>
      </c>
      <c r="S458" s="34" t="s">
        <v>26</v>
      </c>
      <c r="T458" s="34"/>
      <c r="U458" s="34"/>
      <c r="V458" s="34" t="s">
        <v>27</v>
      </c>
      <c r="W458" s="34" t="s">
        <v>28</v>
      </c>
      <c r="X458" s="38" t="s">
        <v>173</v>
      </c>
      <c r="Y458" s="62"/>
      <c r="Z458" s="38" t="e">
        <f t="shared" si="22"/>
        <v>#NUM!</v>
      </c>
      <c r="AA458" s="38"/>
      <c r="AB458" s="34"/>
      <c r="AC458" s="34"/>
      <c r="AD458" s="38"/>
      <c r="AE458" s="59" t="str">
        <f t="shared" si="23"/>
        <v>NO</v>
      </c>
      <c r="AF458" s="38" t="e" cm="1">
        <f t="array" aca="1" ref="AF458" ca="1">MIN(100, MAX(0, (IF(R458="ESTUDIANTE", 31, 0)) + (IF(I458&lt;=3, 30, IF(I458&lt;=6, 20, 0))) +(IF(OR(E458="413 - Control de Costes y Enlace Construcción", E458="480 - Secretaría General del Consejo", E458="132 - Civil y estructuras", E458="136 - Mecánica", E458="412 - Planificación", E458="142 - Compras"), 25, 0)) +(IF(OR(S458="GRADO ING. MECÁNICA", S458="GRADO ING. ELÉCTRICA", S458="GRADO DERECHO", S458="GRADO ECONOMÍA", S458="GRADO ING. TECNOLOGÍAS INDUSTRIALES"), 24, 0)) + (IF(AND(K458&gt;=451, K458&lt;=700), 23, 0)) + (IF(AND(AB458&gt;=5, AB458&lt;=8), 17, 0)) +(IF(_xludf.OR(_xludf.AND(AC458&gt;=8, AC458&lt;=10), _xludf.AND(AC458&gt;=0, AC458&lt;=5)), 16, 0)) + (IF(F458="Madrid", 11, 0))))</f>
        <v>#NAME?</v>
      </c>
      <c r="AG458" s="68"/>
      <c r="AH458" s="71" t="s">
        <v>164</v>
      </c>
    </row>
    <row r="459" spans="1:34" ht="14.4" x14ac:dyDescent="0.3">
      <c r="A459" s="66" t="s">
        <v>1437</v>
      </c>
      <c r="B459" s="66" t="s">
        <v>3554</v>
      </c>
      <c r="C459" s="33">
        <v>458</v>
      </c>
      <c r="D459" s="33" t="s">
        <v>5400</v>
      </c>
      <c r="E459" s="34" t="s">
        <v>5244</v>
      </c>
      <c r="F459" s="34" t="s">
        <v>118</v>
      </c>
      <c r="G459" s="57">
        <v>41718</v>
      </c>
      <c r="H459" s="57">
        <v>42082</v>
      </c>
      <c r="I459" s="34">
        <f t="shared" si="21"/>
        <v>11</v>
      </c>
      <c r="J459" s="34">
        <v>40</v>
      </c>
      <c r="K459" s="36">
        <v>900</v>
      </c>
      <c r="L459" s="34" t="s">
        <v>17</v>
      </c>
      <c r="M459" s="57">
        <v>35199</v>
      </c>
      <c r="N459" s="37">
        <f>(YEAR(TablaMadre[[#This Row],[ALTA]])-YEAR(M459))</f>
        <v>18</v>
      </c>
      <c r="O459" s="34" t="s">
        <v>118</v>
      </c>
      <c r="P459" s="34" t="s">
        <v>19</v>
      </c>
      <c r="Q459" s="34" t="s">
        <v>49</v>
      </c>
      <c r="R459" s="34" t="s">
        <v>21</v>
      </c>
      <c r="S459" s="34" t="s">
        <v>297</v>
      </c>
      <c r="T459" s="34"/>
      <c r="U459" s="34"/>
      <c r="V459" s="34" t="s">
        <v>119</v>
      </c>
      <c r="W459" s="34" t="s">
        <v>28</v>
      </c>
      <c r="X459" s="38" t="s">
        <v>164</v>
      </c>
      <c r="Y459" s="62">
        <v>42168</v>
      </c>
      <c r="Z459" s="38">
        <f t="shared" si="22"/>
        <v>0</v>
      </c>
      <c r="AA459" s="38"/>
      <c r="AB459" s="34"/>
      <c r="AC459" s="34"/>
      <c r="AD459" s="38"/>
      <c r="AE459" s="59" t="str">
        <f t="shared" si="23"/>
        <v>NO</v>
      </c>
      <c r="AF459" s="38" t="e" cm="1">
        <f t="array" aca="1" ref="AF459" ca="1">MIN(100, MAX(0, (IF(R459="ESTUDIANTE", 31, 0)) + (IF(I459&lt;=3, 30, IF(I459&lt;=6, 20, 0))) +(IF(OR(E459="413 - Control de Costes y Enlace Construcción", E459="480 - Secretaría General del Consejo", E459="132 - Civil y estructuras", E459="136 - Mecánica", E459="412 - Planificación", E459="142 - Compras"), 25, 0)) +(IF(OR(S459="GRADO ING. MECÁNICA", S459="GRADO ING. ELÉCTRICA", S459="GRADO DERECHO", S459="GRADO ECONOMÍA", S459="GRADO ING. TECNOLOGÍAS INDUSTRIALES"), 24, 0)) + (IF(AND(K459&gt;=451, K459&lt;=700), 23, 0)) + (IF(AND(AB459&gt;=5, AB459&lt;=8), 17, 0)) +(IF(_xludf.OR(_xludf.AND(AC459&gt;=8, AC459&lt;=10), _xludf.AND(AC459&gt;=0, AC459&lt;=5)), 16, 0)) + (IF(F459="Madrid", 11, 0))))</f>
        <v>#NAME?</v>
      </c>
      <c r="AG459" s="68"/>
      <c r="AH459" s="71" t="s">
        <v>164</v>
      </c>
    </row>
    <row r="460" spans="1:34" ht="14.4" x14ac:dyDescent="0.3">
      <c r="A460" s="66" t="s">
        <v>1438</v>
      </c>
      <c r="B460" s="66" t="s">
        <v>3555</v>
      </c>
      <c r="C460" s="33">
        <v>459</v>
      </c>
      <c r="D460" s="33" t="s">
        <v>5401</v>
      </c>
      <c r="E460" s="34" t="s">
        <v>5244</v>
      </c>
      <c r="F460" s="34" t="s">
        <v>118</v>
      </c>
      <c r="G460" s="57">
        <v>41718</v>
      </c>
      <c r="H460" s="57">
        <v>42082</v>
      </c>
      <c r="I460" s="34">
        <f t="shared" si="21"/>
        <v>11</v>
      </c>
      <c r="J460" s="34">
        <v>40</v>
      </c>
      <c r="K460" s="36">
        <v>900</v>
      </c>
      <c r="L460" s="34" t="s">
        <v>17</v>
      </c>
      <c r="M460" s="57">
        <v>35514</v>
      </c>
      <c r="N460" s="37">
        <f>(YEAR(TablaMadre[[#This Row],[ALTA]])-YEAR(M460))</f>
        <v>17</v>
      </c>
      <c r="O460" s="34" t="s">
        <v>118</v>
      </c>
      <c r="P460" s="34" t="s">
        <v>19</v>
      </c>
      <c r="Q460" s="34" t="s">
        <v>49</v>
      </c>
      <c r="R460" s="34" t="s">
        <v>21</v>
      </c>
      <c r="S460" s="34" t="s">
        <v>297</v>
      </c>
      <c r="T460" s="34"/>
      <c r="U460" s="34"/>
      <c r="V460" s="34" t="s">
        <v>119</v>
      </c>
      <c r="W460" s="34" t="s">
        <v>28</v>
      </c>
      <c r="X460" s="38" t="s">
        <v>173</v>
      </c>
      <c r="Y460" s="62"/>
      <c r="Z460" s="38" t="e">
        <f t="shared" si="22"/>
        <v>#NUM!</v>
      </c>
      <c r="AA460" s="38"/>
      <c r="AB460" s="34"/>
      <c r="AC460" s="34"/>
      <c r="AD460" s="38"/>
      <c r="AE460" s="59" t="str">
        <f t="shared" si="23"/>
        <v>NO</v>
      </c>
      <c r="AF460" s="38" t="e" cm="1">
        <f t="array" aca="1" ref="AF460" ca="1">MIN(100, MAX(0, (IF(R460="ESTUDIANTE", 31, 0)) + (IF(I460&lt;=3, 30, IF(I460&lt;=6, 20, 0))) +(IF(OR(E460="413 - Control de Costes y Enlace Construcción", E460="480 - Secretaría General del Consejo", E460="132 - Civil y estructuras", E460="136 - Mecánica", E460="412 - Planificación", E460="142 - Compras"), 25, 0)) +(IF(OR(S460="GRADO ING. MECÁNICA", S460="GRADO ING. ELÉCTRICA", S460="GRADO DERECHO", S460="GRADO ECONOMÍA", S460="GRADO ING. TECNOLOGÍAS INDUSTRIALES"), 24, 0)) + (IF(AND(K460&gt;=451, K460&lt;=700), 23, 0)) + (IF(AND(AB460&gt;=5, AB460&lt;=8), 17, 0)) +(IF(_xludf.OR(_xludf.AND(AC460&gt;=8, AC460&lt;=10), _xludf.AND(AC460&gt;=0, AC460&lt;=5)), 16, 0)) + (IF(F460="Madrid", 11, 0))))</f>
        <v>#NAME?</v>
      </c>
      <c r="AG460" s="68"/>
      <c r="AH460" s="71" t="s">
        <v>164</v>
      </c>
    </row>
    <row r="461" spans="1:34" ht="14.4" x14ac:dyDescent="0.3">
      <c r="A461" s="66" t="s">
        <v>1439</v>
      </c>
      <c r="B461" s="66" t="s">
        <v>3556</v>
      </c>
      <c r="C461" s="33">
        <v>461</v>
      </c>
      <c r="D461" s="33" t="s">
        <v>5402</v>
      </c>
      <c r="E461" s="34" t="s">
        <v>5244</v>
      </c>
      <c r="F461" s="34" t="s">
        <v>18</v>
      </c>
      <c r="G461" s="57">
        <v>41722</v>
      </c>
      <c r="H461" s="57">
        <v>41799</v>
      </c>
      <c r="I461" s="34">
        <f t="shared" si="21"/>
        <v>2</v>
      </c>
      <c r="J461" s="34">
        <v>40</v>
      </c>
      <c r="K461" s="36">
        <v>450</v>
      </c>
      <c r="L461" s="34" t="s">
        <v>17</v>
      </c>
      <c r="M461" s="57">
        <v>35633</v>
      </c>
      <c r="N461" s="37">
        <f>(YEAR(TablaMadre[[#This Row],[ALTA]])-YEAR(M461))</f>
        <v>17</v>
      </c>
      <c r="O461" s="34" t="s">
        <v>18</v>
      </c>
      <c r="P461" s="34" t="s">
        <v>19</v>
      </c>
      <c r="Q461" s="34" t="s">
        <v>261</v>
      </c>
      <c r="R461" s="58" t="s">
        <v>30</v>
      </c>
      <c r="S461" s="34" t="s">
        <v>26</v>
      </c>
      <c r="T461" s="34"/>
      <c r="U461" s="34"/>
      <c r="V461" s="34" t="s">
        <v>27</v>
      </c>
      <c r="W461" s="34" t="s">
        <v>23</v>
      </c>
      <c r="X461" s="38" t="s">
        <v>164</v>
      </c>
      <c r="Y461" s="62"/>
      <c r="Z461" s="38" t="e">
        <f t="shared" si="22"/>
        <v>#NUM!</v>
      </c>
      <c r="AA461" s="38"/>
      <c r="AB461" s="34"/>
      <c r="AC461" s="34"/>
      <c r="AD461" s="38"/>
      <c r="AE461" s="59" t="str">
        <f t="shared" si="23"/>
        <v>NO</v>
      </c>
      <c r="AF461" s="38" t="e" cm="1">
        <f t="array" aca="1" ref="AF461" ca="1">MIN(100, MAX(0, (IF(R461="ESTUDIANTE", 31, 0)) + (IF(I461&lt;=3, 30, IF(I461&lt;=6, 20, 0))) +(IF(OR(E461="413 - Control de Costes y Enlace Construcción", E461="480 - Secretaría General del Consejo", E461="132 - Civil y estructuras", E461="136 - Mecánica", E461="412 - Planificación", E461="142 - Compras"), 25, 0)) +(IF(OR(S461="GRADO ING. MECÁNICA", S461="GRADO ING. ELÉCTRICA", S461="GRADO DERECHO", S461="GRADO ECONOMÍA", S461="GRADO ING. TECNOLOGÍAS INDUSTRIALES"), 24, 0)) + (IF(AND(K461&gt;=451, K461&lt;=700), 23, 0)) + (IF(AND(AB461&gt;=5, AB461&lt;=8), 17, 0)) +(IF(_xludf.OR(_xludf.AND(AC461&gt;=8, AC461&lt;=10), _xludf.AND(AC461&gt;=0, AC461&lt;=5)), 16, 0)) + (IF(F461="Madrid", 11, 0))))</f>
        <v>#NAME?</v>
      </c>
      <c r="AG461" s="68"/>
      <c r="AH461" s="71" t="s">
        <v>164</v>
      </c>
    </row>
    <row r="462" spans="1:34" ht="14.4" x14ac:dyDescent="0.3">
      <c r="A462" s="66" t="s">
        <v>1440</v>
      </c>
      <c r="B462" s="66" t="s">
        <v>3557</v>
      </c>
      <c r="C462" s="33">
        <v>460</v>
      </c>
      <c r="D462" s="33" t="s">
        <v>5393</v>
      </c>
      <c r="E462" s="34" t="s">
        <v>5244</v>
      </c>
      <c r="F462" s="34" t="s">
        <v>18</v>
      </c>
      <c r="G462" s="57">
        <v>41722</v>
      </c>
      <c r="H462" s="57">
        <v>41799</v>
      </c>
      <c r="I462" s="34">
        <f t="shared" si="21"/>
        <v>2</v>
      </c>
      <c r="J462" s="34">
        <v>40</v>
      </c>
      <c r="K462" s="36">
        <v>450</v>
      </c>
      <c r="L462" s="34" t="s">
        <v>17</v>
      </c>
      <c r="M462" s="57">
        <v>35033</v>
      </c>
      <c r="N462" s="37">
        <f>(YEAR(TablaMadre[[#This Row],[ALTA]])-YEAR(M462))</f>
        <v>19</v>
      </c>
      <c r="O462" s="34" t="s">
        <v>18</v>
      </c>
      <c r="P462" s="34" t="s">
        <v>19</v>
      </c>
      <c r="Q462" s="34" t="s">
        <v>261</v>
      </c>
      <c r="R462" s="58" t="s">
        <v>30</v>
      </c>
      <c r="S462" s="34" t="s">
        <v>26</v>
      </c>
      <c r="T462" s="34"/>
      <c r="U462" s="34"/>
      <c r="V462" s="34" t="s">
        <v>27</v>
      </c>
      <c r="W462" s="34" t="s">
        <v>23</v>
      </c>
      <c r="X462" s="38" t="s">
        <v>164</v>
      </c>
      <c r="Y462" s="62"/>
      <c r="Z462" s="38" t="e">
        <f t="shared" si="22"/>
        <v>#NUM!</v>
      </c>
      <c r="AA462" s="38"/>
      <c r="AB462" s="34"/>
      <c r="AC462" s="34"/>
      <c r="AD462" s="38"/>
      <c r="AE462" s="59" t="str">
        <f t="shared" si="23"/>
        <v>NO</v>
      </c>
      <c r="AF462" s="38" t="e" cm="1">
        <f t="array" aca="1" ref="AF462" ca="1">MIN(100, MAX(0, (IF(R462="ESTUDIANTE", 31, 0)) + (IF(I462&lt;=3, 30, IF(I462&lt;=6, 20, 0))) +(IF(OR(E462="413 - Control de Costes y Enlace Construcción", E462="480 - Secretaría General del Consejo", E462="132 - Civil y estructuras", E462="136 - Mecánica", E462="412 - Planificación", E462="142 - Compras"), 25, 0)) +(IF(OR(S462="GRADO ING. MECÁNICA", S462="GRADO ING. ELÉCTRICA", S462="GRADO DERECHO", S462="GRADO ECONOMÍA", S462="GRADO ING. TECNOLOGÍAS INDUSTRIALES"), 24, 0)) + (IF(AND(K462&gt;=451, K462&lt;=700), 23, 0)) + (IF(AND(AB462&gt;=5, AB462&lt;=8), 17, 0)) +(IF(_xludf.OR(_xludf.AND(AC462&gt;=8, AC462&lt;=10), _xludf.AND(AC462&gt;=0, AC462&lt;=5)), 16, 0)) + (IF(F462="Madrid", 11, 0))))</f>
        <v>#NAME?</v>
      </c>
      <c r="AG462" s="68"/>
      <c r="AH462" s="71" t="s">
        <v>164</v>
      </c>
    </row>
    <row r="463" spans="1:34" ht="14.4" x14ac:dyDescent="0.3">
      <c r="A463" s="66" t="s">
        <v>1441</v>
      </c>
      <c r="B463" s="66" t="s">
        <v>3558</v>
      </c>
      <c r="C463" s="33">
        <v>462</v>
      </c>
      <c r="D463" s="33" t="s">
        <v>5394</v>
      </c>
      <c r="E463" s="34" t="s">
        <v>5244</v>
      </c>
      <c r="F463" s="34" t="s">
        <v>18</v>
      </c>
      <c r="G463" s="57">
        <v>41722</v>
      </c>
      <c r="H463" s="57">
        <v>42086</v>
      </c>
      <c r="I463" s="34">
        <f t="shared" si="21"/>
        <v>11</v>
      </c>
      <c r="J463" s="34">
        <v>40</v>
      </c>
      <c r="K463" s="36">
        <v>750</v>
      </c>
      <c r="L463" s="34" t="s">
        <v>17</v>
      </c>
      <c r="M463" s="57">
        <v>35412</v>
      </c>
      <c r="N463" s="37">
        <f>(YEAR(TablaMadre[[#This Row],[ALTA]])-YEAR(M463))</f>
        <v>18</v>
      </c>
      <c r="O463" s="34" t="s">
        <v>257</v>
      </c>
      <c r="P463" s="34" t="s">
        <v>19</v>
      </c>
      <c r="Q463" s="34" t="s">
        <v>278</v>
      </c>
      <c r="R463" s="34" t="s">
        <v>21</v>
      </c>
      <c r="S463" s="34" t="s">
        <v>322</v>
      </c>
      <c r="T463" s="34"/>
      <c r="U463" s="34"/>
      <c r="V463" s="34" t="s">
        <v>142</v>
      </c>
      <c r="W463" s="34" t="s">
        <v>28</v>
      </c>
      <c r="X463" s="38" t="s">
        <v>164</v>
      </c>
      <c r="Y463" s="62">
        <v>43155</v>
      </c>
      <c r="Z463" s="38">
        <f t="shared" si="22"/>
        <v>2</v>
      </c>
      <c r="AA463" s="38"/>
      <c r="AB463" s="34"/>
      <c r="AC463" s="34"/>
      <c r="AD463" s="38"/>
      <c r="AE463" s="59" t="str">
        <f t="shared" si="23"/>
        <v>SÍ</v>
      </c>
      <c r="AF463" s="38" t="e" cm="1">
        <f t="array" aca="1" ref="AF463" ca="1">MIN(100, MAX(0, (IF(R463="ESTUDIANTE", 31, 0)) + (IF(I463&lt;=3, 30, IF(I463&lt;=6, 20, 0))) +(IF(OR(E463="413 - Control de Costes y Enlace Construcción", E463="480 - Secretaría General del Consejo", E463="132 - Civil y estructuras", E463="136 - Mecánica", E463="412 - Planificación", E463="142 - Compras"), 25, 0)) +(IF(OR(S463="GRADO ING. MECÁNICA", S463="GRADO ING. ELÉCTRICA", S463="GRADO DERECHO", S463="GRADO ECONOMÍA", S463="GRADO ING. TECNOLOGÍAS INDUSTRIALES"), 24, 0)) + (IF(AND(K463&gt;=451, K463&lt;=700), 23, 0)) + (IF(AND(AB463&gt;=5, AB463&lt;=8), 17, 0)) +(IF(_xludf.OR(_xludf.AND(AC463&gt;=8, AC463&lt;=10), _xludf.AND(AC463&gt;=0, AC463&lt;=5)), 16, 0)) + (IF(F463="Madrid", 11, 0))))</f>
        <v>#NAME?</v>
      </c>
      <c r="AG463" s="68"/>
      <c r="AH463" s="71" t="s">
        <v>164</v>
      </c>
    </row>
    <row r="464" spans="1:34" ht="14.4" x14ac:dyDescent="0.3">
      <c r="A464" s="66" t="s">
        <v>1442</v>
      </c>
      <c r="B464" s="66" t="s">
        <v>3559</v>
      </c>
      <c r="C464" s="33">
        <v>463</v>
      </c>
      <c r="D464" s="33" t="s">
        <v>5395</v>
      </c>
      <c r="E464" s="34" t="s">
        <v>5244</v>
      </c>
      <c r="F464" s="34" t="s">
        <v>18</v>
      </c>
      <c r="G464" s="57">
        <v>41722</v>
      </c>
      <c r="H464" s="57">
        <v>42086</v>
      </c>
      <c r="I464" s="34">
        <f t="shared" si="21"/>
        <v>11</v>
      </c>
      <c r="J464" s="34">
        <v>40</v>
      </c>
      <c r="K464" s="36">
        <v>900</v>
      </c>
      <c r="L464" s="34" t="s">
        <v>17</v>
      </c>
      <c r="M464" s="57">
        <v>36113</v>
      </c>
      <c r="N464" s="37">
        <f>(YEAR(TablaMadre[[#This Row],[ALTA]])-YEAR(M464))</f>
        <v>16</v>
      </c>
      <c r="O464" s="34" t="s">
        <v>411</v>
      </c>
      <c r="P464" s="34" t="s">
        <v>19</v>
      </c>
      <c r="Q464" s="34" t="s">
        <v>20</v>
      </c>
      <c r="R464" s="34" t="s">
        <v>21</v>
      </c>
      <c r="S464" s="34" t="s">
        <v>151</v>
      </c>
      <c r="T464" s="34"/>
      <c r="U464" s="34"/>
      <c r="V464" s="34" t="s">
        <v>22</v>
      </c>
      <c r="W464" s="34" t="s">
        <v>28</v>
      </c>
      <c r="X464" s="38" t="s">
        <v>164</v>
      </c>
      <c r="Y464" s="62">
        <v>43830</v>
      </c>
      <c r="Z464" s="38">
        <f t="shared" si="22"/>
        <v>4</v>
      </c>
      <c r="AA464" s="38"/>
      <c r="AB464" s="34"/>
      <c r="AC464" s="34"/>
      <c r="AD464" s="38"/>
      <c r="AE464" s="59" t="str">
        <f t="shared" si="23"/>
        <v>SÍ</v>
      </c>
      <c r="AF464" s="38" t="e" cm="1">
        <f t="array" aca="1" ref="AF464" ca="1">MIN(100, MAX(0, (IF(R464="ESTUDIANTE", 31, 0)) + (IF(I464&lt;=3, 30, IF(I464&lt;=6, 20, 0))) +(IF(OR(E464="413 - Control de Costes y Enlace Construcción", E464="480 - Secretaría General del Consejo", E464="132 - Civil y estructuras", E464="136 - Mecánica", E464="412 - Planificación", E464="142 - Compras"), 25, 0)) +(IF(OR(S464="GRADO ING. MECÁNICA", S464="GRADO ING. ELÉCTRICA", S464="GRADO DERECHO", S464="GRADO ECONOMÍA", S464="GRADO ING. TECNOLOGÍAS INDUSTRIALES"), 24, 0)) + (IF(AND(K464&gt;=451, K464&lt;=700), 23, 0)) + (IF(AND(AB464&gt;=5, AB464&lt;=8), 17, 0)) +(IF(_xludf.OR(_xludf.AND(AC464&gt;=8, AC464&lt;=10), _xludf.AND(AC464&gt;=0, AC464&lt;=5)), 16, 0)) + (IF(F464="Madrid", 11, 0))))</f>
        <v>#NAME?</v>
      </c>
      <c r="AG464" s="68"/>
      <c r="AH464" s="71" t="s">
        <v>164</v>
      </c>
    </row>
    <row r="465" spans="1:34" ht="14.4" x14ac:dyDescent="0.3">
      <c r="A465" s="66" t="s">
        <v>1443</v>
      </c>
      <c r="B465" s="66" t="s">
        <v>3560</v>
      </c>
      <c r="C465" s="33">
        <v>464</v>
      </c>
      <c r="D465" s="33" t="s">
        <v>5396</v>
      </c>
      <c r="E465" s="34" t="s">
        <v>5244</v>
      </c>
      <c r="F465" s="34" t="s">
        <v>18</v>
      </c>
      <c r="G465" s="57">
        <v>41722</v>
      </c>
      <c r="H465" s="57">
        <v>42086</v>
      </c>
      <c r="I465" s="34">
        <f t="shared" si="21"/>
        <v>11</v>
      </c>
      <c r="J465" s="34">
        <v>40</v>
      </c>
      <c r="K465" s="36">
        <v>750</v>
      </c>
      <c r="L465" s="34" t="s">
        <v>17</v>
      </c>
      <c r="M465" s="57">
        <v>33012</v>
      </c>
      <c r="N465" s="37">
        <f>(YEAR(TablaMadre[[#This Row],[ALTA]])-YEAR(M465))</f>
        <v>24</v>
      </c>
      <c r="O465" s="34" t="s">
        <v>18</v>
      </c>
      <c r="P465" s="34" t="s">
        <v>19</v>
      </c>
      <c r="Q465" s="34" t="s">
        <v>93</v>
      </c>
      <c r="R465" s="34" t="s">
        <v>21</v>
      </c>
      <c r="S465" s="34" t="s">
        <v>151</v>
      </c>
      <c r="T465" s="34"/>
      <c r="U465" s="34"/>
      <c r="V465" s="34" t="s">
        <v>22</v>
      </c>
      <c r="W465" s="34" t="s">
        <v>28</v>
      </c>
      <c r="X465" s="38" t="s">
        <v>173</v>
      </c>
      <c r="Y465" s="62"/>
      <c r="Z465" s="38" t="e">
        <f t="shared" si="22"/>
        <v>#NUM!</v>
      </c>
      <c r="AA465" s="38"/>
      <c r="AB465" s="34"/>
      <c r="AC465" s="34"/>
      <c r="AD465" s="38"/>
      <c r="AE465" s="59" t="str">
        <f t="shared" si="23"/>
        <v>NO</v>
      </c>
      <c r="AF465" s="38" t="e" cm="1">
        <f t="array" aca="1" ref="AF465" ca="1">MIN(100, MAX(0, (IF(R465="ESTUDIANTE", 31, 0)) + (IF(I465&lt;=3, 30, IF(I465&lt;=6, 20, 0))) +(IF(OR(E465="413 - Control de Costes y Enlace Construcción", E465="480 - Secretaría General del Consejo", E465="132 - Civil y estructuras", E465="136 - Mecánica", E465="412 - Planificación", E465="142 - Compras"), 25, 0)) +(IF(OR(S465="GRADO ING. MECÁNICA", S465="GRADO ING. ELÉCTRICA", S465="GRADO DERECHO", S465="GRADO ECONOMÍA", S465="GRADO ING. TECNOLOGÍAS INDUSTRIALES"), 24, 0)) + (IF(AND(K465&gt;=451, K465&lt;=700), 23, 0)) + (IF(AND(AB465&gt;=5, AB465&lt;=8), 17, 0)) +(IF(_xludf.OR(_xludf.AND(AC465&gt;=8, AC465&lt;=10), _xludf.AND(AC465&gt;=0, AC465&lt;=5)), 16, 0)) + (IF(F465="Madrid", 11, 0))))</f>
        <v>#NAME?</v>
      </c>
      <c r="AG465" s="68"/>
      <c r="AH465" s="71" t="s">
        <v>164</v>
      </c>
    </row>
    <row r="466" spans="1:34" ht="14.4" x14ac:dyDescent="0.3">
      <c r="A466" s="66" t="s">
        <v>1444</v>
      </c>
      <c r="B466" s="66" t="s">
        <v>3561</v>
      </c>
      <c r="C466" s="33">
        <v>465</v>
      </c>
      <c r="D466" s="33" t="s">
        <v>5397</v>
      </c>
      <c r="E466" s="34" t="s">
        <v>5252</v>
      </c>
      <c r="F466" s="34" t="s">
        <v>18</v>
      </c>
      <c r="G466" s="57">
        <v>41725</v>
      </c>
      <c r="H466" s="57">
        <v>41985</v>
      </c>
      <c r="I466" s="34">
        <f t="shared" si="21"/>
        <v>8</v>
      </c>
      <c r="J466" s="34">
        <v>40</v>
      </c>
      <c r="K466" s="36">
        <v>700</v>
      </c>
      <c r="L466" s="34" t="s">
        <v>17</v>
      </c>
      <c r="M466" s="57">
        <v>33343</v>
      </c>
      <c r="N466" s="37">
        <f>(YEAR(TablaMadre[[#This Row],[ALTA]])-YEAR(M466))</f>
        <v>23</v>
      </c>
      <c r="O466" s="34" t="s">
        <v>293</v>
      </c>
      <c r="P466" s="34" t="s">
        <v>19</v>
      </c>
      <c r="Q466" s="34" t="s">
        <v>294</v>
      </c>
      <c r="R466" s="58" t="s">
        <v>30</v>
      </c>
      <c r="S466" s="34" t="s">
        <v>26</v>
      </c>
      <c r="T466" s="34"/>
      <c r="U466" s="34"/>
      <c r="V466" s="34" t="s">
        <v>27</v>
      </c>
      <c r="W466" s="34" t="s">
        <v>28</v>
      </c>
      <c r="X466" s="38" t="s">
        <v>173</v>
      </c>
      <c r="Y466" s="62"/>
      <c r="Z466" s="38" t="e">
        <f t="shared" si="22"/>
        <v>#NUM!</v>
      </c>
      <c r="AA466" s="38"/>
      <c r="AB466" s="34"/>
      <c r="AC466" s="34"/>
      <c r="AD466" s="38"/>
      <c r="AE466" s="59" t="str">
        <f t="shared" si="23"/>
        <v>SÍ</v>
      </c>
      <c r="AF466" s="38" t="e" cm="1">
        <f t="array" aca="1" ref="AF466" ca="1">MIN(100, MAX(0, (IF(R466="ESTUDIANTE", 31, 0)) + (IF(I466&lt;=3, 30, IF(I466&lt;=6, 20, 0))) +(IF(OR(E466="413 - Control de Costes y Enlace Construcción", E466="480 - Secretaría General del Consejo", E466="132 - Civil y estructuras", E466="136 - Mecánica", E466="412 - Planificación", E466="142 - Compras"), 25, 0)) +(IF(OR(S466="GRADO ING. MECÁNICA", S466="GRADO ING. ELÉCTRICA", S466="GRADO DERECHO", S466="GRADO ECONOMÍA", S466="GRADO ING. TECNOLOGÍAS INDUSTRIALES"), 24, 0)) + (IF(AND(K466&gt;=451, K466&lt;=700), 23, 0)) + (IF(AND(AB466&gt;=5, AB466&lt;=8), 17, 0)) +(IF(_xludf.OR(_xludf.AND(AC466&gt;=8, AC466&lt;=10), _xludf.AND(AC466&gt;=0, AC466&lt;=5)), 16, 0)) + (IF(F466="Madrid", 11, 0))))</f>
        <v>#NAME?</v>
      </c>
      <c r="AG466" s="68"/>
      <c r="AH466" s="71" t="s">
        <v>164</v>
      </c>
    </row>
    <row r="467" spans="1:34" ht="14.4" x14ac:dyDescent="0.3">
      <c r="A467" s="66" t="s">
        <v>2176</v>
      </c>
      <c r="B467" s="66" t="s">
        <v>4293</v>
      </c>
      <c r="C467" s="33">
        <v>466</v>
      </c>
      <c r="D467" s="33" t="s">
        <v>5398</v>
      </c>
      <c r="E467" s="34" t="s">
        <v>5232</v>
      </c>
      <c r="F467" s="34" t="s">
        <v>18</v>
      </c>
      <c r="G467" s="57">
        <v>41725</v>
      </c>
      <c r="H467" s="57">
        <v>42177</v>
      </c>
      <c r="I467" s="34">
        <f t="shared" si="21"/>
        <v>14</v>
      </c>
      <c r="J467" s="34">
        <v>40</v>
      </c>
      <c r="K467" s="36">
        <v>700</v>
      </c>
      <c r="L467" s="34" t="s">
        <v>17</v>
      </c>
      <c r="M467" s="57">
        <v>35176</v>
      </c>
      <c r="N467" s="37">
        <f>(YEAR(TablaMadre[[#This Row],[ALTA]])-YEAR(M467))</f>
        <v>18</v>
      </c>
      <c r="O467" s="34" t="s">
        <v>18</v>
      </c>
      <c r="P467" s="34" t="s">
        <v>19</v>
      </c>
      <c r="Q467" s="34" t="s">
        <v>294</v>
      </c>
      <c r="R467" s="58" t="s">
        <v>30</v>
      </c>
      <c r="S467" s="34" t="s">
        <v>26</v>
      </c>
      <c r="T467" s="34"/>
      <c r="U467" s="34"/>
      <c r="V467" s="34" t="s">
        <v>27</v>
      </c>
      <c r="W467" s="34" t="s">
        <v>28</v>
      </c>
      <c r="X467" s="38" t="s">
        <v>164</v>
      </c>
      <c r="Y467" s="62">
        <v>44958</v>
      </c>
      <c r="Z467" s="38">
        <f t="shared" si="22"/>
        <v>7</v>
      </c>
      <c r="AA467" s="38" t="s">
        <v>173</v>
      </c>
      <c r="AB467" s="34"/>
      <c r="AC467" s="34"/>
      <c r="AD467" s="38"/>
      <c r="AE467" s="59" t="str">
        <f t="shared" si="23"/>
        <v>NO</v>
      </c>
      <c r="AF467" s="38" t="e" cm="1">
        <f t="array" aca="1" ref="AF467" ca="1">MIN(100, MAX(0, (IF(R467="ESTUDIANTE", 31, 0)) + (IF(I467&lt;=3, 30, IF(I467&lt;=6, 20, 0))) +(IF(OR(E467="413 - Control de Costes y Enlace Construcción", E467="480 - Secretaría General del Consejo", E467="132 - Civil y estructuras", E467="136 - Mecánica", E467="412 - Planificación", E467="142 - Compras"), 25, 0)) +(IF(OR(S467="GRADO ING. MECÁNICA", S467="GRADO ING. ELÉCTRICA", S467="GRADO DERECHO", S467="GRADO ECONOMÍA", S467="GRADO ING. TECNOLOGÍAS INDUSTRIALES"), 24, 0)) + (IF(AND(K467&gt;=451, K467&lt;=700), 23, 0)) + (IF(AND(AB467&gt;=5, AB467&lt;=8), 17, 0)) +(IF(_xludf.OR(_xludf.AND(AC467&gt;=8, AC467&lt;=10), _xludf.AND(AC467&gt;=0, AC467&lt;=5)), 16, 0)) + (IF(F467="Madrid", 11, 0))))</f>
        <v>#NAME?</v>
      </c>
      <c r="AG467" s="68"/>
      <c r="AH467" s="71" t="s">
        <v>164</v>
      </c>
    </row>
    <row r="468" spans="1:34" ht="14.4" x14ac:dyDescent="0.3">
      <c r="A468" s="66" t="s">
        <v>1446</v>
      </c>
      <c r="B468" s="66" t="s">
        <v>3563</v>
      </c>
      <c r="C468" s="33">
        <v>467</v>
      </c>
      <c r="D468" s="33" t="s">
        <v>5399</v>
      </c>
      <c r="E468" s="34" t="s">
        <v>5229</v>
      </c>
      <c r="F468" s="34" t="s">
        <v>18</v>
      </c>
      <c r="G468" s="57">
        <v>41729</v>
      </c>
      <c r="H468" s="57">
        <v>42177</v>
      </c>
      <c r="I468" s="34">
        <f t="shared" si="21"/>
        <v>14</v>
      </c>
      <c r="J468" s="34">
        <v>40</v>
      </c>
      <c r="K468" s="36">
        <v>700</v>
      </c>
      <c r="L468" s="34" t="s">
        <v>17</v>
      </c>
      <c r="M468" s="57">
        <v>34109</v>
      </c>
      <c r="N468" s="37">
        <f>(YEAR(TablaMadre[[#This Row],[ALTA]])-YEAR(M468))</f>
        <v>21</v>
      </c>
      <c r="O468" s="34" t="s">
        <v>18</v>
      </c>
      <c r="P468" s="34" t="s">
        <v>19</v>
      </c>
      <c r="Q468" s="34" t="s">
        <v>294</v>
      </c>
      <c r="R468" s="58" t="s">
        <v>30</v>
      </c>
      <c r="S468" s="34" t="s">
        <v>26</v>
      </c>
      <c r="T468" s="34"/>
      <c r="U468" s="34"/>
      <c r="V468" s="34" t="s">
        <v>27</v>
      </c>
      <c r="W468" s="34" t="s">
        <v>28</v>
      </c>
      <c r="X468" s="38" t="s">
        <v>173</v>
      </c>
      <c r="Y468" s="62"/>
      <c r="Z468" s="38" t="e">
        <f t="shared" si="22"/>
        <v>#NUM!</v>
      </c>
      <c r="AA468" s="38"/>
      <c r="AB468" s="34"/>
      <c r="AC468" s="34"/>
      <c r="AD468" s="38"/>
      <c r="AE468" s="59" t="str">
        <f t="shared" si="23"/>
        <v>NO</v>
      </c>
      <c r="AF468" s="38" t="e" cm="1">
        <f t="array" aca="1" ref="AF468" ca="1">MIN(100, MAX(0, (IF(R468="ESTUDIANTE", 31, 0)) + (IF(I468&lt;=3, 30, IF(I468&lt;=6, 20, 0))) +(IF(OR(E468="413 - Control de Costes y Enlace Construcción", E468="480 - Secretaría General del Consejo", E468="132 - Civil y estructuras", E468="136 - Mecánica", E468="412 - Planificación", E468="142 - Compras"), 25, 0)) +(IF(OR(S468="GRADO ING. MECÁNICA", S468="GRADO ING. ELÉCTRICA", S468="GRADO DERECHO", S468="GRADO ECONOMÍA", S468="GRADO ING. TECNOLOGÍAS INDUSTRIALES"), 24, 0)) + (IF(AND(K468&gt;=451, K468&lt;=700), 23, 0)) + (IF(AND(AB468&gt;=5, AB468&lt;=8), 17, 0)) +(IF(_xludf.OR(_xludf.AND(AC468&gt;=8, AC468&lt;=10), _xludf.AND(AC468&gt;=0, AC468&lt;=5)), 16, 0)) + (IF(F468="Madrid", 11, 0))))</f>
        <v>#NAME?</v>
      </c>
      <c r="AG468" s="68"/>
      <c r="AH468" s="71" t="s">
        <v>164</v>
      </c>
    </row>
    <row r="469" spans="1:34" ht="14.4" x14ac:dyDescent="0.3">
      <c r="A469" s="66" t="s">
        <v>1447</v>
      </c>
      <c r="B469" s="66" t="s">
        <v>3564</v>
      </c>
      <c r="C469" s="33">
        <v>468</v>
      </c>
      <c r="D469" s="33" t="s">
        <v>5393</v>
      </c>
      <c r="E469" s="34" t="s">
        <v>5222</v>
      </c>
      <c r="F469" s="34" t="s">
        <v>18</v>
      </c>
      <c r="G469" s="57">
        <v>41743</v>
      </c>
      <c r="H469" s="57">
        <v>41808</v>
      </c>
      <c r="I469" s="34">
        <f t="shared" si="21"/>
        <v>2</v>
      </c>
      <c r="J469" s="34">
        <v>35</v>
      </c>
      <c r="K469" s="36">
        <v>395</v>
      </c>
      <c r="L469" s="34" t="s">
        <v>17</v>
      </c>
      <c r="M469" s="57">
        <v>34927</v>
      </c>
      <c r="N469" s="37">
        <f>(YEAR(TablaMadre[[#This Row],[ALTA]])-YEAR(M469))</f>
        <v>19</v>
      </c>
      <c r="O469" s="34" t="s">
        <v>265</v>
      </c>
      <c r="P469" s="34" t="s">
        <v>265</v>
      </c>
      <c r="Q469" s="34" t="s">
        <v>266</v>
      </c>
      <c r="R469" s="58" t="s">
        <v>30</v>
      </c>
      <c r="S469" s="34" t="s">
        <v>26</v>
      </c>
      <c r="T469" s="34"/>
      <c r="U469" s="34"/>
      <c r="V469" s="34" t="s">
        <v>90</v>
      </c>
      <c r="W469" s="34" t="s">
        <v>23</v>
      </c>
      <c r="X469" s="38" t="s">
        <v>164</v>
      </c>
      <c r="Y469" s="62"/>
      <c r="Z469" s="38" t="e">
        <f t="shared" si="22"/>
        <v>#NUM!</v>
      </c>
      <c r="AA469" s="38"/>
      <c r="AB469" s="34"/>
      <c r="AC469" s="34"/>
      <c r="AD469" s="38"/>
      <c r="AE469" s="59" t="str">
        <f t="shared" si="23"/>
        <v>SÍ</v>
      </c>
      <c r="AF469" s="38" t="e" cm="1">
        <f t="array" aca="1" ref="AF469" ca="1">MIN(100, MAX(0, (IF(R469="ESTUDIANTE", 31, 0)) + (IF(I469&lt;=3, 30, IF(I469&lt;=6, 20, 0))) +(IF(OR(E469="413 - Control de Costes y Enlace Construcción", E469="480 - Secretaría General del Consejo", E469="132 - Civil y estructuras", E469="136 - Mecánica", E469="412 - Planificación", E469="142 - Compras"), 25, 0)) +(IF(OR(S469="GRADO ING. MECÁNICA", S469="GRADO ING. ELÉCTRICA", S469="GRADO DERECHO", S469="GRADO ECONOMÍA", S469="GRADO ING. TECNOLOGÍAS INDUSTRIALES"), 24, 0)) + (IF(AND(K469&gt;=451, K469&lt;=700), 23, 0)) + (IF(AND(AB469&gt;=5, AB469&lt;=8), 17, 0)) +(IF(_xludf.OR(_xludf.AND(AC469&gt;=8, AC469&lt;=10), _xludf.AND(AC469&gt;=0, AC469&lt;=5)), 16, 0)) + (IF(F469="Madrid", 11, 0))))</f>
        <v>#NAME?</v>
      </c>
      <c r="AG469" s="68"/>
      <c r="AH469" s="71" t="s">
        <v>164</v>
      </c>
    </row>
    <row r="470" spans="1:34" ht="14.4" x14ac:dyDescent="0.3">
      <c r="A470" s="66" t="s">
        <v>1448</v>
      </c>
      <c r="B470" s="66" t="s">
        <v>3565</v>
      </c>
      <c r="C470" s="33">
        <v>469</v>
      </c>
      <c r="D470" s="33" t="s">
        <v>5394</v>
      </c>
      <c r="E470" s="34" t="s">
        <v>5249</v>
      </c>
      <c r="F470" s="34" t="s">
        <v>18</v>
      </c>
      <c r="G470" s="57">
        <v>41750</v>
      </c>
      <c r="H470" s="57">
        <v>41932</v>
      </c>
      <c r="I470" s="34">
        <f t="shared" si="21"/>
        <v>5</v>
      </c>
      <c r="J470" s="34">
        <v>25</v>
      </c>
      <c r="K470" s="36">
        <v>650</v>
      </c>
      <c r="L470" s="34" t="s">
        <v>29</v>
      </c>
      <c r="M470" s="57">
        <v>33960</v>
      </c>
      <c r="N470" s="37">
        <f>(YEAR(TablaMadre[[#This Row],[ALTA]])-YEAR(M470))</f>
        <v>22</v>
      </c>
      <c r="O470" s="34" t="s">
        <v>411</v>
      </c>
      <c r="P470" s="34" t="s">
        <v>19</v>
      </c>
      <c r="Q470" s="34" t="s">
        <v>49</v>
      </c>
      <c r="R470" s="58" t="s">
        <v>30</v>
      </c>
      <c r="S470" s="34" t="s">
        <v>297</v>
      </c>
      <c r="T470" s="34"/>
      <c r="U470" s="34"/>
      <c r="V470" s="34" t="s">
        <v>81</v>
      </c>
      <c r="W470" s="34" t="s">
        <v>28</v>
      </c>
      <c r="X470" s="38" t="s">
        <v>164</v>
      </c>
      <c r="Y470" s="62">
        <v>43182</v>
      </c>
      <c r="Z470" s="38">
        <f t="shared" si="22"/>
        <v>3</v>
      </c>
      <c r="AA470" s="38"/>
      <c r="AB470" s="34"/>
      <c r="AC470" s="34"/>
      <c r="AD470" s="38"/>
      <c r="AE470" s="59" t="str">
        <f t="shared" si="23"/>
        <v>SÍ</v>
      </c>
      <c r="AF470" s="38" t="e" cm="1">
        <f t="array" aca="1" ref="AF470" ca="1">MIN(100, MAX(0, (IF(R470="ESTUDIANTE", 31, 0)) + (IF(I470&lt;=3, 30, IF(I470&lt;=6, 20, 0))) +(IF(OR(E470="413 - Control de Costes y Enlace Construcción", E470="480 - Secretaría General del Consejo", E470="132 - Civil y estructuras", E470="136 - Mecánica", E470="412 - Planificación", E470="142 - Compras"), 25, 0)) +(IF(OR(S470="GRADO ING. MECÁNICA", S470="GRADO ING. ELÉCTRICA", S470="GRADO DERECHO", S470="GRADO ECONOMÍA", S470="GRADO ING. TECNOLOGÍAS INDUSTRIALES"), 24, 0)) + (IF(AND(K470&gt;=451, K470&lt;=700), 23, 0)) + (IF(AND(AB470&gt;=5, AB470&lt;=8), 17, 0)) +(IF(_xludf.OR(_xludf.AND(AC470&gt;=8, AC470&lt;=10), _xludf.AND(AC470&gt;=0, AC470&lt;=5)), 16, 0)) + (IF(F470="Madrid", 11, 0))))</f>
        <v>#NAME?</v>
      </c>
      <c r="AG470" s="68"/>
      <c r="AH470" s="71" t="s">
        <v>164</v>
      </c>
    </row>
    <row r="471" spans="1:34" ht="14.4" x14ac:dyDescent="0.3">
      <c r="A471" s="66" t="s">
        <v>1449</v>
      </c>
      <c r="B471" s="66" t="s">
        <v>3566</v>
      </c>
      <c r="C471" s="33">
        <v>470</v>
      </c>
      <c r="D471" s="33" t="s">
        <v>5395</v>
      </c>
      <c r="E471" s="34" t="s">
        <v>5249</v>
      </c>
      <c r="F471" s="34" t="s">
        <v>18</v>
      </c>
      <c r="G471" s="57">
        <v>41750</v>
      </c>
      <c r="H471" s="57">
        <v>42114</v>
      </c>
      <c r="I471" s="34">
        <f t="shared" si="21"/>
        <v>11</v>
      </c>
      <c r="J471" s="34">
        <v>40</v>
      </c>
      <c r="K471" s="36">
        <v>900</v>
      </c>
      <c r="L471" s="34" t="s">
        <v>17</v>
      </c>
      <c r="M471" s="57">
        <v>34144</v>
      </c>
      <c r="N471" s="37">
        <f>(YEAR(TablaMadre[[#This Row],[ALTA]])-YEAR(M471))</f>
        <v>21</v>
      </c>
      <c r="O471" s="34" t="s">
        <v>18</v>
      </c>
      <c r="P471" s="34" t="s">
        <v>19</v>
      </c>
      <c r="Q471" s="34" t="s">
        <v>49</v>
      </c>
      <c r="R471" s="34" t="s">
        <v>21</v>
      </c>
      <c r="S471" s="34" t="s">
        <v>297</v>
      </c>
      <c r="T471" s="34"/>
      <c r="U471" s="34"/>
      <c r="V471" s="34" t="s">
        <v>56</v>
      </c>
      <c r="W471" s="34" t="s">
        <v>28</v>
      </c>
      <c r="X471" s="38" t="s">
        <v>173</v>
      </c>
      <c r="Y471" s="62"/>
      <c r="Z471" s="38" t="e">
        <f t="shared" si="22"/>
        <v>#NUM!</v>
      </c>
      <c r="AA471" s="38"/>
      <c r="AB471" s="34"/>
      <c r="AC471" s="34"/>
      <c r="AD471" s="38"/>
      <c r="AE471" s="59" t="str">
        <f t="shared" si="23"/>
        <v>NO</v>
      </c>
      <c r="AF471" s="38" t="e" cm="1">
        <f t="array" aca="1" ref="AF471" ca="1">MIN(100, MAX(0, (IF(R471="ESTUDIANTE", 31, 0)) + (IF(I471&lt;=3, 30, IF(I471&lt;=6, 20, 0))) +(IF(OR(E471="413 - Control de Costes y Enlace Construcción", E471="480 - Secretaría General del Consejo", E471="132 - Civil y estructuras", E471="136 - Mecánica", E471="412 - Planificación", E471="142 - Compras"), 25, 0)) +(IF(OR(S471="GRADO ING. MECÁNICA", S471="GRADO ING. ELÉCTRICA", S471="GRADO DERECHO", S471="GRADO ECONOMÍA", S471="GRADO ING. TECNOLOGÍAS INDUSTRIALES"), 24, 0)) + (IF(AND(K471&gt;=451, K471&lt;=700), 23, 0)) + (IF(AND(AB471&gt;=5, AB471&lt;=8), 17, 0)) +(IF(_xludf.OR(_xludf.AND(AC471&gt;=8, AC471&lt;=10), _xludf.AND(AC471&gt;=0, AC471&lt;=5)), 16, 0)) + (IF(F471="Madrid", 11, 0))))</f>
        <v>#NAME?</v>
      </c>
      <c r="AG471" s="68"/>
      <c r="AH471" s="71" t="s">
        <v>164</v>
      </c>
    </row>
    <row r="472" spans="1:34" ht="14.4" x14ac:dyDescent="0.3">
      <c r="A472" s="66" t="s">
        <v>1450</v>
      </c>
      <c r="B472" s="66" t="s">
        <v>3567</v>
      </c>
      <c r="C472" s="33">
        <v>471</v>
      </c>
      <c r="D472" s="33" t="s">
        <v>5396</v>
      </c>
      <c r="E472" s="34" t="s">
        <v>5249</v>
      </c>
      <c r="F472" s="34" t="s">
        <v>18</v>
      </c>
      <c r="G472" s="57">
        <v>41750</v>
      </c>
      <c r="H472" s="57">
        <v>42114</v>
      </c>
      <c r="I472" s="34">
        <f t="shared" si="21"/>
        <v>11</v>
      </c>
      <c r="J472" s="34">
        <v>40</v>
      </c>
      <c r="K472" s="36">
        <v>825</v>
      </c>
      <c r="L472" s="34" t="s">
        <v>17</v>
      </c>
      <c r="M472" s="57">
        <v>34529</v>
      </c>
      <c r="N472" s="37">
        <f>(YEAR(TablaMadre[[#This Row],[ALTA]])-YEAR(M472))</f>
        <v>20</v>
      </c>
      <c r="O472" s="34" t="s">
        <v>18</v>
      </c>
      <c r="P472" s="34" t="s">
        <v>19</v>
      </c>
      <c r="Q472" s="34" t="s">
        <v>297</v>
      </c>
      <c r="R472" s="34" t="s">
        <v>21</v>
      </c>
      <c r="S472" s="34" t="s">
        <v>297</v>
      </c>
      <c r="T472" s="34"/>
      <c r="U472" s="34"/>
      <c r="V472" s="34" t="s">
        <v>40</v>
      </c>
      <c r="W472" s="34" t="s">
        <v>28</v>
      </c>
      <c r="X472" s="38" t="s">
        <v>164</v>
      </c>
      <c r="Y472" s="62">
        <v>42846</v>
      </c>
      <c r="Z472" s="38">
        <f t="shared" si="22"/>
        <v>2</v>
      </c>
      <c r="AA472" s="38"/>
      <c r="AB472" s="34"/>
      <c r="AC472" s="34"/>
      <c r="AD472" s="38"/>
      <c r="AE472" s="59" t="str">
        <f t="shared" si="23"/>
        <v>NO</v>
      </c>
      <c r="AF472" s="38" t="e" cm="1">
        <f t="array" aca="1" ref="AF472" ca="1">MIN(100, MAX(0, (IF(R472="ESTUDIANTE", 31, 0)) + (IF(I472&lt;=3, 30, IF(I472&lt;=6, 20, 0))) +(IF(OR(E472="413 - Control de Costes y Enlace Construcción", E472="480 - Secretaría General del Consejo", E472="132 - Civil y estructuras", E472="136 - Mecánica", E472="412 - Planificación", E472="142 - Compras"), 25, 0)) +(IF(OR(S472="GRADO ING. MECÁNICA", S472="GRADO ING. ELÉCTRICA", S472="GRADO DERECHO", S472="GRADO ECONOMÍA", S472="GRADO ING. TECNOLOGÍAS INDUSTRIALES"), 24, 0)) + (IF(AND(K472&gt;=451, K472&lt;=700), 23, 0)) + (IF(AND(AB472&gt;=5, AB472&lt;=8), 17, 0)) +(IF(_xludf.OR(_xludf.AND(AC472&gt;=8, AC472&lt;=10), _xludf.AND(AC472&gt;=0, AC472&lt;=5)), 16, 0)) + (IF(F472="Madrid", 11, 0))))</f>
        <v>#NAME?</v>
      </c>
      <c r="AG472" s="68"/>
      <c r="AH472" s="71" t="s">
        <v>164</v>
      </c>
    </row>
    <row r="473" spans="1:34" ht="14.4" x14ac:dyDescent="0.3">
      <c r="A473" s="66" t="s">
        <v>1451</v>
      </c>
      <c r="B473" s="66" t="s">
        <v>3568</v>
      </c>
      <c r="C473" s="33">
        <v>472</v>
      </c>
      <c r="D473" s="33" t="s">
        <v>5397</v>
      </c>
      <c r="E473" s="34" t="s">
        <v>5249</v>
      </c>
      <c r="F473" s="34" t="s">
        <v>18</v>
      </c>
      <c r="G473" s="57">
        <v>41750</v>
      </c>
      <c r="H473" s="57">
        <v>42114</v>
      </c>
      <c r="I473" s="34">
        <f t="shared" si="21"/>
        <v>11</v>
      </c>
      <c r="J473" s="34">
        <v>40</v>
      </c>
      <c r="K473" s="36">
        <v>900</v>
      </c>
      <c r="L473" s="34" t="s">
        <v>17</v>
      </c>
      <c r="M473" s="57">
        <v>34334</v>
      </c>
      <c r="N473" s="37">
        <f>(YEAR(TablaMadre[[#This Row],[ALTA]])-YEAR(M473))</f>
        <v>21</v>
      </c>
      <c r="O473" s="34" t="s">
        <v>18</v>
      </c>
      <c r="P473" s="34" t="s">
        <v>19</v>
      </c>
      <c r="Q473" s="34" t="s">
        <v>297</v>
      </c>
      <c r="R473" s="34" t="s">
        <v>21</v>
      </c>
      <c r="S473" s="34" t="s">
        <v>297</v>
      </c>
      <c r="T473" s="34"/>
      <c r="U473" s="34"/>
      <c r="V473" s="34" t="s">
        <v>40</v>
      </c>
      <c r="W473" s="34" t="s">
        <v>28</v>
      </c>
      <c r="X473" s="38" t="s">
        <v>164</v>
      </c>
      <c r="Y473" s="62">
        <v>44354</v>
      </c>
      <c r="Z473" s="38">
        <f t="shared" si="22"/>
        <v>6</v>
      </c>
      <c r="AA473" s="38"/>
      <c r="AB473" s="34"/>
      <c r="AC473" s="34"/>
      <c r="AD473" s="38"/>
      <c r="AE473" s="59" t="str">
        <f t="shared" si="23"/>
        <v>NO</v>
      </c>
      <c r="AF473" s="38" t="e" cm="1">
        <f t="array" aca="1" ref="AF473" ca="1">MIN(100, MAX(0, (IF(R473="ESTUDIANTE", 31, 0)) + (IF(I473&lt;=3, 30, IF(I473&lt;=6, 20, 0))) +(IF(OR(E473="413 - Control de Costes y Enlace Construcción", E473="480 - Secretaría General del Consejo", E473="132 - Civil y estructuras", E473="136 - Mecánica", E473="412 - Planificación", E473="142 - Compras"), 25, 0)) +(IF(OR(S473="GRADO ING. MECÁNICA", S473="GRADO ING. ELÉCTRICA", S473="GRADO DERECHO", S473="GRADO ECONOMÍA", S473="GRADO ING. TECNOLOGÍAS INDUSTRIALES"), 24, 0)) + (IF(AND(K473&gt;=451, K473&lt;=700), 23, 0)) + (IF(AND(AB473&gt;=5, AB473&lt;=8), 17, 0)) +(IF(_xludf.OR(_xludf.AND(AC473&gt;=8, AC473&lt;=10), _xludf.AND(AC473&gt;=0, AC473&lt;=5)), 16, 0)) + (IF(F473="Madrid", 11, 0))))</f>
        <v>#NAME?</v>
      </c>
      <c r="AG473" s="68"/>
      <c r="AH473" s="71" t="s">
        <v>164</v>
      </c>
    </row>
    <row r="474" spans="1:34" ht="14.4" x14ac:dyDescent="0.3">
      <c r="A474" s="66" t="s">
        <v>1452</v>
      </c>
      <c r="B474" s="66" t="s">
        <v>3569</v>
      </c>
      <c r="C474" s="33">
        <v>473</v>
      </c>
      <c r="D474" s="33" t="s">
        <v>5398</v>
      </c>
      <c r="E474" s="34" t="s">
        <v>5250</v>
      </c>
      <c r="F474" s="34" t="s">
        <v>18</v>
      </c>
      <c r="G474" s="57">
        <v>41757</v>
      </c>
      <c r="H474" s="57">
        <v>42121</v>
      </c>
      <c r="I474" s="34">
        <f t="shared" si="21"/>
        <v>11</v>
      </c>
      <c r="J474" s="34">
        <v>40</v>
      </c>
      <c r="K474" s="36">
        <v>900</v>
      </c>
      <c r="L474" s="34" t="s">
        <v>29</v>
      </c>
      <c r="M474" s="57">
        <v>34654</v>
      </c>
      <c r="N474" s="37">
        <f>(YEAR(TablaMadre[[#This Row],[ALTA]])-YEAR(M474))</f>
        <v>20</v>
      </c>
      <c r="O474" s="34" t="s">
        <v>153</v>
      </c>
      <c r="P474" s="34" t="s">
        <v>153</v>
      </c>
      <c r="Q474" s="34" t="s">
        <v>49</v>
      </c>
      <c r="R474" s="34" t="s">
        <v>21</v>
      </c>
      <c r="S474" s="34" t="s">
        <v>297</v>
      </c>
      <c r="T474" s="34"/>
      <c r="U474" s="34"/>
      <c r="V474" s="34" t="s">
        <v>90</v>
      </c>
      <c r="W474" s="34" t="s">
        <v>28</v>
      </c>
      <c r="X474" s="38" t="s">
        <v>173</v>
      </c>
      <c r="Y474" s="62"/>
      <c r="Z474" s="38" t="e">
        <f t="shared" si="22"/>
        <v>#NUM!</v>
      </c>
      <c r="AA474" s="38"/>
      <c r="AB474" s="34"/>
      <c r="AC474" s="34"/>
      <c r="AD474" s="38"/>
      <c r="AE474" s="59" t="str">
        <f t="shared" si="23"/>
        <v>SÍ</v>
      </c>
      <c r="AF474" s="38" t="e" cm="1">
        <f t="array" aca="1" ref="AF474" ca="1">MIN(100, MAX(0, (IF(R474="ESTUDIANTE", 31, 0)) + (IF(I474&lt;=3, 30, IF(I474&lt;=6, 20, 0))) +(IF(OR(E474="413 - Control de Costes y Enlace Construcción", E474="480 - Secretaría General del Consejo", E474="132 - Civil y estructuras", E474="136 - Mecánica", E474="412 - Planificación", E474="142 - Compras"), 25, 0)) +(IF(OR(S474="GRADO ING. MECÁNICA", S474="GRADO ING. ELÉCTRICA", S474="GRADO DERECHO", S474="GRADO ECONOMÍA", S474="GRADO ING. TECNOLOGÍAS INDUSTRIALES"), 24, 0)) + (IF(AND(K474&gt;=451, K474&lt;=700), 23, 0)) + (IF(AND(AB474&gt;=5, AB474&lt;=8), 17, 0)) +(IF(_xludf.OR(_xludf.AND(AC474&gt;=8, AC474&lt;=10), _xludf.AND(AC474&gt;=0, AC474&lt;=5)), 16, 0)) + (IF(F474="Madrid", 11, 0))))</f>
        <v>#NAME?</v>
      </c>
      <c r="AG474" s="68"/>
      <c r="AH474" s="71" t="s">
        <v>164</v>
      </c>
    </row>
    <row r="475" spans="1:34" ht="14.4" x14ac:dyDescent="0.3">
      <c r="A475" s="66" t="s">
        <v>1453</v>
      </c>
      <c r="B475" s="66" t="s">
        <v>3570</v>
      </c>
      <c r="C475" s="33">
        <v>474</v>
      </c>
      <c r="D475" s="33" t="s">
        <v>5399</v>
      </c>
      <c r="E475" s="34" t="s">
        <v>5240</v>
      </c>
      <c r="F475" s="34" t="s">
        <v>18</v>
      </c>
      <c r="G475" s="57">
        <v>41770</v>
      </c>
      <c r="H475" s="57">
        <v>42135</v>
      </c>
      <c r="I475" s="34">
        <f t="shared" si="21"/>
        <v>12</v>
      </c>
      <c r="J475" s="34">
        <v>40</v>
      </c>
      <c r="K475" s="36">
        <v>900</v>
      </c>
      <c r="L475" s="34" t="s">
        <v>17</v>
      </c>
      <c r="M475" s="57">
        <v>34318</v>
      </c>
      <c r="N475" s="37">
        <f>(YEAR(TablaMadre[[#This Row],[ALTA]])-YEAR(M475))</f>
        <v>21</v>
      </c>
      <c r="O475" s="34" t="s">
        <v>945</v>
      </c>
      <c r="P475" s="34" t="s">
        <v>19</v>
      </c>
      <c r="Q475" s="34" t="s">
        <v>89</v>
      </c>
      <c r="R475" s="34" t="s">
        <v>21</v>
      </c>
      <c r="S475" s="34" t="s">
        <v>384</v>
      </c>
      <c r="T475" s="34"/>
      <c r="U475" s="34"/>
      <c r="V475" s="34" t="s">
        <v>56</v>
      </c>
      <c r="W475" s="34" t="s">
        <v>127</v>
      </c>
      <c r="X475" s="38" t="s">
        <v>164</v>
      </c>
      <c r="Y475" s="62">
        <v>45453</v>
      </c>
      <c r="Z475" s="38">
        <f t="shared" si="22"/>
        <v>9</v>
      </c>
      <c r="AA475" s="38"/>
      <c r="AB475" s="34">
        <v>9</v>
      </c>
      <c r="AC475" s="34"/>
      <c r="AD475" s="38"/>
      <c r="AE475" s="59" t="str">
        <f t="shared" si="23"/>
        <v>SÍ</v>
      </c>
      <c r="AF475" s="38" t="e" cm="1">
        <f t="array" aca="1" ref="AF475" ca="1">MIN(100, MAX(0, (IF(R475="ESTUDIANTE", 31, 0)) + (IF(I475&lt;=3, 30, IF(I475&lt;=6, 20, 0))) +(IF(OR(E475="413 - Control de Costes y Enlace Construcción", E475="480 - Secretaría General del Consejo", E475="132 - Civil y estructuras", E475="136 - Mecánica", E475="412 - Planificación", E475="142 - Compras"), 25, 0)) +(IF(OR(S475="GRADO ING. MECÁNICA", S475="GRADO ING. ELÉCTRICA", S475="GRADO DERECHO", S475="GRADO ECONOMÍA", S475="GRADO ING. TECNOLOGÍAS INDUSTRIALES"), 24, 0)) + (IF(AND(K475&gt;=451, K475&lt;=700), 23, 0)) + (IF(AND(AB475&gt;=5, AB475&lt;=8), 17, 0)) +(IF(_xludf.OR(_xludf.AND(AC475&gt;=8, AC475&lt;=10), _xludf.AND(AC475&gt;=0, AC475&lt;=5)), 16, 0)) + (IF(F475="Madrid", 11, 0))))</f>
        <v>#NAME?</v>
      </c>
      <c r="AG475" s="68"/>
      <c r="AH475" s="71" t="s">
        <v>164</v>
      </c>
    </row>
    <row r="476" spans="1:34" ht="14.4" x14ac:dyDescent="0.3">
      <c r="A476" s="66" t="s">
        <v>1017</v>
      </c>
      <c r="B476" s="66" t="s">
        <v>3134</v>
      </c>
      <c r="C476" s="33">
        <v>475</v>
      </c>
      <c r="D476" s="33" t="s">
        <v>5400</v>
      </c>
      <c r="E476" s="34" t="s">
        <v>5253</v>
      </c>
      <c r="F476" s="34" t="s">
        <v>18</v>
      </c>
      <c r="G476" s="57">
        <v>41779</v>
      </c>
      <c r="H476" s="57">
        <v>41962</v>
      </c>
      <c r="I476" s="34">
        <f t="shared" si="21"/>
        <v>5</v>
      </c>
      <c r="J476" s="34">
        <v>40</v>
      </c>
      <c r="K476" s="36">
        <v>900</v>
      </c>
      <c r="L476" s="34" t="s">
        <v>17</v>
      </c>
      <c r="M476" s="57">
        <v>34504</v>
      </c>
      <c r="N476" s="37">
        <f>(YEAR(TablaMadre[[#This Row],[ALTA]])-YEAR(M476))</f>
        <v>20</v>
      </c>
      <c r="O476" s="34" t="s">
        <v>18</v>
      </c>
      <c r="P476" s="34" t="s">
        <v>19</v>
      </c>
      <c r="Q476" s="34" t="s">
        <v>20</v>
      </c>
      <c r="R476" s="34" t="s">
        <v>21</v>
      </c>
      <c r="S476" s="34" t="s">
        <v>151</v>
      </c>
      <c r="T476" s="34"/>
      <c r="U476" s="34"/>
      <c r="V476" s="34" t="s">
        <v>22</v>
      </c>
      <c r="W476" s="34" t="s">
        <v>28</v>
      </c>
      <c r="X476" s="38" t="s">
        <v>173</v>
      </c>
      <c r="Y476" s="62"/>
      <c r="Z476" s="38" t="e">
        <f t="shared" si="22"/>
        <v>#NUM!</v>
      </c>
      <c r="AA476" s="38" t="s">
        <v>173</v>
      </c>
      <c r="AB476" s="34"/>
      <c r="AC476" s="34"/>
      <c r="AD476" s="38"/>
      <c r="AE476" s="59" t="str">
        <f t="shared" si="23"/>
        <v>NO</v>
      </c>
      <c r="AF476" s="38" t="e" cm="1">
        <f t="array" aca="1" ref="AF476" ca="1">MIN(100, MAX(0, (IF(R476="ESTUDIANTE", 31, 0)) + (IF(I476&lt;=3, 30, IF(I476&lt;=6, 20, 0))) +(IF(OR(E476="413 - Control de Costes y Enlace Construcción", E476="480 - Secretaría General del Consejo", E476="132 - Civil y estructuras", E476="136 - Mecánica", E476="412 - Planificación", E476="142 - Compras"), 25, 0)) +(IF(OR(S476="GRADO ING. MECÁNICA", S476="GRADO ING. ELÉCTRICA", S476="GRADO DERECHO", S476="GRADO ECONOMÍA", S476="GRADO ING. TECNOLOGÍAS INDUSTRIALES"), 24, 0)) + (IF(AND(K476&gt;=451, K476&lt;=700), 23, 0)) + (IF(AND(AB476&gt;=5, AB476&lt;=8), 17, 0)) +(IF(_xludf.OR(_xludf.AND(AC476&gt;=8, AC476&lt;=10), _xludf.AND(AC476&gt;=0, AC476&lt;=5)), 16, 0)) + (IF(F476="Madrid", 11, 0))))</f>
        <v>#NAME?</v>
      </c>
      <c r="AG476" s="68"/>
      <c r="AH476" s="71" t="s">
        <v>164</v>
      </c>
    </row>
    <row r="477" spans="1:34" ht="14.4" x14ac:dyDescent="0.3">
      <c r="A477" s="66" t="s">
        <v>1455</v>
      </c>
      <c r="B477" s="66" t="s">
        <v>3572</v>
      </c>
      <c r="C477" s="33">
        <v>476</v>
      </c>
      <c r="D477" s="33" t="s">
        <v>5401</v>
      </c>
      <c r="E477" s="34" t="s">
        <v>5224</v>
      </c>
      <c r="F477" s="34" t="s">
        <v>18</v>
      </c>
      <c r="G477" s="57">
        <v>41785</v>
      </c>
      <c r="H477" s="57">
        <v>41968</v>
      </c>
      <c r="I477" s="34">
        <f t="shared" si="21"/>
        <v>5</v>
      </c>
      <c r="J477" s="34">
        <v>40</v>
      </c>
      <c r="K477" s="36">
        <v>800</v>
      </c>
      <c r="L477" s="34" t="s">
        <v>17</v>
      </c>
      <c r="M477" s="57">
        <v>34422</v>
      </c>
      <c r="N477" s="37">
        <f>(YEAR(TablaMadre[[#This Row],[ALTA]])-YEAR(M477))</f>
        <v>20</v>
      </c>
      <c r="O477" s="34" t="s">
        <v>558</v>
      </c>
      <c r="P477" s="34" t="s">
        <v>19</v>
      </c>
      <c r="Q477" s="34" t="s">
        <v>58</v>
      </c>
      <c r="R477" s="34" t="s">
        <v>21</v>
      </c>
      <c r="S477" s="34" t="s">
        <v>229</v>
      </c>
      <c r="T477" s="34"/>
      <c r="U477" s="34"/>
      <c r="V477" s="34" t="s">
        <v>290</v>
      </c>
      <c r="W477" s="34" t="s">
        <v>28</v>
      </c>
      <c r="X477" s="38" t="s">
        <v>164</v>
      </c>
      <c r="Y477" s="62">
        <v>42056</v>
      </c>
      <c r="Z477" s="38">
        <f t="shared" si="22"/>
        <v>0</v>
      </c>
      <c r="AA477" s="38"/>
      <c r="AB477" s="34"/>
      <c r="AC477" s="34"/>
      <c r="AD477" s="38"/>
      <c r="AE477" s="59" t="str">
        <f t="shared" si="23"/>
        <v>SÍ</v>
      </c>
      <c r="AF477" s="38" t="e" cm="1">
        <f t="array" aca="1" ref="AF477" ca="1">MIN(100, MAX(0, (IF(R477="ESTUDIANTE", 31, 0)) + (IF(I477&lt;=3, 30, IF(I477&lt;=6, 20, 0))) +(IF(OR(E477="413 - Control de Costes y Enlace Construcción", E477="480 - Secretaría General del Consejo", E477="132 - Civil y estructuras", E477="136 - Mecánica", E477="412 - Planificación", E477="142 - Compras"), 25, 0)) +(IF(OR(S477="GRADO ING. MECÁNICA", S477="GRADO ING. ELÉCTRICA", S477="GRADO DERECHO", S477="GRADO ECONOMÍA", S477="GRADO ING. TECNOLOGÍAS INDUSTRIALES"), 24, 0)) + (IF(AND(K477&gt;=451, K477&lt;=700), 23, 0)) + (IF(AND(AB477&gt;=5, AB477&lt;=8), 17, 0)) +(IF(_xludf.OR(_xludf.AND(AC477&gt;=8, AC477&lt;=10), _xludf.AND(AC477&gt;=0, AC477&lt;=5)), 16, 0)) + (IF(F477="Madrid", 11, 0))))</f>
        <v>#NAME?</v>
      </c>
      <c r="AG477" s="68"/>
      <c r="AH477" s="71" t="s">
        <v>164</v>
      </c>
    </row>
    <row r="478" spans="1:34" ht="14.4" x14ac:dyDescent="0.3">
      <c r="A478" s="66" t="s">
        <v>1456</v>
      </c>
      <c r="B478" s="66" t="s">
        <v>3573</v>
      </c>
      <c r="C478" s="33">
        <v>477</v>
      </c>
      <c r="D478" s="33" t="s">
        <v>5402</v>
      </c>
      <c r="E478" s="34" t="s">
        <v>5235</v>
      </c>
      <c r="F478" s="34" t="s">
        <v>18</v>
      </c>
      <c r="G478" s="57">
        <v>41793</v>
      </c>
      <c r="H478" s="57">
        <v>42127</v>
      </c>
      <c r="I478" s="34">
        <f t="shared" si="21"/>
        <v>11</v>
      </c>
      <c r="J478" s="34">
        <v>40</v>
      </c>
      <c r="K478" s="36">
        <v>750</v>
      </c>
      <c r="L478" s="34" t="s">
        <v>17</v>
      </c>
      <c r="M478" s="57">
        <v>33227</v>
      </c>
      <c r="N478" s="37">
        <f>(YEAR(TablaMadre[[#This Row],[ALTA]])-YEAR(M478))</f>
        <v>24</v>
      </c>
      <c r="O478" s="34" t="s">
        <v>18</v>
      </c>
      <c r="P478" s="34" t="s">
        <v>19</v>
      </c>
      <c r="Q478" s="34" t="s">
        <v>129</v>
      </c>
      <c r="R478" s="34" t="s">
        <v>21</v>
      </c>
      <c r="S478" s="34" t="s">
        <v>322</v>
      </c>
      <c r="T478" s="34"/>
      <c r="U478" s="34"/>
      <c r="V478" s="34" t="s">
        <v>67</v>
      </c>
      <c r="W478" s="34" t="s">
        <v>28</v>
      </c>
      <c r="X478" s="38" t="s">
        <v>173</v>
      </c>
      <c r="Y478" s="62"/>
      <c r="Z478" s="38" t="e">
        <f t="shared" si="22"/>
        <v>#NUM!</v>
      </c>
      <c r="AA478" s="38"/>
      <c r="AB478" s="34"/>
      <c r="AC478" s="34"/>
      <c r="AD478" s="38"/>
      <c r="AE478" s="59" t="str">
        <f t="shared" si="23"/>
        <v>NO</v>
      </c>
      <c r="AF478" s="38" t="e" cm="1">
        <f t="array" aca="1" ref="AF478" ca="1">MIN(100, MAX(0, (IF(R478="ESTUDIANTE", 31, 0)) + (IF(I478&lt;=3, 30, IF(I478&lt;=6, 20, 0))) +(IF(OR(E478="413 - Control de Costes y Enlace Construcción", E478="480 - Secretaría General del Consejo", E478="132 - Civil y estructuras", E478="136 - Mecánica", E478="412 - Planificación", E478="142 - Compras"), 25, 0)) +(IF(OR(S478="GRADO ING. MECÁNICA", S478="GRADO ING. ELÉCTRICA", S478="GRADO DERECHO", S478="GRADO ECONOMÍA", S478="GRADO ING. TECNOLOGÍAS INDUSTRIALES"), 24, 0)) + (IF(AND(K478&gt;=451, K478&lt;=700), 23, 0)) + (IF(AND(AB478&gt;=5, AB478&lt;=8), 17, 0)) +(IF(_xludf.OR(_xludf.AND(AC478&gt;=8, AC478&lt;=10), _xludf.AND(AC478&gt;=0, AC478&lt;=5)), 16, 0)) + (IF(F478="Madrid", 11, 0))))</f>
        <v>#NAME?</v>
      </c>
      <c r="AG478" s="68"/>
      <c r="AH478" s="71" t="s">
        <v>164</v>
      </c>
    </row>
    <row r="479" spans="1:34" ht="14.4" x14ac:dyDescent="0.3">
      <c r="A479" s="66" t="s">
        <v>1457</v>
      </c>
      <c r="B479" s="66" t="s">
        <v>3574</v>
      </c>
      <c r="C479" s="33">
        <v>478</v>
      </c>
      <c r="D479" s="33" t="s">
        <v>5393</v>
      </c>
      <c r="E479" s="34" t="s">
        <v>5253</v>
      </c>
      <c r="F479" s="34" t="s">
        <v>18</v>
      </c>
      <c r="G479" s="57">
        <v>41800</v>
      </c>
      <c r="H479" s="57">
        <v>42134</v>
      </c>
      <c r="I479" s="34">
        <f t="shared" si="21"/>
        <v>11</v>
      </c>
      <c r="J479" s="34">
        <v>40</v>
      </c>
      <c r="K479" s="36">
        <v>900</v>
      </c>
      <c r="L479" s="34" t="s">
        <v>17</v>
      </c>
      <c r="M479" s="57">
        <v>33652</v>
      </c>
      <c r="N479" s="37">
        <f>(YEAR(TablaMadre[[#This Row],[ALTA]])-YEAR(M479))</f>
        <v>22</v>
      </c>
      <c r="O479" s="34" t="s">
        <v>18</v>
      </c>
      <c r="P479" s="34" t="s">
        <v>19</v>
      </c>
      <c r="Q479" s="34" t="s">
        <v>61</v>
      </c>
      <c r="R479" s="34" t="s">
        <v>21</v>
      </c>
      <c r="S479" s="34" t="s">
        <v>322</v>
      </c>
      <c r="T479" s="34"/>
      <c r="U479" s="34"/>
      <c r="V479" s="34" t="s">
        <v>22</v>
      </c>
      <c r="W479" s="34" t="s">
        <v>28</v>
      </c>
      <c r="X479" s="38" t="s">
        <v>164</v>
      </c>
      <c r="Y479" s="62">
        <v>42938</v>
      </c>
      <c r="Z479" s="38">
        <f t="shared" si="22"/>
        <v>2</v>
      </c>
      <c r="AA479" s="38"/>
      <c r="AB479" s="34">
        <v>9</v>
      </c>
      <c r="AC479" s="34">
        <v>8</v>
      </c>
      <c r="AD479" s="38"/>
      <c r="AE479" s="59" t="str">
        <f t="shared" si="23"/>
        <v>NO</v>
      </c>
      <c r="AF479" s="38" t="e" cm="1">
        <f t="array" aca="1" ref="AF479" ca="1">MIN(100, MAX(0, (IF(R479="ESTUDIANTE", 31, 0)) + (IF(I479&lt;=3, 30, IF(I479&lt;=6, 20, 0))) +(IF(OR(E479="413 - Control de Costes y Enlace Construcción", E479="480 - Secretaría General del Consejo", E479="132 - Civil y estructuras", E479="136 - Mecánica", E479="412 - Planificación", E479="142 - Compras"), 25, 0)) +(IF(OR(S479="GRADO ING. MECÁNICA", S479="GRADO ING. ELÉCTRICA", S479="GRADO DERECHO", S479="GRADO ECONOMÍA", S479="GRADO ING. TECNOLOGÍAS INDUSTRIALES"), 24, 0)) + (IF(AND(K479&gt;=451, K479&lt;=700), 23, 0)) + (IF(AND(AB479&gt;=5, AB479&lt;=8), 17, 0)) +(IF(_xludf.OR(_xludf.AND(AC479&gt;=8, AC479&lt;=10), _xludf.AND(AC479&gt;=0, AC479&lt;=5)), 16, 0)) + (IF(F479="Madrid", 11, 0))))</f>
        <v>#NAME?</v>
      </c>
      <c r="AG479" s="68"/>
      <c r="AH479" s="71" t="s">
        <v>164</v>
      </c>
    </row>
    <row r="480" spans="1:34" ht="14.4" x14ac:dyDescent="0.3">
      <c r="A480" s="66" t="s">
        <v>1458</v>
      </c>
      <c r="B480" s="66" t="s">
        <v>3575</v>
      </c>
      <c r="C480" s="33">
        <v>479</v>
      </c>
      <c r="D480" s="33" t="s">
        <v>5394</v>
      </c>
      <c r="E480" s="34" t="s">
        <v>5218</v>
      </c>
      <c r="F480" s="34" t="s">
        <v>931</v>
      </c>
      <c r="G480" s="57">
        <v>41800</v>
      </c>
      <c r="H480" s="57">
        <v>42277</v>
      </c>
      <c r="I480" s="34">
        <f t="shared" si="21"/>
        <v>15</v>
      </c>
      <c r="J480" s="34">
        <v>40</v>
      </c>
      <c r="K480" s="36">
        <v>900</v>
      </c>
      <c r="L480" s="34" t="s">
        <v>17</v>
      </c>
      <c r="M480" s="57">
        <v>34199</v>
      </c>
      <c r="N480" s="37">
        <f>(YEAR(TablaMadre[[#This Row],[ALTA]])-YEAR(M480))</f>
        <v>21</v>
      </c>
      <c r="O480" s="34"/>
      <c r="P480" s="34" t="s">
        <v>19</v>
      </c>
      <c r="Q480" s="34" t="s">
        <v>20</v>
      </c>
      <c r="R480" s="34" t="s">
        <v>21</v>
      </c>
      <c r="S480" s="34" t="s">
        <v>151</v>
      </c>
      <c r="T480" s="34"/>
      <c r="U480" s="34"/>
      <c r="V480" s="34" t="s">
        <v>69</v>
      </c>
      <c r="W480" s="34" t="s">
        <v>28</v>
      </c>
      <c r="X480" s="38" t="s">
        <v>164</v>
      </c>
      <c r="Y480" s="62">
        <v>42613</v>
      </c>
      <c r="Z480" s="38">
        <f t="shared" si="22"/>
        <v>0</v>
      </c>
      <c r="AA480" s="38"/>
      <c r="AB480" s="34">
        <v>7</v>
      </c>
      <c r="AC480" s="34" t="s">
        <v>303</v>
      </c>
      <c r="AD480" s="38"/>
      <c r="AE480" s="59" t="str">
        <f t="shared" si="23"/>
        <v>SÍ</v>
      </c>
      <c r="AF480" s="38" t="e" cm="1">
        <f t="array" aca="1" ref="AF480" ca="1">MIN(100, MAX(0, (IF(R480="ESTUDIANTE", 31, 0)) + (IF(I480&lt;=3, 30, IF(I480&lt;=6, 20, 0))) +(IF(OR(E480="413 - Control de Costes y Enlace Construcción", E480="480 - Secretaría General del Consejo", E480="132 - Civil y estructuras", E480="136 - Mecánica", E480="412 - Planificación", E480="142 - Compras"), 25, 0)) +(IF(OR(S480="GRADO ING. MECÁNICA", S480="GRADO ING. ELÉCTRICA", S480="GRADO DERECHO", S480="GRADO ECONOMÍA", S480="GRADO ING. TECNOLOGÍAS INDUSTRIALES"), 24, 0)) + (IF(AND(K480&gt;=451, K480&lt;=700), 23, 0)) + (IF(AND(AB480&gt;=5, AB480&lt;=8), 17, 0)) +(IF(_xludf.OR(_xludf.AND(AC480&gt;=8, AC480&lt;=10), _xludf.AND(AC480&gt;=0, AC480&lt;=5)), 16, 0)) + (IF(F480="Madrid", 11, 0))))</f>
        <v>#NAME?</v>
      </c>
      <c r="AG480" s="68"/>
      <c r="AH480" s="71" t="s">
        <v>164</v>
      </c>
    </row>
    <row r="481" spans="1:34" ht="14.4" x14ac:dyDescent="0.3">
      <c r="A481" s="66" t="s">
        <v>1459</v>
      </c>
      <c r="B481" s="66" t="s">
        <v>3576</v>
      </c>
      <c r="C481" s="33">
        <v>480</v>
      </c>
      <c r="D481" s="33" t="s">
        <v>5395</v>
      </c>
      <c r="E481" s="34" t="s">
        <v>5282</v>
      </c>
      <c r="F481" s="34" t="s">
        <v>118</v>
      </c>
      <c r="G481" s="57">
        <v>41801</v>
      </c>
      <c r="H481" s="57">
        <v>42166</v>
      </c>
      <c r="I481" s="34">
        <f t="shared" si="21"/>
        <v>12</v>
      </c>
      <c r="J481" s="34">
        <v>40</v>
      </c>
      <c r="K481" s="36">
        <v>750</v>
      </c>
      <c r="L481" s="34" t="s">
        <v>17</v>
      </c>
      <c r="M481" s="57">
        <v>34959</v>
      </c>
      <c r="N481" s="37">
        <f>(YEAR(TablaMadre[[#This Row],[ALTA]])-YEAR(M481))</f>
        <v>19</v>
      </c>
      <c r="O481" s="34" t="s">
        <v>118</v>
      </c>
      <c r="P481" s="34" t="s">
        <v>19</v>
      </c>
      <c r="Q481" s="34" t="s">
        <v>313</v>
      </c>
      <c r="R481" s="34" t="s">
        <v>21</v>
      </c>
      <c r="S481" s="34" t="s">
        <v>322</v>
      </c>
      <c r="T481" s="34"/>
      <c r="U481" s="34"/>
      <c r="V481" s="34" t="s">
        <v>37</v>
      </c>
      <c r="W481" s="34" t="s">
        <v>28</v>
      </c>
      <c r="X481" s="38" t="s">
        <v>173</v>
      </c>
      <c r="Y481" s="62"/>
      <c r="Z481" s="38" t="e">
        <f t="shared" si="22"/>
        <v>#NUM!</v>
      </c>
      <c r="AA481" s="38"/>
      <c r="AB481" s="34">
        <v>9</v>
      </c>
      <c r="AC481" s="34"/>
      <c r="AD481" s="38"/>
      <c r="AE481" s="59" t="str">
        <f t="shared" si="23"/>
        <v>NO</v>
      </c>
      <c r="AF481" s="38" t="e" cm="1">
        <f t="array" aca="1" ref="AF481" ca="1">MIN(100, MAX(0, (IF(R481="ESTUDIANTE", 31, 0)) + (IF(I481&lt;=3, 30, IF(I481&lt;=6, 20, 0))) +(IF(OR(E481="413 - Control de Costes y Enlace Construcción", E481="480 - Secretaría General del Consejo", E481="132 - Civil y estructuras", E481="136 - Mecánica", E481="412 - Planificación", E481="142 - Compras"), 25, 0)) +(IF(OR(S481="GRADO ING. MECÁNICA", S481="GRADO ING. ELÉCTRICA", S481="GRADO DERECHO", S481="GRADO ECONOMÍA", S481="GRADO ING. TECNOLOGÍAS INDUSTRIALES"), 24, 0)) + (IF(AND(K481&gt;=451, K481&lt;=700), 23, 0)) + (IF(AND(AB481&gt;=5, AB481&lt;=8), 17, 0)) +(IF(_xludf.OR(_xludf.AND(AC481&gt;=8, AC481&lt;=10), _xludf.AND(AC481&gt;=0, AC481&lt;=5)), 16, 0)) + (IF(F481="Madrid", 11, 0))))</f>
        <v>#NAME?</v>
      </c>
      <c r="AG481" s="68"/>
      <c r="AH481" s="71" t="s">
        <v>164</v>
      </c>
    </row>
    <row r="482" spans="1:34" ht="14.4" x14ac:dyDescent="0.3">
      <c r="A482" s="66" t="s">
        <v>1460</v>
      </c>
      <c r="B482" s="66" t="s">
        <v>3577</v>
      </c>
      <c r="C482" s="33">
        <v>481</v>
      </c>
      <c r="D482" s="33" t="s">
        <v>5396</v>
      </c>
      <c r="E482" s="34" t="s">
        <v>5256</v>
      </c>
      <c r="F482" s="34" t="s">
        <v>18</v>
      </c>
      <c r="G482" s="57">
        <v>41806</v>
      </c>
      <c r="H482" s="57">
        <v>41988</v>
      </c>
      <c r="I482" s="34">
        <f t="shared" si="21"/>
        <v>5</v>
      </c>
      <c r="J482" s="34">
        <v>40</v>
      </c>
      <c r="K482" s="36">
        <v>900</v>
      </c>
      <c r="L482" s="34" t="s">
        <v>29</v>
      </c>
      <c r="M482" s="57">
        <v>33738</v>
      </c>
      <c r="N482" s="37">
        <f>(YEAR(TablaMadre[[#This Row],[ALTA]])-YEAR(M482))</f>
        <v>22</v>
      </c>
      <c r="O482" s="34" t="s">
        <v>18</v>
      </c>
      <c r="P482" s="34" t="s">
        <v>19</v>
      </c>
      <c r="Q482" s="34" t="s">
        <v>49</v>
      </c>
      <c r="R482" s="34" t="s">
        <v>21</v>
      </c>
      <c r="S482" s="34" t="s">
        <v>297</v>
      </c>
      <c r="T482" s="34"/>
      <c r="U482" s="34"/>
      <c r="V482" s="34" t="s">
        <v>56</v>
      </c>
      <c r="W482" s="34" t="s">
        <v>28</v>
      </c>
      <c r="X482" s="38" t="s">
        <v>164</v>
      </c>
      <c r="Y482" s="62">
        <v>44701</v>
      </c>
      <c r="Z482" s="38">
        <f t="shared" si="22"/>
        <v>7</v>
      </c>
      <c r="AA482" s="38"/>
      <c r="AB482" s="34"/>
      <c r="AC482" s="34"/>
      <c r="AD482" s="38"/>
      <c r="AE482" s="59" t="str">
        <f t="shared" si="23"/>
        <v>NO</v>
      </c>
      <c r="AF482" s="38" t="e" cm="1">
        <f t="array" aca="1" ref="AF482" ca="1">MIN(100, MAX(0, (IF(R482="ESTUDIANTE", 31, 0)) + (IF(I482&lt;=3, 30, IF(I482&lt;=6, 20, 0))) +(IF(OR(E482="413 - Control de Costes y Enlace Construcción", E482="480 - Secretaría General del Consejo", E482="132 - Civil y estructuras", E482="136 - Mecánica", E482="412 - Planificación", E482="142 - Compras"), 25, 0)) +(IF(OR(S482="GRADO ING. MECÁNICA", S482="GRADO ING. ELÉCTRICA", S482="GRADO DERECHO", S482="GRADO ECONOMÍA", S482="GRADO ING. TECNOLOGÍAS INDUSTRIALES"), 24, 0)) + (IF(AND(K482&gt;=451, K482&lt;=700), 23, 0)) + (IF(AND(AB482&gt;=5, AB482&lt;=8), 17, 0)) +(IF(_xludf.OR(_xludf.AND(AC482&gt;=8, AC482&lt;=10), _xludf.AND(AC482&gt;=0, AC482&lt;=5)), 16, 0)) + (IF(F482="Madrid", 11, 0))))</f>
        <v>#NAME?</v>
      </c>
      <c r="AG482" s="68"/>
      <c r="AH482" s="71" t="s">
        <v>164</v>
      </c>
    </row>
    <row r="483" spans="1:34" ht="14.4" x14ac:dyDescent="0.3">
      <c r="A483" s="66" t="s">
        <v>1463</v>
      </c>
      <c r="B483" s="66" t="s">
        <v>3580</v>
      </c>
      <c r="C483" s="33">
        <v>484</v>
      </c>
      <c r="D483" s="33" t="s">
        <v>5397</v>
      </c>
      <c r="E483" s="34" t="s">
        <v>5240</v>
      </c>
      <c r="F483" s="34" t="s">
        <v>18</v>
      </c>
      <c r="G483" s="57">
        <v>41806</v>
      </c>
      <c r="H483" s="57">
        <v>42170</v>
      </c>
      <c r="I483" s="34">
        <f t="shared" si="21"/>
        <v>11</v>
      </c>
      <c r="J483" s="34">
        <v>40</v>
      </c>
      <c r="K483" s="36">
        <v>900</v>
      </c>
      <c r="L483" s="34" t="s">
        <v>17</v>
      </c>
      <c r="M483" s="57">
        <v>32711</v>
      </c>
      <c r="N483" s="37">
        <f>(YEAR(TablaMadre[[#This Row],[ALTA]])-YEAR(M483))</f>
        <v>25</v>
      </c>
      <c r="O483" s="34" t="s">
        <v>62</v>
      </c>
      <c r="P483" s="34" t="s">
        <v>19</v>
      </c>
      <c r="Q483" s="34" t="s">
        <v>32</v>
      </c>
      <c r="R483" s="34" t="s">
        <v>21</v>
      </c>
      <c r="S483" s="34" t="s">
        <v>322</v>
      </c>
      <c r="T483" s="34"/>
      <c r="U483" s="34"/>
      <c r="V483" s="34" t="s">
        <v>69</v>
      </c>
      <c r="W483" s="34" t="s">
        <v>127</v>
      </c>
      <c r="X483" s="38" t="s">
        <v>164</v>
      </c>
      <c r="Y483" s="62">
        <v>44075</v>
      </c>
      <c r="Z483" s="38">
        <f t="shared" si="22"/>
        <v>5</v>
      </c>
      <c r="AA483" s="38"/>
      <c r="AB483" s="34"/>
      <c r="AC483" s="34">
        <v>10</v>
      </c>
      <c r="AD483" s="38"/>
      <c r="AE483" s="59" t="str">
        <f t="shared" si="23"/>
        <v>SÍ</v>
      </c>
      <c r="AF483" s="38" t="e" cm="1">
        <f t="array" aca="1" ref="AF483" ca="1">MIN(100, MAX(0, (IF(R483="ESTUDIANTE", 31, 0)) + (IF(I483&lt;=3, 30, IF(I483&lt;=6, 20, 0))) +(IF(OR(E483="413 - Control de Costes y Enlace Construcción", E483="480 - Secretaría General del Consejo", E483="132 - Civil y estructuras", E483="136 - Mecánica", E483="412 - Planificación", E483="142 - Compras"), 25, 0)) +(IF(OR(S483="GRADO ING. MECÁNICA", S483="GRADO ING. ELÉCTRICA", S483="GRADO DERECHO", S483="GRADO ECONOMÍA", S483="GRADO ING. TECNOLOGÍAS INDUSTRIALES"), 24, 0)) + (IF(AND(K483&gt;=451, K483&lt;=700), 23, 0)) + (IF(AND(AB483&gt;=5, AB483&lt;=8), 17, 0)) +(IF(_xludf.OR(_xludf.AND(AC483&gt;=8, AC483&lt;=10), _xludf.AND(AC483&gt;=0, AC483&lt;=5)), 16, 0)) + (IF(F483="Madrid", 11, 0))))</f>
        <v>#NAME?</v>
      </c>
      <c r="AG483" s="68"/>
      <c r="AH483" s="71" t="s">
        <v>164</v>
      </c>
    </row>
    <row r="484" spans="1:34" s="4" customFormat="1" ht="14.4" x14ac:dyDescent="0.3">
      <c r="A484" s="66" t="s">
        <v>1464</v>
      </c>
      <c r="B484" s="66" t="s">
        <v>3581</v>
      </c>
      <c r="C484" s="33">
        <v>485</v>
      </c>
      <c r="D484" s="33" t="s">
        <v>5398</v>
      </c>
      <c r="E484" s="34" t="s">
        <v>5235</v>
      </c>
      <c r="F484" s="34" t="s">
        <v>18</v>
      </c>
      <c r="G484" s="57">
        <v>41806</v>
      </c>
      <c r="H484" s="57">
        <v>42170</v>
      </c>
      <c r="I484" s="34">
        <f t="shared" si="21"/>
        <v>11</v>
      </c>
      <c r="J484" s="34">
        <v>40</v>
      </c>
      <c r="K484" s="36">
        <v>900</v>
      </c>
      <c r="L484" s="34" t="s">
        <v>29</v>
      </c>
      <c r="M484" s="57">
        <v>33470</v>
      </c>
      <c r="N484" s="37">
        <f>(YEAR(TablaMadre[[#This Row],[ALTA]])-YEAR(M484))</f>
        <v>23</v>
      </c>
      <c r="O484" s="34" t="s">
        <v>18</v>
      </c>
      <c r="P484" s="34" t="s">
        <v>19</v>
      </c>
      <c r="Q484" s="34" t="s">
        <v>61</v>
      </c>
      <c r="R484" s="34" t="s">
        <v>21</v>
      </c>
      <c r="S484" s="34" t="s">
        <v>322</v>
      </c>
      <c r="T484" s="34"/>
      <c r="U484" s="34"/>
      <c r="V484" s="34" t="s">
        <v>22</v>
      </c>
      <c r="W484" s="34" t="s">
        <v>28</v>
      </c>
      <c r="X484" s="38" t="s">
        <v>173</v>
      </c>
      <c r="Y484" s="62"/>
      <c r="Z484" s="38" t="e">
        <f t="shared" si="22"/>
        <v>#NUM!</v>
      </c>
      <c r="AA484" s="38"/>
      <c r="AB484" s="34"/>
      <c r="AC484" s="34"/>
      <c r="AD484" s="38"/>
      <c r="AE484" s="59" t="str">
        <f t="shared" si="23"/>
        <v>NO</v>
      </c>
      <c r="AF484" s="34" t="e" cm="1">
        <f t="array" aca="1" ref="AF484" ca="1">MIN(100, MAX(0, (IF(R484="ESTUDIANTE", 31, 0)) + (IF(I484&lt;=3, 30, IF(I484&lt;=6, 20, 0))) +(IF(OR(E484="413 - Control de Costes y Enlace Construcción", E484="480 - Secretaría General del Consejo", E484="132 - Civil y estructuras", E484="136 - Mecánica", E484="412 - Planificación", E484="142 - Compras"), 25, 0)) +(IF(OR(S484="GRADO ING. MECÁNICA", S484="GRADO ING. ELÉCTRICA", S484="GRADO DERECHO", S484="GRADO ECONOMÍA", S484="GRADO ING. TECNOLOGÍAS INDUSTRIALES"), 24, 0)) + (IF(AND(K484&gt;=451, K484&lt;=700), 23, 0)) + (IF(AND(AB484&gt;=5, AB484&lt;=8), 17, 0)) +(IF(_xludf.OR(_xludf.AND(AC484&gt;=8, AC484&lt;=10), _xludf.AND(AC484&gt;=0, AC484&lt;=5)), 16, 0)) + (IF(F484="Madrid", 11, 0))))</f>
        <v>#NAME?</v>
      </c>
      <c r="AG484" s="69"/>
      <c r="AH484" s="71" t="s">
        <v>164</v>
      </c>
    </row>
    <row r="485" spans="1:34" ht="14.4" x14ac:dyDescent="0.3">
      <c r="A485" s="66" t="s">
        <v>1477</v>
      </c>
      <c r="B485" s="66" t="s">
        <v>3594</v>
      </c>
      <c r="C485" s="33">
        <v>482</v>
      </c>
      <c r="D485" s="33" t="s">
        <v>5399</v>
      </c>
      <c r="E485" s="34" t="s">
        <v>5219</v>
      </c>
      <c r="F485" s="34" t="s">
        <v>18</v>
      </c>
      <c r="G485" s="57">
        <v>41806</v>
      </c>
      <c r="H485" s="57">
        <v>41988</v>
      </c>
      <c r="I485" s="34">
        <f t="shared" si="21"/>
        <v>5</v>
      </c>
      <c r="J485" s="34">
        <v>40</v>
      </c>
      <c r="K485" s="36">
        <v>825</v>
      </c>
      <c r="L485" s="34" t="s">
        <v>17</v>
      </c>
      <c r="M485" s="57">
        <v>33081</v>
      </c>
      <c r="N485" s="37">
        <f>(YEAR(TablaMadre[[#This Row],[ALTA]])-YEAR(M485))</f>
        <v>24</v>
      </c>
      <c r="O485" s="34" t="s">
        <v>18</v>
      </c>
      <c r="P485" s="34" t="s">
        <v>19</v>
      </c>
      <c r="Q485" s="34" t="s">
        <v>297</v>
      </c>
      <c r="R485" s="34" t="s">
        <v>21</v>
      </c>
      <c r="S485" s="34" t="s">
        <v>297</v>
      </c>
      <c r="T485" s="34"/>
      <c r="U485" s="34"/>
      <c r="V485" s="34" t="s">
        <v>84</v>
      </c>
      <c r="W485" s="34" t="s">
        <v>23</v>
      </c>
      <c r="X485" s="38" t="s">
        <v>164</v>
      </c>
      <c r="Y485" s="62"/>
      <c r="Z485" s="38" t="e">
        <f t="shared" si="22"/>
        <v>#NUM!</v>
      </c>
      <c r="AA485" s="38"/>
      <c r="AB485" s="34"/>
      <c r="AC485" s="34"/>
      <c r="AD485" s="38"/>
      <c r="AE485" s="59" t="str">
        <f t="shared" si="23"/>
        <v>NO</v>
      </c>
      <c r="AF485" s="38" t="e" cm="1">
        <f t="array" aca="1" ref="AF485" ca="1">MIN(100, MAX(0, (IF(R485="ESTUDIANTE", 31, 0)) + (IF(I485&lt;=3, 30, IF(I485&lt;=6, 20, 0))) +(IF(OR(E485="413 - Control de Costes y Enlace Construcción", E485="480 - Secretaría General del Consejo", E485="132 - Civil y estructuras", E485="136 - Mecánica", E485="412 - Planificación", E485="142 - Compras"), 25, 0)) +(IF(OR(S485="GRADO ING. MECÁNICA", S485="GRADO ING. ELÉCTRICA", S485="GRADO DERECHO", S485="GRADO ECONOMÍA", S485="GRADO ING. TECNOLOGÍAS INDUSTRIALES"), 24, 0)) + (IF(AND(K485&gt;=451, K485&lt;=700), 23, 0)) + (IF(AND(AB485&gt;=5, AB485&lt;=8), 17, 0)) +(IF(_xludf.OR(_xludf.AND(AC485&gt;=8, AC485&lt;=10), _xludf.AND(AC485&gt;=0, AC485&lt;=5)), 16, 0)) + (IF(F485="Madrid", 11, 0))))</f>
        <v>#NAME?</v>
      </c>
      <c r="AG485" s="68"/>
      <c r="AH485" s="71" t="s">
        <v>164</v>
      </c>
    </row>
    <row r="486" spans="1:34" ht="14.4" x14ac:dyDescent="0.3">
      <c r="A486" s="66" t="s">
        <v>1494</v>
      </c>
      <c r="B486" s="66" t="s">
        <v>3611</v>
      </c>
      <c r="C486" s="33">
        <v>483</v>
      </c>
      <c r="D486" s="33" t="s">
        <v>5393</v>
      </c>
      <c r="E486" s="34" t="s">
        <v>5219</v>
      </c>
      <c r="F486" s="34" t="s">
        <v>18</v>
      </c>
      <c r="G486" s="57">
        <v>41806</v>
      </c>
      <c r="H486" s="57">
        <v>41988</v>
      </c>
      <c r="I486" s="34">
        <f t="shared" si="21"/>
        <v>5</v>
      </c>
      <c r="J486" s="34">
        <v>40</v>
      </c>
      <c r="K486" s="36">
        <v>825</v>
      </c>
      <c r="L486" s="34" t="s">
        <v>17</v>
      </c>
      <c r="M486" s="57">
        <v>34911</v>
      </c>
      <c r="N486" s="37">
        <f>(YEAR(TablaMadre[[#This Row],[ALTA]])-YEAR(M486))</f>
        <v>19</v>
      </c>
      <c r="O486" s="34" t="s">
        <v>18</v>
      </c>
      <c r="P486" s="34" t="s">
        <v>19</v>
      </c>
      <c r="Q486" s="34" t="s">
        <v>297</v>
      </c>
      <c r="R486" s="34" t="s">
        <v>21</v>
      </c>
      <c r="S486" s="34" t="s">
        <v>297</v>
      </c>
      <c r="T486" s="34"/>
      <c r="U486" s="34"/>
      <c r="V486" s="34" t="s">
        <v>40</v>
      </c>
      <c r="W486" s="34" t="s">
        <v>23</v>
      </c>
      <c r="X486" s="34" t="s">
        <v>164</v>
      </c>
      <c r="Y486" s="57"/>
      <c r="Z486" s="34" t="e">
        <f t="shared" si="22"/>
        <v>#NUM!</v>
      </c>
      <c r="AA486" s="34"/>
      <c r="AB486" s="34"/>
      <c r="AC486" s="34">
        <v>6</v>
      </c>
      <c r="AD486" s="34"/>
      <c r="AE486" s="59" t="str">
        <f t="shared" si="23"/>
        <v>NO</v>
      </c>
      <c r="AF486" s="38" t="e" cm="1">
        <f t="array" aca="1" ref="AF486" ca="1">MIN(100, MAX(0, (IF(R486="ESTUDIANTE", 31, 0)) + (IF(I486&lt;=3, 30, IF(I486&lt;=6, 20, 0))) +(IF(OR(E486="413 - Control de Costes y Enlace Construcción", E486="480 - Secretaría General del Consejo", E486="132 - Civil y estructuras", E486="136 - Mecánica", E486="412 - Planificación", E486="142 - Compras"), 25, 0)) +(IF(OR(S486="GRADO ING. MECÁNICA", S486="GRADO ING. ELÉCTRICA", S486="GRADO DERECHO", S486="GRADO ECONOMÍA", S486="GRADO ING. TECNOLOGÍAS INDUSTRIALES"), 24, 0)) + (IF(AND(K486&gt;=451, K486&lt;=700), 23, 0)) + (IF(AND(AB486&gt;=5, AB486&lt;=8), 17, 0)) +(IF(_xludf.OR(_xludf.AND(AC486&gt;=8, AC486&lt;=10), _xludf.AND(AC486&gt;=0, AC486&lt;=5)), 16, 0)) + (IF(F486="Madrid", 11, 0))))</f>
        <v>#NAME?</v>
      </c>
      <c r="AG486" s="68"/>
      <c r="AH486" s="71" t="s">
        <v>164</v>
      </c>
    </row>
    <row r="487" spans="1:34" ht="14.4" x14ac:dyDescent="0.3">
      <c r="A487" s="66" t="s">
        <v>1465</v>
      </c>
      <c r="B487" s="66" t="s">
        <v>3582</v>
      </c>
      <c r="C487" s="33">
        <v>486</v>
      </c>
      <c r="D487" s="33" t="s">
        <v>5394</v>
      </c>
      <c r="E487" s="34" t="s">
        <v>5260</v>
      </c>
      <c r="F487" s="34" t="s">
        <v>18</v>
      </c>
      <c r="G487" s="57">
        <v>41813</v>
      </c>
      <c r="H487" s="57">
        <v>42177</v>
      </c>
      <c r="I487" s="34">
        <f t="shared" si="21"/>
        <v>11</v>
      </c>
      <c r="J487" s="34">
        <v>40</v>
      </c>
      <c r="K487" s="36">
        <v>900</v>
      </c>
      <c r="L487" s="34" t="s">
        <v>29</v>
      </c>
      <c r="M487" s="57">
        <v>33411</v>
      </c>
      <c r="N487" s="37">
        <f>(YEAR(TablaMadre[[#This Row],[ALTA]])-YEAR(M487))</f>
        <v>23</v>
      </c>
      <c r="O487" s="34" t="s">
        <v>18</v>
      </c>
      <c r="P487" s="34" t="s">
        <v>19</v>
      </c>
      <c r="Q487" s="34" t="s">
        <v>85</v>
      </c>
      <c r="R487" s="34" t="s">
        <v>21</v>
      </c>
      <c r="S487" s="34" t="s">
        <v>322</v>
      </c>
      <c r="T487" s="34"/>
      <c r="U487" s="34"/>
      <c r="V487" s="34" t="s">
        <v>137</v>
      </c>
      <c r="W487" s="34" t="s">
        <v>28</v>
      </c>
      <c r="X487" s="38" t="s">
        <v>164</v>
      </c>
      <c r="Y487" s="62">
        <v>42486</v>
      </c>
      <c r="Z487" s="38">
        <f t="shared" si="22"/>
        <v>0</v>
      </c>
      <c r="AA487" s="38"/>
      <c r="AB487" s="34"/>
      <c r="AC487" s="34"/>
      <c r="AD487" s="38"/>
      <c r="AE487" s="59" t="str">
        <f t="shared" si="23"/>
        <v>NO</v>
      </c>
      <c r="AF487" s="38" t="e" cm="1">
        <f t="array" aca="1" ref="AF487" ca="1">MIN(100, MAX(0, (IF(R487="ESTUDIANTE", 31, 0)) + (IF(I487&lt;=3, 30, IF(I487&lt;=6, 20, 0))) +(IF(OR(E487="413 - Control de Costes y Enlace Construcción", E487="480 - Secretaría General del Consejo", E487="132 - Civil y estructuras", E487="136 - Mecánica", E487="412 - Planificación", E487="142 - Compras"), 25, 0)) +(IF(OR(S487="GRADO ING. MECÁNICA", S487="GRADO ING. ELÉCTRICA", S487="GRADO DERECHO", S487="GRADO ECONOMÍA", S487="GRADO ING. TECNOLOGÍAS INDUSTRIALES"), 24, 0)) + (IF(AND(K487&gt;=451, K487&lt;=700), 23, 0)) + (IF(AND(AB487&gt;=5, AB487&lt;=8), 17, 0)) +(IF(_xludf.OR(_xludf.AND(AC487&gt;=8, AC487&lt;=10), _xludf.AND(AC487&gt;=0, AC487&lt;=5)), 16, 0)) + (IF(F487="Madrid", 11, 0))))</f>
        <v>#NAME?</v>
      </c>
      <c r="AG487" s="68"/>
      <c r="AH487" s="71" t="s">
        <v>164</v>
      </c>
    </row>
    <row r="488" spans="1:34" ht="14.4" x14ac:dyDescent="0.3">
      <c r="A488" s="66" t="s">
        <v>1466</v>
      </c>
      <c r="B488" s="66" t="s">
        <v>3583</v>
      </c>
      <c r="C488" s="33">
        <v>487</v>
      </c>
      <c r="D488" s="33" t="s">
        <v>5395</v>
      </c>
      <c r="E488" s="34" t="s">
        <v>5260</v>
      </c>
      <c r="F488" s="34" t="s">
        <v>18</v>
      </c>
      <c r="G488" s="57">
        <v>41813</v>
      </c>
      <c r="H488" s="57">
        <v>42177</v>
      </c>
      <c r="I488" s="34">
        <f t="shared" si="21"/>
        <v>11</v>
      </c>
      <c r="J488" s="34">
        <v>40</v>
      </c>
      <c r="K488" s="36">
        <v>900</v>
      </c>
      <c r="L488" s="34" t="s">
        <v>17</v>
      </c>
      <c r="M488" s="57">
        <v>32643</v>
      </c>
      <c r="N488" s="37">
        <f>(YEAR(TablaMadre[[#This Row],[ALTA]])-YEAR(M488))</f>
        <v>25</v>
      </c>
      <c r="O488" s="34" t="s">
        <v>18</v>
      </c>
      <c r="P488" s="34" t="s">
        <v>19</v>
      </c>
      <c r="Q488" s="34" t="s">
        <v>85</v>
      </c>
      <c r="R488" s="34" t="s">
        <v>21</v>
      </c>
      <c r="S488" s="34" t="s">
        <v>322</v>
      </c>
      <c r="T488" s="34"/>
      <c r="U488" s="34"/>
      <c r="V488" s="34" t="s">
        <v>137</v>
      </c>
      <c r="W488" s="34" t="s">
        <v>28</v>
      </c>
      <c r="X488" s="38" t="s">
        <v>164</v>
      </c>
      <c r="Y488" s="62">
        <v>42440</v>
      </c>
      <c r="Z488" s="38">
        <f t="shared" si="22"/>
        <v>0</v>
      </c>
      <c r="AA488" s="38"/>
      <c r="AB488" s="34"/>
      <c r="AC488" s="34"/>
      <c r="AD488" s="38"/>
      <c r="AE488" s="59" t="str">
        <f t="shared" si="23"/>
        <v>NO</v>
      </c>
      <c r="AF488" s="38" t="e" cm="1">
        <f t="array" aca="1" ref="AF488" ca="1">MIN(100, MAX(0, (IF(R488="ESTUDIANTE", 31, 0)) + (IF(I488&lt;=3, 30, IF(I488&lt;=6, 20, 0))) +(IF(OR(E488="413 - Control de Costes y Enlace Construcción", E488="480 - Secretaría General del Consejo", E488="132 - Civil y estructuras", E488="136 - Mecánica", E488="412 - Planificación", E488="142 - Compras"), 25, 0)) +(IF(OR(S488="GRADO ING. MECÁNICA", S488="GRADO ING. ELÉCTRICA", S488="GRADO DERECHO", S488="GRADO ECONOMÍA", S488="GRADO ING. TECNOLOGÍAS INDUSTRIALES"), 24, 0)) + (IF(AND(K488&gt;=451, K488&lt;=700), 23, 0)) + (IF(AND(AB488&gt;=5, AB488&lt;=8), 17, 0)) +(IF(_xludf.OR(_xludf.AND(AC488&gt;=8, AC488&lt;=10), _xludf.AND(AC488&gt;=0, AC488&lt;=5)), 16, 0)) + (IF(F488="Madrid", 11, 0))))</f>
        <v>#NAME?</v>
      </c>
      <c r="AG488" s="68"/>
      <c r="AH488" s="71" t="s">
        <v>164</v>
      </c>
    </row>
    <row r="489" spans="1:34" ht="14.4" x14ac:dyDescent="0.3">
      <c r="A489" s="66" t="s">
        <v>1467</v>
      </c>
      <c r="B489" s="66" t="s">
        <v>3584</v>
      </c>
      <c r="C489" s="33">
        <v>488</v>
      </c>
      <c r="D489" s="33" t="s">
        <v>5393</v>
      </c>
      <c r="E489" s="34" t="s">
        <v>5260</v>
      </c>
      <c r="F489" s="34" t="s">
        <v>18</v>
      </c>
      <c r="G489" s="57">
        <v>41813</v>
      </c>
      <c r="H489" s="57">
        <v>42177</v>
      </c>
      <c r="I489" s="34">
        <f t="shared" si="21"/>
        <v>11</v>
      </c>
      <c r="J489" s="34">
        <v>40</v>
      </c>
      <c r="K489" s="36">
        <v>900</v>
      </c>
      <c r="L489" s="34" t="s">
        <v>17</v>
      </c>
      <c r="M489" s="57">
        <v>34683</v>
      </c>
      <c r="N489" s="37">
        <f>(YEAR(TablaMadre[[#This Row],[ALTA]])-YEAR(M489))</f>
        <v>20</v>
      </c>
      <c r="O489" s="34" t="s">
        <v>65</v>
      </c>
      <c r="P489" s="34" t="s">
        <v>19</v>
      </c>
      <c r="Q489" s="34" t="s">
        <v>85</v>
      </c>
      <c r="R489" s="34" t="s">
        <v>21</v>
      </c>
      <c r="S489" s="34" t="s">
        <v>322</v>
      </c>
      <c r="T489" s="34"/>
      <c r="U489" s="34"/>
      <c r="V489" s="34" t="s">
        <v>137</v>
      </c>
      <c r="W489" s="34" t="s">
        <v>28</v>
      </c>
      <c r="X489" s="38" t="s">
        <v>164</v>
      </c>
      <c r="Y489" s="62">
        <v>42192</v>
      </c>
      <c r="Z489" s="38">
        <f t="shared" si="22"/>
        <v>0</v>
      </c>
      <c r="AA489" s="38"/>
      <c r="AB489" s="34"/>
      <c r="AC489" s="34"/>
      <c r="AD489" s="38"/>
      <c r="AE489" s="59" t="str">
        <f t="shared" si="23"/>
        <v>SÍ</v>
      </c>
      <c r="AF489" s="38" t="e" cm="1">
        <f t="array" aca="1" ref="AF489" ca="1">MIN(100, MAX(0, (IF(R489="ESTUDIANTE", 31, 0)) + (IF(I489&lt;=3, 30, IF(I489&lt;=6, 20, 0))) +(IF(OR(E489="413 - Control de Costes y Enlace Construcción", E489="480 - Secretaría General del Consejo", E489="132 - Civil y estructuras", E489="136 - Mecánica", E489="412 - Planificación", E489="142 - Compras"), 25, 0)) +(IF(OR(S489="GRADO ING. MECÁNICA", S489="GRADO ING. ELÉCTRICA", S489="GRADO DERECHO", S489="GRADO ECONOMÍA", S489="GRADO ING. TECNOLOGÍAS INDUSTRIALES"), 24, 0)) + (IF(AND(K489&gt;=451, K489&lt;=700), 23, 0)) + (IF(AND(AB489&gt;=5, AB489&lt;=8), 17, 0)) +(IF(_xludf.OR(_xludf.AND(AC489&gt;=8, AC489&lt;=10), _xludf.AND(AC489&gt;=0, AC489&lt;=5)), 16, 0)) + (IF(F489="Madrid", 11, 0))))</f>
        <v>#NAME?</v>
      </c>
      <c r="AG489" s="68"/>
      <c r="AH489" s="71" t="s">
        <v>164</v>
      </c>
    </row>
    <row r="490" spans="1:34" ht="14.4" x14ac:dyDescent="0.3">
      <c r="A490" s="66" t="s">
        <v>1468</v>
      </c>
      <c r="B490" s="66" t="s">
        <v>3585</v>
      </c>
      <c r="C490" s="33">
        <v>489</v>
      </c>
      <c r="D490" s="33" t="s">
        <v>5394</v>
      </c>
      <c r="E490" s="34" t="s">
        <v>5254</v>
      </c>
      <c r="F490" s="34" t="s">
        <v>18</v>
      </c>
      <c r="G490" s="57">
        <v>41821</v>
      </c>
      <c r="H490" s="57">
        <v>42031</v>
      </c>
      <c r="I490" s="34">
        <f t="shared" si="21"/>
        <v>6</v>
      </c>
      <c r="J490" s="34">
        <v>40</v>
      </c>
      <c r="K490" s="36">
        <v>285</v>
      </c>
      <c r="L490" s="34" t="s">
        <v>29</v>
      </c>
      <c r="M490" s="57">
        <v>31972</v>
      </c>
      <c r="N490" s="37">
        <f>(YEAR(TablaMadre[[#This Row],[ALTA]])-YEAR(M490))</f>
        <v>27</v>
      </c>
      <c r="O490" s="34" t="s">
        <v>953</v>
      </c>
      <c r="P490" s="34" t="s">
        <v>19</v>
      </c>
      <c r="Q490" s="34" t="s">
        <v>241</v>
      </c>
      <c r="R490" s="58" t="s">
        <v>30</v>
      </c>
      <c r="S490" s="34" t="s">
        <v>26</v>
      </c>
      <c r="T490" s="34"/>
      <c r="U490" s="34"/>
      <c r="V490" s="34" t="s">
        <v>27</v>
      </c>
      <c r="W490" s="34" t="s">
        <v>127</v>
      </c>
      <c r="X490" s="38" t="s">
        <v>164</v>
      </c>
      <c r="Y490" s="62">
        <v>42285</v>
      </c>
      <c r="Z490" s="38">
        <f t="shared" si="22"/>
        <v>0</v>
      </c>
      <c r="AA490" s="38"/>
      <c r="AB490" s="34"/>
      <c r="AC490" s="34"/>
      <c r="AD490" s="38"/>
      <c r="AE490" s="59" t="str">
        <f t="shared" si="23"/>
        <v>SÍ</v>
      </c>
      <c r="AF490" s="38" t="e" cm="1">
        <f t="array" aca="1" ref="AF490" ca="1">MIN(100, MAX(0, (IF(R490="ESTUDIANTE", 31, 0)) + (IF(I490&lt;=3, 30, IF(I490&lt;=6, 20, 0))) +(IF(OR(E490="413 - Control de Costes y Enlace Construcción", E490="480 - Secretaría General del Consejo", E490="132 - Civil y estructuras", E490="136 - Mecánica", E490="412 - Planificación", E490="142 - Compras"), 25, 0)) +(IF(OR(S490="GRADO ING. MECÁNICA", S490="GRADO ING. ELÉCTRICA", S490="GRADO DERECHO", S490="GRADO ECONOMÍA", S490="GRADO ING. TECNOLOGÍAS INDUSTRIALES"), 24, 0)) + (IF(AND(K490&gt;=451, K490&lt;=700), 23, 0)) + (IF(AND(AB490&gt;=5, AB490&lt;=8), 17, 0)) +(IF(_xludf.OR(_xludf.AND(AC490&gt;=8, AC490&lt;=10), _xludf.AND(AC490&gt;=0, AC490&lt;=5)), 16, 0)) + (IF(F490="Madrid", 11, 0))))</f>
        <v>#NAME?</v>
      </c>
      <c r="AG490" s="68"/>
      <c r="AH490" s="71" t="s">
        <v>164</v>
      </c>
    </row>
    <row r="491" spans="1:34" ht="14.4" x14ac:dyDescent="0.3">
      <c r="A491" s="66" t="s">
        <v>1469</v>
      </c>
      <c r="B491" s="66" t="s">
        <v>3586</v>
      </c>
      <c r="C491" s="33">
        <v>490</v>
      </c>
      <c r="D491" s="33" t="s">
        <v>5395</v>
      </c>
      <c r="E491" s="34" t="s">
        <v>5254</v>
      </c>
      <c r="F491" s="34" t="s">
        <v>18</v>
      </c>
      <c r="G491" s="57">
        <v>41821</v>
      </c>
      <c r="H491" s="57">
        <v>42031</v>
      </c>
      <c r="I491" s="34">
        <f t="shared" si="21"/>
        <v>6</v>
      </c>
      <c r="J491" s="34">
        <v>40</v>
      </c>
      <c r="K491" s="36">
        <v>285</v>
      </c>
      <c r="L491" s="34" t="s">
        <v>17</v>
      </c>
      <c r="M491" s="57">
        <v>31731</v>
      </c>
      <c r="N491" s="37">
        <f>(YEAR(TablaMadre[[#This Row],[ALTA]])-YEAR(M491))</f>
        <v>28</v>
      </c>
      <c r="O491" s="34" t="s">
        <v>18</v>
      </c>
      <c r="P491" s="34" t="s">
        <v>19</v>
      </c>
      <c r="Q491" s="34" t="s">
        <v>242</v>
      </c>
      <c r="R491" s="58" t="s">
        <v>30</v>
      </c>
      <c r="S491" s="34" t="s">
        <v>26</v>
      </c>
      <c r="T491" s="34"/>
      <c r="U491" s="34"/>
      <c r="V491" s="34" t="s">
        <v>27</v>
      </c>
      <c r="W491" s="34" t="s">
        <v>127</v>
      </c>
      <c r="X491" s="38" t="s">
        <v>173</v>
      </c>
      <c r="Y491" s="62"/>
      <c r="Z491" s="38" t="e">
        <f t="shared" si="22"/>
        <v>#NUM!</v>
      </c>
      <c r="AA491" s="38"/>
      <c r="AB491" s="34"/>
      <c r="AC491" s="34"/>
      <c r="AD491" s="38"/>
      <c r="AE491" s="59" t="str">
        <f t="shared" si="23"/>
        <v>NO</v>
      </c>
      <c r="AF491" s="38" t="e" cm="1">
        <f t="array" aca="1" ref="AF491" ca="1">MIN(100, MAX(0, (IF(R491="ESTUDIANTE", 31, 0)) + (IF(I491&lt;=3, 30, IF(I491&lt;=6, 20, 0))) +(IF(OR(E491="413 - Control de Costes y Enlace Construcción", E491="480 - Secretaría General del Consejo", E491="132 - Civil y estructuras", E491="136 - Mecánica", E491="412 - Planificación", E491="142 - Compras"), 25, 0)) +(IF(OR(S491="GRADO ING. MECÁNICA", S491="GRADO ING. ELÉCTRICA", S491="GRADO DERECHO", S491="GRADO ECONOMÍA", S491="GRADO ING. TECNOLOGÍAS INDUSTRIALES"), 24, 0)) + (IF(AND(K491&gt;=451, K491&lt;=700), 23, 0)) + (IF(AND(AB491&gt;=5, AB491&lt;=8), 17, 0)) +(IF(_xludf.OR(_xludf.AND(AC491&gt;=8, AC491&lt;=10), _xludf.AND(AC491&gt;=0, AC491&lt;=5)), 16, 0)) + (IF(F491="Madrid", 11, 0))))</f>
        <v>#NAME?</v>
      </c>
      <c r="AG491" s="68"/>
      <c r="AH491" s="71" t="s">
        <v>164</v>
      </c>
    </row>
    <row r="492" spans="1:34" ht="14.4" x14ac:dyDescent="0.3">
      <c r="A492" s="66" t="s">
        <v>1470</v>
      </c>
      <c r="B492" s="66" t="s">
        <v>3587</v>
      </c>
      <c r="C492" s="33">
        <v>491</v>
      </c>
      <c r="D492" s="33" t="s">
        <v>5396</v>
      </c>
      <c r="E492" s="34" t="s">
        <v>5216</v>
      </c>
      <c r="F492" s="34" t="s">
        <v>18</v>
      </c>
      <c r="G492" s="57">
        <v>41824</v>
      </c>
      <c r="H492" s="57">
        <v>42159</v>
      </c>
      <c r="I492" s="34">
        <f t="shared" si="21"/>
        <v>11</v>
      </c>
      <c r="J492" s="34">
        <v>40</v>
      </c>
      <c r="K492" s="36">
        <v>900</v>
      </c>
      <c r="L492" s="34" t="s">
        <v>29</v>
      </c>
      <c r="M492" s="57">
        <v>33563</v>
      </c>
      <c r="N492" s="37">
        <f>(YEAR(TablaMadre[[#This Row],[ALTA]])-YEAR(M492))</f>
        <v>23</v>
      </c>
      <c r="O492" s="34" t="s">
        <v>558</v>
      </c>
      <c r="P492" s="34" t="s">
        <v>19</v>
      </c>
      <c r="Q492" s="34" t="s">
        <v>49</v>
      </c>
      <c r="R492" s="34" t="s">
        <v>21</v>
      </c>
      <c r="S492" s="34" t="s">
        <v>297</v>
      </c>
      <c r="T492" s="34"/>
      <c r="U492" s="34"/>
      <c r="V492" s="34" t="s">
        <v>310</v>
      </c>
      <c r="W492" s="34" t="s">
        <v>28</v>
      </c>
      <c r="X492" s="38" t="s">
        <v>173</v>
      </c>
      <c r="Y492" s="62"/>
      <c r="Z492" s="38" t="e">
        <f t="shared" si="22"/>
        <v>#NUM!</v>
      </c>
      <c r="AA492" s="38"/>
      <c r="AB492" s="34"/>
      <c r="AC492" s="34"/>
      <c r="AD492" s="38"/>
      <c r="AE492" s="59" t="str">
        <f t="shared" si="23"/>
        <v>SÍ</v>
      </c>
      <c r="AF492" s="38" t="e" cm="1">
        <f t="array" aca="1" ref="AF492" ca="1">MIN(100, MAX(0, (IF(R492="ESTUDIANTE", 31, 0)) + (IF(I492&lt;=3, 30, IF(I492&lt;=6, 20, 0))) +(IF(OR(E492="413 - Control de Costes y Enlace Construcción", E492="480 - Secretaría General del Consejo", E492="132 - Civil y estructuras", E492="136 - Mecánica", E492="412 - Planificación", E492="142 - Compras"), 25, 0)) +(IF(OR(S492="GRADO ING. MECÁNICA", S492="GRADO ING. ELÉCTRICA", S492="GRADO DERECHO", S492="GRADO ECONOMÍA", S492="GRADO ING. TECNOLOGÍAS INDUSTRIALES"), 24, 0)) + (IF(AND(K492&gt;=451, K492&lt;=700), 23, 0)) + (IF(AND(AB492&gt;=5, AB492&lt;=8), 17, 0)) +(IF(_xludf.OR(_xludf.AND(AC492&gt;=8, AC492&lt;=10), _xludf.AND(AC492&gt;=0, AC492&lt;=5)), 16, 0)) + (IF(F492="Madrid", 11, 0))))</f>
        <v>#NAME?</v>
      </c>
      <c r="AG492" s="68"/>
      <c r="AH492" s="71" t="s">
        <v>164</v>
      </c>
    </row>
    <row r="493" spans="1:34" ht="14.4" x14ac:dyDescent="0.3">
      <c r="A493" s="66" t="s">
        <v>1471</v>
      </c>
      <c r="B493" s="66" t="s">
        <v>3588</v>
      </c>
      <c r="C493" s="33">
        <v>492</v>
      </c>
      <c r="D493" s="33" t="s">
        <v>5397</v>
      </c>
      <c r="E493" s="34" t="s">
        <v>5256</v>
      </c>
      <c r="F493" s="34" t="s">
        <v>18</v>
      </c>
      <c r="G493" s="57">
        <v>41827</v>
      </c>
      <c r="H493" s="57">
        <v>42137</v>
      </c>
      <c r="I493" s="34">
        <f t="shared" si="21"/>
        <v>10</v>
      </c>
      <c r="J493" s="34">
        <v>40</v>
      </c>
      <c r="K493" s="36">
        <v>900</v>
      </c>
      <c r="L493" s="34" t="s">
        <v>17</v>
      </c>
      <c r="M493" s="57">
        <v>34535</v>
      </c>
      <c r="N493" s="37">
        <f>(YEAR(TablaMadre[[#This Row],[ALTA]])-YEAR(M493))</f>
        <v>20</v>
      </c>
      <c r="O493" s="34" t="s">
        <v>18</v>
      </c>
      <c r="P493" s="34" t="s">
        <v>19</v>
      </c>
      <c r="Q493" s="34" t="s">
        <v>36</v>
      </c>
      <c r="R493" s="34" t="s">
        <v>21</v>
      </c>
      <c r="S493" s="34" t="s">
        <v>307</v>
      </c>
      <c r="T493" s="34"/>
      <c r="U493" s="34"/>
      <c r="V493" s="34" t="s">
        <v>22</v>
      </c>
      <c r="W493" s="34" t="s">
        <v>28</v>
      </c>
      <c r="X493" s="38" t="s">
        <v>164</v>
      </c>
      <c r="Y493" s="62">
        <v>43466</v>
      </c>
      <c r="Z493" s="38">
        <f t="shared" si="22"/>
        <v>3</v>
      </c>
      <c r="AA493" s="38"/>
      <c r="AB493" s="34"/>
      <c r="AC493" s="34"/>
      <c r="AD493" s="38"/>
      <c r="AE493" s="59" t="str">
        <f t="shared" si="23"/>
        <v>NO</v>
      </c>
      <c r="AF493" s="38" t="e" cm="1">
        <f t="array" aca="1" ref="AF493" ca="1">MIN(100, MAX(0, (IF(R493="ESTUDIANTE", 31, 0)) + (IF(I493&lt;=3, 30, IF(I493&lt;=6, 20, 0))) +(IF(OR(E493="413 - Control de Costes y Enlace Construcción", E493="480 - Secretaría General del Consejo", E493="132 - Civil y estructuras", E493="136 - Mecánica", E493="412 - Planificación", E493="142 - Compras"), 25, 0)) +(IF(OR(S493="GRADO ING. MECÁNICA", S493="GRADO ING. ELÉCTRICA", S493="GRADO DERECHO", S493="GRADO ECONOMÍA", S493="GRADO ING. TECNOLOGÍAS INDUSTRIALES"), 24, 0)) + (IF(AND(K493&gt;=451, K493&lt;=700), 23, 0)) + (IF(AND(AB493&gt;=5, AB493&lt;=8), 17, 0)) +(IF(_xludf.OR(_xludf.AND(AC493&gt;=8, AC493&lt;=10), _xludf.AND(AC493&gt;=0, AC493&lt;=5)), 16, 0)) + (IF(F493="Madrid", 11, 0))))</f>
        <v>#NAME?</v>
      </c>
      <c r="AG493" s="68"/>
      <c r="AH493" s="71" t="s">
        <v>164</v>
      </c>
    </row>
    <row r="494" spans="1:34" ht="14.4" x14ac:dyDescent="0.3">
      <c r="A494" s="66" t="s">
        <v>1472</v>
      </c>
      <c r="B494" s="66" t="s">
        <v>3589</v>
      </c>
      <c r="C494" s="33">
        <v>493</v>
      </c>
      <c r="D494" s="33" t="s">
        <v>5398</v>
      </c>
      <c r="E494" s="34" t="s">
        <v>5273</v>
      </c>
      <c r="F494" s="34" t="s">
        <v>18</v>
      </c>
      <c r="G494" s="57">
        <v>41827</v>
      </c>
      <c r="H494" s="57">
        <v>42162</v>
      </c>
      <c r="I494" s="34">
        <f t="shared" si="21"/>
        <v>11</v>
      </c>
      <c r="J494" s="34">
        <v>40</v>
      </c>
      <c r="K494" s="36">
        <v>900</v>
      </c>
      <c r="L494" s="34" t="s">
        <v>17</v>
      </c>
      <c r="M494" s="57">
        <v>34563</v>
      </c>
      <c r="N494" s="37">
        <f>(YEAR(TablaMadre[[#This Row],[ALTA]])-YEAR(M494))</f>
        <v>20</v>
      </c>
      <c r="O494" s="34" t="s">
        <v>18</v>
      </c>
      <c r="P494" s="34" t="s">
        <v>19</v>
      </c>
      <c r="Q494" s="34" t="s">
        <v>85</v>
      </c>
      <c r="R494" s="34" t="s">
        <v>21</v>
      </c>
      <c r="S494" s="34" t="s">
        <v>322</v>
      </c>
      <c r="T494" s="34"/>
      <c r="U494" s="34"/>
      <c r="V494" s="34" t="s">
        <v>22</v>
      </c>
      <c r="W494" s="34" t="s">
        <v>28</v>
      </c>
      <c r="X494" s="38" t="s">
        <v>164</v>
      </c>
      <c r="Y494" s="62">
        <v>43183</v>
      </c>
      <c r="Z494" s="38">
        <f t="shared" si="22"/>
        <v>2</v>
      </c>
      <c r="AA494" s="38"/>
      <c r="AB494" s="34"/>
      <c r="AC494" s="34"/>
      <c r="AD494" s="38"/>
      <c r="AE494" s="59" t="str">
        <f t="shared" si="23"/>
        <v>NO</v>
      </c>
      <c r="AF494" s="38" t="e" cm="1">
        <f t="array" aca="1" ref="AF494" ca="1">MIN(100, MAX(0, (IF(R494="ESTUDIANTE", 31, 0)) + (IF(I494&lt;=3, 30, IF(I494&lt;=6, 20, 0))) +(IF(OR(E494="413 - Control de Costes y Enlace Construcción", E494="480 - Secretaría General del Consejo", E494="132 - Civil y estructuras", E494="136 - Mecánica", E494="412 - Planificación", E494="142 - Compras"), 25, 0)) +(IF(OR(S494="GRADO ING. MECÁNICA", S494="GRADO ING. ELÉCTRICA", S494="GRADO DERECHO", S494="GRADO ECONOMÍA", S494="GRADO ING. TECNOLOGÍAS INDUSTRIALES"), 24, 0)) + (IF(AND(K494&gt;=451, K494&lt;=700), 23, 0)) + (IF(AND(AB494&gt;=5, AB494&lt;=8), 17, 0)) +(IF(_xludf.OR(_xludf.AND(AC494&gt;=8, AC494&lt;=10), _xludf.AND(AC494&gt;=0, AC494&lt;=5)), 16, 0)) + (IF(F494="Madrid", 11, 0))))</f>
        <v>#NAME?</v>
      </c>
      <c r="AG494" s="68"/>
      <c r="AH494" s="71" t="s">
        <v>164</v>
      </c>
    </row>
    <row r="495" spans="1:34" ht="14.4" x14ac:dyDescent="0.3">
      <c r="A495" s="66" t="s">
        <v>1473</v>
      </c>
      <c r="B495" s="66" t="s">
        <v>3590</v>
      </c>
      <c r="C495" s="33">
        <v>494</v>
      </c>
      <c r="D495" s="33" t="s">
        <v>5399</v>
      </c>
      <c r="E495" s="34" t="s">
        <v>5244</v>
      </c>
      <c r="F495" s="34" t="s">
        <v>18</v>
      </c>
      <c r="G495" s="57">
        <v>41827</v>
      </c>
      <c r="H495" s="57">
        <v>42162</v>
      </c>
      <c r="I495" s="34">
        <f t="shared" si="21"/>
        <v>11</v>
      </c>
      <c r="J495" s="34">
        <v>40</v>
      </c>
      <c r="K495" s="36">
        <v>900</v>
      </c>
      <c r="L495" s="34" t="s">
        <v>17</v>
      </c>
      <c r="M495" s="57">
        <v>33555</v>
      </c>
      <c r="N495" s="37">
        <f>(YEAR(TablaMadre[[#This Row],[ALTA]])-YEAR(M495))</f>
        <v>23</v>
      </c>
      <c r="O495" s="34" t="s">
        <v>941</v>
      </c>
      <c r="P495" s="34" t="s">
        <v>19</v>
      </c>
      <c r="Q495" s="34" t="s">
        <v>49</v>
      </c>
      <c r="R495" s="34" t="s">
        <v>21</v>
      </c>
      <c r="S495" s="34" t="s">
        <v>297</v>
      </c>
      <c r="T495" s="34"/>
      <c r="U495" s="34"/>
      <c r="V495" s="34" t="s">
        <v>312</v>
      </c>
      <c r="W495" s="34" t="s">
        <v>28</v>
      </c>
      <c r="X495" s="38" t="s">
        <v>164</v>
      </c>
      <c r="Y495" s="62">
        <v>43289</v>
      </c>
      <c r="Z495" s="38">
        <f t="shared" si="22"/>
        <v>3</v>
      </c>
      <c r="AA495" s="38"/>
      <c r="AB495" s="34"/>
      <c r="AC495" s="34"/>
      <c r="AD495" s="38"/>
      <c r="AE495" s="59" t="str">
        <f t="shared" si="23"/>
        <v>SÍ</v>
      </c>
      <c r="AF495" s="38" t="e" cm="1">
        <f t="array" aca="1" ref="AF495" ca="1">MIN(100, MAX(0, (IF(R495="ESTUDIANTE", 31, 0)) + (IF(I495&lt;=3, 30, IF(I495&lt;=6, 20, 0))) +(IF(OR(E495="413 - Control de Costes y Enlace Construcción", E495="480 - Secretaría General del Consejo", E495="132 - Civil y estructuras", E495="136 - Mecánica", E495="412 - Planificación", E495="142 - Compras"), 25, 0)) +(IF(OR(S495="GRADO ING. MECÁNICA", S495="GRADO ING. ELÉCTRICA", S495="GRADO DERECHO", S495="GRADO ECONOMÍA", S495="GRADO ING. TECNOLOGÍAS INDUSTRIALES"), 24, 0)) + (IF(AND(K495&gt;=451, K495&lt;=700), 23, 0)) + (IF(AND(AB495&gt;=5, AB495&lt;=8), 17, 0)) +(IF(_xludf.OR(_xludf.AND(AC495&gt;=8, AC495&lt;=10), _xludf.AND(AC495&gt;=0, AC495&lt;=5)), 16, 0)) + (IF(F495="Madrid", 11, 0))))</f>
        <v>#NAME?</v>
      </c>
      <c r="AG495" s="68"/>
      <c r="AH495" s="71" t="s">
        <v>164</v>
      </c>
    </row>
    <row r="496" spans="1:34" ht="14.4" x14ac:dyDescent="0.3">
      <c r="A496" s="66" t="s">
        <v>1474</v>
      </c>
      <c r="B496" s="66" t="s">
        <v>3591</v>
      </c>
      <c r="C496" s="33">
        <v>495</v>
      </c>
      <c r="D496" s="33" t="s">
        <v>5400</v>
      </c>
      <c r="E496" s="34" t="s">
        <v>5276</v>
      </c>
      <c r="F496" s="34" t="s">
        <v>18</v>
      </c>
      <c r="G496" s="57">
        <v>41827</v>
      </c>
      <c r="H496" s="57">
        <v>42162</v>
      </c>
      <c r="I496" s="34">
        <f t="shared" si="21"/>
        <v>11</v>
      </c>
      <c r="J496" s="34">
        <v>40</v>
      </c>
      <c r="K496" s="36">
        <v>900</v>
      </c>
      <c r="L496" s="34" t="s">
        <v>17</v>
      </c>
      <c r="M496" s="57">
        <v>33446</v>
      </c>
      <c r="N496" s="37">
        <f>(YEAR(TablaMadre[[#This Row],[ALTA]])-YEAR(M496))</f>
        <v>23</v>
      </c>
      <c r="O496" s="34" t="s">
        <v>105</v>
      </c>
      <c r="P496" s="34" t="s">
        <v>19</v>
      </c>
      <c r="Q496" s="34" t="s">
        <v>237</v>
      </c>
      <c r="R496" s="34" t="s">
        <v>21</v>
      </c>
      <c r="S496" s="34" t="s">
        <v>322</v>
      </c>
      <c r="T496" s="34"/>
      <c r="U496" s="34"/>
      <c r="V496" s="34" t="s">
        <v>22</v>
      </c>
      <c r="W496" s="34" t="s">
        <v>28</v>
      </c>
      <c r="X496" s="38" t="s">
        <v>173</v>
      </c>
      <c r="Y496" s="62"/>
      <c r="Z496" s="38" t="e">
        <f t="shared" si="22"/>
        <v>#NUM!</v>
      </c>
      <c r="AA496" s="38"/>
      <c r="AB496" s="34"/>
      <c r="AC496" s="34"/>
      <c r="AD496" s="38"/>
      <c r="AE496" s="59" t="str">
        <f t="shared" si="23"/>
        <v>SÍ</v>
      </c>
      <c r="AF496" s="38" t="e" cm="1">
        <f t="array" aca="1" ref="AF496" ca="1">MIN(100, MAX(0, (IF(R496="ESTUDIANTE", 31, 0)) + (IF(I496&lt;=3, 30, IF(I496&lt;=6, 20, 0))) +(IF(OR(E496="413 - Control de Costes y Enlace Construcción", E496="480 - Secretaría General del Consejo", E496="132 - Civil y estructuras", E496="136 - Mecánica", E496="412 - Planificación", E496="142 - Compras"), 25, 0)) +(IF(OR(S496="GRADO ING. MECÁNICA", S496="GRADO ING. ELÉCTRICA", S496="GRADO DERECHO", S496="GRADO ECONOMÍA", S496="GRADO ING. TECNOLOGÍAS INDUSTRIALES"), 24, 0)) + (IF(AND(K496&gt;=451, K496&lt;=700), 23, 0)) + (IF(AND(AB496&gt;=5, AB496&lt;=8), 17, 0)) +(IF(_xludf.OR(_xludf.AND(AC496&gt;=8, AC496&lt;=10), _xludf.AND(AC496&gt;=0, AC496&lt;=5)), 16, 0)) + (IF(F496="Madrid", 11, 0))))</f>
        <v>#NAME?</v>
      </c>
      <c r="AG496" s="68"/>
      <c r="AH496" s="71" t="s">
        <v>164</v>
      </c>
    </row>
    <row r="497" spans="1:34" ht="14.4" x14ac:dyDescent="0.3">
      <c r="A497" s="66" t="s">
        <v>1475</v>
      </c>
      <c r="B497" s="66" t="s">
        <v>3592</v>
      </c>
      <c r="C497" s="33">
        <v>496</v>
      </c>
      <c r="D497" s="33" t="s">
        <v>5401</v>
      </c>
      <c r="E497" s="34" t="s">
        <v>5273</v>
      </c>
      <c r="F497" s="34" t="s">
        <v>18</v>
      </c>
      <c r="G497" s="57">
        <v>41827</v>
      </c>
      <c r="H497" s="57">
        <v>42185</v>
      </c>
      <c r="I497" s="34">
        <f t="shared" si="21"/>
        <v>11</v>
      </c>
      <c r="J497" s="34">
        <v>40</v>
      </c>
      <c r="K497" s="36">
        <v>700</v>
      </c>
      <c r="L497" s="34" t="s">
        <v>29</v>
      </c>
      <c r="M497" s="57">
        <v>35062</v>
      </c>
      <c r="N497" s="37">
        <f>(YEAR(TablaMadre[[#This Row],[ALTA]])-YEAR(M497))</f>
        <v>19</v>
      </c>
      <c r="O497" s="34" t="s">
        <v>18</v>
      </c>
      <c r="P497" s="34" t="s">
        <v>19</v>
      </c>
      <c r="Q497" s="34" t="s">
        <v>318</v>
      </c>
      <c r="R497" s="58" t="s">
        <v>30</v>
      </c>
      <c r="S497" s="34" t="s">
        <v>26</v>
      </c>
      <c r="T497" s="34"/>
      <c r="U497" s="34"/>
      <c r="V497" s="34" t="s">
        <v>27</v>
      </c>
      <c r="W497" s="34" t="s">
        <v>28</v>
      </c>
      <c r="X497" s="38" t="s">
        <v>164</v>
      </c>
      <c r="Y497" s="62">
        <v>43922</v>
      </c>
      <c r="Z497" s="38">
        <f t="shared" si="22"/>
        <v>4</v>
      </c>
      <c r="AA497" s="38"/>
      <c r="AB497" s="34"/>
      <c r="AC497" s="34"/>
      <c r="AD497" s="38"/>
      <c r="AE497" s="59" t="str">
        <f t="shared" si="23"/>
        <v>NO</v>
      </c>
      <c r="AF497" s="38" t="e" cm="1">
        <f t="array" aca="1" ref="AF497" ca="1">MIN(100, MAX(0, (IF(R497="ESTUDIANTE", 31, 0)) + (IF(I497&lt;=3, 30, IF(I497&lt;=6, 20, 0))) +(IF(OR(E497="413 - Control de Costes y Enlace Construcción", E497="480 - Secretaría General del Consejo", E497="132 - Civil y estructuras", E497="136 - Mecánica", E497="412 - Planificación", E497="142 - Compras"), 25, 0)) +(IF(OR(S497="GRADO ING. MECÁNICA", S497="GRADO ING. ELÉCTRICA", S497="GRADO DERECHO", S497="GRADO ECONOMÍA", S497="GRADO ING. TECNOLOGÍAS INDUSTRIALES"), 24, 0)) + (IF(AND(K497&gt;=451, K497&lt;=700), 23, 0)) + (IF(AND(AB497&gt;=5, AB497&lt;=8), 17, 0)) +(IF(_xludf.OR(_xludf.AND(AC497&gt;=8, AC497&lt;=10), _xludf.AND(AC497&gt;=0, AC497&lt;=5)), 16, 0)) + (IF(F497="Madrid", 11, 0))))</f>
        <v>#NAME?</v>
      </c>
      <c r="AG497" s="68"/>
      <c r="AH497" s="71" t="s">
        <v>164</v>
      </c>
    </row>
    <row r="498" spans="1:34" ht="14.4" x14ac:dyDescent="0.3">
      <c r="A498" s="66" t="s">
        <v>1476</v>
      </c>
      <c r="B498" s="66" t="s">
        <v>3593</v>
      </c>
      <c r="C498" s="33">
        <v>497</v>
      </c>
      <c r="D498" s="33" t="s">
        <v>5402</v>
      </c>
      <c r="E498" s="34" t="s">
        <v>5282</v>
      </c>
      <c r="F498" s="34" t="s">
        <v>118</v>
      </c>
      <c r="G498" s="57">
        <v>41828</v>
      </c>
      <c r="H498" s="57">
        <v>42523</v>
      </c>
      <c r="I498" s="34">
        <f t="shared" si="21"/>
        <v>22</v>
      </c>
      <c r="J498" s="34">
        <v>40</v>
      </c>
      <c r="K498" s="36">
        <v>750</v>
      </c>
      <c r="L498" s="34" t="s">
        <v>17</v>
      </c>
      <c r="M498" s="57">
        <v>33694</v>
      </c>
      <c r="N498" s="37">
        <f>(YEAR(TablaMadre[[#This Row],[ALTA]])-YEAR(M498))</f>
        <v>22</v>
      </c>
      <c r="O498" s="34" t="s">
        <v>118</v>
      </c>
      <c r="P498" s="34" t="s">
        <v>19</v>
      </c>
      <c r="Q498" s="34" t="s">
        <v>358</v>
      </c>
      <c r="R498" s="34" t="s">
        <v>21</v>
      </c>
      <c r="S498" s="34" t="s">
        <v>322</v>
      </c>
      <c r="T498" s="34"/>
      <c r="U498" s="34"/>
      <c r="V498" s="34" t="s">
        <v>37</v>
      </c>
      <c r="W498" s="34" t="s">
        <v>28</v>
      </c>
      <c r="X498" s="38" t="s">
        <v>164</v>
      </c>
      <c r="Y498" s="62">
        <v>43030</v>
      </c>
      <c r="Z498" s="38">
        <f t="shared" si="22"/>
        <v>1</v>
      </c>
      <c r="AA498" s="38"/>
      <c r="AB498" s="34"/>
      <c r="AC498" s="34"/>
      <c r="AD498" s="38"/>
      <c r="AE498" s="59" t="str">
        <f t="shared" si="23"/>
        <v>NO</v>
      </c>
      <c r="AF498" s="38" t="e" cm="1">
        <f t="array" aca="1" ref="AF498" ca="1">MIN(100, MAX(0, (IF(R498="ESTUDIANTE", 31, 0)) + (IF(I498&lt;=3, 30, IF(I498&lt;=6, 20, 0))) +(IF(OR(E498="413 - Control de Costes y Enlace Construcción", E498="480 - Secretaría General del Consejo", E498="132 - Civil y estructuras", E498="136 - Mecánica", E498="412 - Planificación", E498="142 - Compras"), 25, 0)) +(IF(OR(S498="GRADO ING. MECÁNICA", S498="GRADO ING. ELÉCTRICA", S498="GRADO DERECHO", S498="GRADO ECONOMÍA", S498="GRADO ING. TECNOLOGÍAS INDUSTRIALES"), 24, 0)) + (IF(AND(K498&gt;=451, K498&lt;=700), 23, 0)) + (IF(AND(AB498&gt;=5, AB498&lt;=8), 17, 0)) +(IF(_xludf.OR(_xludf.AND(AC498&gt;=8, AC498&lt;=10), _xludf.AND(AC498&gt;=0, AC498&lt;=5)), 16, 0)) + (IF(F498="Madrid", 11, 0))))</f>
        <v>#NAME?</v>
      </c>
      <c r="AG498" s="68"/>
      <c r="AH498" s="71" t="s">
        <v>164</v>
      </c>
    </row>
    <row r="499" spans="1:34" ht="14.4" x14ac:dyDescent="0.3">
      <c r="A499" s="66" t="s">
        <v>1478</v>
      </c>
      <c r="B499" s="66" t="s">
        <v>3595</v>
      </c>
      <c r="C499" s="33">
        <v>499</v>
      </c>
      <c r="D499" s="33" t="s">
        <v>5393</v>
      </c>
      <c r="E499" s="34" t="s">
        <v>5244</v>
      </c>
      <c r="F499" s="34" t="s">
        <v>18</v>
      </c>
      <c r="G499" s="57">
        <v>41834</v>
      </c>
      <c r="H499" s="57">
        <v>42017</v>
      </c>
      <c r="I499" s="34">
        <f t="shared" si="21"/>
        <v>5</v>
      </c>
      <c r="J499" s="34">
        <v>40</v>
      </c>
      <c r="K499" s="36">
        <v>900</v>
      </c>
      <c r="L499" s="34" t="s">
        <v>17</v>
      </c>
      <c r="M499" s="57">
        <v>34817</v>
      </c>
      <c r="N499" s="37">
        <f>(YEAR(TablaMadre[[#This Row],[ALTA]])-YEAR(M499))</f>
        <v>19</v>
      </c>
      <c r="O499" s="34" t="s">
        <v>18</v>
      </c>
      <c r="P499" s="34" t="s">
        <v>19</v>
      </c>
      <c r="Q499" s="34" t="s">
        <v>61</v>
      </c>
      <c r="R499" s="34" t="s">
        <v>21</v>
      </c>
      <c r="S499" s="34" t="s">
        <v>322</v>
      </c>
      <c r="T499" s="34"/>
      <c r="U499" s="34"/>
      <c r="V499" s="34" t="s">
        <v>137</v>
      </c>
      <c r="W499" s="34" t="s">
        <v>97</v>
      </c>
      <c r="X499" s="38" t="s">
        <v>164</v>
      </c>
      <c r="Y499" s="62">
        <v>43274</v>
      </c>
      <c r="Z499" s="38">
        <f t="shared" si="22"/>
        <v>3</v>
      </c>
      <c r="AA499" s="38"/>
      <c r="AB499" s="34"/>
      <c r="AC499" s="34"/>
      <c r="AD499" s="38"/>
      <c r="AE499" s="59" t="str">
        <f t="shared" si="23"/>
        <v>NO</v>
      </c>
      <c r="AF499" s="38" t="e" cm="1">
        <f t="array" aca="1" ref="AF499" ca="1">MIN(100, MAX(0, (IF(R499="ESTUDIANTE", 31, 0)) + (IF(I499&lt;=3, 30, IF(I499&lt;=6, 20, 0))) +(IF(OR(E499="413 - Control de Costes y Enlace Construcción", E499="480 - Secretaría General del Consejo", E499="132 - Civil y estructuras", E499="136 - Mecánica", E499="412 - Planificación", E499="142 - Compras"), 25, 0)) +(IF(OR(S499="GRADO ING. MECÁNICA", S499="GRADO ING. ELÉCTRICA", S499="GRADO DERECHO", S499="GRADO ECONOMÍA", S499="GRADO ING. TECNOLOGÍAS INDUSTRIALES"), 24, 0)) + (IF(AND(K499&gt;=451, K499&lt;=700), 23, 0)) + (IF(AND(AB499&gt;=5, AB499&lt;=8), 17, 0)) +(IF(_xludf.OR(_xludf.AND(AC499&gt;=8, AC499&lt;=10), _xludf.AND(AC499&gt;=0, AC499&lt;=5)), 16, 0)) + (IF(F499="Madrid", 11, 0))))</f>
        <v>#NAME?</v>
      </c>
      <c r="AG499" s="68"/>
      <c r="AH499" s="71" t="s">
        <v>164</v>
      </c>
    </row>
    <row r="500" spans="1:34" ht="14.4" x14ac:dyDescent="0.3">
      <c r="A500" s="66" t="s">
        <v>1479</v>
      </c>
      <c r="B500" s="66" t="s">
        <v>3596</v>
      </c>
      <c r="C500" s="33">
        <v>500</v>
      </c>
      <c r="D500" s="33" t="s">
        <v>5394</v>
      </c>
      <c r="E500" s="34" t="s">
        <v>5244</v>
      </c>
      <c r="F500" s="34" t="s">
        <v>18</v>
      </c>
      <c r="G500" s="57">
        <v>41834</v>
      </c>
      <c r="H500" s="57">
        <v>42200</v>
      </c>
      <c r="I500" s="34">
        <f t="shared" si="21"/>
        <v>12</v>
      </c>
      <c r="J500" s="34">
        <v>40</v>
      </c>
      <c r="K500" s="36">
        <v>900</v>
      </c>
      <c r="L500" s="34" t="s">
        <v>17</v>
      </c>
      <c r="M500" s="57">
        <v>34957</v>
      </c>
      <c r="N500" s="37">
        <f>(YEAR(TablaMadre[[#This Row],[ALTA]])-YEAR(M500))</f>
        <v>19</v>
      </c>
      <c r="O500" s="34" t="s">
        <v>18</v>
      </c>
      <c r="P500" s="34" t="s">
        <v>19</v>
      </c>
      <c r="Q500" s="34" t="s">
        <v>237</v>
      </c>
      <c r="R500" s="34" t="s">
        <v>21</v>
      </c>
      <c r="S500" s="34" t="s">
        <v>322</v>
      </c>
      <c r="T500" s="34"/>
      <c r="U500" s="34"/>
      <c r="V500" s="34" t="s">
        <v>137</v>
      </c>
      <c r="W500" s="34" t="s">
        <v>28</v>
      </c>
      <c r="X500" s="38" t="s">
        <v>164</v>
      </c>
      <c r="Y500" s="62">
        <v>44687</v>
      </c>
      <c r="Z500" s="38">
        <f t="shared" si="22"/>
        <v>6</v>
      </c>
      <c r="AA500" s="38"/>
      <c r="AB500" s="34"/>
      <c r="AC500" s="34"/>
      <c r="AD500" s="38"/>
      <c r="AE500" s="59" t="str">
        <f t="shared" si="23"/>
        <v>NO</v>
      </c>
      <c r="AF500" s="38" t="e" cm="1">
        <f t="array" aca="1" ref="AF500" ca="1">MIN(100, MAX(0, (IF(R500="ESTUDIANTE", 31, 0)) + (IF(I500&lt;=3, 30, IF(I500&lt;=6, 20, 0))) +(IF(OR(E500="413 - Control de Costes y Enlace Construcción", E500="480 - Secretaría General del Consejo", E500="132 - Civil y estructuras", E500="136 - Mecánica", E500="412 - Planificación", E500="142 - Compras"), 25, 0)) +(IF(OR(S500="GRADO ING. MECÁNICA", S500="GRADO ING. ELÉCTRICA", S500="GRADO DERECHO", S500="GRADO ECONOMÍA", S500="GRADO ING. TECNOLOGÍAS INDUSTRIALES"), 24, 0)) + (IF(AND(K500&gt;=451, K500&lt;=700), 23, 0)) + (IF(AND(AB500&gt;=5, AB500&lt;=8), 17, 0)) +(IF(_xludf.OR(_xludf.AND(AC500&gt;=8, AC500&lt;=10), _xludf.AND(AC500&gt;=0, AC500&lt;=5)), 16, 0)) + (IF(F500="Madrid", 11, 0))))</f>
        <v>#NAME?</v>
      </c>
      <c r="AG500" s="68"/>
      <c r="AH500" s="71" t="s">
        <v>164</v>
      </c>
    </row>
    <row r="501" spans="1:34" ht="14.4" x14ac:dyDescent="0.3">
      <c r="A501" s="66" t="s">
        <v>1495</v>
      </c>
      <c r="B501" s="66" t="s">
        <v>3612</v>
      </c>
      <c r="C501" s="33">
        <v>498</v>
      </c>
      <c r="D501" s="33" t="s">
        <v>5395</v>
      </c>
      <c r="E501" s="34" t="s">
        <v>5231</v>
      </c>
      <c r="F501" s="34" t="s">
        <v>18</v>
      </c>
      <c r="G501" s="57">
        <v>41834</v>
      </c>
      <c r="H501" s="57">
        <v>41887</v>
      </c>
      <c r="I501" s="34">
        <f t="shared" si="21"/>
        <v>1</v>
      </c>
      <c r="J501" s="34">
        <v>40</v>
      </c>
      <c r="K501" s="36">
        <v>650</v>
      </c>
      <c r="L501" s="34" t="s">
        <v>29</v>
      </c>
      <c r="M501" s="57">
        <v>31733</v>
      </c>
      <c r="N501" s="37">
        <f>(YEAR(TablaMadre[[#This Row],[ALTA]])-YEAR(M501))</f>
        <v>28</v>
      </c>
      <c r="O501" s="34" t="s">
        <v>153</v>
      </c>
      <c r="P501" s="34" t="s">
        <v>19</v>
      </c>
      <c r="Q501" s="34" t="s">
        <v>89</v>
      </c>
      <c r="R501" s="58" t="s">
        <v>30</v>
      </c>
      <c r="S501" s="34" t="s">
        <v>384</v>
      </c>
      <c r="T501" s="34"/>
      <c r="U501" s="34"/>
      <c r="V501" s="34" t="s">
        <v>90</v>
      </c>
      <c r="W501" s="34" t="s">
        <v>23</v>
      </c>
      <c r="X501" s="38" t="s">
        <v>164</v>
      </c>
      <c r="Y501" s="62"/>
      <c r="Z501" s="38" t="e">
        <f t="shared" si="22"/>
        <v>#NUM!</v>
      </c>
      <c r="AA501" s="38"/>
      <c r="AB501" s="34"/>
      <c r="AC501" s="34"/>
      <c r="AD501" s="38"/>
      <c r="AE501" s="59" t="str">
        <f t="shared" si="23"/>
        <v>SÍ</v>
      </c>
      <c r="AF501" s="38" t="e" cm="1">
        <f t="array" aca="1" ref="AF501" ca="1">MIN(100, MAX(0, (IF(R501="ESTUDIANTE", 31, 0)) + (IF(I501&lt;=3, 30, IF(I501&lt;=6, 20, 0))) +(IF(OR(E501="413 - Control de Costes y Enlace Construcción", E501="480 - Secretaría General del Consejo", E501="132 - Civil y estructuras", E501="136 - Mecánica", E501="412 - Planificación", E501="142 - Compras"), 25, 0)) +(IF(OR(S501="GRADO ING. MECÁNICA", S501="GRADO ING. ELÉCTRICA", S501="GRADO DERECHO", S501="GRADO ECONOMÍA", S501="GRADO ING. TECNOLOGÍAS INDUSTRIALES"), 24, 0)) + (IF(AND(K501&gt;=451, K501&lt;=700), 23, 0)) + (IF(AND(AB501&gt;=5, AB501&lt;=8), 17, 0)) +(IF(_xludf.OR(_xludf.AND(AC501&gt;=8, AC501&lt;=10), _xludf.AND(AC501&gt;=0, AC501&lt;=5)), 16, 0)) + (IF(F501="Madrid", 11, 0))))</f>
        <v>#NAME?</v>
      </c>
      <c r="AG501" s="68"/>
      <c r="AH501" s="71" t="s">
        <v>164</v>
      </c>
    </row>
    <row r="502" spans="1:34" ht="14.4" x14ac:dyDescent="0.3">
      <c r="A502" s="66" t="s">
        <v>1480</v>
      </c>
      <c r="B502" s="66" t="s">
        <v>3597</v>
      </c>
      <c r="C502" s="33">
        <v>501</v>
      </c>
      <c r="D502" s="33" t="s">
        <v>5396</v>
      </c>
      <c r="E502" s="34" t="s">
        <v>5278</v>
      </c>
      <c r="F502" s="34" t="s">
        <v>18</v>
      </c>
      <c r="G502" s="57">
        <v>41835</v>
      </c>
      <c r="H502" s="57">
        <v>42199</v>
      </c>
      <c r="I502" s="34">
        <f t="shared" si="21"/>
        <v>11</v>
      </c>
      <c r="J502" s="34">
        <v>40</v>
      </c>
      <c r="K502" s="36">
        <v>825</v>
      </c>
      <c r="L502" s="34" t="s">
        <v>17</v>
      </c>
      <c r="M502" s="57">
        <v>34665</v>
      </c>
      <c r="N502" s="37">
        <f>(YEAR(TablaMadre[[#This Row],[ALTA]])-YEAR(M502))</f>
        <v>20</v>
      </c>
      <c r="O502" s="34" t="s">
        <v>18</v>
      </c>
      <c r="P502" s="34" t="s">
        <v>19</v>
      </c>
      <c r="Q502" s="34" t="s">
        <v>297</v>
      </c>
      <c r="R502" s="34" t="s">
        <v>21</v>
      </c>
      <c r="S502" s="34" t="s">
        <v>297</v>
      </c>
      <c r="T502" s="34"/>
      <c r="U502" s="34"/>
      <c r="V502" s="34" t="s">
        <v>84</v>
      </c>
      <c r="W502" s="34" t="s">
        <v>28</v>
      </c>
      <c r="X502" s="38" t="s">
        <v>164</v>
      </c>
      <c r="Y502" s="62">
        <v>44189</v>
      </c>
      <c r="Z502" s="38">
        <f t="shared" si="22"/>
        <v>5</v>
      </c>
      <c r="AA502" s="38"/>
      <c r="AB502" s="34"/>
      <c r="AC502" s="34"/>
      <c r="AD502" s="38"/>
      <c r="AE502" s="59" t="str">
        <f t="shared" si="23"/>
        <v>NO</v>
      </c>
      <c r="AF502" s="38" t="e" cm="1">
        <f t="array" aca="1" ref="AF502" ca="1">MIN(100, MAX(0, (IF(R502="ESTUDIANTE", 31, 0)) + (IF(I502&lt;=3, 30, IF(I502&lt;=6, 20, 0))) +(IF(OR(E502="413 - Control de Costes y Enlace Construcción", E502="480 - Secretaría General del Consejo", E502="132 - Civil y estructuras", E502="136 - Mecánica", E502="412 - Planificación", E502="142 - Compras"), 25, 0)) +(IF(OR(S502="GRADO ING. MECÁNICA", S502="GRADO ING. ELÉCTRICA", S502="GRADO DERECHO", S502="GRADO ECONOMÍA", S502="GRADO ING. TECNOLOGÍAS INDUSTRIALES"), 24, 0)) + (IF(AND(K502&gt;=451, K502&lt;=700), 23, 0)) + (IF(AND(AB502&gt;=5, AB502&lt;=8), 17, 0)) +(IF(_xludf.OR(_xludf.AND(AC502&gt;=8, AC502&lt;=10), _xludf.AND(AC502&gt;=0, AC502&lt;=5)), 16, 0)) + (IF(F502="Madrid", 11, 0))))</f>
        <v>#NAME?</v>
      </c>
      <c r="AG502" s="68"/>
      <c r="AH502" s="71" t="s">
        <v>164</v>
      </c>
    </row>
    <row r="503" spans="1:34" ht="14.4" x14ac:dyDescent="0.3">
      <c r="A503" s="66" t="s">
        <v>1238</v>
      </c>
      <c r="B503" s="66" t="s">
        <v>3355</v>
      </c>
      <c r="C503" s="33">
        <v>503</v>
      </c>
      <c r="D503" s="33" t="s">
        <v>5397</v>
      </c>
      <c r="E503" s="34" t="s">
        <v>5216</v>
      </c>
      <c r="F503" s="34" t="s">
        <v>18</v>
      </c>
      <c r="G503" s="57">
        <v>41836</v>
      </c>
      <c r="H503" s="57">
        <v>42384</v>
      </c>
      <c r="I503" s="34">
        <f t="shared" si="21"/>
        <v>17</v>
      </c>
      <c r="J503" s="34">
        <v>40</v>
      </c>
      <c r="K503" s="36">
        <v>900</v>
      </c>
      <c r="L503" s="34" t="s">
        <v>29</v>
      </c>
      <c r="M503" s="57">
        <v>34815</v>
      </c>
      <c r="N503" s="37">
        <f>(YEAR(TablaMadre[[#This Row],[ALTA]])-YEAR(M503))</f>
        <v>19</v>
      </c>
      <c r="O503" s="34" t="s">
        <v>18</v>
      </c>
      <c r="P503" s="34" t="s">
        <v>19</v>
      </c>
      <c r="Q503" s="34" t="s">
        <v>49</v>
      </c>
      <c r="R503" s="34" t="s">
        <v>21</v>
      </c>
      <c r="S503" s="34" t="s">
        <v>297</v>
      </c>
      <c r="T503" s="34"/>
      <c r="U503" s="34"/>
      <c r="V503" s="34" t="s">
        <v>56</v>
      </c>
      <c r="W503" s="34" t="s">
        <v>28</v>
      </c>
      <c r="X503" s="38" t="s">
        <v>173</v>
      </c>
      <c r="Y503" s="62"/>
      <c r="Z503" s="38" t="e">
        <f t="shared" si="22"/>
        <v>#NUM!</v>
      </c>
      <c r="AA503" s="38" t="s">
        <v>173</v>
      </c>
      <c r="AB503" s="34"/>
      <c r="AC503" s="34"/>
      <c r="AD503" s="38"/>
      <c r="AE503" s="59" t="str">
        <f t="shared" si="23"/>
        <v>NO</v>
      </c>
      <c r="AF503" s="38" t="e" cm="1">
        <f t="array" aca="1" ref="AF503" ca="1">MIN(100, MAX(0, (IF(R503="ESTUDIANTE", 31, 0)) + (IF(I503&lt;=3, 30, IF(I503&lt;=6, 20, 0))) +(IF(OR(E503="413 - Control de Costes y Enlace Construcción", E503="480 - Secretaría General del Consejo", E503="132 - Civil y estructuras", E503="136 - Mecánica", E503="412 - Planificación", E503="142 - Compras"), 25, 0)) +(IF(OR(S503="GRADO ING. MECÁNICA", S503="GRADO ING. ELÉCTRICA", S503="GRADO DERECHO", S503="GRADO ECONOMÍA", S503="GRADO ING. TECNOLOGÍAS INDUSTRIALES"), 24, 0)) + (IF(AND(K503&gt;=451, K503&lt;=700), 23, 0)) + (IF(AND(AB503&gt;=5, AB503&lt;=8), 17, 0)) +(IF(_xludf.OR(_xludf.AND(AC503&gt;=8, AC503&lt;=10), _xludf.AND(AC503&gt;=0, AC503&lt;=5)), 16, 0)) + (IF(F503="Madrid", 11, 0))))</f>
        <v>#NAME?</v>
      </c>
      <c r="AG503" s="68"/>
      <c r="AH503" s="71" t="s">
        <v>164</v>
      </c>
    </row>
    <row r="504" spans="1:34" ht="14.4" x14ac:dyDescent="0.3">
      <c r="A504" s="66" t="s">
        <v>1481</v>
      </c>
      <c r="B504" s="66" t="s">
        <v>3598</v>
      </c>
      <c r="C504" s="33">
        <v>502</v>
      </c>
      <c r="D504" s="33" t="s">
        <v>5398</v>
      </c>
      <c r="E504" s="34" t="s">
        <v>5216</v>
      </c>
      <c r="F504" s="34" t="s">
        <v>18</v>
      </c>
      <c r="G504" s="57">
        <v>41836</v>
      </c>
      <c r="H504" s="57">
        <v>42379</v>
      </c>
      <c r="I504" s="34">
        <f t="shared" si="21"/>
        <v>17</v>
      </c>
      <c r="J504" s="34">
        <v>40</v>
      </c>
      <c r="K504" s="36">
        <v>825</v>
      </c>
      <c r="L504" s="34" t="s">
        <v>17</v>
      </c>
      <c r="M504" s="57">
        <v>32987</v>
      </c>
      <c r="N504" s="37">
        <f>(YEAR(TablaMadre[[#This Row],[ALTA]])-YEAR(M504))</f>
        <v>24</v>
      </c>
      <c r="O504" s="34" t="s">
        <v>18</v>
      </c>
      <c r="P504" s="34" t="s">
        <v>19</v>
      </c>
      <c r="Q504" s="34" t="s">
        <v>297</v>
      </c>
      <c r="R504" s="34" t="s">
        <v>21</v>
      </c>
      <c r="S504" s="34" t="s">
        <v>297</v>
      </c>
      <c r="T504" s="34"/>
      <c r="U504" s="34"/>
      <c r="V504" s="34" t="s">
        <v>56</v>
      </c>
      <c r="W504" s="34" t="s">
        <v>28</v>
      </c>
      <c r="X504" s="38" t="s">
        <v>164</v>
      </c>
      <c r="Y504" s="62">
        <v>44136</v>
      </c>
      <c r="Z504" s="38">
        <f t="shared" si="22"/>
        <v>4</v>
      </c>
      <c r="AA504" s="38"/>
      <c r="AB504" s="34"/>
      <c r="AC504" s="34"/>
      <c r="AD504" s="38"/>
      <c r="AE504" s="59" t="str">
        <f t="shared" si="23"/>
        <v>NO</v>
      </c>
      <c r="AF504" s="38" t="e" cm="1">
        <f t="array" aca="1" ref="AF504" ca="1">MIN(100, MAX(0, (IF(R504="ESTUDIANTE", 31, 0)) + (IF(I504&lt;=3, 30, IF(I504&lt;=6, 20, 0))) +(IF(OR(E504="413 - Control de Costes y Enlace Construcción", E504="480 - Secretaría General del Consejo", E504="132 - Civil y estructuras", E504="136 - Mecánica", E504="412 - Planificación", E504="142 - Compras"), 25, 0)) +(IF(OR(S504="GRADO ING. MECÁNICA", S504="GRADO ING. ELÉCTRICA", S504="GRADO DERECHO", S504="GRADO ECONOMÍA", S504="GRADO ING. TECNOLOGÍAS INDUSTRIALES"), 24, 0)) + (IF(AND(K504&gt;=451, K504&lt;=700), 23, 0)) + (IF(AND(AB504&gt;=5, AB504&lt;=8), 17, 0)) +(IF(_xludf.OR(_xludf.AND(AC504&gt;=8, AC504&lt;=10), _xludf.AND(AC504&gt;=0, AC504&lt;=5)), 16, 0)) + (IF(F504="Madrid", 11, 0))))</f>
        <v>#NAME?</v>
      </c>
      <c r="AG504" s="68"/>
      <c r="AH504" s="71" t="s">
        <v>164</v>
      </c>
    </row>
    <row r="505" spans="1:34" ht="14.4" x14ac:dyDescent="0.3">
      <c r="A505" s="66" t="s">
        <v>1482</v>
      </c>
      <c r="B505" s="66" t="s">
        <v>3599</v>
      </c>
      <c r="C505" s="33">
        <v>505</v>
      </c>
      <c r="D505" s="33" t="s">
        <v>5399</v>
      </c>
      <c r="E505" s="34" t="s">
        <v>5244</v>
      </c>
      <c r="F505" s="34" t="s">
        <v>18</v>
      </c>
      <c r="G505" s="57">
        <v>41837</v>
      </c>
      <c r="H505" s="57">
        <v>42201</v>
      </c>
      <c r="I505" s="34">
        <f t="shared" si="21"/>
        <v>11</v>
      </c>
      <c r="J505" s="34">
        <v>40</v>
      </c>
      <c r="K505" s="36">
        <v>900</v>
      </c>
      <c r="L505" s="34" t="s">
        <v>17</v>
      </c>
      <c r="M505" s="57">
        <v>34744</v>
      </c>
      <c r="N505" s="37">
        <f>(YEAR(TablaMadre[[#This Row],[ALTA]])-YEAR(M505))</f>
        <v>19</v>
      </c>
      <c r="O505" s="34" t="s">
        <v>18</v>
      </c>
      <c r="P505" s="34" t="s">
        <v>19</v>
      </c>
      <c r="Q505" s="34" t="s">
        <v>49</v>
      </c>
      <c r="R505" s="34" t="s">
        <v>21</v>
      </c>
      <c r="S505" s="34" t="s">
        <v>297</v>
      </c>
      <c r="T505" s="34"/>
      <c r="U505" s="34"/>
      <c r="V505" s="34" t="s">
        <v>22</v>
      </c>
      <c r="W505" s="34" t="s">
        <v>28</v>
      </c>
      <c r="X505" s="38" t="s">
        <v>173</v>
      </c>
      <c r="Y505" s="62"/>
      <c r="Z505" s="38" t="e">
        <f t="shared" si="22"/>
        <v>#NUM!</v>
      </c>
      <c r="AA505" s="38" t="s">
        <v>173</v>
      </c>
      <c r="AB505" s="34"/>
      <c r="AC505" s="34"/>
      <c r="AD505" s="38"/>
      <c r="AE505" s="59" t="str">
        <f t="shared" si="23"/>
        <v>NO</v>
      </c>
      <c r="AF505" s="38" t="e" cm="1">
        <f t="array" aca="1" ref="AF505" ca="1">MIN(100, MAX(0, (IF(R505="ESTUDIANTE", 31, 0)) + (IF(I505&lt;=3, 30, IF(I505&lt;=6, 20, 0))) +(IF(OR(E505="413 - Control de Costes y Enlace Construcción", E505="480 - Secretaría General del Consejo", E505="132 - Civil y estructuras", E505="136 - Mecánica", E505="412 - Planificación", E505="142 - Compras"), 25, 0)) +(IF(OR(S505="GRADO ING. MECÁNICA", S505="GRADO ING. ELÉCTRICA", S505="GRADO DERECHO", S505="GRADO ECONOMÍA", S505="GRADO ING. TECNOLOGÍAS INDUSTRIALES"), 24, 0)) + (IF(AND(K505&gt;=451, K505&lt;=700), 23, 0)) + (IF(AND(AB505&gt;=5, AB505&lt;=8), 17, 0)) +(IF(_xludf.OR(_xludf.AND(AC505&gt;=8, AC505&lt;=10), _xludf.AND(AC505&gt;=0, AC505&lt;=5)), 16, 0)) + (IF(F505="Madrid", 11, 0))))</f>
        <v>#NAME?</v>
      </c>
      <c r="AG505" s="68"/>
      <c r="AH505" s="71" t="s">
        <v>164</v>
      </c>
    </row>
    <row r="506" spans="1:34" ht="14.4" x14ac:dyDescent="0.3">
      <c r="A506" s="66" t="s">
        <v>1483</v>
      </c>
      <c r="B506" s="66" t="s">
        <v>3600</v>
      </c>
      <c r="C506" s="33">
        <v>504</v>
      </c>
      <c r="D506" s="33" t="s">
        <v>5393</v>
      </c>
      <c r="E506" s="34" t="s">
        <v>5244</v>
      </c>
      <c r="F506" s="34" t="s">
        <v>18</v>
      </c>
      <c r="G506" s="57">
        <v>41837</v>
      </c>
      <c r="H506" s="57">
        <v>42201</v>
      </c>
      <c r="I506" s="34">
        <f t="shared" si="21"/>
        <v>11</v>
      </c>
      <c r="J506" s="34">
        <v>40</v>
      </c>
      <c r="K506" s="36">
        <v>900</v>
      </c>
      <c r="L506" s="34" t="s">
        <v>17</v>
      </c>
      <c r="M506" s="57">
        <v>36602</v>
      </c>
      <c r="N506" s="37">
        <f>(YEAR(TablaMadre[[#This Row],[ALTA]])-YEAR(M506))</f>
        <v>14</v>
      </c>
      <c r="O506" s="34" t="s">
        <v>18</v>
      </c>
      <c r="P506" s="34" t="s">
        <v>19</v>
      </c>
      <c r="Q506" s="34" t="s">
        <v>49</v>
      </c>
      <c r="R506" s="34" t="s">
        <v>21</v>
      </c>
      <c r="S506" s="34" t="s">
        <v>297</v>
      </c>
      <c r="T506" s="34"/>
      <c r="U506" s="34"/>
      <c r="V506" s="34" t="s">
        <v>22</v>
      </c>
      <c r="W506" s="34" t="s">
        <v>28</v>
      </c>
      <c r="X506" s="38" t="s">
        <v>164</v>
      </c>
      <c r="Y506" s="62">
        <v>42401</v>
      </c>
      <c r="Z506" s="38">
        <f t="shared" si="22"/>
        <v>0</v>
      </c>
      <c r="AA506" s="38"/>
      <c r="AB506" s="34"/>
      <c r="AC506" s="34"/>
      <c r="AD506" s="38"/>
      <c r="AE506" s="59" t="str">
        <f t="shared" si="23"/>
        <v>NO</v>
      </c>
      <c r="AF506" s="38" t="e" cm="1">
        <f t="array" aca="1" ref="AF506" ca="1">MIN(100, MAX(0, (IF(R506="ESTUDIANTE", 31, 0)) + (IF(I506&lt;=3, 30, IF(I506&lt;=6, 20, 0))) +(IF(OR(E506="413 - Control de Costes y Enlace Construcción", E506="480 - Secretaría General del Consejo", E506="132 - Civil y estructuras", E506="136 - Mecánica", E506="412 - Planificación", E506="142 - Compras"), 25, 0)) +(IF(OR(S506="GRADO ING. MECÁNICA", S506="GRADO ING. ELÉCTRICA", S506="GRADO DERECHO", S506="GRADO ECONOMÍA", S506="GRADO ING. TECNOLOGÍAS INDUSTRIALES"), 24, 0)) + (IF(AND(K506&gt;=451, K506&lt;=700), 23, 0)) + (IF(AND(AB506&gt;=5, AB506&lt;=8), 17, 0)) +(IF(_xludf.OR(_xludf.AND(AC506&gt;=8, AC506&lt;=10), _xludf.AND(AC506&gt;=0, AC506&lt;=5)), 16, 0)) + (IF(F506="Madrid", 11, 0))))</f>
        <v>#NAME?</v>
      </c>
      <c r="AG506" s="68"/>
      <c r="AH506" s="71" t="s">
        <v>164</v>
      </c>
    </row>
    <row r="507" spans="1:34" ht="14.4" x14ac:dyDescent="0.3">
      <c r="A507" s="66" t="s">
        <v>1485</v>
      </c>
      <c r="B507" s="66" t="s">
        <v>3602</v>
      </c>
      <c r="C507" s="33">
        <v>506</v>
      </c>
      <c r="D507" s="33" t="s">
        <v>5394</v>
      </c>
      <c r="E507" s="34" t="s">
        <v>5244</v>
      </c>
      <c r="F507" s="34" t="s">
        <v>18</v>
      </c>
      <c r="G507" s="57">
        <v>41837</v>
      </c>
      <c r="H507" s="57">
        <v>42201</v>
      </c>
      <c r="I507" s="34">
        <f t="shared" si="21"/>
        <v>11</v>
      </c>
      <c r="J507" s="34">
        <v>40</v>
      </c>
      <c r="K507" s="36">
        <v>900</v>
      </c>
      <c r="L507" s="34" t="s">
        <v>17</v>
      </c>
      <c r="M507" s="57">
        <v>34814</v>
      </c>
      <c r="N507" s="37">
        <f>(YEAR(TablaMadre[[#This Row],[ALTA]])-YEAR(M507))</f>
        <v>19</v>
      </c>
      <c r="O507" s="34" t="s">
        <v>18</v>
      </c>
      <c r="P507" s="34" t="s">
        <v>19</v>
      </c>
      <c r="Q507" s="34" t="s">
        <v>49</v>
      </c>
      <c r="R507" s="34" t="s">
        <v>21</v>
      </c>
      <c r="S507" s="34" t="s">
        <v>297</v>
      </c>
      <c r="T507" s="34"/>
      <c r="U507" s="34"/>
      <c r="V507" s="34" t="s">
        <v>40</v>
      </c>
      <c r="W507" s="34" t="s">
        <v>28</v>
      </c>
      <c r="X507" s="38" t="s">
        <v>164</v>
      </c>
      <c r="Y507" s="62">
        <v>44228</v>
      </c>
      <c r="Z507" s="38">
        <f t="shared" si="22"/>
        <v>5</v>
      </c>
      <c r="AA507" s="38"/>
      <c r="AB507" s="34"/>
      <c r="AC507" s="34"/>
      <c r="AD507" s="38"/>
      <c r="AE507" s="59" t="str">
        <f t="shared" si="23"/>
        <v>NO</v>
      </c>
      <c r="AF507" s="38" t="e" cm="1">
        <f t="array" aca="1" ref="AF507" ca="1">MIN(100, MAX(0, (IF(R507="ESTUDIANTE", 31, 0)) + (IF(I507&lt;=3, 30, IF(I507&lt;=6, 20, 0))) +(IF(OR(E507="413 - Control de Costes y Enlace Construcción", E507="480 - Secretaría General del Consejo", E507="132 - Civil y estructuras", E507="136 - Mecánica", E507="412 - Planificación", E507="142 - Compras"), 25, 0)) +(IF(OR(S507="GRADO ING. MECÁNICA", S507="GRADO ING. ELÉCTRICA", S507="GRADO DERECHO", S507="GRADO ECONOMÍA", S507="GRADO ING. TECNOLOGÍAS INDUSTRIALES"), 24, 0)) + (IF(AND(K507&gt;=451, K507&lt;=700), 23, 0)) + (IF(AND(AB507&gt;=5, AB507&lt;=8), 17, 0)) +(IF(_xludf.OR(_xludf.AND(AC507&gt;=8, AC507&lt;=10), _xludf.AND(AC507&gt;=0, AC507&lt;=5)), 16, 0)) + (IF(F507="Madrid", 11, 0))))</f>
        <v>#NAME?</v>
      </c>
      <c r="AG507" s="68"/>
      <c r="AH507" s="71" t="s">
        <v>164</v>
      </c>
    </row>
    <row r="508" spans="1:34" ht="14.4" x14ac:dyDescent="0.3">
      <c r="A508" s="66" t="s">
        <v>1486</v>
      </c>
      <c r="B508" s="66" t="s">
        <v>3603</v>
      </c>
      <c r="C508" s="33">
        <v>507</v>
      </c>
      <c r="D508" s="33" t="s">
        <v>5395</v>
      </c>
      <c r="E508" s="34" t="s">
        <v>5244</v>
      </c>
      <c r="F508" s="34" t="s">
        <v>18</v>
      </c>
      <c r="G508" s="57">
        <v>41841</v>
      </c>
      <c r="H508" s="57">
        <v>42104</v>
      </c>
      <c r="I508" s="34">
        <f t="shared" si="21"/>
        <v>8</v>
      </c>
      <c r="J508" s="34">
        <v>40</v>
      </c>
      <c r="K508" s="36">
        <v>900</v>
      </c>
      <c r="L508" s="34" t="s">
        <v>17</v>
      </c>
      <c r="M508" s="57">
        <v>34907</v>
      </c>
      <c r="N508" s="37">
        <f>(YEAR(TablaMadre[[#This Row],[ALTA]])-YEAR(M508))</f>
        <v>19</v>
      </c>
      <c r="O508" s="34" t="s">
        <v>18</v>
      </c>
      <c r="P508" s="34" t="s">
        <v>19</v>
      </c>
      <c r="Q508" s="34" t="s">
        <v>237</v>
      </c>
      <c r="R508" s="34" t="s">
        <v>21</v>
      </c>
      <c r="S508" s="34" t="s">
        <v>322</v>
      </c>
      <c r="T508" s="34"/>
      <c r="U508" s="34"/>
      <c r="V508" s="34" t="s">
        <v>67</v>
      </c>
      <c r="W508" s="34" t="s">
        <v>28</v>
      </c>
      <c r="X508" s="38" t="s">
        <v>164</v>
      </c>
      <c r="Y508" s="62">
        <v>42600</v>
      </c>
      <c r="Z508" s="38">
        <f t="shared" si="22"/>
        <v>1</v>
      </c>
      <c r="AA508" s="38"/>
      <c r="AB508" s="34"/>
      <c r="AC508" s="34"/>
      <c r="AD508" s="38"/>
      <c r="AE508" s="59" t="str">
        <f t="shared" si="23"/>
        <v>NO</v>
      </c>
      <c r="AF508" s="38" t="e" cm="1">
        <f t="array" aca="1" ref="AF508" ca="1">MIN(100, MAX(0, (IF(R508="ESTUDIANTE", 31, 0)) + (IF(I508&lt;=3, 30, IF(I508&lt;=6, 20, 0))) +(IF(OR(E508="413 - Control de Costes y Enlace Construcción", E508="480 - Secretaría General del Consejo", E508="132 - Civil y estructuras", E508="136 - Mecánica", E508="412 - Planificación", E508="142 - Compras"), 25, 0)) +(IF(OR(S508="GRADO ING. MECÁNICA", S508="GRADO ING. ELÉCTRICA", S508="GRADO DERECHO", S508="GRADO ECONOMÍA", S508="GRADO ING. TECNOLOGÍAS INDUSTRIALES"), 24, 0)) + (IF(AND(K508&gt;=451, K508&lt;=700), 23, 0)) + (IF(AND(AB508&gt;=5, AB508&lt;=8), 17, 0)) +(IF(_xludf.OR(_xludf.AND(AC508&gt;=8, AC508&lt;=10), _xludf.AND(AC508&gt;=0, AC508&lt;=5)), 16, 0)) + (IF(F508="Madrid", 11, 0))))</f>
        <v>#NAME?</v>
      </c>
      <c r="AG508" s="68"/>
      <c r="AH508" s="71" t="s">
        <v>164</v>
      </c>
    </row>
    <row r="509" spans="1:34" ht="14.4" x14ac:dyDescent="0.3">
      <c r="A509" s="66" t="s">
        <v>1487</v>
      </c>
      <c r="B509" s="66" t="s">
        <v>3604</v>
      </c>
      <c r="C509" s="33">
        <v>508</v>
      </c>
      <c r="D509" s="33" t="s">
        <v>5396</v>
      </c>
      <c r="E509" s="34" t="s">
        <v>5235</v>
      </c>
      <c r="F509" s="34" t="s">
        <v>18</v>
      </c>
      <c r="G509" s="57">
        <v>41841</v>
      </c>
      <c r="H509" s="57">
        <v>42114</v>
      </c>
      <c r="I509" s="34">
        <f t="shared" si="21"/>
        <v>8</v>
      </c>
      <c r="J509" s="34">
        <v>40</v>
      </c>
      <c r="K509" s="36">
        <v>825</v>
      </c>
      <c r="L509" s="34" t="s">
        <v>17</v>
      </c>
      <c r="M509" s="57">
        <v>34532</v>
      </c>
      <c r="N509" s="37">
        <f>(YEAR(TablaMadre[[#This Row],[ALTA]])-YEAR(M509))</f>
        <v>20</v>
      </c>
      <c r="O509" s="34" t="s">
        <v>70</v>
      </c>
      <c r="P509" s="34" t="s">
        <v>19</v>
      </c>
      <c r="Q509" s="34" t="s">
        <v>305</v>
      </c>
      <c r="R509" s="34" t="s">
        <v>21</v>
      </c>
      <c r="S509" s="34" t="s">
        <v>151</v>
      </c>
      <c r="T509" s="34"/>
      <c r="U509" s="34"/>
      <c r="V509" s="34" t="s">
        <v>86</v>
      </c>
      <c r="W509" s="34" t="s">
        <v>28</v>
      </c>
      <c r="X509" s="38" t="s">
        <v>164</v>
      </c>
      <c r="Y509" s="62">
        <v>43116</v>
      </c>
      <c r="Z509" s="38">
        <f t="shared" si="22"/>
        <v>2</v>
      </c>
      <c r="AA509" s="38"/>
      <c r="AB509" s="34"/>
      <c r="AC509" s="34"/>
      <c r="AD509" s="38"/>
      <c r="AE509" s="59" t="str">
        <f t="shared" si="23"/>
        <v>SÍ</v>
      </c>
      <c r="AF509" s="38" t="e" cm="1">
        <f t="array" aca="1" ref="AF509" ca="1">MIN(100, MAX(0, (IF(R509="ESTUDIANTE", 31, 0)) + (IF(I509&lt;=3, 30, IF(I509&lt;=6, 20, 0))) +(IF(OR(E509="413 - Control de Costes y Enlace Construcción", E509="480 - Secretaría General del Consejo", E509="132 - Civil y estructuras", E509="136 - Mecánica", E509="412 - Planificación", E509="142 - Compras"), 25, 0)) +(IF(OR(S509="GRADO ING. MECÁNICA", S509="GRADO ING. ELÉCTRICA", S509="GRADO DERECHO", S509="GRADO ECONOMÍA", S509="GRADO ING. TECNOLOGÍAS INDUSTRIALES"), 24, 0)) + (IF(AND(K509&gt;=451, K509&lt;=700), 23, 0)) + (IF(AND(AB509&gt;=5, AB509&lt;=8), 17, 0)) +(IF(_xludf.OR(_xludf.AND(AC509&gt;=8, AC509&lt;=10), _xludf.AND(AC509&gt;=0, AC509&lt;=5)), 16, 0)) + (IF(F509="Madrid", 11, 0))))</f>
        <v>#NAME?</v>
      </c>
      <c r="AG509" s="68"/>
      <c r="AH509" s="71" t="s">
        <v>164</v>
      </c>
    </row>
    <row r="510" spans="1:34" ht="14.4" x14ac:dyDescent="0.3">
      <c r="A510" s="66" t="s">
        <v>1488</v>
      </c>
      <c r="B510" s="66" t="s">
        <v>3605</v>
      </c>
      <c r="C510" s="33">
        <v>509</v>
      </c>
      <c r="D510" s="33" t="s">
        <v>5397</v>
      </c>
      <c r="E510" s="34" t="s">
        <v>5244</v>
      </c>
      <c r="F510" s="34" t="s">
        <v>18</v>
      </c>
      <c r="G510" s="57">
        <v>41842</v>
      </c>
      <c r="H510" s="57">
        <v>41926</v>
      </c>
      <c r="I510" s="34">
        <f t="shared" si="21"/>
        <v>2</v>
      </c>
      <c r="J510" s="34">
        <v>40</v>
      </c>
      <c r="K510" s="36">
        <v>900</v>
      </c>
      <c r="L510" s="34" t="s">
        <v>17</v>
      </c>
      <c r="M510" s="57">
        <v>34317</v>
      </c>
      <c r="N510" s="37">
        <f>(YEAR(TablaMadre[[#This Row],[ALTA]])-YEAR(M510))</f>
        <v>21</v>
      </c>
      <c r="O510" s="34" t="s">
        <v>18</v>
      </c>
      <c r="P510" s="34" t="s">
        <v>19</v>
      </c>
      <c r="Q510" s="34" t="s">
        <v>284</v>
      </c>
      <c r="R510" s="34" t="s">
        <v>21</v>
      </c>
      <c r="S510" s="34" t="s">
        <v>307</v>
      </c>
      <c r="T510" s="34"/>
      <c r="U510" s="34"/>
      <c r="V510" s="34" t="s">
        <v>22</v>
      </c>
      <c r="W510" s="34" t="s">
        <v>28</v>
      </c>
      <c r="X510" s="38" t="s">
        <v>164</v>
      </c>
      <c r="Y510" s="62">
        <v>44145</v>
      </c>
      <c r="Z510" s="38">
        <f t="shared" si="22"/>
        <v>6</v>
      </c>
      <c r="AA510" s="38"/>
      <c r="AB510" s="34"/>
      <c r="AC510" s="34"/>
      <c r="AD510" s="38"/>
      <c r="AE510" s="59" t="str">
        <f t="shared" si="23"/>
        <v>NO</v>
      </c>
      <c r="AF510" s="38" t="e" cm="1">
        <f t="array" aca="1" ref="AF510" ca="1">MIN(100, MAX(0, (IF(R510="ESTUDIANTE", 31, 0)) + (IF(I510&lt;=3, 30, IF(I510&lt;=6, 20, 0))) +(IF(OR(E510="413 - Control de Costes y Enlace Construcción", E510="480 - Secretaría General del Consejo", E510="132 - Civil y estructuras", E510="136 - Mecánica", E510="412 - Planificación", E510="142 - Compras"), 25, 0)) +(IF(OR(S510="GRADO ING. MECÁNICA", S510="GRADO ING. ELÉCTRICA", S510="GRADO DERECHO", S510="GRADO ECONOMÍA", S510="GRADO ING. TECNOLOGÍAS INDUSTRIALES"), 24, 0)) + (IF(AND(K510&gt;=451, K510&lt;=700), 23, 0)) + (IF(AND(AB510&gt;=5, AB510&lt;=8), 17, 0)) +(IF(_xludf.OR(_xludf.AND(AC510&gt;=8, AC510&lt;=10), _xludf.AND(AC510&gt;=0, AC510&lt;=5)), 16, 0)) + (IF(F510="Madrid", 11, 0))))</f>
        <v>#NAME?</v>
      </c>
      <c r="AG510" s="68"/>
      <c r="AH510" s="71" t="s">
        <v>164</v>
      </c>
    </row>
    <row r="511" spans="1:34" ht="14.4" x14ac:dyDescent="0.3">
      <c r="A511" s="66" t="s">
        <v>1489</v>
      </c>
      <c r="B511" s="66" t="s">
        <v>3606</v>
      </c>
      <c r="C511" s="33">
        <v>510</v>
      </c>
      <c r="D511" s="33" t="s">
        <v>5398</v>
      </c>
      <c r="E511" s="34" t="s">
        <v>5273</v>
      </c>
      <c r="F511" s="34" t="s">
        <v>931</v>
      </c>
      <c r="G511" s="57">
        <v>41843</v>
      </c>
      <c r="H511" s="57">
        <v>42207</v>
      </c>
      <c r="I511" s="34">
        <f t="shared" si="21"/>
        <v>11</v>
      </c>
      <c r="J511" s="34">
        <v>40</v>
      </c>
      <c r="K511" s="36">
        <v>650</v>
      </c>
      <c r="L511" s="34" t="s">
        <v>17</v>
      </c>
      <c r="M511" s="57">
        <v>36144</v>
      </c>
      <c r="N511" s="37">
        <f>(YEAR(TablaMadre[[#This Row],[ALTA]])-YEAR(M511))</f>
        <v>16</v>
      </c>
      <c r="O511" s="34"/>
      <c r="P511" s="34" t="s">
        <v>19</v>
      </c>
      <c r="Q511" s="34" t="s">
        <v>85</v>
      </c>
      <c r="R511" s="58" t="s">
        <v>30</v>
      </c>
      <c r="S511" s="34" t="s">
        <v>322</v>
      </c>
      <c r="T511" s="34"/>
      <c r="U511" s="34"/>
      <c r="V511" s="34" t="s">
        <v>137</v>
      </c>
      <c r="W511" s="34" t="s">
        <v>28</v>
      </c>
      <c r="X511" s="38" t="s">
        <v>164</v>
      </c>
      <c r="Y511" s="62">
        <v>43317</v>
      </c>
      <c r="Z511" s="38">
        <f t="shared" si="22"/>
        <v>3</v>
      </c>
      <c r="AA511" s="38"/>
      <c r="AB511" s="34" t="s">
        <v>303</v>
      </c>
      <c r="AC511" s="34"/>
      <c r="AD511" s="38"/>
      <c r="AE511" s="59" t="str">
        <f t="shared" si="23"/>
        <v>SÍ</v>
      </c>
      <c r="AF511" s="38" t="e" cm="1">
        <f t="array" aca="1" ref="AF511" ca="1">MIN(100, MAX(0, (IF(R511="ESTUDIANTE", 31, 0)) + (IF(I511&lt;=3, 30, IF(I511&lt;=6, 20, 0))) +(IF(OR(E511="413 - Control de Costes y Enlace Construcción", E511="480 - Secretaría General del Consejo", E511="132 - Civil y estructuras", E511="136 - Mecánica", E511="412 - Planificación", E511="142 - Compras"), 25, 0)) +(IF(OR(S511="GRADO ING. MECÁNICA", S511="GRADO ING. ELÉCTRICA", S511="GRADO DERECHO", S511="GRADO ECONOMÍA", S511="GRADO ING. TECNOLOGÍAS INDUSTRIALES"), 24, 0)) + (IF(AND(K511&gt;=451, K511&lt;=700), 23, 0)) + (IF(AND(AB511&gt;=5, AB511&lt;=8), 17, 0)) +(IF(_xludf.OR(_xludf.AND(AC511&gt;=8, AC511&lt;=10), _xludf.AND(AC511&gt;=0, AC511&lt;=5)), 16, 0)) + (IF(F511="Madrid", 11, 0))))</f>
        <v>#NAME?</v>
      </c>
      <c r="AG511" s="68"/>
      <c r="AH511" s="71" t="s">
        <v>164</v>
      </c>
    </row>
    <row r="512" spans="1:34" ht="14.4" x14ac:dyDescent="0.3">
      <c r="A512" s="66" t="s">
        <v>1490</v>
      </c>
      <c r="B512" s="66" t="s">
        <v>3607</v>
      </c>
      <c r="C512" s="33">
        <v>511</v>
      </c>
      <c r="D512" s="33" t="s">
        <v>5399</v>
      </c>
      <c r="E512" s="34" t="s">
        <v>5245</v>
      </c>
      <c r="F512" s="34" t="s">
        <v>18</v>
      </c>
      <c r="G512" s="57">
        <v>41843</v>
      </c>
      <c r="H512" s="57">
        <v>42207</v>
      </c>
      <c r="I512" s="34">
        <f t="shared" si="21"/>
        <v>11</v>
      </c>
      <c r="J512" s="34">
        <v>40</v>
      </c>
      <c r="K512" s="36">
        <v>900</v>
      </c>
      <c r="L512" s="34" t="s">
        <v>29</v>
      </c>
      <c r="M512" s="57">
        <v>34050</v>
      </c>
      <c r="N512" s="37">
        <f>(YEAR(TablaMadre[[#This Row],[ALTA]])-YEAR(M512))</f>
        <v>21</v>
      </c>
      <c r="O512" s="34" t="s">
        <v>945</v>
      </c>
      <c r="P512" s="34" t="s">
        <v>19</v>
      </c>
      <c r="Q512" s="34" t="s">
        <v>85</v>
      </c>
      <c r="R512" s="34" t="s">
        <v>21</v>
      </c>
      <c r="S512" s="34" t="s">
        <v>322</v>
      </c>
      <c r="T512" s="34"/>
      <c r="U512" s="34"/>
      <c r="V512" s="34" t="s">
        <v>22</v>
      </c>
      <c r="W512" s="34" t="s">
        <v>28</v>
      </c>
      <c r="X512" s="38" t="s">
        <v>164</v>
      </c>
      <c r="Y512" s="62">
        <v>43556</v>
      </c>
      <c r="Z512" s="38">
        <f t="shared" si="22"/>
        <v>3</v>
      </c>
      <c r="AA512" s="38"/>
      <c r="AB512" s="34"/>
      <c r="AC512" s="34"/>
      <c r="AD512" s="38"/>
      <c r="AE512" s="59" t="str">
        <f t="shared" si="23"/>
        <v>SÍ</v>
      </c>
      <c r="AF512" s="38" t="e" cm="1">
        <f t="array" aca="1" ref="AF512" ca="1">MIN(100, MAX(0, (IF(R512="ESTUDIANTE", 31, 0)) + (IF(I512&lt;=3, 30, IF(I512&lt;=6, 20, 0))) +(IF(OR(E512="413 - Control de Costes y Enlace Construcción", E512="480 - Secretaría General del Consejo", E512="132 - Civil y estructuras", E512="136 - Mecánica", E512="412 - Planificación", E512="142 - Compras"), 25, 0)) +(IF(OR(S512="GRADO ING. MECÁNICA", S512="GRADO ING. ELÉCTRICA", S512="GRADO DERECHO", S512="GRADO ECONOMÍA", S512="GRADO ING. TECNOLOGÍAS INDUSTRIALES"), 24, 0)) + (IF(AND(K512&gt;=451, K512&lt;=700), 23, 0)) + (IF(AND(AB512&gt;=5, AB512&lt;=8), 17, 0)) +(IF(_xludf.OR(_xludf.AND(AC512&gt;=8, AC512&lt;=10), _xludf.AND(AC512&gt;=0, AC512&lt;=5)), 16, 0)) + (IF(F512="Madrid", 11, 0))))</f>
        <v>#NAME?</v>
      </c>
      <c r="AG512" s="68"/>
      <c r="AH512" s="71" t="s">
        <v>164</v>
      </c>
    </row>
    <row r="513" spans="1:34" ht="14.4" x14ac:dyDescent="0.3">
      <c r="A513" s="66" t="s">
        <v>1491</v>
      </c>
      <c r="B513" s="66" t="s">
        <v>3608</v>
      </c>
      <c r="C513" s="33">
        <v>512</v>
      </c>
      <c r="D513" s="33" t="s">
        <v>5400</v>
      </c>
      <c r="E513" s="34" t="s">
        <v>5245</v>
      </c>
      <c r="F513" s="34" t="s">
        <v>18</v>
      </c>
      <c r="G513" s="57">
        <v>41843</v>
      </c>
      <c r="H513" s="57">
        <v>42207</v>
      </c>
      <c r="I513" s="34">
        <f t="shared" si="21"/>
        <v>11</v>
      </c>
      <c r="J513" s="34">
        <v>40</v>
      </c>
      <c r="K513" s="36">
        <v>900</v>
      </c>
      <c r="L513" s="34" t="s">
        <v>29</v>
      </c>
      <c r="M513" s="57">
        <v>34113</v>
      </c>
      <c r="N513" s="37">
        <f>(YEAR(TablaMadre[[#This Row],[ALTA]])-YEAR(M513))</f>
        <v>21</v>
      </c>
      <c r="O513" s="34" t="s">
        <v>941</v>
      </c>
      <c r="P513" s="34" t="s">
        <v>19</v>
      </c>
      <c r="Q513" s="34" t="s">
        <v>39</v>
      </c>
      <c r="R513" s="34" t="s">
        <v>21</v>
      </c>
      <c r="S513" s="34" t="s">
        <v>960</v>
      </c>
      <c r="T513" s="34"/>
      <c r="U513" s="34"/>
      <c r="V513" s="34" t="s">
        <v>40</v>
      </c>
      <c r="W513" s="34" t="s">
        <v>28</v>
      </c>
      <c r="X513" s="38" t="s">
        <v>173</v>
      </c>
      <c r="Y513" s="62"/>
      <c r="Z513" s="38" t="e">
        <f t="shared" si="22"/>
        <v>#NUM!</v>
      </c>
      <c r="AA513" s="38"/>
      <c r="AB513" s="34"/>
      <c r="AC513" s="34">
        <v>9</v>
      </c>
      <c r="AD513" s="38"/>
      <c r="AE513" s="59" t="str">
        <f t="shared" si="23"/>
        <v>SÍ</v>
      </c>
      <c r="AF513" s="38" t="e" cm="1">
        <f t="array" aca="1" ref="AF513" ca="1">MIN(100, MAX(0, (IF(R513="ESTUDIANTE", 31, 0)) + (IF(I513&lt;=3, 30, IF(I513&lt;=6, 20, 0))) +(IF(OR(E513="413 - Control de Costes y Enlace Construcción", E513="480 - Secretaría General del Consejo", E513="132 - Civil y estructuras", E513="136 - Mecánica", E513="412 - Planificación", E513="142 - Compras"), 25, 0)) +(IF(OR(S513="GRADO ING. MECÁNICA", S513="GRADO ING. ELÉCTRICA", S513="GRADO DERECHO", S513="GRADO ECONOMÍA", S513="GRADO ING. TECNOLOGÍAS INDUSTRIALES"), 24, 0)) + (IF(AND(K513&gt;=451, K513&lt;=700), 23, 0)) + (IF(AND(AB513&gt;=5, AB513&lt;=8), 17, 0)) +(IF(_xludf.OR(_xludf.AND(AC513&gt;=8, AC513&lt;=10), _xludf.AND(AC513&gt;=0, AC513&lt;=5)), 16, 0)) + (IF(F513="Madrid", 11, 0))))</f>
        <v>#NAME?</v>
      </c>
      <c r="AG513" s="68"/>
      <c r="AH513" s="71" t="s">
        <v>164</v>
      </c>
    </row>
    <row r="514" spans="1:34" ht="14.4" x14ac:dyDescent="0.3">
      <c r="A514" s="66" t="s">
        <v>1492</v>
      </c>
      <c r="B514" s="66" t="s">
        <v>3609</v>
      </c>
      <c r="C514" s="33">
        <v>513</v>
      </c>
      <c r="D514" s="33" t="s">
        <v>5401</v>
      </c>
      <c r="E514" s="34" t="s">
        <v>5245</v>
      </c>
      <c r="F514" s="34" t="s">
        <v>18</v>
      </c>
      <c r="G514" s="57">
        <v>41848</v>
      </c>
      <c r="H514" s="57">
        <v>42035</v>
      </c>
      <c r="I514" s="34">
        <f t="shared" ref="I514:I577" si="24">DATEDIF(G514, H514, "M")</f>
        <v>6</v>
      </c>
      <c r="J514" s="34">
        <v>40</v>
      </c>
      <c r="K514" s="36">
        <v>900</v>
      </c>
      <c r="L514" s="34" t="s">
        <v>29</v>
      </c>
      <c r="M514" s="57">
        <v>33235</v>
      </c>
      <c r="N514" s="37">
        <f>(YEAR(TablaMadre[[#This Row],[ALTA]])-YEAR(M514))</f>
        <v>24</v>
      </c>
      <c r="O514" s="34" t="s">
        <v>205</v>
      </c>
      <c r="P514" s="34" t="s">
        <v>19</v>
      </c>
      <c r="Q514" s="34" t="s">
        <v>49</v>
      </c>
      <c r="R514" s="34" t="s">
        <v>21</v>
      </c>
      <c r="S514" s="34" t="s">
        <v>297</v>
      </c>
      <c r="T514" s="34"/>
      <c r="U514" s="34"/>
      <c r="V514" s="34" t="s">
        <v>207</v>
      </c>
      <c r="W514" s="34" t="s">
        <v>28</v>
      </c>
      <c r="X514" s="38" t="s">
        <v>164</v>
      </c>
      <c r="Y514" s="62">
        <v>42278</v>
      </c>
      <c r="Z514" s="38">
        <f t="shared" ref="Z514:Z577" si="25">DATEDIF(H514, Y514, "y")</f>
        <v>0</v>
      </c>
      <c r="AA514" s="38"/>
      <c r="AB514" s="34"/>
      <c r="AC514" s="34"/>
      <c r="AD514" s="38"/>
      <c r="AE514" s="59" t="str">
        <f t="shared" si="23"/>
        <v>SÍ</v>
      </c>
      <c r="AF514" s="38" t="e" cm="1">
        <f t="array" aca="1" ref="AF514" ca="1">MIN(100, MAX(0, (IF(R514="ESTUDIANTE", 31, 0)) + (IF(I514&lt;=3, 30, IF(I514&lt;=6, 20, 0))) +(IF(OR(E514="413 - Control de Costes y Enlace Construcción", E514="480 - Secretaría General del Consejo", E514="132 - Civil y estructuras", E514="136 - Mecánica", E514="412 - Planificación", E514="142 - Compras"), 25, 0)) +(IF(OR(S514="GRADO ING. MECÁNICA", S514="GRADO ING. ELÉCTRICA", S514="GRADO DERECHO", S514="GRADO ECONOMÍA", S514="GRADO ING. TECNOLOGÍAS INDUSTRIALES"), 24, 0)) + (IF(AND(K514&gt;=451, K514&lt;=700), 23, 0)) + (IF(AND(AB514&gt;=5, AB514&lt;=8), 17, 0)) +(IF(_xludf.OR(_xludf.AND(AC514&gt;=8, AC514&lt;=10), _xludf.AND(AC514&gt;=0, AC514&lt;=5)), 16, 0)) + (IF(F514="Madrid", 11, 0))))</f>
        <v>#NAME?</v>
      </c>
      <c r="AG514" s="68"/>
      <c r="AH514" s="71" t="s">
        <v>164</v>
      </c>
    </row>
    <row r="515" spans="1:34" ht="14.4" x14ac:dyDescent="0.3">
      <c r="A515" s="66" t="s">
        <v>1493</v>
      </c>
      <c r="B515" s="66" t="s">
        <v>3610</v>
      </c>
      <c r="C515" s="33">
        <v>514</v>
      </c>
      <c r="D515" s="33" t="s">
        <v>5402</v>
      </c>
      <c r="E515" s="34" t="s">
        <v>5283</v>
      </c>
      <c r="F515" s="34" t="s">
        <v>18</v>
      </c>
      <c r="G515" s="57">
        <v>41848</v>
      </c>
      <c r="H515" s="57">
        <v>42216</v>
      </c>
      <c r="I515" s="34">
        <f t="shared" si="24"/>
        <v>12</v>
      </c>
      <c r="J515" s="34">
        <v>40</v>
      </c>
      <c r="K515" s="36">
        <v>900</v>
      </c>
      <c r="L515" s="34" t="s">
        <v>17</v>
      </c>
      <c r="M515" s="57">
        <v>32826</v>
      </c>
      <c r="N515" s="37">
        <f>(YEAR(TablaMadre[[#This Row],[ALTA]])-YEAR(M515))</f>
        <v>25</v>
      </c>
      <c r="O515" s="34" t="s">
        <v>70</v>
      </c>
      <c r="P515" s="34" t="s">
        <v>19</v>
      </c>
      <c r="Q515" s="34" t="s">
        <v>20</v>
      </c>
      <c r="R515" s="34" t="s">
        <v>21</v>
      </c>
      <c r="S515" s="34" t="s">
        <v>151</v>
      </c>
      <c r="T515" s="34"/>
      <c r="U515" s="34"/>
      <c r="V515" s="34" t="s">
        <v>320</v>
      </c>
      <c r="W515" s="34" t="s">
        <v>28</v>
      </c>
      <c r="X515" s="38" t="s">
        <v>173</v>
      </c>
      <c r="Y515" s="62"/>
      <c r="Z515" s="38" t="e">
        <f t="shared" si="25"/>
        <v>#NUM!</v>
      </c>
      <c r="AA515" s="38"/>
      <c r="AB515" s="34"/>
      <c r="AC515" s="34">
        <v>8</v>
      </c>
      <c r="AD515" s="38"/>
      <c r="AE515" s="59" t="str">
        <f t="shared" ref="AE515:AE578" si="26">IF(F515=O515, "NO", "SÍ")</f>
        <v>SÍ</v>
      </c>
      <c r="AF515" s="38" t="e" cm="1">
        <f t="array" aca="1" ref="AF515" ca="1">MIN(100, MAX(0, (IF(R515="ESTUDIANTE", 31, 0)) + (IF(I515&lt;=3, 30, IF(I515&lt;=6, 20, 0))) +(IF(OR(E515="413 - Control de Costes y Enlace Construcción", E515="480 - Secretaría General del Consejo", E515="132 - Civil y estructuras", E515="136 - Mecánica", E515="412 - Planificación", E515="142 - Compras"), 25, 0)) +(IF(OR(S515="GRADO ING. MECÁNICA", S515="GRADO ING. ELÉCTRICA", S515="GRADO DERECHO", S515="GRADO ECONOMÍA", S515="GRADO ING. TECNOLOGÍAS INDUSTRIALES"), 24, 0)) + (IF(AND(K515&gt;=451, K515&lt;=700), 23, 0)) + (IF(AND(AB515&gt;=5, AB515&lt;=8), 17, 0)) +(IF(_xludf.OR(_xludf.AND(AC515&gt;=8, AC515&lt;=10), _xludf.AND(AC515&gt;=0, AC515&lt;=5)), 16, 0)) + (IF(F515="Madrid", 11, 0))))</f>
        <v>#NAME?</v>
      </c>
      <c r="AG515" s="68"/>
      <c r="AH515" s="71" t="s">
        <v>164</v>
      </c>
    </row>
    <row r="516" spans="1:34" ht="14.4" x14ac:dyDescent="0.3">
      <c r="A516" s="66" t="s">
        <v>1539</v>
      </c>
      <c r="B516" s="66" t="s">
        <v>3656</v>
      </c>
      <c r="C516" s="33">
        <v>515</v>
      </c>
      <c r="D516" s="33" t="s">
        <v>5393</v>
      </c>
      <c r="E516" s="34" t="s">
        <v>5245</v>
      </c>
      <c r="F516" s="34" t="s">
        <v>18</v>
      </c>
      <c r="G516" s="57">
        <v>41860</v>
      </c>
      <c r="H516" s="57">
        <v>42188</v>
      </c>
      <c r="I516" s="34">
        <f t="shared" si="24"/>
        <v>10</v>
      </c>
      <c r="J516" s="34">
        <v>40</v>
      </c>
      <c r="K516" s="36">
        <v>900</v>
      </c>
      <c r="L516" s="34" t="s">
        <v>29</v>
      </c>
      <c r="M516" s="57">
        <v>34077</v>
      </c>
      <c r="N516" s="37">
        <f>(YEAR(TablaMadre[[#This Row],[ALTA]])-YEAR(M516))</f>
        <v>21</v>
      </c>
      <c r="O516" s="34" t="s">
        <v>18</v>
      </c>
      <c r="P516" s="34" t="s">
        <v>19</v>
      </c>
      <c r="Q516" s="34" t="s">
        <v>49</v>
      </c>
      <c r="R516" s="34" t="s">
        <v>21</v>
      </c>
      <c r="S516" s="34" t="s">
        <v>297</v>
      </c>
      <c r="T516" s="34"/>
      <c r="U516" s="34"/>
      <c r="V516" s="34" t="s">
        <v>56</v>
      </c>
      <c r="W516" s="34" t="s">
        <v>23</v>
      </c>
      <c r="X516" s="38" t="s">
        <v>164</v>
      </c>
      <c r="Y516" s="62"/>
      <c r="Z516" s="38" t="e">
        <f t="shared" si="25"/>
        <v>#NUM!</v>
      </c>
      <c r="AA516" s="38"/>
      <c r="AB516" s="34">
        <v>9</v>
      </c>
      <c r="AC516" s="34"/>
      <c r="AD516" s="38"/>
      <c r="AE516" s="59" t="str">
        <f t="shared" si="26"/>
        <v>NO</v>
      </c>
      <c r="AF516" s="38" t="e" cm="1">
        <f t="array" aca="1" ref="AF516" ca="1">MIN(100, MAX(0, (IF(R516="ESTUDIANTE", 31, 0)) + (IF(I516&lt;=3, 30, IF(I516&lt;=6, 20, 0))) +(IF(OR(E516="413 - Control de Costes y Enlace Construcción", E516="480 - Secretaría General del Consejo", E516="132 - Civil y estructuras", E516="136 - Mecánica", E516="412 - Planificación", E516="142 - Compras"), 25, 0)) +(IF(OR(S516="GRADO ING. MECÁNICA", S516="GRADO ING. ELÉCTRICA", S516="GRADO DERECHO", S516="GRADO ECONOMÍA", S516="GRADO ING. TECNOLOGÍAS INDUSTRIALES"), 24, 0)) + (IF(AND(K516&gt;=451, K516&lt;=700), 23, 0)) + (IF(AND(AB516&gt;=5, AB516&lt;=8), 17, 0)) +(IF(_xludf.OR(_xludf.AND(AC516&gt;=8, AC516&lt;=10), _xludf.AND(AC516&gt;=0, AC516&lt;=5)), 16, 0)) + (IF(F516="Madrid", 11, 0))))</f>
        <v>#NAME?</v>
      </c>
      <c r="AG516" s="68"/>
      <c r="AH516" s="71" t="s">
        <v>164</v>
      </c>
    </row>
    <row r="517" spans="1:34" ht="14.4" x14ac:dyDescent="0.3">
      <c r="A517" s="66" t="s">
        <v>1496</v>
      </c>
      <c r="B517" s="66" t="s">
        <v>3613</v>
      </c>
      <c r="C517" s="33">
        <v>516</v>
      </c>
      <c r="D517" s="33" t="s">
        <v>5394</v>
      </c>
      <c r="E517" s="34" t="s">
        <v>5284</v>
      </c>
      <c r="F517" s="34" t="s">
        <v>931</v>
      </c>
      <c r="G517" s="57">
        <v>41869</v>
      </c>
      <c r="H517" s="57">
        <v>41912</v>
      </c>
      <c r="I517" s="34">
        <f t="shared" si="24"/>
        <v>1</v>
      </c>
      <c r="J517" s="34">
        <v>40</v>
      </c>
      <c r="K517" s="36">
        <v>650</v>
      </c>
      <c r="L517" s="34" t="s">
        <v>17</v>
      </c>
      <c r="M517" s="57">
        <v>31464</v>
      </c>
      <c r="N517" s="37">
        <f>(YEAR(TablaMadre[[#This Row],[ALTA]])-YEAR(M517))</f>
        <v>28</v>
      </c>
      <c r="O517" s="34" t="s">
        <v>18</v>
      </c>
      <c r="P517" s="34" t="s">
        <v>19</v>
      </c>
      <c r="Q517" s="34" t="s">
        <v>283</v>
      </c>
      <c r="R517" s="58" t="s">
        <v>30</v>
      </c>
      <c r="S517" s="34" t="s">
        <v>283</v>
      </c>
      <c r="T517" s="34"/>
      <c r="U517" s="34"/>
      <c r="V517" s="34" t="s">
        <v>90</v>
      </c>
      <c r="W517" s="34" t="s">
        <v>23</v>
      </c>
      <c r="X517" s="38" t="s">
        <v>164</v>
      </c>
      <c r="Y517" s="62"/>
      <c r="Z517" s="38" t="e">
        <f t="shared" si="25"/>
        <v>#NUM!</v>
      </c>
      <c r="AA517" s="38"/>
      <c r="AB517" s="34"/>
      <c r="AC517" s="34"/>
      <c r="AD517" s="38"/>
      <c r="AE517" s="59" t="str">
        <f t="shared" si="26"/>
        <v>SÍ</v>
      </c>
      <c r="AF517" s="38" t="e" cm="1">
        <f t="array" aca="1" ref="AF517" ca="1">MIN(100, MAX(0, (IF(R517="ESTUDIANTE", 31, 0)) + (IF(I517&lt;=3, 30, IF(I517&lt;=6, 20, 0))) +(IF(OR(E517="413 - Control de Costes y Enlace Construcción", E517="480 - Secretaría General del Consejo", E517="132 - Civil y estructuras", E517="136 - Mecánica", E517="412 - Planificación", E517="142 - Compras"), 25, 0)) +(IF(OR(S517="GRADO ING. MECÁNICA", S517="GRADO ING. ELÉCTRICA", S517="GRADO DERECHO", S517="GRADO ECONOMÍA", S517="GRADO ING. TECNOLOGÍAS INDUSTRIALES"), 24, 0)) + (IF(AND(K517&gt;=451, K517&lt;=700), 23, 0)) + (IF(AND(AB517&gt;=5, AB517&lt;=8), 17, 0)) +(IF(_xludf.OR(_xludf.AND(AC517&gt;=8, AC517&lt;=10), _xludf.AND(AC517&gt;=0, AC517&lt;=5)), 16, 0)) + (IF(F517="Madrid", 11, 0))))</f>
        <v>#NAME?</v>
      </c>
      <c r="AG517" s="68"/>
      <c r="AH517" s="71" t="s">
        <v>164</v>
      </c>
    </row>
    <row r="518" spans="1:34" ht="14.4" x14ac:dyDescent="0.3">
      <c r="A518" s="66" t="s">
        <v>1362</v>
      </c>
      <c r="B518" s="66" t="s">
        <v>3479</v>
      </c>
      <c r="C518" s="33">
        <v>522</v>
      </c>
      <c r="D518" s="33" t="s">
        <v>5395</v>
      </c>
      <c r="E518" s="34" t="s">
        <v>5218</v>
      </c>
      <c r="F518" s="34" t="s">
        <v>18</v>
      </c>
      <c r="G518" s="57">
        <v>41876</v>
      </c>
      <c r="H518" s="57">
        <v>42338</v>
      </c>
      <c r="I518" s="34">
        <f t="shared" si="24"/>
        <v>15</v>
      </c>
      <c r="J518" s="34">
        <v>40</v>
      </c>
      <c r="K518" s="36">
        <v>900</v>
      </c>
      <c r="L518" s="34" t="s">
        <v>29</v>
      </c>
      <c r="M518" s="57">
        <v>34570</v>
      </c>
      <c r="N518" s="37">
        <f>(YEAR(TablaMadre[[#This Row],[ALTA]])-YEAR(M518))</f>
        <v>20</v>
      </c>
      <c r="O518" s="34" t="s">
        <v>18</v>
      </c>
      <c r="P518" s="34" t="s">
        <v>19</v>
      </c>
      <c r="Q518" s="34" t="s">
        <v>20</v>
      </c>
      <c r="R518" s="34" t="s">
        <v>21</v>
      </c>
      <c r="S518" s="34" t="s">
        <v>151</v>
      </c>
      <c r="T518" s="34"/>
      <c r="U518" s="34"/>
      <c r="V518" s="34" t="s">
        <v>22</v>
      </c>
      <c r="W518" s="34" t="s">
        <v>28</v>
      </c>
      <c r="X518" s="38" t="s">
        <v>173</v>
      </c>
      <c r="Y518" s="62"/>
      <c r="Z518" s="38" t="e">
        <f t="shared" si="25"/>
        <v>#NUM!</v>
      </c>
      <c r="AA518" s="38" t="s">
        <v>173</v>
      </c>
      <c r="AB518" s="34">
        <v>9</v>
      </c>
      <c r="AC518" s="34"/>
      <c r="AD518" s="38"/>
      <c r="AE518" s="59" t="str">
        <f t="shared" si="26"/>
        <v>NO</v>
      </c>
      <c r="AF518" s="38" t="e" cm="1">
        <f t="array" aca="1" ref="AF518" ca="1">MIN(100, MAX(0, (IF(R518="ESTUDIANTE", 31, 0)) + (IF(I518&lt;=3, 30, IF(I518&lt;=6, 20, 0))) +(IF(OR(E518="413 - Control de Costes y Enlace Construcción", E518="480 - Secretaría General del Consejo", E518="132 - Civil y estructuras", E518="136 - Mecánica", E518="412 - Planificación", E518="142 - Compras"), 25, 0)) +(IF(OR(S518="GRADO ING. MECÁNICA", S518="GRADO ING. ELÉCTRICA", S518="GRADO DERECHO", S518="GRADO ECONOMÍA", S518="GRADO ING. TECNOLOGÍAS INDUSTRIALES"), 24, 0)) + (IF(AND(K518&gt;=451, K518&lt;=700), 23, 0)) + (IF(AND(AB518&gt;=5, AB518&lt;=8), 17, 0)) +(IF(_xludf.OR(_xludf.AND(AC518&gt;=8, AC518&lt;=10), _xludf.AND(AC518&gt;=0, AC518&lt;=5)), 16, 0)) + (IF(F518="Madrid", 11, 0))))</f>
        <v>#NAME?</v>
      </c>
      <c r="AG518" s="68"/>
      <c r="AH518" s="71" t="s">
        <v>164</v>
      </c>
    </row>
    <row r="519" spans="1:34" ht="14.4" x14ac:dyDescent="0.3">
      <c r="A519" s="66" t="s">
        <v>1497</v>
      </c>
      <c r="B519" s="66" t="s">
        <v>3614</v>
      </c>
      <c r="C519" s="33">
        <v>518</v>
      </c>
      <c r="D519" s="33" t="s">
        <v>5396</v>
      </c>
      <c r="E519" s="34" t="s">
        <v>5244</v>
      </c>
      <c r="F519" s="34" t="s">
        <v>18</v>
      </c>
      <c r="G519" s="57">
        <v>41876</v>
      </c>
      <c r="H519" s="57">
        <v>41927</v>
      </c>
      <c r="I519" s="34">
        <f t="shared" si="24"/>
        <v>1</v>
      </c>
      <c r="J519" s="34">
        <v>40</v>
      </c>
      <c r="K519" s="36">
        <v>650</v>
      </c>
      <c r="L519" s="34" t="s">
        <v>17</v>
      </c>
      <c r="M519" s="57">
        <v>34811</v>
      </c>
      <c r="N519" s="37">
        <f>(YEAR(TablaMadre[[#This Row],[ALTA]])-YEAR(M519))</f>
        <v>19</v>
      </c>
      <c r="O519" s="34" t="s">
        <v>18</v>
      </c>
      <c r="P519" s="34" t="s">
        <v>19</v>
      </c>
      <c r="Q519" s="34" t="s">
        <v>285</v>
      </c>
      <c r="R519" s="58" t="s">
        <v>30</v>
      </c>
      <c r="S519" s="34" t="s">
        <v>322</v>
      </c>
      <c r="T519" s="34"/>
      <c r="U519" s="34"/>
      <c r="V519" s="34" t="s">
        <v>67</v>
      </c>
      <c r="W519" s="34" t="s">
        <v>28</v>
      </c>
      <c r="X519" s="38" t="s">
        <v>173</v>
      </c>
      <c r="Y519" s="62"/>
      <c r="Z519" s="38" t="e">
        <f t="shared" si="25"/>
        <v>#NUM!</v>
      </c>
      <c r="AA519" s="38"/>
      <c r="AB519" s="34"/>
      <c r="AC519" s="34"/>
      <c r="AD519" s="38"/>
      <c r="AE519" s="59" t="str">
        <f t="shared" si="26"/>
        <v>NO</v>
      </c>
      <c r="AF519" s="38" t="e" cm="1">
        <f t="array" aca="1" ref="AF519" ca="1">MIN(100, MAX(0, (IF(R519="ESTUDIANTE", 31, 0)) + (IF(I519&lt;=3, 30, IF(I519&lt;=6, 20, 0))) +(IF(OR(E519="413 - Control de Costes y Enlace Construcción", E519="480 - Secretaría General del Consejo", E519="132 - Civil y estructuras", E519="136 - Mecánica", E519="412 - Planificación", E519="142 - Compras"), 25, 0)) +(IF(OR(S519="GRADO ING. MECÁNICA", S519="GRADO ING. ELÉCTRICA", S519="GRADO DERECHO", S519="GRADO ECONOMÍA", S519="GRADO ING. TECNOLOGÍAS INDUSTRIALES"), 24, 0)) + (IF(AND(K519&gt;=451, K519&lt;=700), 23, 0)) + (IF(AND(AB519&gt;=5, AB519&lt;=8), 17, 0)) +(IF(_xludf.OR(_xludf.AND(AC519&gt;=8, AC519&lt;=10), _xludf.AND(AC519&gt;=0, AC519&lt;=5)), 16, 0)) + (IF(F519="Madrid", 11, 0))))</f>
        <v>#NAME?</v>
      </c>
      <c r="AG519" s="68"/>
      <c r="AH519" s="71" t="s">
        <v>164</v>
      </c>
    </row>
    <row r="520" spans="1:34" ht="14.4" x14ac:dyDescent="0.3">
      <c r="A520" s="66" t="s">
        <v>1498</v>
      </c>
      <c r="B520" s="66" t="s">
        <v>3615</v>
      </c>
      <c r="C520" s="33">
        <v>519</v>
      </c>
      <c r="D520" s="33" t="s">
        <v>5397</v>
      </c>
      <c r="E520" s="34" t="s">
        <v>5244</v>
      </c>
      <c r="F520" s="34" t="s">
        <v>18</v>
      </c>
      <c r="G520" s="57">
        <v>41876</v>
      </c>
      <c r="H520" s="57">
        <v>41954</v>
      </c>
      <c r="I520" s="34">
        <f t="shared" si="24"/>
        <v>2</v>
      </c>
      <c r="J520" s="34">
        <v>40</v>
      </c>
      <c r="K520" s="36">
        <v>900</v>
      </c>
      <c r="L520" s="34" t="s">
        <v>17</v>
      </c>
      <c r="M520" s="57">
        <v>34682</v>
      </c>
      <c r="N520" s="37">
        <f>(YEAR(TablaMadre[[#This Row],[ALTA]])-YEAR(M520))</f>
        <v>20</v>
      </c>
      <c r="O520" s="34" t="s">
        <v>233</v>
      </c>
      <c r="P520" s="34" t="s">
        <v>19</v>
      </c>
      <c r="Q520" s="34" t="s">
        <v>32</v>
      </c>
      <c r="R520" s="34" t="s">
        <v>21</v>
      </c>
      <c r="S520" s="34" t="s">
        <v>322</v>
      </c>
      <c r="T520" s="34"/>
      <c r="U520" s="34"/>
      <c r="V520" s="34" t="s">
        <v>216</v>
      </c>
      <c r="W520" s="34" t="s">
        <v>28</v>
      </c>
      <c r="X520" s="38" t="s">
        <v>164</v>
      </c>
      <c r="Y520" s="62">
        <v>42036</v>
      </c>
      <c r="Z520" s="38">
        <f t="shared" si="25"/>
        <v>0</v>
      </c>
      <c r="AA520" s="38"/>
      <c r="AB520" s="34" t="s">
        <v>289</v>
      </c>
      <c r="AC520" s="34" t="s">
        <v>24</v>
      </c>
      <c r="AD520" s="38"/>
      <c r="AE520" s="59" t="str">
        <f t="shared" si="26"/>
        <v>SÍ</v>
      </c>
      <c r="AF520" s="38" t="e" cm="1">
        <f t="array" aca="1" ref="AF520" ca="1">MIN(100, MAX(0, (IF(R520="ESTUDIANTE", 31, 0)) + (IF(I520&lt;=3, 30, IF(I520&lt;=6, 20, 0))) +(IF(OR(E520="413 - Control de Costes y Enlace Construcción", E520="480 - Secretaría General del Consejo", E520="132 - Civil y estructuras", E520="136 - Mecánica", E520="412 - Planificación", E520="142 - Compras"), 25, 0)) +(IF(OR(S520="GRADO ING. MECÁNICA", S520="GRADO ING. ELÉCTRICA", S520="GRADO DERECHO", S520="GRADO ECONOMÍA", S520="GRADO ING. TECNOLOGÍAS INDUSTRIALES"), 24, 0)) + (IF(AND(K520&gt;=451, K520&lt;=700), 23, 0)) + (IF(AND(AB520&gt;=5, AB520&lt;=8), 17, 0)) +(IF(_xludf.OR(_xludf.AND(AC520&gt;=8, AC520&lt;=10), _xludf.AND(AC520&gt;=0, AC520&lt;=5)), 16, 0)) + (IF(F520="Madrid", 11, 0))))</f>
        <v>#NAME?</v>
      </c>
      <c r="AG520" s="68"/>
      <c r="AH520" s="71" t="s">
        <v>164</v>
      </c>
    </row>
    <row r="521" spans="1:34" ht="14.4" x14ac:dyDescent="0.3">
      <c r="A521" s="66" t="s">
        <v>1500</v>
      </c>
      <c r="B521" s="66" t="s">
        <v>3617</v>
      </c>
      <c r="C521" s="33">
        <v>521</v>
      </c>
      <c r="D521" s="33" t="s">
        <v>5398</v>
      </c>
      <c r="E521" s="34" t="s">
        <v>5248</v>
      </c>
      <c r="F521" s="34" t="s">
        <v>18</v>
      </c>
      <c r="G521" s="57">
        <v>41876</v>
      </c>
      <c r="H521" s="57">
        <v>42247</v>
      </c>
      <c r="I521" s="34">
        <f t="shared" si="24"/>
        <v>12</v>
      </c>
      <c r="J521" s="34">
        <v>40</v>
      </c>
      <c r="K521" s="36">
        <v>825</v>
      </c>
      <c r="L521" s="34" t="s">
        <v>29</v>
      </c>
      <c r="M521" s="57">
        <v>35272</v>
      </c>
      <c r="N521" s="37">
        <f>(YEAR(TablaMadre[[#This Row],[ALTA]])-YEAR(M521))</f>
        <v>18</v>
      </c>
      <c r="O521" s="34" t="s">
        <v>953</v>
      </c>
      <c r="P521" s="34" t="s">
        <v>19</v>
      </c>
      <c r="Q521" s="34" t="s">
        <v>297</v>
      </c>
      <c r="R521" s="34" t="s">
        <v>21</v>
      </c>
      <c r="S521" s="34" t="s">
        <v>297</v>
      </c>
      <c r="T521" s="34"/>
      <c r="U521" s="34"/>
      <c r="V521" s="34" t="s">
        <v>56</v>
      </c>
      <c r="W521" s="34" t="s">
        <v>28</v>
      </c>
      <c r="X521" s="38" t="s">
        <v>164</v>
      </c>
      <c r="Y521" s="62">
        <v>42896</v>
      </c>
      <c r="Z521" s="38">
        <f t="shared" si="25"/>
        <v>1</v>
      </c>
      <c r="AA521" s="38"/>
      <c r="AB521" s="34">
        <v>9.5</v>
      </c>
      <c r="AC521" s="34">
        <v>8</v>
      </c>
      <c r="AD521" s="38"/>
      <c r="AE521" s="59" t="str">
        <f t="shared" si="26"/>
        <v>SÍ</v>
      </c>
      <c r="AF521" s="38" t="e" cm="1">
        <f t="array" aca="1" ref="AF521" ca="1">MIN(100, MAX(0, (IF(R521="ESTUDIANTE", 31, 0)) + (IF(I521&lt;=3, 30, IF(I521&lt;=6, 20, 0))) +(IF(OR(E521="413 - Control de Costes y Enlace Construcción", E521="480 - Secretaría General del Consejo", E521="132 - Civil y estructuras", E521="136 - Mecánica", E521="412 - Planificación", E521="142 - Compras"), 25, 0)) +(IF(OR(S521="GRADO ING. MECÁNICA", S521="GRADO ING. ELÉCTRICA", S521="GRADO DERECHO", S521="GRADO ECONOMÍA", S521="GRADO ING. TECNOLOGÍAS INDUSTRIALES"), 24, 0)) + (IF(AND(K521&gt;=451, K521&lt;=700), 23, 0)) + (IF(AND(AB521&gt;=5, AB521&lt;=8), 17, 0)) +(IF(_xludf.OR(_xludf.AND(AC521&gt;=8, AC521&lt;=10), _xludf.AND(AC521&gt;=0, AC521&lt;=5)), 16, 0)) + (IF(F521="Madrid", 11, 0))))</f>
        <v>#NAME?</v>
      </c>
      <c r="AG521" s="68"/>
      <c r="AH521" s="71" t="s">
        <v>164</v>
      </c>
    </row>
    <row r="522" spans="1:34" ht="14.4" x14ac:dyDescent="0.3">
      <c r="A522" s="66" t="s">
        <v>1510</v>
      </c>
      <c r="B522" s="66" t="s">
        <v>3627</v>
      </c>
      <c r="C522" s="33">
        <v>517</v>
      </c>
      <c r="D522" s="33" t="s">
        <v>5399</v>
      </c>
      <c r="E522" s="34" t="s">
        <v>5244</v>
      </c>
      <c r="F522" s="34" t="s">
        <v>18</v>
      </c>
      <c r="G522" s="57">
        <v>41876</v>
      </c>
      <c r="H522" s="57">
        <v>41926</v>
      </c>
      <c r="I522" s="34">
        <f t="shared" si="24"/>
        <v>1</v>
      </c>
      <c r="J522" s="34">
        <v>40</v>
      </c>
      <c r="K522" s="36">
        <v>900</v>
      </c>
      <c r="L522" s="34" t="s">
        <v>17</v>
      </c>
      <c r="M522" s="57">
        <v>33808</v>
      </c>
      <c r="N522" s="37">
        <f>(YEAR(TablaMadre[[#This Row],[ALTA]])-YEAR(M522))</f>
        <v>22</v>
      </c>
      <c r="O522" s="34" t="s">
        <v>105</v>
      </c>
      <c r="P522" s="34" t="s">
        <v>19</v>
      </c>
      <c r="Q522" s="34" t="s">
        <v>32</v>
      </c>
      <c r="R522" s="34" t="s">
        <v>21</v>
      </c>
      <c r="S522" s="34" t="s">
        <v>322</v>
      </c>
      <c r="T522" s="34"/>
      <c r="U522" s="34"/>
      <c r="V522" s="34" t="s">
        <v>37</v>
      </c>
      <c r="W522" s="34" t="s">
        <v>181</v>
      </c>
      <c r="X522" s="38" t="s">
        <v>164</v>
      </c>
      <c r="Y522" s="62"/>
      <c r="Z522" s="38" t="e">
        <f t="shared" si="25"/>
        <v>#NUM!</v>
      </c>
      <c r="AA522" s="38"/>
      <c r="AB522" s="34"/>
      <c r="AC522" s="34"/>
      <c r="AD522" s="38"/>
      <c r="AE522" s="59" t="str">
        <f t="shared" si="26"/>
        <v>SÍ</v>
      </c>
      <c r="AF522" s="38" t="e" cm="1">
        <f t="array" aca="1" ref="AF522" ca="1">MIN(100, MAX(0, (IF(R522="ESTUDIANTE", 31, 0)) + (IF(I522&lt;=3, 30, IF(I522&lt;=6, 20, 0))) +(IF(OR(E522="413 - Control de Costes y Enlace Construcción", E522="480 - Secretaría General del Consejo", E522="132 - Civil y estructuras", E522="136 - Mecánica", E522="412 - Planificación", E522="142 - Compras"), 25, 0)) +(IF(OR(S522="GRADO ING. MECÁNICA", S522="GRADO ING. ELÉCTRICA", S522="GRADO DERECHO", S522="GRADO ECONOMÍA", S522="GRADO ING. TECNOLOGÍAS INDUSTRIALES"), 24, 0)) + (IF(AND(K522&gt;=451, K522&lt;=700), 23, 0)) + (IF(AND(AB522&gt;=5, AB522&lt;=8), 17, 0)) +(IF(_xludf.OR(_xludf.AND(AC522&gt;=8, AC522&lt;=10), _xludf.AND(AC522&gt;=0, AC522&lt;=5)), 16, 0)) + (IF(F522="Madrid", 11, 0))))</f>
        <v>#NAME?</v>
      </c>
      <c r="AG522" s="68"/>
      <c r="AH522" s="71" t="s">
        <v>164</v>
      </c>
    </row>
    <row r="523" spans="1:34" ht="14.4" x14ac:dyDescent="0.3">
      <c r="A523" s="66" t="s">
        <v>1511</v>
      </c>
      <c r="B523" s="66" t="s">
        <v>3628</v>
      </c>
      <c r="C523" s="33">
        <v>520</v>
      </c>
      <c r="D523" s="33" t="s">
        <v>5393</v>
      </c>
      <c r="E523" s="34" t="s">
        <v>5244</v>
      </c>
      <c r="F523" s="34" t="s">
        <v>18</v>
      </c>
      <c r="G523" s="57">
        <v>41876</v>
      </c>
      <c r="H523" s="57">
        <v>41964</v>
      </c>
      <c r="I523" s="34">
        <f t="shared" si="24"/>
        <v>2</v>
      </c>
      <c r="J523" s="34">
        <v>40</v>
      </c>
      <c r="K523" s="36">
        <v>900</v>
      </c>
      <c r="L523" s="34" t="s">
        <v>17</v>
      </c>
      <c r="M523" s="57">
        <v>35261</v>
      </c>
      <c r="N523" s="37">
        <f>(YEAR(TablaMadre[[#This Row],[ALTA]])-YEAR(M523))</f>
        <v>18</v>
      </c>
      <c r="O523" s="34" t="s">
        <v>18</v>
      </c>
      <c r="P523" s="34" t="s">
        <v>19</v>
      </c>
      <c r="Q523" s="34" t="s">
        <v>61</v>
      </c>
      <c r="R523" s="34" t="s">
        <v>21</v>
      </c>
      <c r="S523" s="34" t="s">
        <v>322</v>
      </c>
      <c r="T523" s="34"/>
      <c r="U523" s="34"/>
      <c r="V523" s="34" t="s">
        <v>22</v>
      </c>
      <c r="W523" s="34" t="s">
        <v>47</v>
      </c>
      <c r="X523" s="38" t="s">
        <v>164</v>
      </c>
      <c r="Y523" s="62"/>
      <c r="Z523" s="38" t="e">
        <f t="shared" si="25"/>
        <v>#NUM!</v>
      </c>
      <c r="AA523" s="38"/>
      <c r="AB523" s="34"/>
      <c r="AC523" s="34"/>
      <c r="AD523" s="38"/>
      <c r="AE523" s="59" t="str">
        <f t="shared" si="26"/>
        <v>NO</v>
      </c>
      <c r="AF523" s="38" t="e" cm="1">
        <f t="array" aca="1" ref="AF523" ca="1">MIN(100, MAX(0, (IF(R523="ESTUDIANTE", 31, 0)) + (IF(I523&lt;=3, 30, IF(I523&lt;=6, 20, 0))) +(IF(OR(E523="413 - Control de Costes y Enlace Construcción", E523="480 - Secretaría General del Consejo", E523="132 - Civil y estructuras", E523="136 - Mecánica", E523="412 - Planificación", E523="142 - Compras"), 25, 0)) +(IF(OR(S523="GRADO ING. MECÁNICA", S523="GRADO ING. ELÉCTRICA", S523="GRADO DERECHO", S523="GRADO ECONOMÍA", S523="GRADO ING. TECNOLOGÍAS INDUSTRIALES"), 24, 0)) + (IF(AND(K523&gt;=451, K523&lt;=700), 23, 0)) + (IF(AND(AB523&gt;=5, AB523&lt;=8), 17, 0)) +(IF(_xludf.OR(_xludf.AND(AC523&gt;=8, AC523&lt;=10), _xludf.AND(AC523&gt;=0, AC523&lt;=5)), 16, 0)) + (IF(F523="Madrid", 11, 0))))</f>
        <v>#NAME?</v>
      </c>
      <c r="AG523" s="68"/>
      <c r="AH523" s="71" t="s">
        <v>164</v>
      </c>
    </row>
    <row r="524" spans="1:34" ht="14.4" x14ac:dyDescent="0.3">
      <c r="A524" s="66" t="s">
        <v>1425</v>
      </c>
      <c r="B524" s="66" t="s">
        <v>3542</v>
      </c>
      <c r="C524" s="33">
        <v>523</v>
      </c>
      <c r="D524" s="33" t="s">
        <v>5394</v>
      </c>
      <c r="E524" s="34" t="s">
        <v>5216</v>
      </c>
      <c r="F524" s="34" t="s">
        <v>931</v>
      </c>
      <c r="G524" s="57">
        <v>41883</v>
      </c>
      <c r="H524" s="57">
        <v>41891</v>
      </c>
      <c r="I524" s="34">
        <f t="shared" si="24"/>
        <v>0</v>
      </c>
      <c r="J524" s="34">
        <v>40</v>
      </c>
      <c r="K524" s="36">
        <v>1000</v>
      </c>
      <c r="L524" s="34" t="s">
        <v>17</v>
      </c>
      <c r="M524" s="57">
        <v>34298</v>
      </c>
      <c r="N524" s="37">
        <f>(YEAR(TablaMadre[[#This Row],[ALTA]])-YEAR(M524))</f>
        <v>21</v>
      </c>
      <c r="O524" s="34" t="s">
        <v>95</v>
      </c>
      <c r="P524" s="34" t="s">
        <v>95</v>
      </c>
      <c r="Q524" s="34" t="s">
        <v>49</v>
      </c>
      <c r="R524" s="34" t="s">
        <v>21</v>
      </c>
      <c r="S524" s="34" t="s">
        <v>297</v>
      </c>
      <c r="T524" s="34"/>
      <c r="U524" s="34"/>
      <c r="V524" s="34" t="s">
        <v>90</v>
      </c>
      <c r="W524" s="34" t="s">
        <v>181</v>
      </c>
      <c r="X524" s="38" t="s">
        <v>164</v>
      </c>
      <c r="Y524" s="62"/>
      <c r="Z524" s="38" t="e">
        <f t="shared" si="25"/>
        <v>#NUM!</v>
      </c>
      <c r="AA524" s="38"/>
      <c r="AB524" s="34"/>
      <c r="AC524" s="34"/>
      <c r="AD524" s="38"/>
      <c r="AE524" s="59" t="str">
        <f t="shared" si="26"/>
        <v>SÍ</v>
      </c>
      <c r="AF524" s="38" t="e" cm="1">
        <f t="array" aca="1" ref="AF524" ca="1">MIN(100, MAX(0, (IF(R524="ESTUDIANTE", 31, 0)) + (IF(I524&lt;=3, 30, IF(I524&lt;=6, 20, 0))) +(IF(OR(E524="413 - Control de Costes y Enlace Construcción", E524="480 - Secretaría General del Consejo", E524="132 - Civil y estructuras", E524="136 - Mecánica", E524="412 - Planificación", E524="142 - Compras"), 25, 0)) +(IF(OR(S524="GRADO ING. MECÁNICA", S524="GRADO ING. ELÉCTRICA", S524="GRADO DERECHO", S524="GRADO ECONOMÍA", S524="GRADO ING. TECNOLOGÍAS INDUSTRIALES"), 24, 0)) + (IF(AND(K524&gt;=451, K524&lt;=700), 23, 0)) + (IF(AND(AB524&gt;=5, AB524&lt;=8), 17, 0)) +(IF(_xludf.OR(_xludf.AND(AC524&gt;=8, AC524&lt;=10), _xludf.AND(AC524&gt;=0, AC524&lt;=5)), 16, 0)) + (IF(F524="Madrid", 11, 0))))</f>
        <v>#NAME?</v>
      </c>
      <c r="AG524" s="68"/>
      <c r="AH524" s="71" t="s">
        <v>164</v>
      </c>
    </row>
    <row r="525" spans="1:34" ht="14.4" x14ac:dyDescent="0.3">
      <c r="A525" s="66" t="s">
        <v>1503</v>
      </c>
      <c r="B525" s="66" t="s">
        <v>3620</v>
      </c>
      <c r="C525" s="33">
        <v>524</v>
      </c>
      <c r="D525" s="33" t="s">
        <v>5395</v>
      </c>
      <c r="E525" s="34" t="s">
        <v>5231</v>
      </c>
      <c r="F525" s="34" t="s">
        <v>931</v>
      </c>
      <c r="G525" s="57">
        <v>41883</v>
      </c>
      <c r="H525" s="57">
        <v>42217</v>
      </c>
      <c r="I525" s="34">
        <f t="shared" si="24"/>
        <v>11</v>
      </c>
      <c r="J525" s="34">
        <v>40</v>
      </c>
      <c r="K525" s="36">
        <v>1000</v>
      </c>
      <c r="L525" s="34" t="s">
        <v>17</v>
      </c>
      <c r="M525" s="57">
        <v>34833</v>
      </c>
      <c r="N525" s="37">
        <f>(YEAR(TablaMadre[[#This Row],[ALTA]])-YEAR(M525))</f>
        <v>19</v>
      </c>
      <c r="O525" s="34" t="s">
        <v>95</v>
      </c>
      <c r="P525" s="34" t="s">
        <v>95</v>
      </c>
      <c r="Q525" s="34" t="s">
        <v>85</v>
      </c>
      <c r="R525" s="34" t="s">
        <v>21</v>
      </c>
      <c r="S525" s="34" t="s">
        <v>322</v>
      </c>
      <c r="T525" s="34"/>
      <c r="U525" s="34"/>
      <c r="V525" s="34" t="s">
        <v>90</v>
      </c>
      <c r="W525" s="34" t="s">
        <v>97</v>
      </c>
      <c r="X525" s="38" t="s">
        <v>164</v>
      </c>
      <c r="Y525" s="62">
        <v>42147</v>
      </c>
      <c r="Z525" s="38" t="e">
        <f t="shared" si="25"/>
        <v>#NUM!</v>
      </c>
      <c r="AA525" s="38"/>
      <c r="AB525" s="34"/>
      <c r="AC525" s="34"/>
      <c r="AD525" s="38"/>
      <c r="AE525" s="59" t="str">
        <f t="shared" si="26"/>
        <v>SÍ</v>
      </c>
      <c r="AF525" s="38" t="e" cm="1">
        <f t="array" aca="1" ref="AF525" ca="1">MIN(100, MAX(0, (IF(R525="ESTUDIANTE", 31, 0)) + (IF(I525&lt;=3, 30, IF(I525&lt;=6, 20, 0))) +(IF(OR(E525="413 - Control de Costes y Enlace Construcción", E525="480 - Secretaría General del Consejo", E525="132 - Civil y estructuras", E525="136 - Mecánica", E525="412 - Planificación", E525="142 - Compras"), 25, 0)) +(IF(OR(S525="GRADO ING. MECÁNICA", S525="GRADO ING. ELÉCTRICA", S525="GRADO DERECHO", S525="GRADO ECONOMÍA", S525="GRADO ING. TECNOLOGÍAS INDUSTRIALES"), 24, 0)) + (IF(AND(K525&gt;=451, K525&lt;=700), 23, 0)) + (IF(AND(AB525&gt;=5, AB525&lt;=8), 17, 0)) +(IF(_xludf.OR(_xludf.AND(AC525&gt;=8, AC525&lt;=10), _xludf.AND(AC525&gt;=0, AC525&lt;=5)), 16, 0)) + (IF(F525="Madrid", 11, 0))))</f>
        <v>#NAME?</v>
      </c>
      <c r="AG525" s="68"/>
      <c r="AH525" s="71" t="s">
        <v>164</v>
      </c>
    </row>
    <row r="526" spans="1:34" ht="14.4" x14ac:dyDescent="0.3">
      <c r="A526" s="66" t="s">
        <v>1504</v>
      </c>
      <c r="B526" s="66" t="s">
        <v>3621</v>
      </c>
      <c r="C526" s="33">
        <v>525</v>
      </c>
      <c r="D526" s="33" t="s">
        <v>5396</v>
      </c>
      <c r="E526" s="34" t="s">
        <v>5244</v>
      </c>
      <c r="F526" s="34" t="s">
        <v>18</v>
      </c>
      <c r="G526" s="57">
        <v>41888</v>
      </c>
      <c r="H526" s="57">
        <v>42099</v>
      </c>
      <c r="I526" s="34">
        <f t="shared" si="24"/>
        <v>6</v>
      </c>
      <c r="J526" s="34">
        <v>40</v>
      </c>
      <c r="K526" s="36">
        <v>900</v>
      </c>
      <c r="L526" s="34" t="s">
        <v>17</v>
      </c>
      <c r="M526" s="57">
        <v>34571</v>
      </c>
      <c r="N526" s="37">
        <f>(YEAR(TablaMadre[[#This Row],[ALTA]])-YEAR(M526))</f>
        <v>20</v>
      </c>
      <c r="O526" s="34" t="s">
        <v>304</v>
      </c>
      <c r="P526" s="34" t="s">
        <v>19</v>
      </c>
      <c r="Q526" s="34" t="s">
        <v>61</v>
      </c>
      <c r="R526" s="34" t="s">
        <v>21</v>
      </c>
      <c r="S526" s="34" t="s">
        <v>322</v>
      </c>
      <c r="T526" s="34"/>
      <c r="U526" s="34"/>
      <c r="V526" s="34" t="s">
        <v>207</v>
      </c>
      <c r="W526" s="34" t="s">
        <v>28</v>
      </c>
      <c r="X526" s="38" t="s">
        <v>164</v>
      </c>
      <c r="Y526" s="62">
        <v>43727</v>
      </c>
      <c r="Z526" s="38">
        <f t="shared" si="25"/>
        <v>4</v>
      </c>
      <c r="AA526" s="38"/>
      <c r="AB526" s="34"/>
      <c r="AC526" s="34"/>
      <c r="AD526" s="38"/>
      <c r="AE526" s="59" t="str">
        <f t="shared" si="26"/>
        <v>SÍ</v>
      </c>
      <c r="AF526" s="38" t="e" cm="1">
        <f t="array" aca="1" ref="AF526" ca="1">MIN(100, MAX(0, (IF(R526="ESTUDIANTE", 31, 0)) + (IF(I526&lt;=3, 30, IF(I526&lt;=6, 20, 0))) +(IF(OR(E526="413 - Control de Costes y Enlace Construcción", E526="480 - Secretaría General del Consejo", E526="132 - Civil y estructuras", E526="136 - Mecánica", E526="412 - Planificación", E526="142 - Compras"), 25, 0)) +(IF(OR(S526="GRADO ING. MECÁNICA", S526="GRADO ING. ELÉCTRICA", S526="GRADO DERECHO", S526="GRADO ECONOMÍA", S526="GRADO ING. TECNOLOGÍAS INDUSTRIALES"), 24, 0)) + (IF(AND(K526&gt;=451, K526&lt;=700), 23, 0)) + (IF(AND(AB526&gt;=5, AB526&lt;=8), 17, 0)) +(IF(_xludf.OR(_xludf.AND(AC526&gt;=8, AC526&lt;=10), _xludf.AND(AC526&gt;=0, AC526&lt;=5)), 16, 0)) + (IF(F526="Madrid", 11, 0))))</f>
        <v>#NAME?</v>
      </c>
      <c r="AG526" s="68"/>
      <c r="AH526" s="71" t="s">
        <v>164</v>
      </c>
    </row>
    <row r="527" spans="1:34" ht="14.4" x14ac:dyDescent="0.3">
      <c r="A527" s="66" t="s">
        <v>1505</v>
      </c>
      <c r="B527" s="66" t="s">
        <v>3622</v>
      </c>
      <c r="C527" s="33">
        <v>526</v>
      </c>
      <c r="D527" s="33" t="s">
        <v>5397</v>
      </c>
      <c r="E527" s="34" t="s">
        <v>5229</v>
      </c>
      <c r="F527" s="34" t="s">
        <v>18</v>
      </c>
      <c r="G527" s="57">
        <v>41888</v>
      </c>
      <c r="H527" s="57">
        <v>42222</v>
      </c>
      <c r="I527" s="34">
        <f t="shared" si="24"/>
        <v>11</v>
      </c>
      <c r="J527" s="34">
        <v>40</v>
      </c>
      <c r="K527" s="36">
        <v>825</v>
      </c>
      <c r="L527" s="34" t="s">
        <v>17</v>
      </c>
      <c r="M527" s="57">
        <v>33772</v>
      </c>
      <c r="N527" s="37">
        <f>(YEAR(TablaMadre[[#This Row],[ALTA]])-YEAR(M527))</f>
        <v>22</v>
      </c>
      <c r="O527" s="34" t="s">
        <v>18</v>
      </c>
      <c r="P527" s="34" t="s">
        <v>19</v>
      </c>
      <c r="Q527" s="34" t="s">
        <v>277</v>
      </c>
      <c r="R527" s="34" t="s">
        <v>21</v>
      </c>
      <c r="S527" s="34" t="s">
        <v>277</v>
      </c>
      <c r="T527" s="34"/>
      <c r="U527" s="34"/>
      <c r="V527" s="34" t="s">
        <v>22</v>
      </c>
      <c r="W527" s="34" t="s">
        <v>28</v>
      </c>
      <c r="X527" s="38" t="s">
        <v>164</v>
      </c>
      <c r="Y527" s="62">
        <v>45150</v>
      </c>
      <c r="Z527" s="38">
        <f t="shared" si="25"/>
        <v>8</v>
      </c>
      <c r="AA527" s="38"/>
      <c r="AB527" s="34"/>
      <c r="AC527" s="34"/>
      <c r="AD527" s="38"/>
      <c r="AE527" s="59" t="str">
        <f t="shared" si="26"/>
        <v>NO</v>
      </c>
      <c r="AF527" s="38" t="e" cm="1">
        <f t="array" aca="1" ref="AF527" ca="1">MIN(100, MAX(0, (IF(R527="ESTUDIANTE", 31, 0)) + (IF(I527&lt;=3, 30, IF(I527&lt;=6, 20, 0))) +(IF(OR(E527="413 - Control de Costes y Enlace Construcción", E527="480 - Secretaría General del Consejo", E527="132 - Civil y estructuras", E527="136 - Mecánica", E527="412 - Planificación", E527="142 - Compras"), 25, 0)) +(IF(OR(S527="GRADO ING. MECÁNICA", S527="GRADO ING. ELÉCTRICA", S527="GRADO DERECHO", S527="GRADO ECONOMÍA", S527="GRADO ING. TECNOLOGÍAS INDUSTRIALES"), 24, 0)) + (IF(AND(K527&gt;=451, K527&lt;=700), 23, 0)) + (IF(AND(AB527&gt;=5, AB527&lt;=8), 17, 0)) +(IF(_xludf.OR(_xludf.AND(AC527&gt;=8, AC527&lt;=10), _xludf.AND(AC527&gt;=0, AC527&lt;=5)), 16, 0)) + (IF(F527="Madrid", 11, 0))))</f>
        <v>#NAME?</v>
      </c>
      <c r="AG527" s="68"/>
      <c r="AH527" s="71" t="s">
        <v>164</v>
      </c>
    </row>
    <row r="528" spans="1:34" ht="14.4" x14ac:dyDescent="0.3">
      <c r="A528" s="66" t="s">
        <v>1506</v>
      </c>
      <c r="B528" s="66" t="s">
        <v>3623</v>
      </c>
      <c r="C528" s="33">
        <v>527</v>
      </c>
      <c r="D528" s="33" t="s">
        <v>5393</v>
      </c>
      <c r="E528" s="34" t="s">
        <v>5254</v>
      </c>
      <c r="F528" s="34" t="s">
        <v>18</v>
      </c>
      <c r="G528" s="57">
        <v>41891</v>
      </c>
      <c r="H528" s="57">
        <v>42225</v>
      </c>
      <c r="I528" s="34">
        <f t="shared" si="24"/>
        <v>11</v>
      </c>
      <c r="J528" s="34">
        <v>40</v>
      </c>
      <c r="K528" s="36">
        <v>900</v>
      </c>
      <c r="L528" s="34" t="s">
        <v>17</v>
      </c>
      <c r="M528" s="57">
        <v>34082</v>
      </c>
      <c r="N528" s="37">
        <f>(YEAR(TablaMadre[[#This Row],[ALTA]])-YEAR(M528))</f>
        <v>21</v>
      </c>
      <c r="O528" s="34" t="s">
        <v>18</v>
      </c>
      <c r="P528" s="34" t="s">
        <v>19</v>
      </c>
      <c r="Q528" s="34" t="s">
        <v>20</v>
      </c>
      <c r="R528" s="34" t="s">
        <v>21</v>
      </c>
      <c r="S528" s="34" t="s">
        <v>151</v>
      </c>
      <c r="T528" s="34"/>
      <c r="U528" s="34"/>
      <c r="V528" s="34" t="s">
        <v>69</v>
      </c>
      <c r="W528" s="34" t="s">
        <v>28</v>
      </c>
      <c r="X528" s="38" t="s">
        <v>173</v>
      </c>
      <c r="Y528" s="62"/>
      <c r="Z528" s="38" t="e">
        <f t="shared" si="25"/>
        <v>#NUM!</v>
      </c>
      <c r="AA528" s="38"/>
      <c r="AB528" s="34">
        <v>10</v>
      </c>
      <c r="AC528" s="34"/>
      <c r="AD528" s="38"/>
      <c r="AE528" s="59" t="str">
        <f t="shared" si="26"/>
        <v>NO</v>
      </c>
      <c r="AF528" s="38" t="e" cm="1">
        <f t="array" aca="1" ref="AF528" ca="1">MIN(100, MAX(0, (IF(R528="ESTUDIANTE", 31, 0)) + (IF(I528&lt;=3, 30, IF(I528&lt;=6, 20, 0))) +(IF(OR(E528="413 - Control de Costes y Enlace Construcción", E528="480 - Secretaría General del Consejo", E528="132 - Civil y estructuras", E528="136 - Mecánica", E528="412 - Planificación", E528="142 - Compras"), 25, 0)) +(IF(OR(S528="GRADO ING. MECÁNICA", S528="GRADO ING. ELÉCTRICA", S528="GRADO DERECHO", S528="GRADO ECONOMÍA", S528="GRADO ING. TECNOLOGÍAS INDUSTRIALES"), 24, 0)) + (IF(AND(K528&gt;=451, K528&lt;=700), 23, 0)) + (IF(AND(AB528&gt;=5, AB528&lt;=8), 17, 0)) +(IF(_xludf.OR(_xludf.AND(AC528&gt;=8, AC528&lt;=10), _xludf.AND(AC528&gt;=0, AC528&lt;=5)), 16, 0)) + (IF(F528="Madrid", 11, 0))))</f>
        <v>#NAME?</v>
      </c>
      <c r="AG528" s="68"/>
      <c r="AH528" s="71" t="s">
        <v>164</v>
      </c>
    </row>
    <row r="529" spans="1:34" ht="14.4" x14ac:dyDescent="0.3">
      <c r="A529" s="66" t="s">
        <v>1507</v>
      </c>
      <c r="B529" s="66" t="s">
        <v>3624</v>
      </c>
      <c r="C529" s="33">
        <v>528</v>
      </c>
      <c r="D529" s="33" t="s">
        <v>5394</v>
      </c>
      <c r="E529" s="34" t="s">
        <v>5216</v>
      </c>
      <c r="F529" s="34" t="s">
        <v>18</v>
      </c>
      <c r="G529" s="57">
        <v>41892</v>
      </c>
      <c r="H529" s="57">
        <v>42586</v>
      </c>
      <c r="I529" s="34">
        <f t="shared" si="24"/>
        <v>22</v>
      </c>
      <c r="J529" s="34">
        <v>40</v>
      </c>
      <c r="K529" s="36">
        <v>900</v>
      </c>
      <c r="L529" s="34" t="s">
        <v>29</v>
      </c>
      <c r="M529" s="57">
        <v>35790</v>
      </c>
      <c r="N529" s="37">
        <f>(YEAR(TablaMadre[[#This Row],[ALTA]])-YEAR(M529))</f>
        <v>17</v>
      </c>
      <c r="O529" s="34" t="s">
        <v>18</v>
      </c>
      <c r="P529" s="34" t="s">
        <v>19</v>
      </c>
      <c r="Q529" s="34" t="s">
        <v>49</v>
      </c>
      <c r="R529" s="34" t="s">
        <v>21</v>
      </c>
      <c r="S529" s="34" t="s">
        <v>297</v>
      </c>
      <c r="T529" s="34"/>
      <c r="U529" s="34"/>
      <c r="V529" s="34" t="s">
        <v>56</v>
      </c>
      <c r="W529" s="34" t="s">
        <v>28</v>
      </c>
      <c r="X529" s="38" t="s">
        <v>173</v>
      </c>
      <c r="Y529" s="62"/>
      <c r="Z529" s="38" t="e">
        <f t="shared" si="25"/>
        <v>#NUM!</v>
      </c>
      <c r="AA529" s="38"/>
      <c r="AB529" s="34">
        <v>9</v>
      </c>
      <c r="AC529" s="34">
        <v>10</v>
      </c>
      <c r="AD529" s="38"/>
      <c r="AE529" s="59" t="str">
        <f t="shared" si="26"/>
        <v>NO</v>
      </c>
      <c r="AF529" s="38" t="e" cm="1">
        <f t="array" aca="1" ref="AF529" ca="1">MIN(100, MAX(0, (IF(R529="ESTUDIANTE", 31, 0)) + (IF(I529&lt;=3, 30, IF(I529&lt;=6, 20, 0))) +(IF(OR(E529="413 - Control de Costes y Enlace Construcción", E529="480 - Secretaría General del Consejo", E529="132 - Civil y estructuras", E529="136 - Mecánica", E529="412 - Planificación", E529="142 - Compras"), 25, 0)) +(IF(OR(S529="GRADO ING. MECÁNICA", S529="GRADO ING. ELÉCTRICA", S529="GRADO DERECHO", S529="GRADO ECONOMÍA", S529="GRADO ING. TECNOLOGÍAS INDUSTRIALES"), 24, 0)) + (IF(AND(K529&gt;=451, K529&lt;=700), 23, 0)) + (IF(AND(AB529&gt;=5, AB529&lt;=8), 17, 0)) +(IF(_xludf.OR(_xludf.AND(AC529&gt;=8, AC529&lt;=10), _xludf.AND(AC529&gt;=0, AC529&lt;=5)), 16, 0)) + (IF(F529="Madrid", 11, 0))))</f>
        <v>#NAME?</v>
      </c>
      <c r="AG529" s="68"/>
      <c r="AH529" s="71" t="s">
        <v>164</v>
      </c>
    </row>
    <row r="530" spans="1:34" ht="14.4" x14ac:dyDescent="0.3">
      <c r="A530" s="66" t="s">
        <v>1508</v>
      </c>
      <c r="B530" s="66" t="s">
        <v>3625</v>
      </c>
      <c r="C530" s="33">
        <v>529</v>
      </c>
      <c r="D530" s="33" t="s">
        <v>5395</v>
      </c>
      <c r="E530" s="34" t="s">
        <v>5216</v>
      </c>
      <c r="F530" s="34" t="s">
        <v>18</v>
      </c>
      <c r="G530" s="57">
        <v>41892</v>
      </c>
      <c r="H530" s="57">
        <v>42586</v>
      </c>
      <c r="I530" s="34">
        <f t="shared" si="24"/>
        <v>22</v>
      </c>
      <c r="J530" s="34">
        <v>40</v>
      </c>
      <c r="K530" s="36">
        <v>900</v>
      </c>
      <c r="L530" s="34" t="s">
        <v>17</v>
      </c>
      <c r="M530" s="57">
        <v>34786</v>
      </c>
      <c r="N530" s="37">
        <f>(YEAR(TablaMadre[[#This Row],[ALTA]])-YEAR(M530))</f>
        <v>19</v>
      </c>
      <c r="O530" s="34" t="s">
        <v>18</v>
      </c>
      <c r="P530" s="34" t="s">
        <v>19</v>
      </c>
      <c r="Q530" s="34" t="s">
        <v>297</v>
      </c>
      <c r="R530" s="34" t="s">
        <v>21</v>
      </c>
      <c r="S530" s="34" t="s">
        <v>297</v>
      </c>
      <c r="T530" s="34"/>
      <c r="U530" s="34"/>
      <c r="V530" s="34" t="s">
        <v>84</v>
      </c>
      <c r="W530" s="34" t="s">
        <v>28</v>
      </c>
      <c r="X530" s="38" t="s">
        <v>164</v>
      </c>
      <c r="Y530" s="62">
        <v>42836</v>
      </c>
      <c r="Z530" s="38">
        <f t="shared" si="25"/>
        <v>0</v>
      </c>
      <c r="AA530" s="38"/>
      <c r="AB530" s="34">
        <v>8</v>
      </c>
      <c r="AC530" s="34"/>
      <c r="AD530" s="38"/>
      <c r="AE530" s="59" t="str">
        <f t="shared" si="26"/>
        <v>NO</v>
      </c>
      <c r="AF530" s="38" t="e" cm="1">
        <f t="array" aca="1" ref="AF530" ca="1">MIN(100, MAX(0, (IF(R530="ESTUDIANTE", 31, 0)) + (IF(I530&lt;=3, 30, IF(I530&lt;=6, 20, 0))) +(IF(OR(E530="413 - Control de Costes y Enlace Construcción", E530="480 - Secretaría General del Consejo", E530="132 - Civil y estructuras", E530="136 - Mecánica", E530="412 - Planificación", E530="142 - Compras"), 25, 0)) +(IF(OR(S530="GRADO ING. MECÁNICA", S530="GRADO ING. ELÉCTRICA", S530="GRADO DERECHO", S530="GRADO ECONOMÍA", S530="GRADO ING. TECNOLOGÍAS INDUSTRIALES"), 24, 0)) + (IF(AND(K530&gt;=451, K530&lt;=700), 23, 0)) + (IF(AND(AB530&gt;=5, AB530&lt;=8), 17, 0)) +(IF(_xludf.OR(_xludf.AND(AC530&gt;=8, AC530&lt;=10), _xludf.AND(AC530&gt;=0, AC530&lt;=5)), 16, 0)) + (IF(F530="Madrid", 11, 0))))</f>
        <v>#NAME?</v>
      </c>
      <c r="AG530" s="68"/>
      <c r="AH530" s="71" t="s">
        <v>164</v>
      </c>
    </row>
    <row r="531" spans="1:34" ht="14.4" x14ac:dyDescent="0.3">
      <c r="A531" s="66" t="s">
        <v>1509</v>
      </c>
      <c r="B531" s="66" t="s">
        <v>3626</v>
      </c>
      <c r="C531" s="33">
        <v>530</v>
      </c>
      <c r="D531" s="33" t="s">
        <v>5396</v>
      </c>
      <c r="E531" s="34" t="s">
        <v>5218</v>
      </c>
      <c r="F531" s="34" t="s">
        <v>18</v>
      </c>
      <c r="G531" s="57">
        <v>41894</v>
      </c>
      <c r="H531" s="57">
        <v>42228</v>
      </c>
      <c r="I531" s="34">
        <f t="shared" si="24"/>
        <v>11</v>
      </c>
      <c r="J531" s="34">
        <v>40</v>
      </c>
      <c r="K531" s="36">
        <v>900</v>
      </c>
      <c r="L531" s="34" t="s">
        <v>29</v>
      </c>
      <c r="M531" s="57">
        <v>34418</v>
      </c>
      <c r="N531" s="37">
        <f>(YEAR(TablaMadre[[#This Row],[ALTA]])-YEAR(M531))</f>
        <v>20</v>
      </c>
      <c r="O531" s="34" t="s">
        <v>18</v>
      </c>
      <c r="P531" s="34" t="s">
        <v>19</v>
      </c>
      <c r="Q531" s="34" t="s">
        <v>177</v>
      </c>
      <c r="R531" s="34" t="s">
        <v>21</v>
      </c>
      <c r="S531" s="34" t="s">
        <v>397</v>
      </c>
      <c r="T531" s="34"/>
      <c r="U531" s="34"/>
      <c r="V531" s="34" t="s">
        <v>22</v>
      </c>
      <c r="W531" s="34" t="s">
        <v>28</v>
      </c>
      <c r="X531" s="38" t="s">
        <v>164</v>
      </c>
      <c r="Y531" s="62">
        <v>42895</v>
      </c>
      <c r="Z531" s="38">
        <f t="shared" si="25"/>
        <v>1</v>
      </c>
      <c r="AA531" s="38"/>
      <c r="AB531" s="34"/>
      <c r="AC531" s="34"/>
      <c r="AD531" s="38"/>
      <c r="AE531" s="59" t="str">
        <f t="shared" si="26"/>
        <v>NO</v>
      </c>
      <c r="AF531" s="38" t="e" cm="1">
        <f t="array" aca="1" ref="AF531" ca="1">MIN(100, MAX(0, (IF(R531="ESTUDIANTE", 31, 0)) + (IF(I531&lt;=3, 30, IF(I531&lt;=6, 20, 0))) +(IF(OR(E531="413 - Control de Costes y Enlace Construcción", E531="480 - Secretaría General del Consejo", E531="132 - Civil y estructuras", E531="136 - Mecánica", E531="412 - Planificación", E531="142 - Compras"), 25, 0)) +(IF(OR(S531="GRADO ING. MECÁNICA", S531="GRADO ING. ELÉCTRICA", S531="GRADO DERECHO", S531="GRADO ECONOMÍA", S531="GRADO ING. TECNOLOGÍAS INDUSTRIALES"), 24, 0)) + (IF(AND(K531&gt;=451, K531&lt;=700), 23, 0)) + (IF(AND(AB531&gt;=5, AB531&lt;=8), 17, 0)) +(IF(_xludf.OR(_xludf.AND(AC531&gt;=8, AC531&lt;=10), _xludf.AND(AC531&gt;=0, AC531&lt;=5)), 16, 0)) + (IF(F531="Madrid", 11, 0))))</f>
        <v>#NAME?</v>
      </c>
      <c r="AG531" s="68"/>
      <c r="AH531" s="71" t="s">
        <v>164</v>
      </c>
    </row>
    <row r="532" spans="1:34" ht="14.4" x14ac:dyDescent="0.3">
      <c r="A532" s="66" t="s">
        <v>1547</v>
      </c>
      <c r="B532" s="66" t="s">
        <v>3664</v>
      </c>
      <c r="C532" s="33">
        <v>531</v>
      </c>
      <c r="D532" s="33" t="s">
        <v>5397</v>
      </c>
      <c r="E532" s="34" t="s">
        <v>5234</v>
      </c>
      <c r="F532" s="34" t="s">
        <v>18</v>
      </c>
      <c r="G532" s="57">
        <v>41897</v>
      </c>
      <c r="H532" s="57">
        <v>41973</v>
      </c>
      <c r="I532" s="34">
        <f t="shared" si="24"/>
        <v>2</v>
      </c>
      <c r="J532" s="34">
        <v>20</v>
      </c>
      <c r="K532" s="36">
        <v>325</v>
      </c>
      <c r="L532" s="34" t="s">
        <v>29</v>
      </c>
      <c r="M532" s="57">
        <v>34383</v>
      </c>
      <c r="N532" s="37">
        <f>(YEAR(TablaMadre[[#This Row],[ALTA]])-YEAR(M532))</f>
        <v>20</v>
      </c>
      <c r="O532" s="34" t="s">
        <v>18</v>
      </c>
      <c r="P532" s="34" t="s">
        <v>19</v>
      </c>
      <c r="Q532" s="34" t="s">
        <v>291</v>
      </c>
      <c r="R532" s="58" t="s">
        <v>30</v>
      </c>
      <c r="S532" s="34" t="s">
        <v>291</v>
      </c>
      <c r="T532" s="34"/>
      <c r="U532" s="34"/>
      <c r="V532" s="34" t="s">
        <v>137</v>
      </c>
      <c r="W532" s="34" t="s">
        <v>23</v>
      </c>
      <c r="X532" s="38" t="s">
        <v>164</v>
      </c>
      <c r="Y532" s="62"/>
      <c r="Z532" s="38" t="e">
        <f t="shared" si="25"/>
        <v>#NUM!</v>
      </c>
      <c r="AA532" s="38"/>
      <c r="AB532" s="34"/>
      <c r="AC532" s="34"/>
      <c r="AD532" s="38"/>
      <c r="AE532" s="59" t="str">
        <f t="shared" si="26"/>
        <v>NO</v>
      </c>
      <c r="AF532" s="38" t="e" cm="1">
        <f t="array" aca="1" ref="AF532" ca="1">MIN(100, MAX(0, (IF(R532="ESTUDIANTE", 31, 0)) + (IF(I532&lt;=3, 30, IF(I532&lt;=6, 20, 0))) +(IF(OR(E532="413 - Control de Costes y Enlace Construcción", E532="480 - Secretaría General del Consejo", E532="132 - Civil y estructuras", E532="136 - Mecánica", E532="412 - Planificación", E532="142 - Compras"), 25, 0)) +(IF(OR(S532="GRADO ING. MECÁNICA", S532="GRADO ING. ELÉCTRICA", S532="GRADO DERECHO", S532="GRADO ECONOMÍA", S532="GRADO ING. TECNOLOGÍAS INDUSTRIALES"), 24, 0)) + (IF(AND(K532&gt;=451, K532&lt;=700), 23, 0)) + (IF(AND(AB532&gt;=5, AB532&lt;=8), 17, 0)) +(IF(_xludf.OR(_xludf.AND(AC532&gt;=8, AC532&lt;=10), _xludf.AND(AC532&gt;=0, AC532&lt;=5)), 16, 0)) + (IF(F532="Madrid", 11, 0))))</f>
        <v>#NAME?</v>
      </c>
      <c r="AG532" s="68"/>
      <c r="AH532" s="71" t="s">
        <v>164</v>
      </c>
    </row>
    <row r="533" spans="1:34" s="4" customFormat="1" ht="14.4" x14ac:dyDescent="0.3">
      <c r="A533" s="66" t="s">
        <v>1553</v>
      </c>
      <c r="B533" s="66" t="s">
        <v>3670</v>
      </c>
      <c r="C533" s="33">
        <v>532</v>
      </c>
      <c r="D533" s="33" t="s">
        <v>5398</v>
      </c>
      <c r="E533" s="34" t="s">
        <v>5225</v>
      </c>
      <c r="F533" s="34" t="s">
        <v>18</v>
      </c>
      <c r="G533" s="57">
        <v>41897</v>
      </c>
      <c r="H533" s="57">
        <v>41985</v>
      </c>
      <c r="I533" s="34">
        <f t="shared" si="24"/>
        <v>2</v>
      </c>
      <c r="J533" s="34">
        <v>30</v>
      </c>
      <c r="K533" s="36">
        <v>490</v>
      </c>
      <c r="L533" s="34" t="s">
        <v>17</v>
      </c>
      <c r="M533" s="57">
        <v>34302</v>
      </c>
      <c r="N533" s="37">
        <f>(YEAR(TablaMadre[[#This Row],[ALTA]])-YEAR(M533))</f>
        <v>21</v>
      </c>
      <c r="O533" s="34" t="s">
        <v>18</v>
      </c>
      <c r="P533" s="34" t="s">
        <v>19</v>
      </c>
      <c r="Q533" s="34" t="s">
        <v>295</v>
      </c>
      <c r="R533" s="58" t="s">
        <v>30</v>
      </c>
      <c r="S533" s="34" t="s">
        <v>296</v>
      </c>
      <c r="T533" s="34"/>
      <c r="U533" s="34"/>
      <c r="V533" s="34" t="s">
        <v>56</v>
      </c>
      <c r="W533" s="34" t="s">
        <v>23</v>
      </c>
      <c r="X533" s="34" t="s">
        <v>164</v>
      </c>
      <c r="Y533" s="57"/>
      <c r="Z533" s="34" t="e">
        <f t="shared" si="25"/>
        <v>#NUM!</v>
      </c>
      <c r="AA533" s="34"/>
      <c r="AB533" s="34"/>
      <c r="AC533" s="34"/>
      <c r="AD533" s="34"/>
      <c r="AE533" s="59" t="str">
        <f t="shared" si="26"/>
        <v>NO</v>
      </c>
      <c r="AF533" s="34" t="e" cm="1">
        <f t="array" aca="1" ref="AF533" ca="1">MIN(100, MAX(0, (IF(R533="ESTUDIANTE", 31, 0)) + (IF(I533&lt;=3, 30, IF(I533&lt;=6, 20, 0))) +(IF(OR(E533="413 - Control de Costes y Enlace Construcción", E533="480 - Secretaría General del Consejo", E533="132 - Civil y estructuras", E533="136 - Mecánica", E533="412 - Planificación", E533="142 - Compras"), 25, 0)) +(IF(OR(S533="GRADO ING. MECÁNICA", S533="GRADO ING. ELÉCTRICA", S533="GRADO DERECHO", S533="GRADO ECONOMÍA", S533="GRADO ING. TECNOLOGÍAS INDUSTRIALES"), 24, 0)) + (IF(AND(K533&gt;=451, K533&lt;=700), 23, 0)) + (IF(AND(AB533&gt;=5, AB533&lt;=8), 17, 0)) +(IF(_xludf.OR(_xludf.AND(AC533&gt;=8, AC533&lt;=10), _xludf.AND(AC533&gt;=0, AC533&lt;=5)), 16, 0)) + (IF(F533="Madrid", 11, 0))))</f>
        <v>#NAME?</v>
      </c>
      <c r="AG533" s="69"/>
      <c r="AH533" s="71" t="s">
        <v>164</v>
      </c>
    </row>
    <row r="534" spans="1:34" ht="14.4" x14ac:dyDescent="0.3">
      <c r="A534" s="66" t="s">
        <v>1512</v>
      </c>
      <c r="B534" s="66" t="s">
        <v>3629</v>
      </c>
      <c r="C534" s="33">
        <v>533</v>
      </c>
      <c r="D534" s="33" t="s">
        <v>5399</v>
      </c>
      <c r="E534" s="34" t="s">
        <v>5215</v>
      </c>
      <c r="F534" s="34" t="s">
        <v>118</v>
      </c>
      <c r="G534" s="57">
        <v>41899</v>
      </c>
      <c r="H534" s="57">
        <v>42015</v>
      </c>
      <c r="I534" s="34">
        <f t="shared" si="24"/>
        <v>3</v>
      </c>
      <c r="J534" s="34">
        <v>40</v>
      </c>
      <c r="K534" s="36">
        <v>700</v>
      </c>
      <c r="L534" s="34" t="s">
        <v>29</v>
      </c>
      <c r="M534" s="57">
        <v>34868</v>
      </c>
      <c r="N534" s="37">
        <f>(YEAR(TablaMadre[[#This Row],[ALTA]])-YEAR(M534))</f>
        <v>19</v>
      </c>
      <c r="O534" s="34" t="s">
        <v>118</v>
      </c>
      <c r="P534" s="34" t="s">
        <v>19</v>
      </c>
      <c r="Q534" s="34" t="s">
        <v>298</v>
      </c>
      <c r="R534" s="58" t="s">
        <v>30</v>
      </c>
      <c r="S534" s="34" t="s">
        <v>26</v>
      </c>
      <c r="T534" s="34"/>
      <c r="U534" s="34"/>
      <c r="V534" s="34" t="s">
        <v>37</v>
      </c>
      <c r="W534" s="34" t="s">
        <v>28</v>
      </c>
      <c r="X534" s="38" t="s">
        <v>173</v>
      </c>
      <c r="Y534" s="62"/>
      <c r="Z534" s="38" t="e">
        <f t="shared" si="25"/>
        <v>#NUM!</v>
      </c>
      <c r="AA534" s="38"/>
      <c r="AB534" s="34">
        <v>10</v>
      </c>
      <c r="AC534" s="34">
        <v>8</v>
      </c>
      <c r="AD534" s="38"/>
      <c r="AE534" s="59" t="str">
        <f t="shared" si="26"/>
        <v>NO</v>
      </c>
      <c r="AF534" s="38" t="e" cm="1">
        <f t="array" aca="1" ref="AF534" ca="1">MIN(100, MAX(0, (IF(R534="ESTUDIANTE", 31, 0)) + (IF(I534&lt;=3, 30, IF(I534&lt;=6, 20, 0))) +(IF(OR(E534="413 - Control de Costes y Enlace Construcción", E534="480 - Secretaría General del Consejo", E534="132 - Civil y estructuras", E534="136 - Mecánica", E534="412 - Planificación", E534="142 - Compras"), 25, 0)) +(IF(OR(S534="GRADO ING. MECÁNICA", S534="GRADO ING. ELÉCTRICA", S534="GRADO DERECHO", S534="GRADO ECONOMÍA", S534="GRADO ING. TECNOLOGÍAS INDUSTRIALES"), 24, 0)) + (IF(AND(K534&gt;=451, K534&lt;=700), 23, 0)) + (IF(AND(AB534&gt;=5, AB534&lt;=8), 17, 0)) +(IF(_xludf.OR(_xludf.AND(AC534&gt;=8, AC534&lt;=10), _xludf.AND(AC534&gt;=0, AC534&lt;=5)), 16, 0)) + (IF(F534="Madrid", 11, 0))))</f>
        <v>#NAME?</v>
      </c>
      <c r="AG534" s="68"/>
      <c r="AH534" s="71" t="s">
        <v>164</v>
      </c>
    </row>
    <row r="535" spans="1:34" ht="14.4" x14ac:dyDescent="0.3">
      <c r="A535" s="66" t="s">
        <v>1513</v>
      </c>
      <c r="B535" s="66" t="s">
        <v>3630</v>
      </c>
      <c r="C535" s="33">
        <v>534</v>
      </c>
      <c r="D535" s="33" t="s">
        <v>5400</v>
      </c>
      <c r="E535" s="34" t="s">
        <v>5226</v>
      </c>
      <c r="F535" s="34" t="s">
        <v>118</v>
      </c>
      <c r="G535" s="57">
        <v>41904</v>
      </c>
      <c r="H535" s="57">
        <v>42268</v>
      </c>
      <c r="I535" s="34">
        <f t="shared" si="24"/>
        <v>11</v>
      </c>
      <c r="J535" s="34">
        <v>40</v>
      </c>
      <c r="K535" s="36">
        <v>900</v>
      </c>
      <c r="L535" s="34" t="s">
        <v>29</v>
      </c>
      <c r="M535" s="57">
        <v>35020</v>
      </c>
      <c r="N535" s="37">
        <f>(YEAR(TablaMadre[[#This Row],[ALTA]])-YEAR(M535))</f>
        <v>19</v>
      </c>
      <c r="O535" s="34" t="s">
        <v>118</v>
      </c>
      <c r="P535" s="34" t="s">
        <v>19</v>
      </c>
      <c r="Q535" s="34" t="s">
        <v>32</v>
      </c>
      <c r="R535" s="34" t="s">
        <v>21</v>
      </c>
      <c r="S535" s="34" t="s">
        <v>322</v>
      </c>
      <c r="T535" s="34"/>
      <c r="U535" s="34"/>
      <c r="V535" s="34" t="s">
        <v>37</v>
      </c>
      <c r="W535" s="34" t="s">
        <v>28</v>
      </c>
      <c r="X535" s="38" t="s">
        <v>173</v>
      </c>
      <c r="Y535" s="62"/>
      <c r="Z535" s="38" t="e">
        <f t="shared" si="25"/>
        <v>#NUM!</v>
      </c>
      <c r="AA535" s="38"/>
      <c r="AB535" s="34"/>
      <c r="AC535" s="34"/>
      <c r="AD535" s="38"/>
      <c r="AE535" s="59" t="str">
        <f t="shared" si="26"/>
        <v>NO</v>
      </c>
      <c r="AF535" s="38" t="e" cm="1">
        <f t="array" aca="1" ref="AF535" ca="1">MIN(100, MAX(0, (IF(R535="ESTUDIANTE", 31, 0)) + (IF(I535&lt;=3, 30, IF(I535&lt;=6, 20, 0))) +(IF(OR(E535="413 - Control de Costes y Enlace Construcción", E535="480 - Secretaría General del Consejo", E535="132 - Civil y estructuras", E535="136 - Mecánica", E535="412 - Planificación", E535="142 - Compras"), 25, 0)) +(IF(OR(S535="GRADO ING. MECÁNICA", S535="GRADO ING. ELÉCTRICA", S535="GRADO DERECHO", S535="GRADO ECONOMÍA", S535="GRADO ING. TECNOLOGÍAS INDUSTRIALES"), 24, 0)) + (IF(AND(K535&gt;=451, K535&lt;=700), 23, 0)) + (IF(AND(AB535&gt;=5, AB535&lt;=8), 17, 0)) +(IF(_xludf.OR(_xludf.AND(AC535&gt;=8, AC535&lt;=10), _xludf.AND(AC535&gt;=0, AC535&lt;=5)), 16, 0)) + (IF(F535="Madrid", 11, 0))))</f>
        <v>#NAME?</v>
      </c>
      <c r="AG535" s="68"/>
      <c r="AH535" s="71" t="s">
        <v>164</v>
      </c>
    </row>
    <row r="536" spans="1:34" ht="14.4" x14ac:dyDescent="0.3">
      <c r="A536" s="66" t="s">
        <v>1514</v>
      </c>
      <c r="B536" s="66" t="s">
        <v>3631</v>
      </c>
      <c r="C536" s="33">
        <v>535</v>
      </c>
      <c r="D536" s="33" t="s">
        <v>5401</v>
      </c>
      <c r="E536" s="34" t="s">
        <v>5233</v>
      </c>
      <c r="F536" s="34" t="s">
        <v>18</v>
      </c>
      <c r="G536" s="57">
        <v>41904</v>
      </c>
      <c r="H536" s="57">
        <v>42268</v>
      </c>
      <c r="I536" s="34">
        <f t="shared" si="24"/>
        <v>11</v>
      </c>
      <c r="J536" s="34">
        <v>40</v>
      </c>
      <c r="K536" s="36">
        <v>900</v>
      </c>
      <c r="L536" s="34" t="s">
        <v>17</v>
      </c>
      <c r="M536" s="57">
        <v>34530</v>
      </c>
      <c r="N536" s="37">
        <f>(YEAR(TablaMadre[[#This Row],[ALTA]])-YEAR(M536))</f>
        <v>20</v>
      </c>
      <c r="O536" s="34" t="s">
        <v>153</v>
      </c>
      <c r="P536" s="34" t="s">
        <v>19</v>
      </c>
      <c r="Q536" s="34" t="s">
        <v>66</v>
      </c>
      <c r="R536" s="34" t="s">
        <v>21</v>
      </c>
      <c r="S536" s="34" t="s">
        <v>322</v>
      </c>
      <c r="T536" s="34"/>
      <c r="U536" s="34"/>
      <c r="V536" s="34" t="s">
        <v>67</v>
      </c>
      <c r="W536" s="34" t="s">
        <v>28</v>
      </c>
      <c r="X536" s="38" t="s">
        <v>164</v>
      </c>
      <c r="Y536" s="62">
        <v>43800</v>
      </c>
      <c r="Z536" s="38">
        <f t="shared" si="25"/>
        <v>4</v>
      </c>
      <c r="AA536" s="38"/>
      <c r="AB536" s="34"/>
      <c r="AC536" s="34"/>
      <c r="AD536" s="38"/>
      <c r="AE536" s="59" t="str">
        <f t="shared" si="26"/>
        <v>SÍ</v>
      </c>
      <c r="AF536" s="38" t="e" cm="1">
        <f t="array" aca="1" ref="AF536" ca="1">MIN(100, MAX(0, (IF(R536="ESTUDIANTE", 31, 0)) + (IF(I536&lt;=3, 30, IF(I536&lt;=6, 20, 0))) +(IF(OR(E536="413 - Control de Costes y Enlace Construcción", E536="480 - Secretaría General del Consejo", E536="132 - Civil y estructuras", E536="136 - Mecánica", E536="412 - Planificación", E536="142 - Compras"), 25, 0)) +(IF(OR(S536="GRADO ING. MECÁNICA", S536="GRADO ING. ELÉCTRICA", S536="GRADO DERECHO", S536="GRADO ECONOMÍA", S536="GRADO ING. TECNOLOGÍAS INDUSTRIALES"), 24, 0)) + (IF(AND(K536&gt;=451, K536&lt;=700), 23, 0)) + (IF(AND(AB536&gt;=5, AB536&lt;=8), 17, 0)) +(IF(_xludf.OR(_xludf.AND(AC536&gt;=8, AC536&lt;=10), _xludf.AND(AC536&gt;=0, AC536&lt;=5)), 16, 0)) + (IF(F536="Madrid", 11, 0))))</f>
        <v>#NAME?</v>
      </c>
      <c r="AG536" s="68"/>
      <c r="AH536" s="71" t="s">
        <v>164</v>
      </c>
    </row>
    <row r="537" spans="1:34" ht="14.4" x14ac:dyDescent="0.3">
      <c r="A537" s="66" t="s">
        <v>1515</v>
      </c>
      <c r="B537" s="66" t="s">
        <v>3632</v>
      </c>
      <c r="C537" s="33">
        <v>536</v>
      </c>
      <c r="D537" s="33" t="s">
        <v>5402</v>
      </c>
      <c r="E537" s="34" t="s">
        <v>5244</v>
      </c>
      <c r="F537" s="34" t="s">
        <v>18</v>
      </c>
      <c r="G537" s="57">
        <v>41904</v>
      </c>
      <c r="H537" s="57">
        <v>42268</v>
      </c>
      <c r="I537" s="34">
        <f t="shared" si="24"/>
        <v>11</v>
      </c>
      <c r="J537" s="34">
        <v>40</v>
      </c>
      <c r="K537" s="36">
        <v>900</v>
      </c>
      <c r="L537" s="34" t="s">
        <v>17</v>
      </c>
      <c r="M537" s="57">
        <v>32590</v>
      </c>
      <c r="N537" s="37">
        <f>(YEAR(TablaMadre[[#This Row],[ALTA]])-YEAR(M537))</f>
        <v>25</v>
      </c>
      <c r="O537" s="34" t="s">
        <v>18</v>
      </c>
      <c r="P537" s="34" t="s">
        <v>19</v>
      </c>
      <c r="Q537" s="34" t="s">
        <v>327</v>
      </c>
      <c r="R537" s="34" t="s">
        <v>21</v>
      </c>
      <c r="S537" s="34" t="s">
        <v>322</v>
      </c>
      <c r="T537" s="34"/>
      <c r="U537" s="34"/>
      <c r="V537" s="34" t="s">
        <v>22</v>
      </c>
      <c r="W537" s="34" t="s">
        <v>28</v>
      </c>
      <c r="X537" s="38" t="s">
        <v>164</v>
      </c>
      <c r="Y537" s="62">
        <v>43000</v>
      </c>
      <c r="Z537" s="38">
        <f t="shared" si="25"/>
        <v>2</v>
      </c>
      <c r="AA537" s="38"/>
      <c r="AB537" s="34"/>
      <c r="AC537" s="34" t="s">
        <v>303</v>
      </c>
      <c r="AD537" s="38"/>
      <c r="AE537" s="59" t="str">
        <f t="shared" si="26"/>
        <v>NO</v>
      </c>
      <c r="AF537" s="38" t="e" cm="1">
        <f t="array" aca="1" ref="AF537" ca="1">MIN(100, MAX(0, (IF(R537="ESTUDIANTE", 31, 0)) + (IF(I537&lt;=3, 30, IF(I537&lt;=6, 20, 0))) +(IF(OR(E537="413 - Control de Costes y Enlace Construcción", E537="480 - Secretaría General del Consejo", E537="132 - Civil y estructuras", E537="136 - Mecánica", E537="412 - Planificación", E537="142 - Compras"), 25, 0)) +(IF(OR(S537="GRADO ING. MECÁNICA", S537="GRADO ING. ELÉCTRICA", S537="GRADO DERECHO", S537="GRADO ECONOMÍA", S537="GRADO ING. TECNOLOGÍAS INDUSTRIALES"), 24, 0)) + (IF(AND(K537&gt;=451, K537&lt;=700), 23, 0)) + (IF(AND(AB537&gt;=5, AB537&lt;=8), 17, 0)) +(IF(_xludf.OR(_xludf.AND(AC537&gt;=8, AC537&lt;=10), _xludf.AND(AC537&gt;=0, AC537&lt;=5)), 16, 0)) + (IF(F537="Madrid", 11, 0))))</f>
        <v>#NAME?</v>
      </c>
      <c r="AG537" s="68"/>
      <c r="AH537" s="71" t="s">
        <v>164</v>
      </c>
    </row>
    <row r="538" spans="1:34" ht="14.4" x14ac:dyDescent="0.3">
      <c r="A538" s="66" t="s">
        <v>1516</v>
      </c>
      <c r="B538" s="66" t="s">
        <v>3633</v>
      </c>
      <c r="C538" s="33">
        <v>537</v>
      </c>
      <c r="D538" s="33" t="s">
        <v>5393</v>
      </c>
      <c r="E538" s="34" t="s">
        <v>5240</v>
      </c>
      <c r="F538" s="34" t="s">
        <v>18</v>
      </c>
      <c r="G538" s="57">
        <v>41904</v>
      </c>
      <c r="H538" s="57">
        <v>42268</v>
      </c>
      <c r="I538" s="34">
        <f t="shared" si="24"/>
        <v>11</v>
      </c>
      <c r="J538" s="34">
        <v>40</v>
      </c>
      <c r="K538" s="36">
        <v>700</v>
      </c>
      <c r="L538" s="34" t="s">
        <v>17</v>
      </c>
      <c r="M538" s="57">
        <v>35423</v>
      </c>
      <c r="N538" s="37">
        <f>(YEAR(TablaMadre[[#This Row],[ALTA]])-YEAR(M538))</f>
        <v>18</v>
      </c>
      <c r="O538" s="34" t="s">
        <v>18</v>
      </c>
      <c r="P538" s="34" t="s">
        <v>19</v>
      </c>
      <c r="Q538" s="34" t="s">
        <v>294</v>
      </c>
      <c r="R538" s="58" t="s">
        <v>30</v>
      </c>
      <c r="S538" s="34" t="s">
        <v>26</v>
      </c>
      <c r="T538" s="34"/>
      <c r="U538" s="34"/>
      <c r="V538" s="34" t="s">
        <v>27</v>
      </c>
      <c r="W538" s="34" t="s">
        <v>127</v>
      </c>
      <c r="X538" s="38" t="s">
        <v>173</v>
      </c>
      <c r="Y538" s="62"/>
      <c r="Z538" s="38" t="e">
        <f t="shared" si="25"/>
        <v>#NUM!</v>
      </c>
      <c r="AA538" s="38"/>
      <c r="AB538" s="34"/>
      <c r="AC538" s="34"/>
      <c r="AD538" s="38"/>
      <c r="AE538" s="59" t="str">
        <f t="shared" si="26"/>
        <v>NO</v>
      </c>
      <c r="AF538" s="38" t="e" cm="1">
        <f t="array" aca="1" ref="AF538" ca="1">MIN(100, MAX(0, (IF(R538="ESTUDIANTE", 31, 0)) + (IF(I538&lt;=3, 30, IF(I538&lt;=6, 20, 0))) +(IF(OR(E538="413 - Control de Costes y Enlace Construcción", E538="480 - Secretaría General del Consejo", E538="132 - Civil y estructuras", E538="136 - Mecánica", E538="412 - Planificación", E538="142 - Compras"), 25, 0)) +(IF(OR(S538="GRADO ING. MECÁNICA", S538="GRADO ING. ELÉCTRICA", S538="GRADO DERECHO", S538="GRADO ECONOMÍA", S538="GRADO ING. TECNOLOGÍAS INDUSTRIALES"), 24, 0)) + (IF(AND(K538&gt;=451, K538&lt;=700), 23, 0)) + (IF(AND(AB538&gt;=5, AB538&lt;=8), 17, 0)) +(IF(_xludf.OR(_xludf.AND(AC538&gt;=8, AC538&lt;=10), _xludf.AND(AC538&gt;=0, AC538&lt;=5)), 16, 0)) + (IF(F538="Madrid", 11, 0))))</f>
        <v>#NAME?</v>
      </c>
      <c r="AG538" s="68"/>
      <c r="AH538" s="71" t="s">
        <v>164</v>
      </c>
    </row>
    <row r="539" spans="1:34" ht="14.4" x14ac:dyDescent="0.3">
      <c r="A539" s="66" t="s">
        <v>1517</v>
      </c>
      <c r="B539" s="66" t="s">
        <v>3634</v>
      </c>
      <c r="C539" s="33">
        <v>538</v>
      </c>
      <c r="D539" s="33" t="s">
        <v>5394</v>
      </c>
      <c r="E539" s="34" t="s">
        <v>5267</v>
      </c>
      <c r="F539" s="34" t="s">
        <v>18</v>
      </c>
      <c r="G539" s="57">
        <v>41904</v>
      </c>
      <c r="H539" s="57">
        <v>42268</v>
      </c>
      <c r="I539" s="34">
        <f t="shared" si="24"/>
        <v>11</v>
      </c>
      <c r="J539" s="34">
        <v>40</v>
      </c>
      <c r="K539" s="36">
        <v>900</v>
      </c>
      <c r="L539" s="34" t="s">
        <v>17</v>
      </c>
      <c r="M539" s="57">
        <v>35060</v>
      </c>
      <c r="N539" s="37">
        <f>(YEAR(TablaMadre[[#This Row],[ALTA]])-YEAR(M539))</f>
        <v>19</v>
      </c>
      <c r="O539" s="34" t="s">
        <v>18</v>
      </c>
      <c r="P539" s="34" t="s">
        <v>19</v>
      </c>
      <c r="Q539" s="34" t="s">
        <v>61</v>
      </c>
      <c r="R539" s="34" t="s">
        <v>21</v>
      </c>
      <c r="S539" s="34" t="s">
        <v>322</v>
      </c>
      <c r="T539" s="34"/>
      <c r="U539" s="34"/>
      <c r="V539" s="34" t="s">
        <v>16</v>
      </c>
      <c r="W539" s="34" t="s">
        <v>28</v>
      </c>
      <c r="X539" s="38" t="s">
        <v>173</v>
      </c>
      <c r="Y539" s="62"/>
      <c r="Z539" s="38" t="e">
        <f t="shared" si="25"/>
        <v>#NUM!</v>
      </c>
      <c r="AA539" s="38"/>
      <c r="AB539" s="34"/>
      <c r="AC539" s="34"/>
      <c r="AD539" s="38"/>
      <c r="AE539" s="59" t="str">
        <f t="shared" si="26"/>
        <v>NO</v>
      </c>
      <c r="AF539" s="38" t="e" cm="1">
        <f t="array" aca="1" ref="AF539" ca="1">MIN(100, MAX(0, (IF(R539="ESTUDIANTE", 31, 0)) + (IF(I539&lt;=3, 30, IF(I539&lt;=6, 20, 0))) +(IF(OR(E539="413 - Control de Costes y Enlace Construcción", E539="480 - Secretaría General del Consejo", E539="132 - Civil y estructuras", E539="136 - Mecánica", E539="412 - Planificación", E539="142 - Compras"), 25, 0)) +(IF(OR(S539="GRADO ING. MECÁNICA", S539="GRADO ING. ELÉCTRICA", S539="GRADO DERECHO", S539="GRADO ECONOMÍA", S539="GRADO ING. TECNOLOGÍAS INDUSTRIALES"), 24, 0)) + (IF(AND(K539&gt;=451, K539&lt;=700), 23, 0)) + (IF(AND(AB539&gt;=5, AB539&lt;=8), 17, 0)) +(IF(_xludf.OR(_xludf.AND(AC539&gt;=8, AC539&lt;=10), _xludf.AND(AC539&gt;=0, AC539&lt;=5)), 16, 0)) + (IF(F539="Madrid", 11, 0))))</f>
        <v>#NAME?</v>
      </c>
      <c r="AG539" s="68"/>
      <c r="AH539" s="71" t="s">
        <v>164</v>
      </c>
    </row>
    <row r="540" spans="1:34" ht="14.4" x14ac:dyDescent="0.3">
      <c r="A540" s="66" t="s">
        <v>1518</v>
      </c>
      <c r="B540" s="66" t="s">
        <v>3635</v>
      </c>
      <c r="C540" s="33">
        <v>539</v>
      </c>
      <c r="D540" s="33" t="s">
        <v>5395</v>
      </c>
      <c r="E540" s="34" t="s">
        <v>5216</v>
      </c>
      <c r="F540" s="34" t="s">
        <v>931</v>
      </c>
      <c r="G540" s="57">
        <v>41905</v>
      </c>
      <c r="H540" s="57">
        <v>42269</v>
      </c>
      <c r="I540" s="34">
        <f t="shared" si="24"/>
        <v>11</v>
      </c>
      <c r="J540" s="34">
        <v>40</v>
      </c>
      <c r="K540" s="36">
        <v>1000</v>
      </c>
      <c r="L540" s="34" t="s">
        <v>17</v>
      </c>
      <c r="M540" s="57">
        <v>34544</v>
      </c>
      <c r="N540" s="37">
        <f>(YEAR(TablaMadre[[#This Row],[ALTA]])-YEAR(M540))</f>
        <v>20</v>
      </c>
      <c r="O540" s="34" t="s">
        <v>95</v>
      </c>
      <c r="P540" s="34" t="s">
        <v>95</v>
      </c>
      <c r="Q540" s="34" t="s">
        <v>63</v>
      </c>
      <c r="R540" s="34" t="s">
        <v>21</v>
      </c>
      <c r="S540" s="34" t="s">
        <v>297</v>
      </c>
      <c r="T540" s="34"/>
      <c r="U540" s="34"/>
      <c r="V540" s="34" t="s">
        <v>90</v>
      </c>
      <c r="W540" s="34" t="s">
        <v>97</v>
      </c>
      <c r="X540" s="38" t="s">
        <v>164</v>
      </c>
      <c r="Y540" s="62">
        <v>42430</v>
      </c>
      <c r="Z540" s="38">
        <f t="shared" si="25"/>
        <v>0</v>
      </c>
      <c r="AA540" s="38"/>
      <c r="AB540" s="34"/>
      <c r="AC540" s="34"/>
      <c r="AD540" s="38"/>
      <c r="AE540" s="59" t="str">
        <f t="shared" si="26"/>
        <v>SÍ</v>
      </c>
      <c r="AF540" s="38" t="e" cm="1">
        <f t="array" aca="1" ref="AF540" ca="1">MIN(100, MAX(0, (IF(R540="ESTUDIANTE", 31, 0)) + (IF(I540&lt;=3, 30, IF(I540&lt;=6, 20, 0))) +(IF(OR(E540="413 - Control de Costes y Enlace Construcción", E540="480 - Secretaría General del Consejo", E540="132 - Civil y estructuras", E540="136 - Mecánica", E540="412 - Planificación", E540="142 - Compras"), 25, 0)) +(IF(OR(S540="GRADO ING. MECÁNICA", S540="GRADO ING. ELÉCTRICA", S540="GRADO DERECHO", S540="GRADO ECONOMÍA", S540="GRADO ING. TECNOLOGÍAS INDUSTRIALES"), 24, 0)) + (IF(AND(K540&gt;=451, K540&lt;=700), 23, 0)) + (IF(AND(AB540&gt;=5, AB540&lt;=8), 17, 0)) +(IF(_xludf.OR(_xludf.AND(AC540&gt;=8, AC540&lt;=10), _xludf.AND(AC540&gt;=0, AC540&lt;=5)), 16, 0)) + (IF(F540="Madrid", 11, 0))))</f>
        <v>#NAME?</v>
      </c>
      <c r="AG540" s="68"/>
      <c r="AH540" s="71" t="s">
        <v>164</v>
      </c>
    </row>
    <row r="541" spans="1:34" ht="14.4" x14ac:dyDescent="0.3">
      <c r="A541" s="66" t="s">
        <v>1519</v>
      </c>
      <c r="B541" s="66" t="s">
        <v>3636</v>
      </c>
      <c r="C541" s="33">
        <v>540</v>
      </c>
      <c r="D541" s="33" t="s">
        <v>5396</v>
      </c>
      <c r="E541" s="34" t="s">
        <v>5231</v>
      </c>
      <c r="F541" s="34" t="s">
        <v>931</v>
      </c>
      <c r="G541" s="57">
        <v>41905</v>
      </c>
      <c r="H541" s="57">
        <v>42269</v>
      </c>
      <c r="I541" s="34">
        <f t="shared" si="24"/>
        <v>11</v>
      </c>
      <c r="J541" s="34">
        <v>40</v>
      </c>
      <c r="K541" s="36">
        <v>1000</v>
      </c>
      <c r="L541" s="34" t="s">
        <v>17</v>
      </c>
      <c r="M541" s="57">
        <v>35970</v>
      </c>
      <c r="N541" s="37">
        <f>(YEAR(TablaMadre[[#This Row],[ALTA]])-YEAR(M541))</f>
        <v>16</v>
      </c>
      <c r="O541" s="34" t="s">
        <v>95</v>
      </c>
      <c r="P541" s="34" t="s">
        <v>95</v>
      </c>
      <c r="Q541" s="34" t="s">
        <v>85</v>
      </c>
      <c r="R541" s="34" t="s">
        <v>21</v>
      </c>
      <c r="S541" s="34" t="s">
        <v>322</v>
      </c>
      <c r="T541" s="34"/>
      <c r="U541" s="34"/>
      <c r="V541" s="34" t="s">
        <v>90</v>
      </c>
      <c r="W541" s="34" t="s">
        <v>97</v>
      </c>
      <c r="X541" s="38" t="s">
        <v>164</v>
      </c>
      <c r="Y541" s="62">
        <v>42413</v>
      </c>
      <c r="Z541" s="38">
        <f t="shared" si="25"/>
        <v>0</v>
      </c>
      <c r="AA541" s="38"/>
      <c r="AB541" s="34"/>
      <c r="AC541" s="34"/>
      <c r="AD541" s="38"/>
      <c r="AE541" s="59" t="str">
        <f t="shared" si="26"/>
        <v>SÍ</v>
      </c>
      <c r="AF541" s="38" t="e" cm="1">
        <f t="array" aca="1" ref="AF541" ca="1">MIN(100, MAX(0, (IF(R541="ESTUDIANTE", 31, 0)) + (IF(I541&lt;=3, 30, IF(I541&lt;=6, 20, 0))) +(IF(OR(E541="413 - Control de Costes y Enlace Construcción", E541="480 - Secretaría General del Consejo", E541="132 - Civil y estructuras", E541="136 - Mecánica", E541="412 - Planificación", E541="142 - Compras"), 25, 0)) +(IF(OR(S541="GRADO ING. MECÁNICA", S541="GRADO ING. ELÉCTRICA", S541="GRADO DERECHO", S541="GRADO ECONOMÍA", S541="GRADO ING. TECNOLOGÍAS INDUSTRIALES"), 24, 0)) + (IF(AND(K541&gt;=451, K541&lt;=700), 23, 0)) + (IF(AND(AB541&gt;=5, AB541&lt;=8), 17, 0)) +(IF(_xludf.OR(_xludf.AND(AC541&gt;=8, AC541&lt;=10), _xludf.AND(AC541&gt;=0, AC541&lt;=5)), 16, 0)) + (IF(F541="Madrid", 11, 0))))</f>
        <v>#NAME?</v>
      </c>
      <c r="AG541" s="68"/>
      <c r="AH541" s="71" t="s">
        <v>164</v>
      </c>
    </row>
    <row r="542" spans="1:34" ht="14.4" x14ac:dyDescent="0.3">
      <c r="A542" s="66" t="s">
        <v>1520</v>
      </c>
      <c r="B542" s="66" t="s">
        <v>3637</v>
      </c>
      <c r="C542" s="33">
        <v>541</v>
      </c>
      <c r="D542" s="33" t="s">
        <v>5397</v>
      </c>
      <c r="E542" s="34" t="s">
        <v>5246</v>
      </c>
      <c r="F542" s="34" t="s">
        <v>931</v>
      </c>
      <c r="G542" s="57">
        <v>41905</v>
      </c>
      <c r="H542" s="57">
        <v>42269</v>
      </c>
      <c r="I542" s="34">
        <f t="shared" si="24"/>
        <v>11</v>
      </c>
      <c r="J542" s="34">
        <v>40</v>
      </c>
      <c r="K542" s="36">
        <v>1000</v>
      </c>
      <c r="L542" s="34" t="s">
        <v>17</v>
      </c>
      <c r="M542" s="57">
        <v>35208</v>
      </c>
      <c r="N542" s="37">
        <f>(YEAR(TablaMadre[[#This Row],[ALTA]])-YEAR(M542))</f>
        <v>18</v>
      </c>
      <c r="O542" s="34" t="s">
        <v>95</v>
      </c>
      <c r="P542" s="34" t="s">
        <v>95</v>
      </c>
      <c r="Q542" s="34" t="s">
        <v>237</v>
      </c>
      <c r="R542" s="34" t="s">
        <v>21</v>
      </c>
      <c r="S542" s="34" t="s">
        <v>322</v>
      </c>
      <c r="T542" s="34"/>
      <c r="U542" s="34"/>
      <c r="V542" s="34" t="s">
        <v>90</v>
      </c>
      <c r="W542" s="34" t="s">
        <v>97</v>
      </c>
      <c r="X542" s="38" t="s">
        <v>164</v>
      </c>
      <c r="Y542" s="62">
        <v>42430</v>
      </c>
      <c r="Z542" s="38">
        <f t="shared" si="25"/>
        <v>0</v>
      </c>
      <c r="AA542" s="38"/>
      <c r="AB542" s="34"/>
      <c r="AC542" s="34"/>
      <c r="AD542" s="38"/>
      <c r="AE542" s="59" t="str">
        <f t="shared" si="26"/>
        <v>SÍ</v>
      </c>
      <c r="AF542" s="38" t="e" cm="1">
        <f t="array" aca="1" ref="AF542" ca="1">MIN(100, MAX(0, (IF(R542="ESTUDIANTE", 31, 0)) + (IF(I542&lt;=3, 30, IF(I542&lt;=6, 20, 0))) +(IF(OR(E542="413 - Control de Costes y Enlace Construcción", E542="480 - Secretaría General del Consejo", E542="132 - Civil y estructuras", E542="136 - Mecánica", E542="412 - Planificación", E542="142 - Compras"), 25, 0)) +(IF(OR(S542="GRADO ING. MECÁNICA", S542="GRADO ING. ELÉCTRICA", S542="GRADO DERECHO", S542="GRADO ECONOMÍA", S542="GRADO ING. TECNOLOGÍAS INDUSTRIALES"), 24, 0)) + (IF(AND(K542&gt;=451, K542&lt;=700), 23, 0)) + (IF(AND(AB542&gt;=5, AB542&lt;=8), 17, 0)) +(IF(_xludf.OR(_xludf.AND(AC542&gt;=8, AC542&lt;=10), _xludf.AND(AC542&gt;=0, AC542&lt;=5)), 16, 0)) + (IF(F542="Madrid", 11, 0))))</f>
        <v>#NAME?</v>
      </c>
      <c r="AG542" s="68"/>
      <c r="AH542" s="71" t="s">
        <v>164</v>
      </c>
    </row>
    <row r="543" spans="1:34" ht="14.4" x14ac:dyDescent="0.3">
      <c r="A543" s="66" t="s">
        <v>1521</v>
      </c>
      <c r="B543" s="66" t="s">
        <v>3638</v>
      </c>
      <c r="C543" s="33">
        <v>542</v>
      </c>
      <c r="D543" s="33" t="s">
        <v>5398</v>
      </c>
      <c r="E543" s="34" t="s">
        <v>5252</v>
      </c>
      <c r="F543" s="34" t="s">
        <v>931</v>
      </c>
      <c r="G543" s="57">
        <v>41905</v>
      </c>
      <c r="H543" s="57">
        <v>42269</v>
      </c>
      <c r="I543" s="34">
        <f t="shared" si="24"/>
        <v>11</v>
      </c>
      <c r="J543" s="34">
        <v>40</v>
      </c>
      <c r="K543" s="36">
        <v>1000</v>
      </c>
      <c r="L543" s="34" t="s">
        <v>17</v>
      </c>
      <c r="M543" s="57">
        <v>33806</v>
      </c>
      <c r="N543" s="37">
        <f>(YEAR(TablaMadre[[#This Row],[ALTA]])-YEAR(M543))</f>
        <v>22</v>
      </c>
      <c r="O543" s="34" t="s">
        <v>95</v>
      </c>
      <c r="P543" s="34" t="s">
        <v>95</v>
      </c>
      <c r="Q543" s="34" t="s">
        <v>85</v>
      </c>
      <c r="R543" s="34" t="s">
        <v>21</v>
      </c>
      <c r="S543" s="34" t="s">
        <v>322</v>
      </c>
      <c r="T543" s="34"/>
      <c r="U543" s="34"/>
      <c r="V543" s="34" t="s">
        <v>90</v>
      </c>
      <c r="W543" s="34" t="s">
        <v>97</v>
      </c>
      <c r="X543" s="38" t="s">
        <v>164</v>
      </c>
      <c r="Y543" s="62">
        <v>42430</v>
      </c>
      <c r="Z543" s="38">
        <f t="shared" si="25"/>
        <v>0</v>
      </c>
      <c r="AA543" s="38"/>
      <c r="AB543" s="34"/>
      <c r="AC543" s="34"/>
      <c r="AD543" s="38"/>
      <c r="AE543" s="59" t="str">
        <f t="shared" si="26"/>
        <v>SÍ</v>
      </c>
      <c r="AF543" s="38" t="e" cm="1">
        <f t="array" aca="1" ref="AF543" ca="1">MIN(100, MAX(0, (IF(R543="ESTUDIANTE", 31, 0)) + (IF(I543&lt;=3, 30, IF(I543&lt;=6, 20, 0))) +(IF(OR(E543="413 - Control de Costes y Enlace Construcción", E543="480 - Secretaría General del Consejo", E543="132 - Civil y estructuras", E543="136 - Mecánica", E543="412 - Planificación", E543="142 - Compras"), 25, 0)) +(IF(OR(S543="GRADO ING. MECÁNICA", S543="GRADO ING. ELÉCTRICA", S543="GRADO DERECHO", S543="GRADO ECONOMÍA", S543="GRADO ING. TECNOLOGÍAS INDUSTRIALES"), 24, 0)) + (IF(AND(K543&gt;=451, K543&lt;=700), 23, 0)) + (IF(AND(AB543&gt;=5, AB543&lt;=8), 17, 0)) +(IF(_xludf.OR(_xludf.AND(AC543&gt;=8, AC543&lt;=10), _xludf.AND(AC543&gt;=0, AC543&lt;=5)), 16, 0)) + (IF(F543="Madrid", 11, 0))))</f>
        <v>#NAME?</v>
      </c>
      <c r="AG543" s="68"/>
      <c r="AH543" s="71" t="s">
        <v>164</v>
      </c>
    </row>
    <row r="544" spans="1:34" ht="14.4" x14ac:dyDescent="0.3">
      <c r="A544" s="66" t="s">
        <v>1522</v>
      </c>
      <c r="B544" s="66" t="s">
        <v>3639</v>
      </c>
      <c r="C544" s="33">
        <v>543</v>
      </c>
      <c r="D544" s="33" t="s">
        <v>5399</v>
      </c>
      <c r="E544" s="34" t="s">
        <v>5252</v>
      </c>
      <c r="F544" s="34" t="s">
        <v>931</v>
      </c>
      <c r="G544" s="57">
        <v>41905</v>
      </c>
      <c r="H544" s="57">
        <v>42269</v>
      </c>
      <c r="I544" s="34">
        <f t="shared" si="24"/>
        <v>11</v>
      </c>
      <c r="J544" s="34">
        <v>40</v>
      </c>
      <c r="K544" s="36">
        <v>1000</v>
      </c>
      <c r="L544" s="34" t="s">
        <v>17</v>
      </c>
      <c r="M544" s="57">
        <v>36205</v>
      </c>
      <c r="N544" s="37">
        <f>(YEAR(TablaMadre[[#This Row],[ALTA]])-YEAR(M544))</f>
        <v>15</v>
      </c>
      <c r="O544" s="34" t="s">
        <v>95</v>
      </c>
      <c r="P544" s="34" t="s">
        <v>95</v>
      </c>
      <c r="Q544" s="34" t="s">
        <v>85</v>
      </c>
      <c r="R544" s="34" t="s">
        <v>21</v>
      </c>
      <c r="S544" s="34" t="s">
        <v>322</v>
      </c>
      <c r="T544" s="34"/>
      <c r="U544" s="34"/>
      <c r="V544" s="34" t="s">
        <v>90</v>
      </c>
      <c r="W544" s="34" t="s">
        <v>97</v>
      </c>
      <c r="X544" s="38" t="s">
        <v>164</v>
      </c>
      <c r="Y544" s="62">
        <v>42461</v>
      </c>
      <c r="Z544" s="38">
        <f t="shared" si="25"/>
        <v>0</v>
      </c>
      <c r="AA544" s="38"/>
      <c r="AB544" s="34"/>
      <c r="AC544" s="34"/>
      <c r="AD544" s="38"/>
      <c r="AE544" s="59" t="str">
        <f t="shared" si="26"/>
        <v>SÍ</v>
      </c>
      <c r="AF544" s="38" t="e" cm="1">
        <f t="array" aca="1" ref="AF544" ca="1">MIN(100, MAX(0, (IF(R544="ESTUDIANTE", 31, 0)) + (IF(I544&lt;=3, 30, IF(I544&lt;=6, 20, 0))) +(IF(OR(E544="413 - Control de Costes y Enlace Construcción", E544="480 - Secretaría General del Consejo", E544="132 - Civil y estructuras", E544="136 - Mecánica", E544="412 - Planificación", E544="142 - Compras"), 25, 0)) +(IF(OR(S544="GRADO ING. MECÁNICA", S544="GRADO ING. ELÉCTRICA", S544="GRADO DERECHO", S544="GRADO ECONOMÍA", S544="GRADO ING. TECNOLOGÍAS INDUSTRIALES"), 24, 0)) + (IF(AND(K544&gt;=451, K544&lt;=700), 23, 0)) + (IF(AND(AB544&gt;=5, AB544&lt;=8), 17, 0)) +(IF(_xludf.OR(_xludf.AND(AC544&gt;=8, AC544&lt;=10), _xludf.AND(AC544&gt;=0, AC544&lt;=5)), 16, 0)) + (IF(F544="Madrid", 11, 0))))</f>
        <v>#NAME?</v>
      </c>
      <c r="AG544" s="68"/>
      <c r="AH544" s="71" t="s">
        <v>164</v>
      </c>
    </row>
    <row r="545" spans="1:34" s="4" customFormat="1" ht="14.4" x14ac:dyDescent="0.3">
      <c r="A545" s="66" t="s">
        <v>1523</v>
      </c>
      <c r="B545" s="66" t="s">
        <v>3640</v>
      </c>
      <c r="C545" s="33">
        <v>544</v>
      </c>
      <c r="D545" s="33" t="s">
        <v>5393</v>
      </c>
      <c r="E545" s="34" t="s">
        <v>5285</v>
      </c>
      <c r="F545" s="34" t="s">
        <v>931</v>
      </c>
      <c r="G545" s="57">
        <v>41905</v>
      </c>
      <c r="H545" s="57">
        <v>42269</v>
      </c>
      <c r="I545" s="34">
        <f t="shared" si="24"/>
        <v>11</v>
      </c>
      <c r="J545" s="34">
        <v>40</v>
      </c>
      <c r="K545" s="36">
        <v>1000</v>
      </c>
      <c r="L545" s="34" t="s">
        <v>17</v>
      </c>
      <c r="M545" s="57">
        <v>34502</v>
      </c>
      <c r="N545" s="37">
        <f>(YEAR(TablaMadre[[#This Row],[ALTA]])-YEAR(M545))</f>
        <v>20</v>
      </c>
      <c r="O545" s="34" t="s">
        <v>95</v>
      </c>
      <c r="P545" s="34" t="s">
        <v>95</v>
      </c>
      <c r="Q545" s="34" t="s">
        <v>150</v>
      </c>
      <c r="R545" s="34" t="s">
        <v>21</v>
      </c>
      <c r="S545" s="34" t="s">
        <v>151</v>
      </c>
      <c r="T545" s="34"/>
      <c r="U545" s="34"/>
      <c r="V545" s="34" t="s">
        <v>90</v>
      </c>
      <c r="W545" s="34" t="s">
        <v>97</v>
      </c>
      <c r="X545" s="34" t="s">
        <v>164</v>
      </c>
      <c r="Y545" s="57">
        <v>42658</v>
      </c>
      <c r="Z545" s="34">
        <f t="shared" si="25"/>
        <v>1</v>
      </c>
      <c r="AA545" s="34"/>
      <c r="AB545" s="34"/>
      <c r="AC545" s="34"/>
      <c r="AD545" s="34"/>
      <c r="AE545" s="59" t="str">
        <f t="shared" si="26"/>
        <v>SÍ</v>
      </c>
      <c r="AF545" s="34" t="e" cm="1">
        <f t="array" aca="1" ref="AF545" ca="1">MIN(100, MAX(0, (IF(R545="ESTUDIANTE", 31, 0)) + (IF(I545&lt;=3, 30, IF(I545&lt;=6, 20, 0))) +(IF(OR(E545="413 - Control de Costes y Enlace Construcción", E545="480 - Secretaría General del Consejo", E545="132 - Civil y estructuras", E545="136 - Mecánica", E545="412 - Planificación", E545="142 - Compras"), 25, 0)) +(IF(OR(S545="GRADO ING. MECÁNICA", S545="GRADO ING. ELÉCTRICA", S545="GRADO DERECHO", S545="GRADO ECONOMÍA", S545="GRADO ING. TECNOLOGÍAS INDUSTRIALES"), 24, 0)) + (IF(AND(K545&gt;=451, K545&lt;=700), 23, 0)) + (IF(AND(AB545&gt;=5, AB545&lt;=8), 17, 0)) +(IF(_xludf.OR(_xludf.AND(AC545&gt;=8, AC545&lt;=10), _xludf.AND(AC545&gt;=0, AC545&lt;=5)), 16, 0)) + (IF(F545="Madrid", 11, 0))))</f>
        <v>#NAME?</v>
      </c>
      <c r="AG545" s="69"/>
      <c r="AH545" s="71" t="s">
        <v>164</v>
      </c>
    </row>
    <row r="546" spans="1:34" ht="14.4" x14ac:dyDescent="0.3">
      <c r="A546" s="66" t="s">
        <v>1573</v>
      </c>
      <c r="B546" s="66" t="s">
        <v>3690</v>
      </c>
      <c r="C546" s="33">
        <v>545</v>
      </c>
      <c r="D546" s="33" t="s">
        <v>5394</v>
      </c>
      <c r="E546" s="34" t="s">
        <v>5286</v>
      </c>
      <c r="F546" s="34" t="s">
        <v>18</v>
      </c>
      <c r="G546" s="57">
        <v>41906</v>
      </c>
      <c r="H546" s="57">
        <v>42369</v>
      </c>
      <c r="I546" s="34">
        <f t="shared" si="24"/>
        <v>15</v>
      </c>
      <c r="J546" s="34">
        <v>40</v>
      </c>
      <c r="K546" s="36">
        <v>600</v>
      </c>
      <c r="L546" s="34" t="s">
        <v>29</v>
      </c>
      <c r="M546" s="57">
        <v>35116</v>
      </c>
      <c r="N546" s="37">
        <f>(YEAR(TablaMadre[[#This Row],[ALTA]])-YEAR(M546))</f>
        <v>18</v>
      </c>
      <c r="O546" s="34" t="s">
        <v>18</v>
      </c>
      <c r="P546" s="34" t="s">
        <v>19</v>
      </c>
      <c r="Q546" s="34" t="s">
        <v>342</v>
      </c>
      <c r="R546" s="58" t="s">
        <v>30</v>
      </c>
      <c r="S546" s="34" t="s">
        <v>26</v>
      </c>
      <c r="T546" s="34"/>
      <c r="U546" s="34"/>
      <c r="V546" s="34" t="s">
        <v>27</v>
      </c>
      <c r="W546" s="34" t="s">
        <v>23</v>
      </c>
      <c r="X546" s="38" t="s">
        <v>164</v>
      </c>
      <c r="Y546" s="62"/>
      <c r="Z546" s="38" t="e">
        <f t="shared" si="25"/>
        <v>#NUM!</v>
      </c>
      <c r="AA546" s="38"/>
      <c r="AB546" s="34"/>
      <c r="AC546" s="34">
        <v>6</v>
      </c>
      <c r="AD546" s="38"/>
      <c r="AE546" s="59" t="str">
        <f t="shared" si="26"/>
        <v>NO</v>
      </c>
      <c r="AF546" s="38" t="e" cm="1">
        <f t="array" aca="1" ref="AF546" ca="1">MIN(100, MAX(0, (IF(R546="ESTUDIANTE", 31, 0)) + (IF(I546&lt;=3, 30, IF(I546&lt;=6, 20, 0))) +(IF(OR(E546="413 - Control de Costes y Enlace Construcción", E546="480 - Secretaría General del Consejo", E546="132 - Civil y estructuras", E546="136 - Mecánica", E546="412 - Planificación", E546="142 - Compras"), 25, 0)) +(IF(OR(S546="GRADO ING. MECÁNICA", S546="GRADO ING. ELÉCTRICA", S546="GRADO DERECHO", S546="GRADO ECONOMÍA", S546="GRADO ING. TECNOLOGÍAS INDUSTRIALES"), 24, 0)) + (IF(AND(K546&gt;=451, K546&lt;=700), 23, 0)) + (IF(AND(AB546&gt;=5, AB546&lt;=8), 17, 0)) +(IF(_xludf.OR(_xludf.AND(AC546&gt;=8, AC546&lt;=10), _xludf.AND(AC546&gt;=0, AC546&lt;=5)), 16, 0)) + (IF(F546="Madrid", 11, 0))))</f>
        <v>#NAME?</v>
      </c>
      <c r="AG546" s="68"/>
      <c r="AH546" s="71" t="s">
        <v>164</v>
      </c>
    </row>
    <row r="547" spans="1:34" ht="14.4" x14ac:dyDescent="0.3">
      <c r="A547" s="66" t="s">
        <v>1525</v>
      </c>
      <c r="B547" s="66" t="s">
        <v>3642</v>
      </c>
      <c r="C547" s="33">
        <v>546</v>
      </c>
      <c r="D547" s="33" t="s">
        <v>5395</v>
      </c>
      <c r="E547" s="34" t="s">
        <v>5252</v>
      </c>
      <c r="F547" s="34" t="s">
        <v>931</v>
      </c>
      <c r="G547" s="57">
        <v>41912</v>
      </c>
      <c r="H547" s="57">
        <v>42276</v>
      </c>
      <c r="I547" s="34">
        <f t="shared" si="24"/>
        <v>11</v>
      </c>
      <c r="J547" s="34">
        <v>40</v>
      </c>
      <c r="K547" s="36">
        <v>1000</v>
      </c>
      <c r="L547" s="34" t="s">
        <v>17</v>
      </c>
      <c r="M547" s="57">
        <v>35423</v>
      </c>
      <c r="N547" s="37">
        <f>(YEAR(TablaMadre[[#This Row],[ALTA]])-YEAR(M547))</f>
        <v>18</v>
      </c>
      <c r="O547" s="34" t="s">
        <v>95</v>
      </c>
      <c r="P547" s="34" t="s">
        <v>95</v>
      </c>
      <c r="Q547" s="34" t="s">
        <v>85</v>
      </c>
      <c r="R547" s="34" t="s">
        <v>21</v>
      </c>
      <c r="S547" s="34" t="s">
        <v>322</v>
      </c>
      <c r="T547" s="34"/>
      <c r="U547" s="34"/>
      <c r="V547" s="34" t="s">
        <v>90</v>
      </c>
      <c r="W547" s="34" t="s">
        <v>97</v>
      </c>
      <c r="X547" s="38" t="s">
        <v>164</v>
      </c>
      <c r="Y547" s="62">
        <v>42461</v>
      </c>
      <c r="Z547" s="38">
        <f t="shared" si="25"/>
        <v>0</v>
      </c>
      <c r="AA547" s="38"/>
      <c r="AB547" s="34"/>
      <c r="AC547" s="34"/>
      <c r="AD547" s="38"/>
      <c r="AE547" s="59" t="str">
        <f t="shared" si="26"/>
        <v>SÍ</v>
      </c>
      <c r="AF547" s="38" t="e" cm="1">
        <f t="array" aca="1" ref="AF547" ca="1">MIN(100, MAX(0, (IF(R547="ESTUDIANTE", 31, 0)) + (IF(I547&lt;=3, 30, IF(I547&lt;=6, 20, 0))) +(IF(OR(E547="413 - Control de Costes y Enlace Construcción", E547="480 - Secretaría General del Consejo", E547="132 - Civil y estructuras", E547="136 - Mecánica", E547="412 - Planificación", E547="142 - Compras"), 25, 0)) +(IF(OR(S547="GRADO ING. MECÁNICA", S547="GRADO ING. ELÉCTRICA", S547="GRADO DERECHO", S547="GRADO ECONOMÍA", S547="GRADO ING. TECNOLOGÍAS INDUSTRIALES"), 24, 0)) + (IF(AND(K547&gt;=451, K547&lt;=700), 23, 0)) + (IF(AND(AB547&gt;=5, AB547&lt;=8), 17, 0)) +(IF(_xludf.OR(_xludf.AND(AC547&gt;=8, AC547&lt;=10), _xludf.AND(AC547&gt;=0, AC547&lt;=5)), 16, 0)) + (IF(F547="Madrid", 11, 0))))</f>
        <v>#NAME?</v>
      </c>
      <c r="AG547" s="68"/>
      <c r="AH547" s="71" t="s">
        <v>164</v>
      </c>
    </row>
    <row r="548" spans="1:34" ht="14.4" x14ac:dyDescent="0.3">
      <c r="A548" s="66" t="s">
        <v>1526</v>
      </c>
      <c r="B548" s="66" t="s">
        <v>3643</v>
      </c>
      <c r="C548" s="33">
        <v>547</v>
      </c>
      <c r="D548" s="33" t="s">
        <v>5396</v>
      </c>
      <c r="E548" s="34" t="s">
        <v>5233</v>
      </c>
      <c r="F548" s="34" t="s">
        <v>931</v>
      </c>
      <c r="G548" s="57">
        <v>41912</v>
      </c>
      <c r="H548" s="57">
        <v>42276</v>
      </c>
      <c r="I548" s="34">
        <f t="shared" si="24"/>
        <v>11</v>
      </c>
      <c r="J548" s="34">
        <v>40</v>
      </c>
      <c r="K548" s="36">
        <v>1000</v>
      </c>
      <c r="L548" s="34" t="s">
        <v>17</v>
      </c>
      <c r="M548" s="57">
        <v>34484</v>
      </c>
      <c r="N548" s="37">
        <f>(YEAR(TablaMadre[[#This Row],[ALTA]])-YEAR(M548))</f>
        <v>20</v>
      </c>
      <c r="O548" s="34" t="s">
        <v>95</v>
      </c>
      <c r="P548" s="34" t="s">
        <v>95</v>
      </c>
      <c r="Q548" s="34" t="s">
        <v>85</v>
      </c>
      <c r="R548" s="34" t="s">
        <v>21</v>
      </c>
      <c r="S548" s="34" t="s">
        <v>322</v>
      </c>
      <c r="T548" s="34"/>
      <c r="U548" s="34"/>
      <c r="V548" s="34" t="s">
        <v>90</v>
      </c>
      <c r="W548" s="34" t="s">
        <v>97</v>
      </c>
      <c r="X548" s="38" t="s">
        <v>164</v>
      </c>
      <c r="Y548" s="62">
        <v>42545</v>
      </c>
      <c r="Z548" s="38">
        <f t="shared" si="25"/>
        <v>0</v>
      </c>
      <c r="AA548" s="38"/>
      <c r="AB548" s="34"/>
      <c r="AC548" s="34"/>
      <c r="AD548" s="38"/>
      <c r="AE548" s="59" t="str">
        <f t="shared" si="26"/>
        <v>SÍ</v>
      </c>
      <c r="AF548" s="38" t="e" cm="1">
        <f t="array" aca="1" ref="AF548" ca="1">MIN(100, MAX(0, (IF(R548="ESTUDIANTE", 31, 0)) + (IF(I548&lt;=3, 30, IF(I548&lt;=6, 20, 0))) +(IF(OR(E548="413 - Control de Costes y Enlace Construcción", E548="480 - Secretaría General del Consejo", E548="132 - Civil y estructuras", E548="136 - Mecánica", E548="412 - Planificación", E548="142 - Compras"), 25, 0)) +(IF(OR(S548="GRADO ING. MECÁNICA", S548="GRADO ING. ELÉCTRICA", S548="GRADO DERECHO", S548="GRADO ECONOMÍA", S548="GRADO ING. TECNOLOGÍAS INDUSTRIALES"), 24, 0)) + (IF(AND(K548&gt;=451, K548&lt;=700), 23, 0)) + (IF(AND(AB548&gt;=5, AB548&lt;=8), 17, 0)) +(IF(_xludf.OR(_xludf.AND(AC548&gt;=8, AC548&lt;=10), _xludf.AND(AC548&gt;=0, AC548&lt;=5)), 16, 0)) + (IF(F548="Madrid", 11, 0))))</f>
        <v>#NAME?</v>
      </c>
      <c r="AG548" s="68"/>
      <c r="AH548" s="71" t="s">
        <v>164</v>
      </c>
    </row>
    <row r="549" spans="1:34" ht="14.4" x14ac:dyDescent="0.3">
      <c r="A549" s="66" t="s">
        <v>1527</v>
      </c>
      <c r="B549" s="66" t="s">
        <v>3644</v>
      </c>
      <c r="C549" s="33">
        <v>548</v>
      </c>
      <c r="D549" s="33" t="s">
        <v>5397</v>
      </c>
      <c r="E549" s="34" t="s">
        <v>5252</v>
      </c>
      <c r="F549" s="34" t="s">
        <v>931</v>
      </c>
      <c r="G549" s="57">
        <v>41912</v>
      </c>
      <c r="H549" s="57">
        <v>42276</v>
      </c>
      <c r="I549" s="34">
        <f t="shared" si="24"/>
        <v>11</v>
      </c>
      <c r="J549" s="34">
        <v>40</v>
      </c>
      <c r="K549" s="36">
        <v>1000</v>
      </c>
      <c r="L549" s="34" t="s">
        <v>17</v>
      </c>
      <c r="M549" s="57">
        <v>34017</v>
      </c>
      <c r="N549" s="37">
        <f>(YEAR(TablaMadre[[#This Row],[ALTA]])-YEAR(M549))</f>
        <v>21</v>
      </c>
      <c r="O549" s="34" t="s">
        <v>95</v>
      </c>
      <c r="P549" s="34" t="s">
        <v>95</v>
      </c>
      <c r="Q549" s="34" t="s">
        <v>85</v>
      </c>
      <c r="R549" s="34" t="s">
        <v>21</v>
      </c>
      <c r="S549" s="34" t="s">
        <v>322</v>
      </c>
      <c r="T549" s="34"/>
      <c r="U549" s="34"/>
      <c r="V549" s="34" t="s">
        <v>90</v>
      </c>
      <c r="W549" s="34" t="s">
        <v>97</v>
      </c>
      <c r="X549" s="38" t="s">
        <v>164</v>
      </c>
      <c r="Y549" s="62">
        <v>42491</v>
      </c>
      <c r="Z549" s="38">
        <f t="shared" si="25"/>
        <v>0</v>
      </c>
      <c r="AA549" s="38"/>
      <c r="AB549" s="34"/>
      <c r="AC549" s="34"/>
      <c r="AD549" s="38"/>
      <c r="AE549" s="59" t="str">
        <f t="shared" si="26"/>
        <v>SÍ</v>
      </c>
      <c r="AF549" s="38" t="e" cm="1">
        <f t="array" aca="1" ref="AF549" ca="1">MIN(100, MAX(0, (IF(R549="ESTUDIANTE", 31, 0)) + (IF(I549&lt;=3, 30, IF(I549&lt;=6, 20, 0))) +(IF(OR(E549="413 - Control de Costes y Enlace Construcción", E549="480 - Secretaría General del Consejo", E549="132 - Civil y estructuras", E549="136 - Mecánica", E549="412 - Planificación", E549="142 - Compras"), 25, 0)) +(IF(OR(S549="GRADO ING. MECÁNICA", S549="GRADO ING. ELÉCTRICA", S549="GRADO DERECHO", S549="GRADO ECONOMÍA", S549="GRADO ING. TECNOLOGÍAS INDUSTRIALES"), 24, 0)) + (IF(AND(K549&gt;=451, K549&lt;=700), 23, 0)) + (IF(AND(AB549&gt;=5, AB549&lt;=8), 17, 0)) +(IF(_xludf.OR(_xludf.AND(AC549&gt;=8, AC549&lt;=10), _xludf.AND(AC549&gt;=0, AC549&lt;=5)), 16, 0)) + (IF(F549="Madrid", 11, 0))))</f>
        <v>#NAME?</v>
      </c>
      <c r="AG549" s="68"/>
      <c r="AH549" s="71" t="s">
        <v>164</v>
      </c>
    </row>
    <row r="550" spans="1:34" ht="14.4" x14ac:dyDescent="0.3">
      <c r="A550" s="66" t="s">
        <v>1528</v>
      </c>
      <c r="B550" s="66" t="s">
        <v>3645</v>
      </c>
      <c r="C550" s="33">
        <v>549</v>
      </c>
      <c r="D550" s="33" t="s">
        <v>5398</v>
      </c>
      <c r="E550" s="34" t="s">
        <v>5233</v>
      </c>
      <c r="F550" s="34" t="s">
        <v>931</v>
      </c>
      <c r="G550" s="57">
        <v>41912</v>
      </c>
      <c r="H550" s="57">
        <v>42276</v>
      </c>
      <c r="I550" s="34">
        <f t="shared" si="24"/>
        <v>11</v>
      </c>
      <c r="J550" s="34">
        <v>40</v>
      </c>
      <c r="K550" s="36">
        <v>1000</v>
      </c>
      <c r="L550" s="34" t="s">
        <v>17</v>
      </c>
      <c r="M550" s="57">
        <v>34813</v>
      </c>
      <c r="N550" s="37">
        <f>(YEAR(TablaMadre[[#This Row],[ALTA]])-YEAR(M550))</f>
        <v>19</v>
      </c>
      <c r="O550" s="34" t="s">
        <v>95</v>
      </c>
      <c r="P550" s="34" t="s">
        <v>95</v>
      </c>
      <c r="Q550" s="34" t="s">
        <v>85</v>
      </c>
      <c r="R550" s="34" t="s">
        <v>21</v>
      </c>
      <c r="S550" s="34" t="s">
        <v>322</v>
      </c>
      <c r="T550" s="34"/>
      <c r="U550" s="34"/>
      <c r="V550" s="34" t="s">
        <v>90</v>
      </c>
      <c r="W550" s="34" t="s">
        <v>97</v>
      </c>
      <c r="X550" s="38" t="s">
        <v>164</v>
      </c>
      <c r="Y550" s="62">
        <v>42424</v>
      </c>
      <c r="Z550" s="38">
        <f t="shared" si="25"/>
        <v>0</v>
      </c>
      <c r="AA550" s="38"/>
      <c r="AB550" s="34"/>
      <c r="AC550" s="34"/>
      <c r="AD550" s="38"/>
      <c r="AE550" s="59" t="str">
        <f t="shared" si="26"/>
        <v>SÍ</v>
      </c>
      <c r="AF550" s="38" t="e" cm="1">
        <f t="array" aca="1" ref="AF550" ca="1">MIN(100, MAX(0, (IF(R550="ESTUDIANTE", 31, 0)) + (IF(I550&lt;=3, 30, IF(I550&lt;=6, 20, 0))) +(IF(OR(E550="413 - Control de Costes y Enlace Construcción", E550="480 - Secretaría General del Consejo", E550="132 - Civil y estructuras", E550="136 - Mecánica", E550="412 - Planificación", E550="142 - Compras"), 25, 0)) +(IF(OR(S550="GRADO ING. MECÁNICA", S550="GRADO ING. ELÉCTRICA", S550="GRADO DERECHO", S550="GRADO ECONOMÍA", S550="GRADO ING. TECNOLOGÍAS INDUSTRIALES"), 24, 0)) + (IF(AND(K550&gt;=451, K550&lt;=700), 23, 0)) + (IF(AND(AB550&gt;=5, AB550&lt;=8), 17, 0)) +(IF(_xludf.OR(_xludf.AND(AC550&gt;=8, AC550&lt;=10), _xludf.AND(AC550&gt;=0, AC550&lt;=5)), 16, 0)) + (IF(F550="Madrid", 11, 0))))</f>
        <v>#NAME?</v>
      </c>
      <c r="AG550" s="68"/>
      <c r="AH550" s="71" t="s">
        <v>164</v>
      </c>
    </row>
    <row r="551" spans="1:34" ht="14.4" x14ac:dyDescent="0.3">
      <c r="A551" s="66" t="s">
        <v>1529</v>
      </c>
      <c r="B551" s="66" t="s">
        <v>3646</v>
      </c>
      <c r="C551" s="33">
        <v>550</v>
      </c>
      <c r="D551" s="33" t="s">
        <v>5399</v>
      </c>
      <c r="E551" s="34" t="s">
        <v>5229</v>
      </c>
      <c r="F551" s="34" t="s">
        <v>18</v>
      </c>
      <c r="G551" s="57">
        <v>41915</v>
      </c>
      <c r="H551" s="57">
        <v>42169</v>
      </c>
      <c r="I551" s="34">
        <f t="shared" si="24"/>
        <v>8</v>
      </c>
      <c r="J551" s="34">
        <v>30</v>
      </c>
      <c r="K551" s="36">
        <v>900</v>
      </c>
      <c r="L551" s="34" t="s">
        <v>17</v>
      </c>
      <c r="M551" s="57">
        <v>35535</v>
      </c>
      <c r="N551" s="37">
        <f>(YEAR(TablaMadre[[#This Row],[ALTA]])-YEAR(M551))</f>
        <v>17</v>
      </c>
      <c r="O551" s="34" t="s">
        <v>314</v>
      </c>
      <c r="P551" s="34" t="s">
        <v>314</v>
      </c>
      <c r="Q551" s="34" t="s">
        <v>315</v>
      </c>
      <c r="R551" s="34" t="s">
        <v>21</v>
      </c>
      <c r="S551" s="34" t="s">
        <v>307</v>
      </c>
      <c r="T551" s="34"/>
      <c r="U551" s="34"/>
      <c r="V551" s="34" t="s">
        <v>22</v>
      </c>
      <c r="W551" s="34" t="s">
        <v>28</v>
      </c>
      <c r="X551" s="38" t="s">
        <v>164</v>
      </c>
      <c r="Y551" s="62">
        <v>43258</v>
      </c>
      <c r="Z551" s="38">
        <f t="shared" si="25"/>
        <v>2</v>
      </c>
      <c r="AA551" s="38"/>
      <c r="AB551" s="34"/>
      <c r="AC551" s="34"/>
      <c r="AD551" s="38"/>
      <c r="AE551" s="59" t="str">
        <f t="shared" si="26"/>
        <v>SÍ</v>
      </c>
      <c r="AF551" s="38" t="e" cm="1">
        <f t="array" aca="1" ref="AF551" ca="1">MIN(100, MAX(0, (IF(R551="ESTUDIANTE", 31, 0)) + (IF(I551&lt;=3, 30, IF(I551&lt;=6, 20, 0))) +(IF(OR(E551="413 - Control de Costes y Enlace Construcción", E551="480 - Secretaría General del Consejo", E551="132 - Civil y estructuras", E551="136 - Mecánica", E551="412 - Planificación", E551="142 - Compras"), 25, 0)) +(IF(OR(S551="GRADO ING. MECÁNICA", S551="GRADO ING. ELÉCTRICA", S551="GRADO DERECHO", S551="GRADO ECONOMÍA", S551="GRADO ING. TECNOLOGÍAS INDUSTRIALES"), 24, 0)) + (IF(AND(K551&gt;=451, K551&lt;=700), 23, 0)) + (IF(AND(AB551&gt;=5, AB551&lt;=8), 17, 0)) +(IF(_xludf.OR(_xludf.AND(AC551&gt;=8, AC551&lt;=10), _xludf.AND(AC551&gt;=0, AC551&lt;=5)), 16, 0)) + (IF(F551="Madrid", 11, 0))))</f>
        <v>#NAME?</v>
      </c>
      <c r="AG551" s="68"/>
      <c r="AH551" s="71" t="s">
        <v>164</v>
      </c>
    </row>
    <row r="552" spans="1:34" ht="14.4" x14ac:dyDescent="0.3">
      <c r="A552" s="66" t="s">
        <v>1530</v>
      </c>
      <c r="B552" s="66" t="s">
        <v>3647</v>
      </c>
      <c r="C552" s="33">
        <v>551</v>
      </c>
      <c r="D552" s="33" t="s">
        <v>5400</v>
      </c>
      <c r="E552" s="34" t="s">
        <v>5218</v>
      </c>
      <c r="F552" s="34" t="s">
        <v>18</v>
      </c>
      <c r="G552" s="57">
        <v>41915</v>
      </c>
      <c r="H552" s="57">
        <v>42250</v>
      </c>
      <c r="I552" s="34">
        <f t="shared" si="24"/>
        <v>11</v>
      </c>
      <c r="J552" s="34">
        <v>40</v>
      </c>
      <c r="K552" s="36">
        <v>900</v>
      </c>
      <c r="L552" s="34" t="s">
        <v>29</v>
      </c>
      <c r="M552" s="57">
        <v>34439</v>
      </c>
      <c r="N552" s="37">
        <f>(YEAR(TablaMadre[[#This Row],[ALTA]])-YEAR(M552))</f>
        <v>20</v>
      </c>
      <c r="O552" s="34" t="s">
        <v>92</v>
      </c>
      <c r="P552" s="34" t="s">
        <v>19</v>
      </c>
      <c r="Q552" s="34" t="s">
        <v>20</v>
      </c>
      <c r="R552" s="34" t="s">
        <v>21</v>
      </c>
      <c r="S552" s="34" t="s">
        <v>151</v>
      </c>
      <c r="T552" s="34"/>
      <c r="U552" s="34"/>
      <c r="V552" s="34" t="s">
        <v>320</v>
      </c>
      <c r="W552" s="34" t="s">
        <v>28</v>
      </c>
      <c r="X552" s="38" t="s">
        <v>164</v>
      </c>
      <c r="Y552" s="62">
        <v>44713</v>
      </c>
      <c r="Z552" s="38">
        <f t="shared" si="25"/>
        <v>6</v>
      </c>
      <c r="AA552" s="38"/>
      <c r="AB552" s="34"/>
      <c r="AC552" s="34"/>
      <c r="AD552" s="38"/>
      <c r="AE552" s="59" t="str">
        <f t="shared" si="26"/>
        <v>SÍ</v>
      </c>
      <c r="AF552" s="38" t="e" cm="1">
        <f t="array" aca="1" ref="AF552" ca="1">MIN(100, MAX(0, (IF(R552="ESTUDIANTE", 31, 0)) + (IF(I552&lt;=3, 30, IF(I552&lt;=6, 20, 0))) +(IF(OR(E552="413 - Control de Costes y Enlace Construcción", E552="480 - Secretaría General del Consejo", E552="132 - Civil y estructuras", E552="136 - Mecánica", E552="412 - Planificación", E552="142 - Compras"), 25, 0)) +(IF(OR(S552="GRADO ING. MECÁNICA", S552="GRADO ING. ELÉCTRICA", S552="GRADO DERECHO", S552="GRADO ECONOMÍA", S552="GRADO ING. TECNOLOGÍAS INDUSTRIALES"), 24, 0)) + (IF(AND(K552&gt;=451, K552&lt;=700), 23, 0)) + (IF(AND(AB552&gt;=5, AB552&lt;=8), 17, 0)) +(IF(_xludf.OR(_xludf.AND(AC552&gt;=8, AC552&lt;=10), _xludf.AND(AC552&gt;=0, AC552&lt;=5)), 16, 0)) + (IF(F552="Madrid", 11, 0))))</f>
        <v>#NAME?</v>
      </c>
      <c r="AG552" s="68"/>
      <c r="AH552" s="71" t="s">
        <v>164</v>
      </c>
    </row>
    <row r="553" spans="1:34" ht="14.4" x14ac:dyDescent="0.3">
      <c r="A553" s="66" t="s">
        <v>1531</v>
      </c>
      <c r="B553" s="66" t="s">
        <v>3648</v>
      </c>
      <c r="C553" s="33">
        <v>552</v>
      </c>
      <c r="D553" s="33" t="s">
        <v>5401</v>
      </c>
      <c r="E553" s="34" t="s">
        <v>5240</v>
      </c>
      <c r="F553" s="34" t="s">
        <v>18</v>
      </c>
      <c r="G553" s="57">
        <v>41919</v>
      </c>
      <c r="H553" s="57">
        <v>42254</v>
      </c>
      <c r="I553" s="34">
        <f t="shared" si="24"/>
        <v>11</v>
      </c>
      <c r="J553" s="34">
        <v>40</v>
      </c>
      <c r="K553" s="36">
        <v>750</v>
      </c>
      <c r="L553" s="34" t="s">
        <v>17</v>
      </c>
      <c r="M553" s="57">
        <v>34574</v>
      </c>
      <c r="N553" s="37">
        <f>(YEAR(TablaMadre[[#This Row],[ALTA]])-YEAR(M553))</f>
        <v>20</v>
      </c>
      <c r="O553" s="34" t="s">
        <v>18</v>
      </c>
      <c r="P553" s="34" t="s">
        <v>19</v>
      </c>
      <c r="Q553" s="34" t="s">
        <v>325</v>
      </c>
      <c r="R553" s="34" t="s">
        <v>21</v>
      </c>
      <c r="S553" s="34" t="s">
        <v>322</v>
      </c>
      <c r="T553" s="34"/>
      <c r="U553" s="34"/>
      <c r="V553" s="34" t="s">
        <v>40</v>
      </c>
      <c r="W553" s="34" t="s">
        <v>127</v>
      </c>
      <c r="X553" s="38" t="s">
        <v>164</v>
      </c>
      <c r="Y553" s="62">
        <v>44006</v>
      </c>
      <c r="Z553" s="38">
        <f t="shared" si="25"/>
        <v>4</v>
      </c>
      <c r="AA553" s="38"/>
      <c r="AB553" s="34"/>
      <c r="AC553" s="34"/>
      <c r="AD553" s="38"/>
      <c r="AE553" s="59" t="str">
        <f t="shared" si="26"/>
        <v>NO</v>
      </c>
      <c r="AF553" s="38" t="e" cm="1">
        <f t="array" aca="1" ref="AF553" ca="1">MIN(100, MAX(0, (IF(R553="ESTUDIANTE", 31, 0)) + (IF(I553&lt;=3, 30, IF(I553&lt;=6, 20, 0))) +(IF(OR(E553="413 - Control de Costes y Enlace Construcción", E553="480 - Secretaría General del Consejo", E553="132 - Civil y estructuras", E553="136 - Mecánica", E553="412 - Planificación", E553="142 - Compras"), 25, 0)) +(IF(OR(S553="GRADO ING. MECÁNICA", S553="GRADO ING. ELÉCTRICA", S553="GRADO DERECHO", S553="GRADO ECONOMÍA", S553="GRADO ING. TECNOLOGÍAS INDUSTRIALES"), 24, 0)) + (IF(AND(K553&gt;=451, K553&lt;=700), 23, 0)) + (IF(AND(AB553&gt;=5, AB553&lt;=8), 17, 0)) +(IF(_xludf.OR(_xludf.AND(AC553&gt;=8, AC553&lt;=10), _xludf.AND(AC553&gt;=0, AC553&lt;=5)), 16, 0)) + (IF(F553="Madrid", 11, 0))))</f>
        <v>#NAME?</v>
      </c>
      <c r="AG553" s="68"/>
      <c r="AH553" s="71" t="s">
        <v>164</v>
      </c>
    </row>
    <row r="554" spans="1:34" ht="14.4" x14ac:dyDescent="0.3">
      <c r="A554" s="66" t="s">
        <v>1532</v>
      </c>
      <c r="B554" s="66" t="s">
        <v>3649</v>
      </c>
      <c r="C554" s="33">
        <v>553</v>
      </c>
      <c r="D554" s="33" t="s">
        <v>5402</v>
      </c>
      <c r="E554" s="34" t="s">
        <v>5240</v>
      </c>
      <c r="F554" s="34" t="s">
        <v>18</v>
      </c>
      <c r="G554" s="57">
        <v>41919</v>
      </c>
      <c r="H554" s="57">
        <v>42254</v>
      </c>
      <c r="I554" s="34">
        <f t="shared" si="24"/>
        <v>11</v>
      </c>
      <c r="J554" s="34">
        <v>40</v>
      </c>
      <c r="K554" s="36">
        <v>750</v>
      </c>
      <c r="L554" s="34" t="s">
        <v>29</v>
      </c>
      <c r="M554" s="57">
        <v>35570</v>
      </c>
      <c r="N554" s="37">
        <f>(YEAR(TablaMadre[[#This Row],[ALTA]])-YEAR(M554))</f>
        <v>17</v>
      </c>
      <c r="O554" s="34" t="s">
        <v>18</v>
      </c>
      <c r="P554" s="34" t="s">
        <v>19</v>
      </c>
      <c r="Q554" s="34" t="s">
        <v>93</v>
      </c>
      <c r="R554" s="34" t="s">
        <v>21</v>
      </c>
      <c r="S554" s="34" t="s">
        <v>151</v>
      </c>
      <c r="T554" s="34"/>
      <c r="U554" s="34"/>
      <c r="V554" s="34" t="s">
        <v>22</v>
      </c>
      <c r="W554" s="34" t="s">
        <v>127</v>
      </c>
      <c r="X554" s="38" t="s">
        <v>173</v>
      </c>
      <c r="Y554" s="62"/>
      <c r="Z554" s="38" t="e">
        <f t="shared" si="25"/>
        <v>#NUM!</v>
      </c>
      <c r="AA554" s="38"/>
      <c r="AB554" s="34"/>
      <c r="AC554" s="34"/>
      <c r="AD554" s="38"/>
      <c r="AE554" s="59" t="str">
        <f t="shared" si="26"/>
        <v>NO</v>
      </c>
      <c r="AF554" s="38" t="e" cm="1">
        <f t="array" aca="1" ref="AF554" ca="1">MIN(100, MAX(0, (IF(R554="ESTUDIANTE", 31, 0)) + (IF(I554&lt;=3, 30, IF(I554&lt;=6, 20, 0))) +(IF(OR(E554="413 - Control de Costes y Enlace Construcción", E554="480 - Secretaría General del Consejo", E554="132 - Civil y estructuras", E554="136 - Mecánica", E554="412 - Planificación", E554="142 - Compras"), 25, 0)) +(IF(OR(S554="GRADO ING. MECÁNICA", S554="GRADO ING. ELÉCTRICA", S554="GRADO DERECHO", S554="GRADO ECONOMÍA", S554="GRADO ING. TECNOLOGÍAS INDUSTRIALES"), 24, 0)) + (IF(AND(K554&gt;=451, K554&lt;=700), 23, 0)) + (IF(AND(AB554&gt;=5, AB554&lt;=8), 17, 0)) +(IF(_xludf.OR(_xludf.AND(AC554&gt;=8, AC554&lt;=10), _xludf.AND(AC554&gt;=0, AC554&lt;=5)), 16, 0)) + (IF(F554="Madrid", 11, 0))))</f>
        <v>#NAME?</v>
      </c>
      <c r="AG554" s="68"/>
      <c r="AH554" s="71" t="s">
        <v>164</v>
      </c>
    </row>
    <row r="555" spans="1:34" ht="14.4" x14ac:dyDescent="0.3">
      <c r="A555" s="66" t="s">
        <v>1533</v>
      </c>
      <c r="B555" s="66" t="s">
        <v>3650</v>
      </c>
      <c r="C555" s="33">
        <v>554</v>
      </c>
      <c r="D555" s="33" t="s">
        <v>5393</v>
      </c>
      <c r="E555" s="34" t="s">
        <v>5250</v>
      </c>
      <c r="F555" s="34" t="s">
        <v>18</v>
      </c>
      <c r="G555" s="57">
        <v>41919</v>
      </c>
      <c r="H555" s="57">
        <v>42254</v>
      </c>
      <c r="I555" s="34">
        <f t="shared" si="24"/>
        <v>11</v>
      </c>
      <c r="J555" s="34">
        <v>40</v>
      </c>
      <c r="K555" s="36">
        <v>900</v>
      </c>
      <c r="L555" s="34" t="s">
        <v>17</v>
      </c>
      <c r="M555" s="57">
        <v>34509</v>
      </c>
      <c r="N555" s="37">
        <f>(YEAR(TablaMadre[[#This Row],[ALTA]])-YEAR(M555))</f>
        <v>20</v>
      </c>
      <c r="O555" s="34" t="s">
        <v>18</v>
      </c>
      <c r="P555" s="34" t="s">
        <v>19</v>
      </c>
      <c r="Q555" s="34" t="s">
        <v>49</v>
      </c>
      <c r="R555" s="34" t="s">
        <v>21</v>
      </c>
      <c r="S555" s="34" t="s">
        <v>297</v>
      </c>
      <c r="T555" s="34"/>
      <c r="U555" s="34"/>
      <c r="V555" s="34" t="s">
        <v>56</v>
      </c>
      <c r="W555" s="34" t="s">
        <v>28</v>
      </c>
      <c r="X555" s="38" t="s">
        <v>164</v>
      </c>
      <c r="Y555" s="62">
        <v>42564</v>
      </c>
      <c r="Z555" s="38">
        <f t="shared" si="25"/>
        <v>0</v>
      </c>
      <c r="AA555" s="38"/>
      <c r="AB555" s="34"/>
      <c r="AC555" s="34"/>
      <c r="AD555" s="38"/>
      <c r="AE555" s="59" t="str">
        <f t="shared" si="26"/>
        <v>NO</v>
      </c>
      <c r="AF555" s="38" t="e" cm="1">
        <f t="array" aca="1" ref="AF555" ca="1">MIN(100, MAX(0, (IF(R555="ESTUDIANTE", 31, 0)) + (IF(I555&lt;=3, 30, IF(I555&lt;=6, 20, 0))) +(IF(OR(E555="413 - Control de Costes y Enlace Construcción", E555="480 - Secretaría General del Consejo", E555="132 - Civil y estructuras", E555="136 - Mecánica", E555="412 - Planificación", E555="142 - Compras"), 25, 0)) +(IF(OR(S555="GRADO ING. MECÁNICA", S555="GRADO ING. ELÉCTRICA", S555="GRADO DERECHO", S555="GRADO ECONOMÍA", S555="GRADO ING. TECNOLOGÍAS INDUSTRIALES"), 24, 0)) + (IF(AND(K555&gt;=451, K555&lt;=700), 23, 0)) + (IF(AND(AB555&gt;=5, AB555&lt;=8), 17, 0)) +(IF(_xludf.OR(_xludf.AND(AC555&gt;=8, AC555&lt;=10), _xludf.AND(AC555&gt;=0, AC555&lt;=5)), 16, 0)) + (IF(F555="Madrid", 11, 0))))</f>
        <v>#NAME?</v>
      </c>
      <c r="AG555" s="68"/>
      <c r="AH555" s="71" t="s">
        <v>164</v>
      </c>
    </row>
    <row r="556" spans="1:34" ht="14.4" x14ac:dyDescent="0.3">
      <c r="A556" s="66" t="s">
        <v>1534</v>
      </c>
      <c r="B556" s="66" t="s">
        <v>3651</v>
      </c>
      <c r="C556" s="33">
        <v>555</v>
      </c>
      <c r="D556" s="33" t="s">
        <v>5394</v>
      </c>
      <c r="E556" s="34" t="s">
        <v>5235</v>
      </c>
      <c r="F556" s="34" t="s">
        <v>18</v>
      </c>
      <c r="G556" s="57">
        <v>41921</v>
      </c>
      <c r="H556" s="57">
        <v>42256</v>
      </c>
      <c r="I556" s="34">
        <f t="shared" si="24"/>
        <v>11</v>
      </c>
      <c r="J556" s="34">
        <v>40</v>
      </c>
      <c r="K556" s="36">
        <v>825</v>
      </c>
      <c r="L556" s="34" t="s">
        <v>17</v>
      </c>
      <c r="M556" s="57">
        <v>35244</v>
      </c>
      <c r="N556" s="37">
        <f>(YEAR(TablaMadre[[#This Row],[ALTA]])-YEAR(M556))</f>
        <v>18</v>
      </c>
      <c r="O556" s="34" t="s">
        <v>80</v>
      </c>
      <c r="P556" s="34" t="s">
        <v>19</v>
      </c>
      <c r="Q556" s="34" t="s">
        <v>326</v>
      </c>
      <c r="R556" s="34" t="s">
        <v>21</v>
      </c>
      <c r="S556" s="34" t="s">
        <v>151</v>
      </c>
      <c r="T556" s="34"/>
      <c r="U556" s="34"/>
      <c r="V556" s="34" t="s">
        <v>86</v>
      </c>
      <c r="W556" s="34" t="s">
        <v>28</v>
      </c>
      <c r="X556" s="38" t="s">
        <v>164</v>
      </c>
      <c r="Y556" s="62">
        <v>42803</v>
      </c>
      <c r="Z556" s="38">
        <f t="shared" si="25"/>
        <v>1</v>
      </c>
      <c r="AA556" s="38"/>
      <c r="AB556" s="34">
        <v>7</v>
      </c>
      <c r="AC556" s="34" t="s">
        <v>303</v>
      </c>
      <c r="AD556" s="38"/>
      <c r="AE556" s="59" t="str">
        <f t="shared" si="26"/>
        <v>SÍ</v>
      </c>
      <c r="AF556" s="38" t="e" cm="1">
        <f t="array" aca="1" ref="AF556" ca="1">MIN(100, MAX(0, (IF(R556="ESTUDIANTE", 31, 0)) + (IF(I556&lt;=3, 30, IF(I556&lt;=6, 20, 0))) +(IF(OR(E556="413 - Control de Costes y Enlace Construcción", E556="480 - Secretaría General del Consejo", E556="132 - Civil y estructuras", E556="136 - Mecánica", E556="412 - Planificación", E556="142 - Compras"), 25, 0)) +(IF(OR(S556="GRADO ING. MECÁNICA", S556="GRADO ING. ELÉCTRICA", S556="GRADO DERECHO", S556="GRADO ECONOMÍA", S556="GRADO ING. TECNOLOGÍAS INDUSTRIALES"), 24, 0)) + (IF(AND(K556&gt;=451, K556&lt;=700), 23, 0)) + (IF(AND(AB556&gt;=5, AB556&lt;=8), 17, 0)) +(IF(_xludf.OR(_xludf.AND(AC556&gt;=8, AC556&lt;=10), _xludf.AND(AC556&gt;=0, AC556&lt;=5)), 16, 0)) + (IF(F556="Madrid", 11, 0))))</f>
        <v>#NAME?</v>
      </c>
      <c r="AG556" s="68"/>
      <c r="AH556" s="71" t="s">
        <v>164</v>
      </c>
    </row>
    <row r="557" spans="1:34" ht="14.4" x14ac:dyDescent="0.3">
      <c r="A557" s="66" t="s">
        <v>1535</v>
      </c>
      <c r="B557" s="66" t="s">
        <v>3652</v>
      </c>
      <c r="C557" s="33">
        <v>556</v>
      </c>
      <c r="D557" s="33" t="s">
        <v>5395</v>
      </c>
      <c r="E557" s="34" t="s">
        <v>5248</v>
      </c>
      <c r="F557" s="34" t="s">
        <v>18</v>
      </c>
      <c r="G557" s="57">
        <v>41921</v>
      </c>
      <c r="H557" s="57">
        <v>42256</v>
      </c>
      <c r="I557" s="34">
        <f t="shared" si="24"/>
        <v>11</v>
      </c>
      <c r="J557" s="34">
        <v>40</v>
      </c>
      <c r="K557" s="36">
        <v>900</v>
      </c>
      <c r="L557" s="34" t="s">
        <v>17</v>
      </c>
      <c r="M557" s="57">
        <v>35394</v>
      </c>
      <c r="N557" s="37">
        <f>(YEAR(TablaMadre[[#This Row],[ALTA]])-YEAR(M557))</f>
        <v>18</v>
      </c>
      <c r="O557" s="34" t="s">
        <v>18</v>
      </c>
      <c r="P557" s="34" t="s">
        <v>19</v>
      </c>
      <c r="Q557" s="34" t="s">
        <v>297</v>
      </c>
      <c r="R557" s="34" t="s">
        <v>21</v>
      </c>
      <c r="S557" s="34" t="s">
        <v>297</v>
      </c>
      <c r="T557" s="34"/>
      <c r="U557" s="34"/>
      <c r="V557" s="34" t="s">
        <v>84</v>
      </c>
      <c r="W557" s="34" t="s">
        <v>28</v>
      </c>
      <c r="X557" s="38" t="s">
        <v>164</v>
      </c>
      <c r="Y557" s="62">
        <v>44602</v>
      </c>
      <c r="Z557" s="38">
        <f t="shared" si="25"/>
        <v>6</v>
      </c>
      <c r="AA557" s="38"/>
      <c r="AB557" s="34">
        <v>8</v>
      </c>
      <c r="AC557" s="34">
        <v>10</v>
      </c>
      <c r="AD557" s="38"/>
      <c r="AE557" s="59" t="str">
        <f t="shared" si="26"/>
        <v>NO</v>
      </c>
      <c r="AF557" s="38" t="e" cm="1">
        <f t="array" aca="1" ref="AF557" ca="1">MIN(100, MAX(0, (IF(R557="ESTUDIANTE", 31, 0)) + (IF(I557&lt;=3, 30, IF(I557&lt;=6, 20, 0))) +(IF(OR(E557="413 - Control de Costes y Enlace Construcción", E557="480 - Secretaría General del Consejo", E557="132 - Civil y estructuras", E557="136 - Mecánica", E557="412 - Planificación", E557="142 - Compras"), 25, 0)) +(IF(OR(S557="GRADO ING. MECÁNICA", S557="GRADO ING. ELÉCTRICA", S557="GRADO DERECHO", S557="GRADO ECONOMÍA", S557="GRADO ING. TECNOLOGÍAS INDUSTRIALES"), 24, 0)) + (IF(AND(K557&gt;=451, K557&lt;=700), 23, 0)) + (IF(AND(AB557&gt;=5, AB557&lt;=8), 17, 0)) +(IF(_xludf.OR(_xludf.AND(AC557&gt;=8, AC557&lt;=10), _xludf.AND(AC557&gt;=0, AC557&lt;=5)), 16, 0)) + (IF(F557="Madrid", 11, 0))))</f>
        <v>#NAME?</v>
      </c>
      <c r="AG557" s="68"/>
      <c r="AH557" s="71" t="s">
        <v>164</v>
      </c>
    </row>
    <row r="558" spans="1:34" ht="14.4" x14ac:dyDescent="0.3">
      <c r="A558" s="66" t="s">
        <v>1536</v>
      </c>
      <c r="B558" s="66" t="s">
        <v>3653</v>
      </c>
      <c r="C558" s="33">
        <v>557</v>
      </c>
      <c r="D558" s="33" t="s">
        <v>5396</v>
      </c>
      <c r="E558" s="34" t="s">
        <v>5222</v>
      </c>
      <c r="F558" s="34" t="s">
        <v>18</v>
      </c>
      <c r="G558" s="57">
        <v>41925</v>
      </c>
      <c r="H558" s="57">
        <v>42289</v>
      </c>
      <c r="I558" s="34">
        <f t="shared" si="24"/>
        <v>11</v>
      </c>
      <c r="J558" s="34">
        <v>40</v>
      </c>
      <c r="K558" s="36">
        <v>750</v>
      </c>
      <c r="L558" s="34" t="s">
        <v>29</v>
      </c>
      <c r="M558" s="57">
        <v>34784</v>
      </c>
      <c r="N558" s="37">
        <f>(YEAR(TablaMadre[[#This Row],[ALTA]])-YEAR(M558))</f>
        <v>19</v>
      </c>
      <c r="O558" s="34" t="s">
        <v>18</v>
      </c>
      <c r="P558" s="34" t="s">
        <v>19</v>
      </c>
      <c r="Q558" s="34" t="s">
        <v>325</v>
      </c>
      <c r="R558" s="34" t="s">
        <v>21</v>
      </c>
      <c r="S558" s="34" t="s">
        <v>322</v>
      </c>
      <c r="T558" s="34"/>
      <c r="U558" s="34"/>
      <c r="V558" s="34" t="s">
        <v>84</v>
      </c>
      <c r="W558" s="34" t="s">
        <v>127</v>
      </c>
      <c r="X558" s="38" t="s">
        <v>164</v>
      </c>
      <c r="Y558" s="62">
        <v>42979</v>
      </c>
      <c r="Z558" s="38">
        <f t="shared" si="25"/>
        <v>1</v>
      </c>
      <c r="AA558" s="38"/>
      <c r="AB558" s="34">
        <v>10</v>
      </c>
      <c r="AC558" s="34"/>
      <c r="AD558" s="38"/>
      <c r="AE558" s="59" t="str">
        <f t="shared" si="26"/>
        <v>NO</v>
      </c>
      <c r="AF558" s="38" t="e" cm="1">
        <f t="array" aca="1" ref="AF558" ca="1">MIN(100, MAX(0, (IF(R558="ESTUDIANTE", 31, 0)) + (IF(I558&lt;=3, 30, IF(I558&lt;=6, 20, 0))) +(IF(OR(E558="413 - Control de Costes y Enlace Construcción", E558="480 - Secretaría General del Consejo", E558="132 - Civil y estructuras", E558="136 - Mecánica", E558="412 - Planificación", E558="142 - Compras"), 25, 0)) +(IF(OR(S558="GRADO ING. MECÁNICA", S558="GRADO ING. ELÉCTRICA", S558="GRADO DERECHO", S558="GRADO ECONOMÍA", S558="GRADO ING. TECNOLOGÍAS INDUSTRIALES"), 24, 0)) + (IF(AND(K558&gt;=451, K558&lt;=700), 23, 0)) + (IF(AND(AB558&gt;=5, AB558&lt;=8), 17, 0)) +(IF(_xludf.OR(_xludf.AND(AC558&gt;=8, AC558&lt;=10), _xludf.AND(AC558&gt;=0, AC558&lt;=5)), 16, 0)) + (IF(F558="Madrid", 11, 0))))</f>
        <v>#NAME?</v>
      </c>
      <c r="AG558" s="68"/>
      <c r="AH558" s="71" t="s">
        <v>164</v>
      </c>
    </row>
    <row r="559" spans="1:34" ht="14.4" x14ac:dyDescent="0.3">
      <c r="A559" s="66" t="s">
        <v>1537</v>
      </c>
      <c r="B559" s="66" t="s">
        <v>3654</v>
      </c>
      <c r="C559" s="33">
        <v>558</v>
      </c>
      <c r="D559" s="33" t="s">
        <v>5397</v>
      </c>
      <c r="E559" s="34" t="s">
        <v>5224</v>
      </c>
      <c r="F559" s="34" t="s">
        <v>18</v>
      </c>
      <c r="G559" s="57">
        <v>41926</v>
      </c>
      <c r="H559" s="57">
        <v>42107</v>
      </c>
      <c r="I559" s="34">
        <f t="shared" si="24"/>
        <v>5</v>
      </c>
      <c r="J559" s="34">
        <v>40</v>
      </c>
      <c r="K559" s="36">
        <v>800</v>
      </c>
      <c r="L559" s="34" t="s">
        <v>29</v>
      </c>
      <c r="M559" s="57">
        <v>34601</v>
      </c>
      <c r="N559" s="37">
        <f>(YEAR(TablaMadre[[#This Row],[ALTA]])-YEAR(M559))</f>
        <v>20</v>
      </c>
      <c r="O559" s="34" t="s">
        <v>18</v>
      </c>
      <c r="P559" s="34" t="s">
        <v>19</v>
      </c>
      <c r="Q559" s="34" t="s">
        <v>58</v>
      </c>
      <c r="R559" s="34" t="s">
        <v>21</v>
      </c>
      <c r="S559" s="34" t="s">
        <v>229</v>
      </c>
      <c r="T559" s="34"/>
      <c r="U559" s="34"/>
      <c r="V559" s="34" t="s">
        <v>40</v>
      </c>
      <c r="W559" s="34" t="s">
        <v>28</v>
      </c>
      <c r="X559" s="38" t="s">
        <v>164</v>
      </c>
      <c r="Y559" s="62">
        <v>44728</v>
      </c>
      <c r="Z559" s="38">
        <f t="shared" si="25"/>
        <v>7</v>
      </c>
      <c r="AA559" s="38"/>
      <c r="AB559" s="34"/>
      <c r="AC559" s="34"/>
      <c r="AD559" s="38"/>
      <c r="AE559" s="59" t="str">
        <f t="shared" si="26"/>
        <v>NO</v>
      </c>
      <c r="AF559" s="38" t="e" cm="1">
        <f t="array" aca="1" ref="AF559" ca="1">MIN(100, MAX(0, (IF(R559="ESTUDIANTE", 31, 0)) + (IF(I559&lt;=3, 30, IF(I559&lt;=6, 20, 0))) +(IF(OR(E559="413 - Control de Costes y Enlace Construcción", E559="480 - Secretaría General del Consejo", E559="132 - Civil y estructuras", E559="136 - Mecánica", E559="412 - Planificación", E559="142 - Compras"), 25, 0)) +(IF(OR(S559="GRADO ING. MECÁNICA", S559="GRADO ING. ELÉCTRICA", S559="GRADO DERECHO", S559="GRADO ECONOMÍA", S559="GRADO ING. TECNOLOGÍAS INDUSTRIALES"), 24, 0)) + (IF(AND(K559&gt;=451, K559&lt;=700), 23, 0)) + (IF(AND(AB559&gt;=5, AB559&lt;=8), 17, 0)) +(IF(_xludf.OR(_xludf.AND(AC559&gt;=8, AC559&lt;=10), _xludf.AND(AC559&gt;=0, AC559&lt;=5)), 16, 0)) + (IF(F559="Madrid", 11, 0))))</f>
        <v>#NAME?</v>
      </c>
      <c r="AG559" s="68"/>
      <c r="AH559" s="71" t="s">
        <v>164</v>
      </c>
    </row>
    <row r="560" spans="1:34" ht="14.4" x14ac:dyDescent="0.3">
      <c r="A560" s="66" t="s">
        <v>1538</v>
      </c>
      <c r="B560" s="66" t="s">
        <v>3655</v>
      </c>
      <c r="C560" s="33">
        <v>559</v>
      </c>
      <c r="D560" s="33" t="s">
        <v>5398</v>
      </c>
      <c r="E560" s="34" t="s">
        <v>5233</v>
      </c>
      <c r="F560" s="34" t="s">
        <v>18</v>
      </c>
      <c r="G560" s="57">
        <v>41926</v>
      </c>
      <c r="H560" s="57">
        <v>42290</v>
      </c>
      <c r="I560" s="34">
        <f t="shared" si="24"/>
        <v>11</v>
      </c>
      <c r="J560" s="34">
        <v>40</v>
      </c>
      <c r="K560" s="36">
        <v>900</v>
      </c>
      <c r="L560" s="34" t="s">
        <v>17</v>
      </c>
      <c r="M560" s="57">
        <v>33650</v>
      </c>
      <c r="N560" s="37">
        <f>(YEAR(TablaMadre[[#This Row],[ALTA]])-YEAR(M560))</f>
        <v>22</v>
      </c>
      <c r="O560" s="34" t="s">
        <v>558</v>
      </c>
      <c r="P560" s="34" t="s">
        <v>19</v>
      </c>
      <c r="Q560" s="34" t="s">
        <v>187</v>
      </c>
      <c r="R560" s="34" t="s">
        <v>21</v>
      </c>
      <c r="S560" s="34" t="s">
        <v>322</v>
      </c>
      <c r="T560" s="34"/>
      <c r="U560" s="34"/>
      <c r="V560" s="34" t="s">
        <v>137</v>
      </c>
      <c r="W560" s="34" t="s">
        <v>28</v>
      </c>
      <c r="X560" s="38" t="s">
        <v>173</v>
      </c>
      <c r="Y560" s="62"/>
      <c r="Z560" s="38" t="e">
        <f t="shared" si="25"/>
        <v>#NUM!</v>
      </c>
      <c r="AA560" s="38"/>
      <c r="AB560" s="34">
        <v>8</v>
      </c>
      <c r="AC560" s="34"/>
      <c r="AD560" s="38"/>
      <c r="AE560" s="59" t="str">
        <f t="shared" si="26"/>
        <v>SÍ</v>
      </c>
      <c r="AF560" s="38" t="e" cm="1">
        <f t="array" aca="1" ref="AF560" ca="1">MIN(100, MAX(0, (IF(R560="ESTUDIANTE", 31, 0)) + (IF(I560&lt;=3, 30, IF(I560&lt;=6, 20, 0))) +(IF(OR(E560="413 - Control de Costes y Enlace Construcción", E560="480 - Secretaría General del Consejo", E560="132 - Civil y estructuras", E560="136 - Mecánica", E560="412 - Planificación", E560="142 - Compras"), 25, 0)) +(IF(OR(S560="GRADO ING. MECÁNICA", S560="GRADO ING. ELÉCTRICA", S560="GRADO DERECHO", S560="GRADO ECONOMÍA", S560="GRADO ING. TECNOLOGÍAS INDUSTRIALES"), 24, 0)) + (IF(AND(K560&gt;=451, K560&lt;=700), 23, 0)) + (IF(AND(AB560&gt;=5, AB560&lt;=8), 17, 0)) +(IF(_xludf.OR(_xludf.AND(AC560&gt;=8, AC560&lt;=10), _xludf.AND(AC560&gt;=0, AC560&lt;=5)), 16, 0)) + (IF(F560="Madrid", 11, 0))))</f>
        <v>#NAME?</v>
      </c>
      <c r="AG560" s="68"/>
      <c r="AH560" s="71" t="s">
        <v>164</v>
      </c>
    </row>
    <row r="561" spans="1:34" ht="14.4" x14ac:dyDescent="0.3">
      <c r="A561" s="66" t="s">
        <v>1540</v>
      </c>
      <c r="B561" s="66" t="s">
        <v>3657</v>
      </c>
      <c r="C561" s="33">
        <v>561</v>
      </c>
      <c r="D561" s="33" t="s">
        <v>5399</v>
      </c>
      <c r="E561" s="34" t="s">
        <v>5287</v>
      </c>
      <c r="F561" s="34" t="s">
        <v>18</v>
      </c>
      <c r="G561" s="57">
        <v>41928</v>
      </c>
      <c r="H561" s="57">
        <v>42292</v>
      </c>
      <c r="I561" s="34">
        <f t="shared" si="24"/>
        <v>11</v>
      </c>
      <c r="J561" s="34">
        <v>40</v>
      </c>
      <c r="K561" s="36">
        <v>900</v>
      </c>
      <c r="L561" s="34" t="s">
        <v>29</v>
      </c>
      <c r="M561" s="57">
        <v>34174</v>
      </c>
      <c r="N561" s="37">
        <f>(YEAR(TablaMadre[[#This Row],[ALTA]])-YEAR(M561))</f>
        <v>21</v>
      </c>
      <c r="O561" s="34" t="s">
        <v>18</v>
      </c>
      <c r="P561" s="34" t="s">
        <v>19</v>
      </c>
      <c r="Q561" s="34" t="s">
        <v>39</v>
      </c>
      <c r="R561" s="34" t="s">
        <v>21</v>
      </c>
      <c r="S561" s="34" t="s">
        <v>960</v>
      </c>
      <c r="T561" s="34"/>
      <c r="U561" s="34"/>
      <c r="V561" s="34" t="s">
        <v>40</v>
      </c>
      <c r="W561" s="34" t="s">
        <v>28</v>
      </c>
      <c r="X561" s="38" t="s">
        <v>173</v>
      </c>
      <c r="Y561" s="62"/>
      <c r="Z561" s="38" t="e">
        <f t="shared" si="25"/>
        <v>#NUM!</v>
      </c>
      <c r="AA561" s="38"/>
      <c r="AB561" s="34">
        <v>8</v>
      </c>
      <c r="AC561" s="34"/>
      <c r="AD561" s="38"/>
      <c r="AE561" s="59" t="str">
        <f t="shared" si="26"/>
        <v>NO</v>
      </c>
      <c r="AF561" s="38" t="e" cm="1">
        <f t="array" aca="1" ref="AF561" ca="1">MIN(100, MAX(0, (IF(R561="ESTUDIANTE", 31, 0)) + (IF(I561&lt;=3, 30, IF(I561&lt;=6, 20, 0))) +(IF(OR(E561="413 - Control de Costes y Enlace Construcción", E561="480 - Secretaría General del Consejo", E561="132 - Civil y estructuras", E561="136 - Mecánica", E561="412 - Planificación", E561="142 - Compras"), 25, 0)) +(IF(OR(S561="GRADO ING. MECÁNICA", S561="GRADO ING. ELÉCTRICA", S561="GRADO DERECHO", S561="GRADO ECONOMÍA", S561="GRADO ING. TECNOLOGÍAS INDUSTRIALES"), 24, 0)) + (IF(AND(K561&gt;=451, K561&lt;=700), 23, 0)) + (IF(AND(AB561&gt;=5, AB561&lt;=8), 17, 0)) +(IF(_xludf.OR(_xludf.AND(AC561&gt;=8, AC561&lt;=10), _xludf.AND(AC561&gt;=0, AC561&lt;=5)), 16, 0)) + (IF(F561="Madrid", 11, 0))))</f>
        <v>#NAME?</v>
      </c>
      <c r="AG561" s="68"/>
      <c r="AH561" s="71" t="s">
        <v>164</v>
      </c>
    </row>
    <row r="562" spans="1:34" ht="14.4" x14ac:dyDescent="0.3">
      <c r="A562" s="66" t="s">
        <v>1579</v>
      </c>
      <c r="B562" s="66" t="s">
        <v>3696</v>
      </c>
      <c r="C562" s="33">
        <v>560</v>
      </c>
      <c r="D562" s="33" t="s">
        <v>5393</v>
      </c>
      <c r="E562" s="34" t="s">
        <v>5287</v>
      </c>
      <c r="F562" s="34" t="s">
        <v>18</v>
      </c>
      <c r="G562" s="57">
        <v>41928</v>
      </c>
      <c r="H562" s="57">
        <v>42109</v>
      </c>
      <c r="I562" s="34">
        <f t="shared" si="24"/>
        <v>5</v>
      </c>
      <c r="J562" s="34">
        <v>40</v>
      </c>
      <c r="K562" s="36">
        <v>800</v>
      </c>
      <c r="L562" s="34" t="s">
        <v>29</v>
      </c>
      <c r="M562" s="57">
        <v>34059</v>
      </c>
      <c r="N562" s="37">
        <f>(YEAR(TablaMadre[[#This Row],[ALTA]])-YEAR(M562))</f>
        <v>21</v>
      </c>
      <c r="O562" s="34" t="s">
        <v>18</v>
      </c>
      <c r="P562" s="34" t="s">
        <v>19</v>
      </c>
      <c r="Q562" s="34" t="s">
        <v>58</v>
      </c>
      <c r="R562" s="34" t="s">
        <v>21</v>
      </c>
      <c r="S562" s="34" t="s">
        <v>229</v>
      </c>
      <c r="T562" s="34"/>
      <c r="U562" s="34"/>
      <c r="V562" s="34" t="s">
        <v>16</v>
      </c>
      <c r="W562" s="34" t="s">
        <v>23</v>
      </c>
      <c r="X562" s="38" t="s">
        <v>164</v>
      </c>
      <c r="Y562" s="62"/>
      <c r="Z562" s="38" t="e">
        <f t="shared" si="25"/>
        <v>#NUM!</v>
      </c>
      <c r="AA562" s="38"/>
      <c r="AB562" s="34"/>
      <c r="AC562" s="34"/>
      <c r="AD562" s="38"/>
      <c r="AE562" s="59" t="str">
        <f t="shared" si="26"/>
        <v>NO</v>
      </c>
      <c r="AF562" s="38" t="e" cm="1">
        <f t="array" aca="1" ref="AF562" ca="1">MIN(100, MAX(0, (IF(R562="ESTUDIANTE", 31, 0)) + (IF(I562&lt;=3, 30, IF(I562&lt;=6, 20, 0))) +(IF(OR(E562="413 - Control de Costes y Enlace Construcción", E562="480 - Secretaría General del Consejo", E562="132 - Civil y estructuras", E562="136 - Mecánica", E562="412 - Planificación", E562="142 - Compras"), 25, 0)) +(IF(OR(S562="GRADO ING. MECÁNICA", S562="GRADO ING. ELÉCTRICA", S562="GRADO DERECHO", S562="GRADO ECONOMÍA", S562="GRADO ING. TECNOLOGÍAS INDUSTRIALES"), 24, 0)) + (IF(AND(K562&gt;=451, K562&lt;=700), 23, 0)) + (IF(AND(AB562&gt;=5, AB562&lt;=8), 17, 0)) +(IF(_xludf.OR(_xludf.AND(AC562&gt;=8, AC562&lt;=10), _xludf.AND(AC562&gt;=0, AC562&lt;=5)), 16, 0)) + (IF(F562="Madrid", 11, 0))))</f>
        <v>#NAME?</v>
      </c>
      <c r="AG562" s="68"/>
      <c r="AH562" s="71" t="s">
        <v>164</v>
      </c>
    </row>
    <row r="563" spans="1:34" ht="14.4" x14ac:dyDescent="0.3">
      <c r="A563" s="66" t="s">
        <v>1541</v>
      </c>
      <c r="B563" s="66" t="s">
        <v>3658</v>
      </c>
      <c r="C563" s="33">
        <v>562</v>
      </c>
      <c r="D563" s="33" t="s">
        <v>5394</v>
      </c>
      <c r="E563" s="34" t="s">
        <v>5222</v>
      </c>
      <c r="F563" s="34" t="s">
        <v>18</v>
      </c>
      <c r="G563" s="57">
        <v>41932</v>
      </c>
      <c r="H563" s="57">
        <v>42113</v>
      </c>
      <c r="I563" s="34">
        <f t="shared" si="24"/>
        <v>5</v>
      </c>
      <c r="J563" s="34">
        <v>40</v>
      </c>
      <c r="K563" s="36">
        <v>900</v>
      </c>
      <c r="L563" s="34" t="s">
        <v>29</v>
      </c>
      <c r="M563" s="57">
        <v>34873</v>
      </c>
      <c r="N563" s="37">
        <f>(YEAR(TablaMadre[[#This Row],[ALTA]])-YEAR(M563))</f>
        <v>19</v>
      </c>
      <c r="O563" s="34" t="s">
        <v>18</v>
      </c>
      <c r="P563" s="34" t="s">
        <v>19</v>
      </c>
      <c r="Q563" s="34" t="s">
        <v>49</v>
      </c>
      <c r="R563" s="34" t="s">
        <v>21</v>
      </c>
      <c r="S563" s="34" t="s">
        <v>297</v>
      </c>
      <c r="T563" s="34"/>
      <c r="U563" s="34"/>
      <c r="V563" s="34" t="s">
        <v>56</v>
      </c>
      <c r="W563" s="34" t="s">
        <v>28</v>
      </c>
      <c r="X563" s="38" t="s">
        <v>173</v>
      </c>
      <c r="Y563" s="62"/>
      <c r="Z563" s="38" t="e">
        <f t="shared" si="25"/>
        <v>#NUM!</v>
      </c>
      <c r="AA563" s="38"/>
      <c r="AB563" s="34"/>
      <c r="AC563" s="34"/>
      <c r="AD563" s="38"/>
      <c r="AE563" s="59" t="str">
        <f t="shared" si="26"/>
        <v>NO</v>
      </c>
      <c r="AF563" s="38" t="e" cm="1">
        <f t="array" aca="1" ref="AF563" ca="1">MIN(100, MAX(0, (IF(R563="ESTUDIANTE", 31, 0)) + (IF(I563&lt;=3, 30, IF(I563&lt;=6, 20, 0))) +(IF(OR(E563="413 - Control de Costes y Enlace Construcción", E563="480 - Secretaría General del Consejo", E563="132 - Civil y estructuras", E563="136 - Mecánica", E563="412 - Planificación", E563="142 - Compras"), 25, 0)) +(IF(OR(S563="GRADO ING. MECÁNICA", S563="GRADO ING. ELÉCTRICA", S563="GRADO DERECHO", S563="GRADO ECONOMÍA", S563="GRADO ING. TECNOLOGÍAS INDUSTRIALES"), 24, 0)) + (IF(AND(K563&gt;=451, K563&lt;=700), 23, 0)) + (IF(AND(AB563&gt;=5, AB563&lt;=8), 17, 0)) +(IF(_xludf.OR(_xludf.AND(AC563&gt;=8, AC563&lt;=10), _xludf.AND(AC563&gt;=0, AC563&lt;=5)), 16, 0)) + (IF(F563="Madrid", 11, 0))))</f>
        <v>#NAME?</v>
      </c>
      <c r="AG563" s="68"/>
      <c r="AH563" s="71" t="s">
        <v>164</v>
      </c>
    </row>
    <row r="564" spans="1:34" s="4" customFormat="1" ht="14.4" x14ac:dyDescent="0.3">
      <c r="A564" s="66" t="s">
        <v>1542</v>
      </c>
      <c r="B564" s="66" t="s">
        <v>3659</v>
      </c>
      <c r="C564" s="33">
        <v>563</v>
      </c>
      <c r="D564" s="33" t="s">
        <v>5395</v>
      </c>
      <c r="E564" s="34" t="s">
        <v>5253</v>
      </c>
      <c r="F564" s="34" t="s">
        <v>18</v>
      </c>
      <c r="G564" s="57">
        <v>41932</v>
      </c>
      <c r="H564" s="57">
        <v>42218</v>
      </c>
      <c r="I564" s="34">
        <f t="shared" si="24"/>
        <v>9</v>
      </c>
      <c r="J564" s="34">
        <v>40</v>
      </c>
      <c r="K564" s="36">
        <v>900</v>
      </c>
      <c r="L564" s="34" t="s">
        <v>17</v>
      </c>
      <c r="M564" s="57">
        <v>33660</v>
      </c>
      <c r="N564" s="37">
        <f>(YEAR(TablaMadre[[#This Row],[ALTA]])-YEAR(M564))</f>
        <v>22</v>
      </c>
      <c r="O564" s="34" t="s">
        <v>293</v>
      </c>
      <c r="P564" s="34" t="s">
        <v>19</v>
      </c>
      <c r="Q564" s="34" t="s">
        <v>49</v>
      </c>
      <c r="R564" s="34" t="s">
        <v>21</v>
      </c>
      <c r="S564" s="34" t="s">
        <v>297</v>
      </c>
      <c r="T564" s="34"/>
      <c r="U564" s="34"/>
      <c r="V564" s="34" t="s">
        <v>180</v>
      </c>
      <c r="W564" s="34" t="s">
        <v>28</v>
      </c>
      <c r="X564" s="34" t="s">
        <v>164</v>
      </c>
      <c r="Y564" s="57">
        <v>45152</v>
      </c>
      <c r="Z564" s="34">
        <f t="shared" si="25"/>
        <v>8</v>
      </c>
      <c r="AA564" s="34"/>
      <c r="AB564" s="34"/>
      <c r="AC564" s="34"/>
      <c r="AD564" s="34"/>
      <c r="AE564" s="59" t="str">
        <f t="shared" si="26"/>
        <v>SÍ</v>
      </c>
      <c r="AF564" s="34" t="e" cm="1">
        <f t="array" aca="1" ref="AF564" ca="1">MIN(100, MAX(0, (IF(R564="ESTUDIANTE", 31, 0)) + (IF(I564&lt;=3, 30, IF(I564&lt;=6, 20, 0))) +(IF(OR(E564="413 - Control de Costes y Enlace Construcción", E564="480 - Secretaría General del Consejo", E564="132 - Civil y estructuras", E564="136 - Mecánica", E564="412 - Planificación", E564="142 - Compras"), 25, 0)) +(IF(OR(S564="GRADO ING. MECÁNICA", S564="GRADO ING. ELÉCTRICA", S564="GRADO DERECHO", S564="GRADO ECONOMÍA", S564="GRADO ING. TECNOLOGÍAS INDUSTRIALES"), 24, 0)) + (IF(AND(K564&gt;=451, K564&lt;=700), 23, 0)) + (IF(AND(AB564&gt;=5, AB564&lt;=8), 17, 0)) +(IF(_xludf.OR(_xludf.AND(AC564&gt;=8, AC564&lt;=10), _xludf.AND(AC564&gt;=0, AC564&lt;=5)), 16, 0)) + (IF(F564="Madrid", 11, 0))))</f>
        <v>#NAME?</v>
      </c>
      <c r="AG564" s="69"/>
      <c r="AH564" s="71" t="s">
        <v>164</v>
      </c>
    </row>
    <row r="565" spans="1:34" ht="14.4" x14ac:dyDescent="0.3">
      <c r="A565" s="66" t="s">
        <v>1543</v>
      </c>
      <c r="B565" s="66" t="s">
        <v>3660</v>
      </c>
      <c r="C565" s="33">
        <v>564</v>
      </c>
      <c r="D565" s="33" t="s">
        <v>5396</v>
      </c>
      <c r="E565" s="34" t="s">
        <v>5226</v>
      </c>
      <c r="F565" s="34" t="s">
        <v>118</v>
      </c>
      <c r="G565" s="57">
        <v>41932</v>
      </c>
      <c r="H565" s="57">
        <v>42296</v>
      </c>
      <c r="I565" s="34">
        <f t="shared" si="24"/>
        <v>11</v>
      </c>
      <c r="J565" s="34">
        <v>40</v>
      </c>
      <c r="K565" s="36">
        <v>825</v>
      </c>
      <c r="L565" s="34" t="s">
        <v>29</v>
      </c>
      <c r="M565" s="57">
        <v>33068</v>
      </c>
      <c r="N565" s="37">
        <f>(YEAR(TablaMadre[[#This Row],[ALTA]])-YEAR(M565))</f>
        <v>24</v>
      </c>
      <c r="O565" s="34" t="s">
        <v>118</v>
      </c>
      <c r="P565" s="34" t="s">
        <v>19</v>
      </c>
      <c r="Q565" s="34" t="s">
        <v>330</v>
      </c>
      <c r="R565" s="34" t="s">
        <v>21</v>
      </c>
      <c r="S565" s="34" t="s">
        <v>307</v>
      </c>
      <c r="T565" s="34"/>
      <c r="U565" s="34"/>
      <c r="V565" s="34" t="s">
        <v>37</v>
      </c>
      <c r="W565" s="34" t="s">
        <v>28</v>
      </c>
      <c r="X565" s="38" t="s">
        <v>173</v>
      </c>
      <c r="Y565" s="62"/>
      <c r="Z565" s="38" t="e">
        <f t="shared" si="25"/>
        <v>#NUM!</v>
      </c>
      <c r="AA565" s="38"/>
      <c r="AB565" s="34"/>
      <c r="AC565" s="34"/>
      <c r="AD565" s="38"/>
      <c r="AE565" s="59" t="str">
        <f t="shared" si="26"/>
        <v>NO</v>
      </c>
      <c r="AF565" s="38" t="e" cm="1">
        <f t="array" aca="1" ref="AF565" ca="1">MIN(100, MAX(0, (IF(R565="ESTUDIANTE", 31, 0)) + (IF(I565&lt;=3, 30, IF(I565&lt;=6, 20, 0))) +(IF(OR(E565="413 - Control de Costes y Enlace Construcción", E565="480 - Secretaría General del Consejo", E565="132 - Civil y estructuras", E565="136 - Mecánica", E565="412 - Planificación", E565="142 - Compras"), 25, 0)) +(IF(OR(S565="GRADO ING. MECÁNICA", S565="GRADO ING. ELÉCTRICA", S565="GRADO DERECHO", S565="GRADO ECONOMÍA", S565="GRADO ING. TECNOLOGÍAS INDUSTRIALES"), 24, 0)) + (IF(AND(K565&gt;=451, K565&lt;=700), 23, 0)) + (IF(AND(AB565&gt;=5, AB565&lt;=8), 17, 0)) +(IF(_xludf.OR(_xludf.AND(AC565&gt;=8, AC565&lt;=10), _xludf.AND(AC565&gt;=0, AC565&lt;=5)), 16, 0)) + (IF(F565="Madrid", 11, 0))))</f>
        <v>#NAME?</v>
      </c>
      <c r="AG565" s="68"/>
      <c r="AH565" s="71" t="s">
        <v>164</v>
      </c>
    </row>
    <row r="566" spans="1:34" ht="14.4" x14ac:dyDescent="0.3">
      <c r="A566" s="66" t="s">
        <v>1683</v>
      </c>
      <c r="B566" s="66" t="s">
        <v>3800</v>
      </c>
      <c r="C566" s="33">
        <v>565</v>
      </c>
      <c r="D566" s="33" t="s">
        <v>5397</v>
      </c>
      <c r="E566" s="34" t="s">
        <v>5229</v>
      </c>
      <c r="F566" s="34" t="s">
        <v>18</v>
      </c>
      <c r="G566" s="57">
        <v>41932</v>
      </c>
      <c r="H566" s="57">
        <v>42296</v>
      </c>
      <c r="I566" s="34">
        <f t="shared" si="24"/>
        <v>11</v>
      </c>
      <c r="J566" s="34">
        <v>40</v>
      </c>
      <c r="K566" s="36">
        <v>700</v>
      </c>
      <c r="L566" s="34" t="s">
        <v>17</v>
      </c>
      <c r="M566" s="57">
        <v>34512</v>
      </c>
      <c r="N566" s="37">
        <f>(YEAR(TablaMadre[[#This Row],[ALTA]])-YEAR(M566))</f>
        <v>20</v>
      </c>
      <c r="O566" s="34" t="s">
        <v>18</v>
      </c>
      <c r="P566" s="34" t="s">
        <v>19</v>
      </c>
      <c r="Q566" s="34" t="s">
        <v>292</v>
      </c>
      <c r="R566" s="58" t="s">
        <v>30</v>
      </c>
      <c r="S566" s="34" t="s">
        <v>26</v>
      </c>
      <c r="T566" s="34"/>
      <c r="U566" s="34"/>
      <c r="V566" s="34" t="s">
        <v>27</v>
      </c>
      <c r="W566" s="34" t="s">
        <v>28</v>
      </c>
      <c r="X566" s="38" t="s">
        <v>173</v>
      </c>
      <c r="Y566" s="62"/>
      <c r="Z566" s="38" t="e">
        <f t="shared" si="25"/>
        <v>#NUM!</v>
      </c>
      <c r="AA566" s="38" t="s">
        <v>173</v>
      </c>
      <c r="AB566" s="34"/>
      <c r="AC566" s="34"/>
      <c r="AD566" s="38"/>
      <c r="AE566" s="59" t="str">
        <f t="shared" si="26"/>
        <v>NO</v>
      </c>
      <c r="AF566" s="38" t="e" cm="1">
        <f t="array" aca="1" ref="AF566" ca="1">MIN(100, MAX(0, (IF(R566="ESTUDIANTE", 31, 0)) + (IF(I566&lt;=3, 30, IF(I566&lt;=6, 20, 0))) +(IF(OR(E566="413 - Control de Costes y Enlace Construcción", E566="480 - Secretaría General del Consejo", E566="132 - Civil y estructuras", E566="136 - Mecánica", E566="412 - Planificación", E566="142 - Compras"), 25, 0)) +(IF(OR(S566="GRADO ING. MECÁNICA", S566="GRADO ING. ELÉCTRICA", S566="GRADO DERECHO", S566="GRADO ECONOMÍA", S566="GRADO ING. TECNOLOGÍAS INDUSTRIALES"), 24, 0)) + (IF(AND(K566&gt;=451, K566&lt;=700), 23, 0)) + (IF(AND(AB566&gt;=5, AB566&lt;=8), 17, 0)) +(IF(_xludf.OR(_xludf.AND(AC566&gt;=8, AC566&lt;=10), _xludf.AND(AC566&gt;=0, AC566&lt;=5)), 16, 0)) + (IF(F566="Madrid", 11, 0))))</f>
        <v>#NAME?</v>
      </c>
      <c r="AG566" s="68"/>
      <c r="AH566" s="71" t="s">
        <v>164</v>
      </c>
    </row>
    <row r="567" spans="1:34" ht="14.4" x14ac:dyDescent="0.3">
      <c r="A567" s="66" t="s">
        <v>1545</v>
      </c>
      <c r="B567" s="66" t="s">
        <v>3662</v>
      </c>
      <c r="C567" s="33">
        <v>566</v>
      </c>
      <c r="D567" s="33" t="s">
        <v>5393</v>
      </c>
      <c r="E567" s="34" t="s">
        <v>5222</v>
      </c>
      <c r="F567" s="34" t="s">
        <v>18</v>
      </c>
      <c r="G567" s="57">
        <v>41934</v>
      </c>
      <c r="H567" s="57">
        <v>42298</v>
      </c>
      <c r="I567" s="34">
        <f t="shared" si="24"/>
        <v>11</v>
      </c>
      <c r="J567" s="34">
        <v>40</v>
      </c>
      <c r="K567" s="36">
        <v>900</v>
      </c>
      <c r="L567" s="34" t="s">
        <v>29</v>
      </c>
      <c r="M567" s="57">
        <v>34087</v>
      </c>
      <c r="N567" s="37">
        <f>(YEAR(TablaMadre[[#This Row],[ALTA]])-YEAR(M567))</f>
        <v>21</v>
      </c>
      <c r="O567" s="34" t="s">
        <v>18</v>
      </c>
      <c r="P567" s="34" t="s">
        <v>19</v>
      </c>
      <c r="Q567" s="34" t="s">
        <v>297</v>
      </c>
      <c r="R567" s="34" t="s">
        <v>21</v>
      </c>
      <c r="S567" s="34" t="s">
        <v>297</v>
      </c>
      <c r="T567" s="34"/>
      <c r="U567" s="34"/>
      <c r="V567" s="34" t="s">
        <v>40</v>
      </c>
      <c r="W567" s="34" t="s">
        <v>28</v>
      </c>
      <c r="X567" s="38" t="s">
        <v>164</v>
      </c>
      <c r="Y567" s="62">
        <v>43212</v>
      </c>
      <c r="Z567" s="38">
        <f t="shared" si="25"/>
        <v>2</v>
      </c>
      <c r="AA567" s="38"/>
      <c r="AB567" s="34">
        <v>10</v>
      </c>
      <c r="AC567" s="34" t="s">
        <v>303</v>
      </c>
      <c r="AD567" s="38"/>
      <c r="AE567" s="59" t="str">
        <f t="shared" si="26"/>
        <v>NO</v>
      </c>
      <c r="AF567" s="38" t="e" cm="1">
        <f t="array" aca="1" ref="AF567" ca="1">MIN(100, MAX(0, (IF(R567="ESTUDIANTE", 31, 0)) + (IF(I567&lt;=3, 30, IF(I567&lt;=6, 20, 0))) +(IF(OR(E567="413 - Control de Costes y Enlace Construcción", E567="480 - Secretaría General del Consejo", E567="132 - Civil y estructuras", E567="136 - Mecánica", E567="412 - Planificación", E567="142 - Compras"), 25, 0)) +(IF(OR(S567="GRADO ING. MECÁNICA", S567="GRADO ING. ELÉCTRICA", S567="GRADO DERECHO", S567="GRADO ECONOMÍA", S567="GRADO ING. TECNOLOGÍAS INDUSTRIALES"), 24, 0)) + (IF(AND(K567&gt;=451, K567&lt;=700), 23, 0)) + (IF(AND(AB567&gt;=5, AB567&lt;=8), 17, 0)) +(IF(_xludf.OR(_xludf.AND(AC567&gt;=8, AC567&lt;=10), _xludf.AND(AC567&gt;=0, AC567&lt;=5)), 16, 0)) + (IF(F567="Madrid", 11, 0))))</f>
        <v>#NAME?</v>
      </c>
      <c r="AG567" s="68"/>
      <c r="AH567" s="71" t="s">
        <v>164</v>
      </c>
    </row>
    <row r="568" spans="1:34" ht="14.4" x14ac:dyDescent="0.3">
      <c r="A568" s="66" t="s">
        <v>1546</v>
      </c>
      <c r="B568" s="66" t="s">
        <v>3663</v>
      </c>
      <c r="C568" s="33">
        <v>567</v>
      </c>
      <c r="D568" s="33" t="s">
        <v>5394</v>
      </c>
      <c r="E568" s="34" t="s">
        <v>5244</v>
      </c>
      <c r="F568" s="34" t="s">
        <v>18</v>
      </c>
      <c r="G568" s="57">
        <v>41939</v>
      </c>
      <c r="H568" s="57">
        <v>42304</v>
      </c>
      <c r="I568" s="34">
        <f t="shared" si="24"/>
        <v>12</v>
      </c>
      <c r="J568" s="34">
        <v>40</v>
      </c>
      <c r="K568" s="36">
        <v>750</v>
      </c>
      <c r="L568" s="34" t="s">
        <v>17</v>
      </c>
      <c r="M568" s="57">
        <v>32925</v>
      </c>
      <c r="N568" s="37">
        <f>(YEAR(TablaMadre[[#This Row],[ALTA]])-YEAR(M568))</f>
        <v>24</v>
      </c>
      <c r="O568" s="34" t="s">
        <v>205</v>
      </c>
      <c r="P568" s="34" t="s">
        <v>19</v>
      </c>
      <c r="Q568" s="34" t="s">
        <v>332</v>
      </c>
      <c r="R568" s="34" t="s">
        <v>21</v>
      </c>
      <c r="S568" s="34" t="s">
        <v>322</v>
      </c>
      <c r="T568" s="34"/>
      <c r="U568" s="34"/>
      <c r="V568" s="34" t="s">
        <v>163</v>
      </c>
      <c r="W568" s="34" t="s">
        <v>28</v>
      </c>
      <c r="X568" s="38" t="s">
        <v>173</v>
      </c>
      <c r="Y568" s="62"/>
      <c r="Z568" s="38" t="e">
        <f t="shared" si="25"/>
        <v>#NUM!</v>
      </c>
      <c r="AA568" s="38"/>
      <c r="AB568" s="34" t="s">
        <v>303</v>
      </c>
      <c r="AC568" s="34">
        <v>8</v>
      </c>
      <c r="AD568" s="38"/>
      <c r="AE568" s="59" t="str">
        <f t="shared" si="26"/>
        <v>SÍ</v>
      </c>
      <c r="AF568" s="38" t="e" cm="1">
        <f t="array" aca="1" ref="AF568" ca="1">MIN(100, MAX(0, (IF(R568="ESTUDIANTE", 31, 0)) + (IF(I568&lt;=3, 30, IF(I568&lt;=6, 20, 0))) +(IF(OR(E568="413 - Control de Costes y Enlace Construcción", E568="480 - Secretaría General del Consejo", E568="132 - Civil y estructuras", E568="136 - Mecánica", E568="412 - Planificación", E568="142 - Compras"), 25, 0)) +(IF(OR(S568="GRADO ING. MECÁNICA", S568="GRADO ING. ELÉCTRICA", S568="GRADO DERECHO", S568="GRADO ECONOMÍA", S568="GRADO ING. TECNOLOGÍAS INDUSTRIALES"), 24, 0)) + (IF(AND(K568&gt;=451, K568&lt;=700), 23, 0)) + (IF(AND(AB568&gt;=5, AB568&lt;=8), 17, 0)) +(IF(_xludf.OR(_xludf.AND(AC568&gt;=8, AC568&lt;=10), _xludf.AND(AC568&gt;=0, AC568&lt;=5)), 16, 0)) + (IF(F568="Madrid", 11, 0))))</f>
        <v>#NAME?</v>
      </c>
      <c r="AG568" s="68"/>
      <c r="AH568" s="71" t="s">
        <v>164</v>
      </c>
    </row>
    <row r="569" spans="1:34" ht="14.4" x14ac:dyDescent="0.3">
      <c r="A569" s="66" t="s">
        <v>1462</v>
      </c>
      <c r="B569" s="66" t="s">
        <v>3579</v>
      </c>
      <c r="C569" s="33">
        <v>568</v>
      </c>
      <c r="D569" s="33" t="s">
        <v>5395</v>
      </c>
      <c r="E569" s="34" t="s">
        <v>5245</v>
      </c>
      <c r="F569" s="34" t="s">
        <v>18</v>
      </c>
      <c r="G569" s="57">
        <v>41949</v>
      </c>
      <c r="H569" s="57">
        <v>41950</v>
      </c>
      <c r="I569" s="34">
        <f t="shared" si="24"/>
        <v>0</v>
      </c>
      <c r="J569" s="34">
        <v>40</v>
      </c>
      <c r="K569" s="36">
        <v>650</v>
      </c>
      <c r="L569" s="34" t="s">
        <v>17</v>
      </c>
      <c r="M569" s="57">
        <v>34938</v>
      </c>
      <c r="N569" s="37">
        <f>(YEAR(TablaMadre[[#This Row],[ALTA]])-YEAR(M569))</f>
        <v>19</v>
      </c>
      <c r="O569" s="34" t="s">
        <v>18</v>
      </c>
      <c r="P569" s="34" t="s">
        <v>19</v>
      </c>
      <c r="Q569" s="34" t="s">
        <v>286</v>
      </c>
      <c r="R569" s="58" t="s">
        <v>30</v>
      </c>
      <c r="S569" s="34" t="s">
        <v>287</v>
      </c>
      <c r="T569" s="34"/>
      <c r="U569" s="34"/>
      <c r="V569" s="34" t="s">
        <v>90</v>
      </c>
      <c r="W569" s="34" t="s">
        <v>23</v>
      </c>
      <c r="X569" s="38" t="s">
        <v>164</v>
      </c>
      <c r="Y569" s="62"/>
      <c r="Z569" s="38" t="e">
        <f t="shared" si="25"/>
        <v>#NUM!</v>
      </c>
      <c r="AA569" s="38"/>
      <c r="AB569" s="34" t="s">
        <v>288</v>
      </c>
      <c r="AC569" s="34"/>
      <c r="AD569" s="38"/>
      <c r="AE569" s="59" t="str">
        <f t="shared" si="26"/>
        <v>NO</v>
      </c>
      <c r="AF569" s="38" t="e" cm="1">
        <f t="array" aca="1" ref="AF569" ca="1">MIN(100, MAX(0, (IF(R569="ESTUDIANTE", 31, 0)) + (IF(I569&lt;=3, 30, IF(I569&lt;=6, 20, 0))) +(IF(OR(E569="413 - Control de Costes y Enlace Construcción", E569="480 - Secretaría General del Consejo", E569="132 - Civil y estructuras", E569="136 - Mecánica", E569="412 - Planificación", E569="142 - Compras"), 25, 0)) +(IF(OR(S569="GRADO ING. MECÁNICA", S569="GRADO ING. ELÉCTRICA", S569="GRADO DERECHO", S569="GRADO ECONOMÍA", S569="GRADO ING. TECNOLOGÍAS INDUSTRIALES"), 24, 0)) + (IF(AND(K569&gt;=451, K569&lt;=700), 23, 0)) + (IF(AND(AB569&gt;=5, AB569&lt;=8), 17, 0)) +(IF(_xludf.OR(_xludf.AND(AC569&gt;=8, AC569&lt;=10), _xludf.AND(AC569&gt;=0, AC569&lt;=5)), 16, 0)) + (IF(F569="Madrid", 11, 0))))</f>
        <v>#NAME?</v>
      </c>
      <c r="AG569" s="68"/>
      <c r="AH569" s="71" t="s">
        <v>164</v>
      </c>
    </row>
    <row r="570" spans="1:34" ht="14.4" x14ac:dyDescent="0.3">
      <c r="A570" s="66" t="s">
        <v>1548</v>
      </c>
      <c r="B570" s="66" t="s">
        <v>3665</v>
      </c>
      <c r="C570" s="33">
        <v>569</v>
      </c>
      <c r="D570" s="33" t="s">
        <v>5396</v>
      </c>
      <c r="E570" s="34" t="s">
        <v>5244</v>
      </c>
      <c r="F570" s="34" t="s">
        <v>18</v>
      </c>
      <c r="G570" s="57">
        <v>41951</v>
      </c>
      <c r="H570" s="57">
        <v>42285</v>
      </c>
      <c r="I570" s="34">
        <f t="shared" si="24"/>
        <v>11</v>
      </c>
      <c r="J570" s="34">
        <v>40</v>
      </c>
      <c r="K570" s="36">
        <v>900</v>
      </c>
      <c r="L570" s="34" t="s">
        <v>17</v>
      </c>
      <c r="M570" s="57">
        <v>34017</v>
      </c>
      <c r="N570" s="37">
        <f>(YEAR(TablaMadre[[#This Row],[ALTA]])-YEAR(M570))</f>
        <v>21</v>
      </c>
      <c r="O570" s="34" t="s">
        <v>118</v>
      </c>
      <c r="P570" s="34" t="s">
        <v>19</v>
      </c>
      <c r="Q570" s="34" t="s">
        <v>20</v>
      </c>
      <c r="R570" s="34" t="s">
        <v>21</v>
      </c>
      <c r="S570" s="34" t="s">
        <v>151</v>
      </c>
      <c r="T570" s="34"/>
      <c r="U570" s="34"/>
      <c r="V570" s="34" t="s">
        <v>193</v>
      </c>
      <c r="W570" s="34" t="s">
        <v>28</v>
      </c>
      <c r="X570" s="38" t="s">
        <v>164</v>
      </c>
      <c r="Y570" s="62">
        <v>43745</v>
      </c>
      <c r="Z570" s="38">
        <f t="shared" si="25"/>
        <v>3</v>
      </c>
      <c r="AA570" s="38"/>
      <c r="AB570" s="34"/>
      <c r="AC570" s="34"/>
      <c r="AD570" s="38"/>
      <c r="AE570" s="59" t="str">
        <f t="shared" si="26"/>
        <v>SÍ</v>
      </c>
      <c r="AF570" s="38" t="e" cm="1">
        <f t="array" aca="1" ref="AF570" ca="1">MIN(100, MAX(0, (IF(R570="ESTUDIANTE", 31, 0)) + (IF(I570&lt;=3, 30, IF(I570&lt;=6, 20, 0))) +(IF(OR(E570="413 - Control de Costes y Enlace Construcción", E570="480 - Secretaría General del Consejo", E570="132 - Civil y estructuras", E570="136 - Mecánica", E570="412 - Planificación", E570="142 - Compras"), 25, 0)) +(IF(OR(S570="GRADO ING. MECÁNICA", S570="GRADO ING. ELÉCTRICA", S570="GRADO DERECHO", S570="GRADO ECONOMÍA", S570="GRADO ING. TECNOLOGÍAS INDUSTRIALES"), 24, 0)) + (IF(AND(K570&gt;=451, K570&lt;=700), 23, 0)) + (IF(AND(AB570&gt;=5, AB570&lt;=8), 17, 0)) +(IF(_xludf.OR(_xludf.AND(AC570&gt;=8, AC570&lt;=10), _xludf.AND(AC570&gt;=0, AC570&lt;=5)), 16, 0)) + (IF(F570="Madrid", 11, 0))))</f>
        <v>#NAME?</v>
      </c>
      <c r="AG570" s="68"/>
      <c r="AH570" s="71" t="s">
        <v>164</v>
      </c>
    </row>
    <row r="571" spans="1:34" ht="14.4" x14ac:dyDescent="0.3">
      <c r="A571" s="66" t="s">
        <v>1549</v>
      </c>
      <c r="B571" s="66" t="s">
        <v>3666</v>
      </c>
      <c r="C571" s="33">
        <v>570</v>
      </c>
      <c r="D571" s="33" t="s">
        <v>5397</v>
      </c>
      <c r="E571" s="34" t="s">
        <v>5218</v>
      </c>
      <c r="F571" s="34" t="s">
        <v>18</v>
      </c>
      <c r="G571" s="57">
        <v>41954</v>
      </c>
      <c r="H571" s="57">
        <v>42319</v>
      </c>
      <c r="I571" s="34">
        <f t="shared" si="24"/>
        <v>12</v>
      </c>
      <c r="J571" s="34">
        <v>40</v>
      </c>
      <c r="K571" s="36">
        <v>900</v>
      </c>
      <c r="L571" s="34" t="s">
        <v>29</v>
      </c>
      <c r="M571" s="57">
        <v>33650</v>
      </c>
      <c r="N571" s="37">
        <f>(YEAR(TablaMadre[[#This Row],[ALTA]])-YEAR(M571))</f>
        <v>22</v>
      </c>
      <c r="O571" s="34" t="s">
        <v>18</v>
      </c>
      <c r="P571" s="34" t="s">
        <v>19</v>
      </c>
      <c r="Q571" s="34" t="s">
        <v>177</v>
      </c>
      <c r="R571" s="34" t="s">
        <v>21</v>
      </c>
      <c r="S571" s="34" t="s">
        <v>397</v>
      </c>
      <c r="T571" s="34"/>
      <c r="U571" s="34"/>
      <c r="V571" s="34" t="s">
        <v>22</v>
      </c>
      <c r="W571" s="34" t="s">
        <v>28</v>
      </c>
      <c r="X571" s="38" t="s">
        <v>164</v>
      </c>
      <c r="Y571" s="62">
        <v>42684</v>
      </c>
      <c r="Z571" s="38">
        <f t="shared" si="25"/>
        <v>0</v>
      </c>
      <c r="AA571" s="38"/>
      <c r="AB571" s="34"/>
      <c r="AC571" s="34"/>
      <c r="AD571" s="38"/>
      <c r="AE571" s="59" t="str">
        <f t="shared" si="26"/>
        <v>NO</v>
      </c>
      <c r="AF571" s="38" t="e" cm="1">
        <f t="array" aca="1" ref="AF571" ca="1">MIN(100, MAX(0, (IF(R571="ESTUDIANTE", 31, 0)) + (IF(I571&lt;=3, 30, IF(I571&lt;=6, 20, 0))) +(IF(OR(E571="413 - Control de Costes y Enlace Construcción", E571="480 - Secretaría General del Consejo", E571="132 - Civil y estructuras", E571="136 - Mecánica", E571="412 - Planificación", E571="142 - Compras"), 25, 0)) +(IF(OR(S571="GRADO ING. MECÁNICA", S571="GRADO ING. ELÉCTRICA", S571="GRADO DERECHO", S571="GRADO ECONOMÍA", S571="GRADO ING. TECNOLOGÍAS INDUSTRIALES"), 24, 0)) + (IF(AND(K571&gt;=451, K571&lt;=700), 23, 0)) + (IF(AND(AB571&gt;=5, AB571&lt;=8), 17, 0)) +(IF(_xludf.OR(_xludf.AND(AC571&gt;=8, AC571&lt;=10), _xludf.AND(AC571&gt;=0, AC571&lt;=5)), 16, 0)) + (IF(F571="Madrid", 11, 0))))</f>
        <v>#NAME?</v>
      </c>
      <c r="AG571" s="68"/>
      <c r="AH571" s="71" t="s">
        <v>164</v>
      </c>
    </row>
    <row r="572" spans="1:34" s="4" customFormat="1" ht="14.4" x14ac:dyDescent="0.3">
      <c r="A572" s="66" t="s">
        <v>1550</v>
      </c>
      <c r="B572" s="66" t="s">
        <v>3667</v>
      </c>
      <c r="C572" s="33">
        <v>571</v>
      </c>
      <c r="D572" s="33" t="s">
        <v>5398</v>
      </c>
      <c r="E572" s="34" t="s">
        <v>5234</v>
      </c>
      <c r="F572" s="34" t="s">
        <v>18</v>
      </c>
      <c r="G572" s="57">
        <v>41954</v>
      </c>
      <c r="H572" s="57">
        <v>42319</v>
      </c>
      <c r="I572" s="34">
        <f t="shared" si="24"/>
        <v>12</v>
      </c>
      <c r="J572" s="34">
        <v>40</v>
      </c>
      <c r="K572" s="36">
        <v>800</v>
      </c>
      <c r="L572" s="34" t="s">
        <v>17</v>
      </c>
      <c r="M572" s="57">
        <v>32925</v>
      </c>
      <c r="N572" s="37">
        <f>(YEAR(TablaMadre[[#This Row],[ALTA]])-YEAR(M572))</f>
        <v>24</v>
      </c>
      <c r="O572" s="34" t="s">
        <v>18</v>
      </c>
      <c r="P572" s="34" t="s">
        <v>19</v>
      </c>
      <c r="Q572" s="34" t="s">
        <v>334</v>
      </c>
      <c r="R572" s="34" t="s">
        <v>21</v>
      </c>
      <c r="S572" s="34" t="s">
        <v>291</v>
      </c>
      <c r="T572" s="34"/>
      <c r="U572" s="34"/>
      <c r="V572" s="34" t="s">
        <v>122</v>
      </c>
      <c r="W572" s="34" t="s">
        <v>28</v>
      </c>
      <c r="X572" s="34" t="s">
        <v>164</v>
      </c>
      <c r="Y572" s="57">
        <v>43373</v>
      </c>
      <c r="Z572" s="34">
        <f t="shared" si="25"/>
        <v>2</v>
      </c>
      <c r="AA572" s="34"/>
      <c r="AB572" s="34"/>
      <c r="AC572" s="34"/>
      <c r="AD572" s="34"/>
      <c r="AE572" s="59" t="str">
        <f t="shared" si="26"/>
        <v>NO</v>
      </c>
      <c r="AF572" s="34" t="e" cm="1">
        <f t="array" aca="1" ref="AF572" ca="1">MIN(100, MAX(0, (IF(R572="ESTUDIANTE", 31, 0)) + (IF(I572&lt;=3, 30, IF(I572&lt;=6, 20, 0))) +(IF(OR(E572="413 - Control de Costes y Enlace Construcción", E572="480 - Secretaría General del Consejo", E572="132 - Civil y estructuras", E572="136 - Mecánica", E572="412 - Planificación", E572="142 - Compras"), 25, 0)) +(IF(OR(S572="GRADO ING. MECÁNICA", S572="GRADO ING. ELÉCTRICA", S572="GRADO DERECHO", S572="GRADO ECONOMÍA", S572="GRADO ING. TECNOLOGÍAS INDUSTRIALES"), 24, 0)) + (IF(AND(K572&gt;=451, K572&lt;=700), 23, 0)) + (IF(AND(AB572&gt;=5, AB572&lt;=8), 17, 0)) +(IF(_xludf.OR(_xludf.AND(AC572&gt;=8, AC572&lt;=10), _xludf.AND(AC572&gt;=0, AC572&lt;=5)), 16, 0)) + (IF(F572="Madrid", 11, 0))))</f>
        <v>#NAME?</v>
      </c>
      <c r="AG572" s="69"/>
      <c r="AH572" s="71" t="s">
        <v>164</v>
      </c>
    </row>
    <row r="573" spans="1:34" ht="14.4" x14ac:dyDescent="0.3">
      <c r="A573" s="66" t="s">
        <v>1164</v>
      </c>
      <c r="B573" s="66" t="s">
        <v>3281</v>
      </c>
      <c r="C573" s="33">
        <v>581</v>
      </c>
      <c r="D573" s="33" t="s">
        <v>5399</v>
      </c>
      <c r="E573" s="34" t="s">
        <v>5241</v>
      </c>
      <c r="F573" s="34" t="s">
        <v>18</v>
      </c>
      <c r="G573" s="57">
        <v>41960</v>
      </c>
      <c r="H573" s="57">
        <v>42324</v>
      </c>
      <c r="I573" s="34">
        <f t="shared" si="24"/>
        <v>11</v>
      </c>
      <c r="J573" s="34">
        <v>40</v>
      </c>
      <c r="K573" s="36">
        <v>900</v>
      </c>
      <c r="L573" s="34" t="s">
        <v>17</v>
      </c>
      <c r="M573" s="57">
        <v>33231</v>
      </c>
      <c r="N573" s="37">
        <f>(YEAR(TablaMadre[[#This Row],[ALTA]])-YEAR(M573))</f>
        <v>24</v>
      </c>
      <c r="O573" s="34" t="s">
        <v>18</v>
      </c>
      <c r="P573" s="34" t="s">
        <v>19</v>
      </c>
      <c r="Q573" s="34" t="s">
        <v>49</v>
      </c>
      <c r="R573" s="34" t="s">
        <v>21</v>
      </c>
      <c r="S573" s="34" t="s">
        <v>297</v>
      </c>
      <c r="T573" s="34"/>
      <c r="U573" s="34"/>
      <c r="V573" s="34" t="s">
        <v>40</v>
      </c>
      <c r="W573" s="34" t="s">
        <v>28</v>
      </c>
      <c r="X573" s="38" t="s">
        <v>173</v>
      </c>
      <c r="Y573" s="62"/>
      <c r="Z573" s="38" t="e">
        <f t="shared" si="25"/>
        <v>#NUM!</v>
      </c>
      <c r="AA573" s="38" t="s">
        <v>173</v>
      </c>
      <c r="AB573" s="34">
        <v>9</v>
      </c>
      <c r="AC573" s="34">
        <v>10</v>
      </c>
      <c r="AD573" s="38"/>
      <c r="AE573" s="59" t="str">
        <f t="shared" si="26"/>
        <v>NO</v>
      </c>
      <c r="AF573" s="38" t="e" cm="1">
        <f t="array" aca="1" ref="AF573" ca="1">MIN(100, MAX(0, (IF(R573="ESTUDIANTE", 31, 0)) + (IF(I573&lt;=3, 30, IF(I573&lt;=6, 20, 0))) +(IF(OR(E573="413 - Control de Costes y Enlace Construcción", E573="480 - Secretaría General del Consejo", E573="132 - Civil y estructuras", E573="136 - Mecánica", E573="412 - Planificación", E573="142 - Compras"), 25, 0)) +(IF(OR(S573="GRADO ING. MECÁNICA", S573="GRADO ING. ELÉCTRICA", S573="GRADO DERECHO", S573="GRADO ECONOMÍA", S573="GRADO ING. TECNOLOGÍAS INDUSTRIALES"), 24, 0)) + (IF(AND(K573&gt;=451, K573&lt;=700), 23, 0)) + (IF(AND(AB573&gt;=5, AB573&lt;=8), 17, 0)) +(IF(_xludf.OR(_xludf.AND(AC573&gt;=8, AC573&lt;=10), _xludf.AND(AC573&gt;=0, AC573&lt;=5)), 16, 0)) + (IF(F573="Madrid", 11, 0))))</f>
        <v>#NAME?</v>
      </c>
      <c r="AG573" s="68"/>
      <c r="AH573" s="71" t="s">
        <v>164</v>
      </c>
    </row>
    <row r="574" spans="1:34" ht="14.4" x14ac:dyDescent="0.3">
      <c r="A574" s="66" t="s">
        <v>1551</v>
      </c>
      <c r="B574" s="66" t="s">
        <v>3668</v>
      </c>
      <c r="C574" s="33">
        <v>572</v>
      </c>
      <c r="D574" s="33" t="s">
        <v>5400</v>
      </c>
      <c r="E574" s="34" t="s">
        <v>5288</v>
      </c>
      <c r="F574" s="34" t="s">
        <v>18</v>
      </c>
      <c r="G574" s="57">
        <v>41960</v>
      </c>
      <c r="H574" s="57">
        <v>42140</v>
      </c>
      <c r="I574" s="34">
        <f t="shared" si="24"/>
        <v>5</v>
      </c>
      <c r="J574" s="34">
        <v>40</v>
      </c>
      <c r="K574" s="36">
        <v>650</v>
      </c>
      <c r="L574" s="34" t="s">
        <v>29</v>
      </c>
      <c r="M574" s="57">
        <v>33967</v>
      </c>
      <c r="N574" s="37">
        <f>(YEAR(TablaMadre[[#This Row],[ALTA]])-YEAR(M574))</f>
        <v>22</v>
      </c>
      <c r="O574" s="34" t="s">
        <v>18</v>
      </c>
      <c r="P574" s="34" t="s">
        <v>19</v>
      </c>
      <c r="Q574" s="34" t="s">
        <v>215</v>
      </c>
      <c r="R574" s="58" t="s">
        <v>30</v>
      </c>
      <c r="S574" s="34" t="s">
        <v>322</v>
      </c>
      <c r="T574" s="34"/>
      <c r="U574" s="34"/>
      <c r="V574" s="34" t="s">
        <v>67</v>
      </c>
      <c r="W574" s="34" t="s">
        <v>28</v>
      </c>
      <c r="X574" s="38" t="s">
        <v>164</v>
      </c>
      <c r="Y574" s="62">
        <v>45066</v>
      </c>
      <c r="Z574" s="38">
        <f t="shared" si="25"/>
        <v>8</v>
      </c>
      <c r="AA574" s="38"/>
      <c r="AB574" s="34"/>
      <c r="AC574" s="34"/>
      <c r="AD574" s="38"/>
      <c r="AE574" s="59" t="str">
        <f t="shared" si="26"/>
        <v>NO</v>
      </c>
      <c r="AF574" s="38" t="e" cm="1">
        <f t="array" aca="1" ref="AF574" ca="1">MIN(100, MAX(0, (IF(R574="ESTUDIANTE", 31, 0)) + (IF(I574&lt;=3, 30, IF(I574&lt;=6, 20, 0))) +(IF(OR(E574="413 - Control de Costes y Enlace Construcción", E574="480 - Secretaría General del Consejo", E574="132 - Civil y estructuras", E574="136 - Mecánica", E574="412 - Planificación", E574="142 - Compras"), 25, 0)) +(IF(OR(S574="GRADO ING. MECÁNICA", S574="GRADO ING. ELÉCTRICA", S574="GRADO DERECHO", S574="GRADO ECONOMÍA", S574="GRADO ING. TECNOLOGÍAS INDUSTRIALES"), 24, 0)) + (IF(AND(K574&gt;=451, K574&lt;=700), 23, 0)) + (IF(AND(AB574&gt;=5, AB574&lt;=8), 17, 0)) +(IF(_xludf.OR(_xludf.AND(AC574&gt;=8, AC574&lt;=10), _xludf.AND(AC574&gt;=0, AC574&lt;=5)), 16, 0)) + (IF(F574="Madrid", 11, 0))))</f>
        <v>#NAME?</v>
      </c>
      <c r="AG574" s="68"/>
      <c r="AH574" s="71" t="s">
        <v>164</v>
      </c>
    </row>
    <row r="575" spans="1:34" ht="14.4" x14ac:dyDescent="0.3">
      <c r="A575" s="66" t="s">
        <v>1552</v>
      </c>
      <c r="B575" s="66" t="s">
        <v>3669</v>
      </c>
      <c r="C575" s="33">
        <v>573</v>
      </c>
      <c r="D575" s="33" t="s">
        <v>5401</v>
      </c>
      <c r="E575" s="34" t="s">
        <v>5256</v>
      </c>
      <c r="F575" s="34" t="s">
        <v>18</v>
      </c>
      <c r="G575" s="57">
        <v>41960</v>
      </c>
      <c r="H575" s="57">
        <v>42302</v>
      </c>
      <c r="I575" s="34">
        <f t="shared" si="24"/>
        <v>11</v>
      </c>
      <c r="J575" s="34">
        <v>40</v>
      </c>
      <c r="K575" s="36">
        <v>900</v>
      </c>
      <c r="L575" s="34" t="s">
        <v>29</v>
      </c>
      <c r="M575" s="57">
        <v>30419</v>
      </c>
      <c r="N575" s="37">
        <f>(YEAR(TablaMadre[[#This Row],[ALTA]])-YEAR(M575))</f>
        <v>31</v>
      </c>
      <c r="O575" s="34" t="s">
        <v>563</v>
      </c>
      <c r="P575" s="34" t="s">
        <v>19</v>
      </c>
      <c r="Q575" s="34" t="s">
        <v>331</v>
      </c>
      <c r="R575" s="34" t="s">
        <v>21</v>
      </c>
      <c r="S575" s="34" t="s">
        <v>591</v>
      </c>
      <c r="T575" s="34"/>
      <c r="U575" s="34"/>
      <c r="V575" s="34" t="s">
        <v>163</v>
      </c>
      <c r="W575" s="34" t="s">
        <v>28</v>
      </c>
      <c r="X575" s="38" t="s">
        <v>164</v>
      </c>
      <c r="Y575" s="62">
        <v>44307</v>
      </c>
      <c r="Z575" s="38">
        <f t="shared" si="25"/>
        <v>5</v>
      </c>
      <c r="AA575" s="38"/>
      <c r="AB575" s="34">
        <v>9</v>
      </c>
      <c r="AC575" s="34"/>
      <c r="AD575" s="38"/>
      <c r="AE575" s="59" t="str">
        <f t="shared" si="26"/>
        <v>SÍ</v>
      </c>
      <c r="AF575" s="38" t="e" cm="1">
        <f t="array" aca="1" ref="AF575" ca="1">MIN(100, MAX(0, (IF(R575="ESTUDIANTE", 31, 0)) + (IF(I575&lt;=3, 30, IF(I575&lt;=6, 20, 0))) +(IF(OR(E575="413 - Control de Costes y Enlace Construcción", E575="480 - Secretaría General del Consejo", E575="132 - Civil y estructuras", E575="136 - Mecánica", E575="412 - Planificación", E575="142 - Compras"), 25, 0)) +(IF(OR(S575="GRADO ING. MECÁNICA", S575="GRADO ING. ELÉCTRICA", S575="GRADO DERECHO", S575="GRADO ECONOMÍA", S575="GRADO ING. TECNOLOGÍAS INDUSTRIALES"), 24, 0)) + (IF(AND(K575&gt;=451, K575&lt;=700), 23, 0)) + (IF(AND(AB575&gt;=5, AB575&lt;=8), 17, 0)) +(IF(_xludf.OR(_xludf.AND(AC575&gt;=8, AC575&lt;=10), _xludf.AND(AC575&gt;=0, AC575&lt;=5)), 16, 0)) + (IF(F575="Madrid", 11, 0))))</f>
        <v>#NAME?</v>
      </c>
      <c r="AG575" s="68"/>
      <c r="AH575" s="71" t="s">
        <v>164</v>
      </c>
    </row>
    <row r="576" spans="1:34" ht="14.4" x14ac:dyDescent="0.3">
      <c r="A576" s="66" t="s">
        <v>1554</v>
      </c>
      <c r="B576" s="66" t="s">
        <v>3671</v>
      </c>
      <c r="C576" s="33">
        <v>575</v>
      </c>
      <c r="D576" s="33" t="s">
        <v>5402</v>
      </c>
      <c r="E576" s="34" t="s">
        <v>5252</v>
      </c>
      <c r="F576" s="34" t="s">
        <v>18</v>
      </c>
      <c r="G576" s="57">
        <v>41960</v>
      </c>
      <c r="H576" s="57">
        <v>42324</v>
      </c>
      <c r="I576" s="34">
        <f t="shared" si="24"/>
        <v>11</v>
      </c>
      <c r="J576" s="34">
        <v>40</v>
      </c>
      <c r="K576" s="36">
        <v>900</v>
      </c>
      <c r="L576" s="34" t="s">
        <v>29</v>
      </c>
      <c r="M576" s="57">
        <v>33660</v>
      </c>
      <c r="N576" s="37">
        <f>(YEAR(TablaMadre[[#This Row],[ALTA]])-YEAR(M576))</f>
        <v>22</v>
      </c>
      <c r="O576" s="34" t="s">
        <v>18</v>
      </c>
      <c r="P576" s="34" t="s">
        <v>19</v>
      </c>
      <c r="Q576" s="34" t="s">
        <v>89</v>
      </c>
      <c r="R576" s="34" t="s">
        <v>21</v>
      </c>
      <c r="S576" s="34" t="s">
        <v>384</v>
      </c>
      <c r="T576" s="34"/>
      <c r="U576" s="34"/>
      <c r="V576" s="34" t="s">
        <v>56</v>
      </c>
      <c r="W576" s="34" t="s">
        <v>127</v>
      </c>
      <c r="X576" s="38" t="s">
        <v>164</v>
      </c>
      <c r="Y576" s="62">
        <v>43008</v>
      </c>
      <c r="Z576" s="38">
        <f t="shared" si="25"/>
        <v>1</v>
      </c>
      <c r="AA576" s="38"/>
      <c r="AB576" s="34">
        <v>8</v>
      </c>
      <c r="AC576" s="34">
        <v>8</v>
      </c>
      <c r="AD576" s="38"/>
      <c r="AE576" s="59" t="str">
        <f t="shared" si="26"/>
        <v>NO</v>
      </c>
      <c r="AF576" s="38" t="e" cm="1">
        <f t="array" aca="1" ref="AF576" ca="1">MIN(100, MAX(0, (IF(R576="ESTUDIANTE", 31, 0)) + (IF(I576&lt;=3, 30, IF(I576&lt;=6, 20, 0))) +(IF(OR(E576="413 - Control de Costes y Enlace Construcción", E576="480 - Secretaría General del Consejo", E576="132 - Civil y estructuras", E576="136 - Mecánica", E576="412 - Planificación", E576="142 - Compras"), 25, 0)) +(IF(OR(S576="GRADO ING. MECÁNICA", S576="GRADO ING. ELÉCTRICA", S576="GRADO DERECHO", S576="GRADO ECONOMÍA", S576="GRADO ING. TECNOLOGÍAS INDUSTRIALES"), 24, 0)) + (IF(AND(K576&gt;=451, K576&lt;=700), 23, 0)) + (IF(AND(AB576&gt;=5, AB576&lt;=8), 17, 0)) +(IF(_xludf.OR(_xludf.AND(AC576&gt;=8, AC576&lt;=10), _xludf.AND(AC576&gt;=0, AC576&lt;=5)), 16, 0)) + (IF(F576="Madrid", 11, 0))))</f>
        <v>#NAME?</v>
      </c>
      <c r="AG576" s="68"/>
      <c r="AH576" s="71" t="s">
        <v>164</v>
      </c>
    </row>
    <row r="577" spans="1:34" ht="14.4" x14ac:dyDescent="0.3">
      <c r="A577" s="66" t="s">
        <v>1555</v>
      </c>
      <c r="B577" s="66" t="s">
        <v>3672</v>
      </c>
      <c r="C577" s="33">
        <v>576</v>
      </c>
      <c r="D577" s="33" t="s">
        <v>5393</v>
      </c>
      <c r="E577" s="34" t="s">
        <v>5252</v>
      </c>
      <c r="F577" s="34" t="s">
        <v>18</v>
      </c>
      <c r="G577" s="57">
        <v>41960</v>
      </c>
      <c r="H577" s="57">
        <v>42324</v>
      </c>
      <c r="I577" s="34">
        <f t="shared" si="24"/>
        <v>11</v>
      </c>
      <c r="J577" s="34">
        <v>40</v>
      </c>
      <c r="K577" s="36">
        <v>800</v>
      </c>
      <c r="L577" s="34" t="s">
        <v>29</v>
      </c>
      <c r="M577" s="57">
        <v>35423</v>
      </c>
      <c r="N577" s="37">
        <f>(YEAR(TablaMadre[[#This Row],[ALTA]])-YEAR(M577))</f>
        <v>18</v>
      </c>
      <c r="O577" s="34" t="s">
        <v>64</v>
      </c>
      <c r="P577" s="34" t="s">
        <v>19</v>
      </c>
      <c r="Q577" s="34" t="s">
        <v>335</v>
      </c>
      <c r="R577" s="34" t="s">
        <v>21</v>
      </c>
      <c r="S577" s="34" t="s">
        <v>296</v>
      </c>
      <c r="T577" s="34"/>
      <c r="U577" s="34"/>
      <c r="V577" s="34" t="s">
        <v>56</v>
      </c>
      <c r="W577" s="34" t="s">
        <v>127</v>
      </c>
      <c r="X577" s="38" t="s">
        <v>173</v>
      </c>
      <c r="Y577" s="62"/>
      <c r="Z577" s="38" t="e">
        <f t="shared" si="25"/>
        <v>#NUM!</v>
      </c>
      <c r="AA577" s="38"/>
      <c r="AB577" s="34">
        <v>9</v>
      </c>
      <c r="AC577" s="34">
        <v>10</v>
      </c>
      <c r="AD577" s="38"/>
      <c r="AE577" s="59" t="str">
        <f t="shared" si="26"/>
        <v>SÍ</v>
      </c>
      <c r="AF577" s="38" t="e" cm="1">
        <f t="array" aca="1" ref="AF577" ca="1">MIN(100, MAX(0, (IF(R577="ESTUDIANTE", 31, 0)) + (IF(I577&lt;=3, 30, IF(I577&lt;=6, 20, 0))) +(IF(OR(E577="413 - Control de Costes y Enlace Construcción", E577="480 - Secretaría General del Consejo", E577="132 - Civil y estructuras", E577="136 - Mecánica", E577="412 - Planificación", E577="142 - Compras"), 25, 0)) +(IF(OR(S577="GRADO ING. MECÁNICA", S577="GRADO ING. ELÉCTRICA", S577="GRADO DERECHO", S577="GRADO ECONOMÍA", S577="GRADO ING. TECNOLOGÍAS INDUSTRIALES"), 24, 0)) + (IF(AND(K577&gt;=451, K577&lt;=700), 23, 0)) + (IF(AND(AB577&gt;=5, AB577&lt;=8), 17, 0)) +(IF(_xludf.OR(_xludf.AND(AC577&gt;=8, AC577&lt;=10), _xludf.AND(AC577&gt;=0, AC577&lt;=5)), 16, 0)) + (IF(F577="Madrid", 11, 0))))</f>
        <v>#NAME?</v>
      </c>
      <c r="AG577" s="68"/>
      <c r="AH577" s="71" t="s">
        <v>164</v>
      </c>
    </row>
    <row r="578" spans="1:34" ht="14.4" x14ac:dyDescent="0.3">
      <c r="A578" s="66" t="s">
        <v>1556</v>
      </c>
      <c r="B578" s="66" t="s">
        <v>3673</v>
      </c>
      <c r="C578" s="33">
        <v>577</v>
      </c>
      <c r="D578" s="33" t="s">
        <v>5394</v>
      </c>
      <c r="E578" s="34" t="s">
        <v>5252</v>
      </c>
      <c r="F578" s="34" t="s">
        <v>18</v>
      </c>
      <c r="G578" s="57">
        <v>41960</v>
      </c>
      <c r="H578" s="57">
        <v>42324</v>
      </c>
      <c r="I578" s="34">
        <f t="shared" ref="I578:I641" si="27">DATEDIF(G578, H578, "M")</f>
        <v>11</v>
      </c>
      <c r="J578" s="34">
        <v>40</v>
      </c>
      <c r="K578" s="36">
        <v>825</v>
      </c>
      <c r="L578" s="34" t="s">
        <v>17</v>
      </c>
      <c r="M578" s="57">
        <v>32127</v>
      </c>
      <c r="N578" s="37">
        <f>(YEAR(TablaMadre[[#This Row],[ALTA]])-YEAR(M578))</f>
        <v>27</v>
      </c>
      <c r="O578" s="34" t="s">
        <v>233</v>
      </c>
      <c r="P578" s="34" t="s">
        <v>19</v>
      </c>
      <c r="Q578" s="34" t="s">
        <v>136</v>
      </c>
      <c r="R578" s="34" t="s">
        <v>21</v>
      </c>
      <c r="S578" s="34" t="s">
        <v>136</v>
      </c>
      <c r="T578" s="34"/>
      <c r="U578" s="34"/>
      <c r="V578" s="34" t="s">
        <v>74</v>
      </c>
      <c r="W578" s="34" t="s">
        <v>127</v>
      </c>
      <c r="X578" s="38" t="s">
        <v>164</v>
      </c>
      <c r="Y578" s="62">
        <v>42979</v>
      </c>
      <c r="Z578" s="38">
        <f t="shared" ref="Z578:Z641" si="28">DATEDIF(H578, Y578, "y")</f>
        <v>1</v>
      </c>
      <c r="AA578" s="38"/>
      <c r="AB578" s="34">
        <v>9</v>
      </c>
      <c r="AC578" s="34">
        <v>10</v>
      </c>
      <c r="AD578" s="38"/>
      <c r="AE578" s="59" t="str">
        <f t="shared" si="26"/>
        <v>SÍ</v>
      </c>
      <c r="AF578" s="38" t="e" cm="1">
        <f t="array" aca="1" ref="AF578" ca="1">MIN(100, MAX(0, (IF(R578="ESTUDIANTE", 31, 0)) + (IF(I578&lt;=3, 30, IF(I578&lt;=6, 20, 0))) +(IF(OR(E578="413 - Control de Costes y Enlace Construcción", E578="480 - Secretaría General del Consejo", E578="132 - Civil y estructuras", E578="136 - Mecánica", E578="412 - Planificación", E578="142 - Compras"), 25, 0)) +(IF(OR(S578="GRADO ING. MECÁNICA", S578="GRADO ING. ELÉCTRICA", S578="GRADO DERECHO", S578="GRADO ECONOMÍA", S578="GRADO ING. TECNOLOGÍAS INDUSTRIALES"), 24, 0)) + (IF(AND(K578&gt;=451, K578&lt;=700), 23, 0)) + (IF(AND(AB578&gt;=5, AB578&lt;=8), 17, 0)) +(IF(_xludf.OR(_xludf.AND(AC578&gt;=8, AC578&lt;=10), _xludf.AND(AC578&gt;=0, AC578&lt;=5)), 16, 0)) + (IF(F578="Madrid", 11, 0))))</f>
        <v>#NAME?</v>
      </c>
      <c r="AG578" s="68"/>
      <c r="AH578" s="71" t="s">
        <v>164</v>
      </c>
    </row>
    <row r="579" spans="1:34" ht="14.4" x14ac:dyDescent="0.3">
      <c r="A579" s="66" t="s">
        <v>1557</v>
      </c>
      <c r="B579" s="66" t="s">
        <v>3674</v>
      </c>
      <c r="C579" s="33">
        <v>578</v>
      </c>
      <c r="D579" s="33" t="s">
        <v>5395</v>
      </c>
      <c r="E579" s="34" t="s">
        <v>5241</v>
      </c>
      <c r="F579" s="34" t="s">
        <v>18</v>
      </c>
      <c r="G579" s="57">
        <v>41960</v>
      </c>
      <c r="H579" s="57">
        <v>42324</v>
      </c>
      <c r="I579" s="34">
        <f t="shared" si="27"/>
        <v>11</v>
      </c>
      <c r="J579" s="34">
        <v>40</v>
      </c>
      <c r="K579" s="36">
        <v>900</v>
      </c>
      <c r="L579" s="34" t="s">
        <v>17</v>
      </c>
      <c r="M579" s="57">
        <v>32625</v>
      </c>
      <c r="N579" s="37">
        <f>(YEAR(TablaMadre[[#This Row],[ALTA]])-YEAR(M579))</f>
        <v>25</v>
      </c>
      <c r="O579" s="34" t="s">
        <v>18</v>
      </c>
      <c r="P579" s="34" t="s">
        <v>19</v>
      </c>
      <c r="Q579" s="34" t="s">
        <v>66</v>
      </c>
      <c r="R579" s="34" t="s">
        <v>21</v>
      </c>
      <c r="S579" s="34" t="s">
        <v>322</v>
      </c>
      <c r="T579" s="34"/>
      <c r="U579" s="34"/>
      <c r="V579" s="34" t="s">
        <v>67</v>
      </c>
      <c r="W579" s="34" t="s">
        <v>28</v>
      </c>
      <c r="X579" s="38" t="s">
        <v>173</v>
      </c>
      <c r="Y579" s="62"/>
      <c r="Z579" s="38" t="e">
        <f t="shared" si="28"/>
        <v>#NUM!</v>
      </c>
      <c r="AA579" s="38"/>
      <c r="AB579" s="34">
        <v>9</v>
      </c>
      <c r="AC579" s="34"/>
      <c r="AD579" s="38"/>
      <c r="AE579" s="59" t="str">
        <f t="shared" ref="AE579:AE642" si="29">IF(F579=O579, "NO", "SÍ")</f>
        <v>NO</v>
      </c>
      <c r="AF579" s="38" t="e" cm="1">
        <f t="array" aca="1" ref="AF579" ca="1">MIN(100, MAX(0, (IF(R579="ESTUDIANTE", 31, 0)) + (IF(I579&lt;=3, 30, IF(I579&lt;=6, 20, 0))) +(IF(OR(E579="413 - Control de Costes y Enlace Construcción", E579="480 - Secretaría General del Consejo", E579="132 - Civil y estructuras", E579="136 - Mecánica", E579="412 - Planificación", E579="142 - Compras"), 25, 0)) +(IF(OR(S579="GRADO ING. MECÁNICA", S579="GRADO ING. ELÉCTRICA", S579="GRADO DERECHO", S579="GRADO ECONOMÍA", S579="GRADO ING. TECNOLOGÍAS INDUSTRIALES"), 24, 0)) + (IF(AND(K579&gt;=451, K579&lt;=700), 23, 0)) + (IF(AND(AB579&gt;=5, AB579&lt;=8), 17, 0)) +(IF(_xludf.OR(_xludf.AND(AC579&gt;=8, AC579&lt;=10), _xludf.AND(AC579&gt;=0, AC579&lt;=5)), 16, 0)) + (IF(F579="Madrid", 11, 0))))</f>
        <v>#NAME?</v>
      </c>
      <c r="AG579" s="68"/>
      <c r="AH579" s="71" t="s">
        <v>164</v>
      </c>
    </row>
    <row r="580" spans="1:34" ht="14.4" x14ac:dyDescent="0.3">
      <c r="A580" s="66" t="s">
        <v>1558</v>
      </c>
      <c r="B580" s="66" t="s">
        <v>3675</v>
      </c>
      <c r="C580" s="33">
        <v>579</v>
      </c>
      <c r="D580" s="33" t="s">
        <v>5396</v>
      </c>
      <c r="E580" s="34" t="s">
        <v>5252</v>
      </c>
      <c r="F580" s="34" t="s">
        <v>18</v>
      </c>
      <c r="G580" s="57">
        <v>41960</v>
      </c>
      <c r="H580" s="57">
        <v>42324</v>
      </c>
      <c r="I580" s="34">
        <f t="shared" si="27"/>
        <v>11</v>
      </c>
      <c r="J580" s="34">
        <v>40</v>
      </c>
      <c r="K580" s="36">
        <v>900</v>
      </c>
      <c r="L580" s="34" t="s">
        <v>17</v>
      </c>
      <c r="M580" s="57">
        <v>32987</v>
      </c>
      <c r="N580" s="37">
        <f>(YEAR(TablaMadre[[#This Row],[ALTA]])-YEAR(M580))</f>
        <v>24</v>
      </c>
      <c r="O580" s="34" t="s">
        <v>257</v>
      </c>
      <c r="P580" s="34" t="s">
        <v>19</v>
      </c>
      <c r="Q580" s="34" t="s">
        <v>117</v>
      </c>
      <c r="R580" s="34" t="s">
        <v>21</v>
      </c>
      <c r="S580" s="34" t="s">
        <v>117</v>
      </c>
      <c r="T580" s="34"/>
      <c r="U580" s="34"/>
      <c r="V580" s="34" t="s">
        <v>22</v>
      </c>
      <c r="W580" s="34" t="s">
        <v>127</v>
      </c>
      <c r="X580" s="38" t="s">
        <v>173</v>
      </c>
      <c r="Y580" s="62"/>
      <c r="Z580" s="38" t="e">
        <f t="shared" si="28"/>
        <v>#NUM!</v>
      </c>
      <c r="AA580" s="38"/>
      <c r="AB580" s="34">
        <v>9</v>
      </c>
      <c r="AC580" s="34">
        <v>6</v>
      </c>
      <c r="AD580" s="38"/>
      <c r="AE580" s="59" t="str">
        <f t="shared" si="29"/>
        <v>SÍ</v>
      </c>
      <c r="AF580" s="38" t="e" cm="1">
        <f t="array" aca="1" ref="AF580" ca="1">MIN(100, MAX(0, (IF(R580="ESTUDIANTE", 31, 0)) + (IF(I580&lt;=3, 30, IF(I580&lt;=6, 20, 0))) +(IF(OR(E580="413 - Control de Costes y Enlace Construcción", E580="480 - Secretaría General del Consejo", E580="132 - Civil y estructuras", E580="136 - Mecánica", E580="412 - Planificación", E580="142 - Compras"), 25, 0)) +(IF(OR(S580="GRADO ING. MECÁNICA", S580="GRADO ING. ELÉCTRICA", S580="GRADO DERECHO", S580="GRADO ECONOMÍA", S580="GRADO ING. TECNOLOGÍAS INDUSTRIALES"), 24, 0)) + (IF(AND(K580&gt;=451, K580&lt;=700), 23, 0)) + (IF(AND(AB580&gt;=5, AB580&lt;=8), 17, 0)) +(IF(_xludf.OR(_xludf.AND(AC580&gt;=8, AC580&lt;=10), _xludf.AND(AC580&gt;=0, AC580&lt;=5)), 16, 0)) + (IF(F580="Madrid", 11, 0))))</f>
        <v>#NAME?</v>
      </c>
      <c r="AG580" s="68"/>
      <c r="AH580" s="71" t="s">
        <v>164</v>
      </c>
    </row>
    <row r="581" spans="1:34" ht="14.4" x14ac:dyDescent="0.3">
      <c r="A581" s="66" t="s">
        <v>1559</v>
      </c>
      <c r="B581" s="66" t="s">
        <v>3676</v>
      </c>
      <c r="C581" s="33">
        <v>580</v>
      </c>
      <c r="D581" s="33" t="s">
        <v>5397</v>
      </c>
      <c r="E581" s="34" t="s">
        <v>5252</v>
      </c>
      <c r="F581" s="34" t="s">
        <v>18</v>
      </c>
      <c r="G581" s="57">
        <v>41960</v>
      </c>
      <c r="H581" s="57">
        <v>42324</v>
      </c>
      <c r="I581" s="34">
        <f t="shared" si="27"/>
        <v>11</v>
      </c>
      <c r="J581" s="34">
        <v>40</v>
      </c>
      <c r="K581" s="36">
        <v>900</v>
      </c>
      <c r="L581" s="34" t="s">
        <v>17</v>
      </c>
      <c r="M581" s="57">
        <v>32289</v>
      </c>
      <c r="N581" s="37">
        <f>(YEAR(TablaMadre[[#This Row],[ALTA]])-YEAR(M581))</f>
        <v>26</v>
      </c>
      <c r="O581" s="34" t="s">
        <v>257</v>
      </c>
      <c r="P581" s="34" t="s">
        <v>19</v>
      </c>
      <c r="Q581" s="34" t="s">
        <v>285</v>
      </c>
      <c r="R581" s="34" t="s">
        <v>21</v>
      </c>
      <c r="S581" s="34" t="s">
        <v>322</v>
      </c>
      <c r="T581" s="34"/>
      <c r="U581" s="34"/>
      <c r="V581" s="34" t="s">
        <v>67</v>
      </c>
      <c r="W581" s="34" t="s">
        <v>127</v>
      </c>
      <c r="X581" s="38" t="s">
        <v>173</v>
      </c>
      <c r="Y581" s="62"/>
      <c r="Z581" s="38" t="e">
        <f t="shared" si="28"/>
        <v>#NUM!</v>
      </c>
      <c r="AA581" s="38"/>
      <c r="AB581" s="34">
        <v>8</v>
      </c>
      <c r="AC581" s="34">
        <v>10</v>
      </c>
      <c r="AD581" s="38"/>
      <c r="AE581" s="59" t="str">
        <f t="shared" si="29"/>
        <v>SÍ</v>
      </c>
      <c r="AF581" s="38" t="e" cm="1">
        <f t="array" aca="1" ref="AF581" ca="1">MIN(100, MAX(0, (IF(R581="ESTUDIANTE", 31, 0)) + (IF(I581&lt;=3, 30, IF(I581&lt;=6, 20, 0))) +(IF(OR(E581="413 - Control de Costes y Enlace Construcción", E581="480 - Secretaría General del Consejo", E581="132 - Civil y estructuras", E581="136 - Mecánica", E581="412 - Planificación", E581="142 - Compras"), 25, 0)) +(IF(OR(S581="GRADO ING. MECÁNICA", S581="GRADO ING. ELÉCTRICA", S581="GRADO DERECHO", S581="GRADO ECONOMÍA", S581="GRADO ING. TECNOLOGÍAS INDUSTRIALES"), 24, 0)) + (IF(AND(K581&gt;=451, K581&lt;=700), 23, 0)) + (IF(AND(AB581&gt;=5, AB581&lt;=8), 17, 0)) +(IF(_xludf.OR(_xludf.AND(AC581&gt;=8, AC581&lt;=10), _xludf.AND(AC581&gt;=0, AC581&lt;=5)), 16, 0)) + (IF(F581="Madrid", 11, 0))))</f>
        <v>#NAME?</v>
      </c>
      <c r="AG581" s="68"/>
      <c r="AH581" s="71" t="s">
        <v>164</v>
      </c>
    </row>
    <row r="582" spans="1:34" ht="14.4" x14ac:dyDescent="0.3">
      <c r="A582" s="66" t="s">
        <v>1561</v>
      </c>
      <c r="B582" s="66" t="s">
        <v>3678</v>
      </c>
      <c r="C582" s="33">
        <v>582</v>
      </c>
      <c r="D582" s="33" t="s">
        <v>5398</v>
      </c>
      <c r="E582" s="34" t="s">
        <v>5222</v>
      </c>
      <c r="F582" s="34" t="s">
        <v>18</v>
      </c>
      <c r="G582" s="57">
        <v>41960</v>
      </c>
      <c r="H582" s="57">
        <v>42324</v>
      </c>
      <c r="I582" s="34">
        <f t="shared" si="27"/>
        <v>11</v>
      </c>
      <c r="J582" s="34">
        <v>40</v>
      </c>
      <c r="K582" s="36">
        <v>900</v>
      </c>
      <c r="L582" s="34" t="s">
        <v>17</v>
      </c>
      <c r="M582" s="57">
        <v>33107</v>
      </c>
      <c r="N582" s="37">
        <f>(YEAR(TablaMadre[[#This Row],[ALTA]])-YEAR(M582))</f>
        <v>24</v>
      </c>
      <c r="O582" s="34" t="s">
        <v>18</v>
      </c>
      <c r="P582" s="34" t="s">
        <v>19</v>
      </c>
      <c r="Q582" s="34" t="s">
        <v>49</v>
      </c>
      <c r="R582" s="34" t="s">
        <v>21</v>
      </c>
      <c r="S582" s="34" t="s">
        <v>297</v>
      </c>
      <c r="T582" s="34"/>
      <c r="U582" s="34"/>
      <c r="V582" s="34" t="s">
        <v>40</v>
      </c>
      <c r="W582" s="34" t="s">
        <v>28</v>
      </c>
      <c r="X582" s="38" t="s">
        <v>164</v>
      </c>
      <c r="Y582" s="62">
        <v>43056</v>
      </c>
      <c r="Z582" s="38">
        <f t="shared" si="28"/>
        <v>2</v>
      </c>
      <c r="AA582" s="38"/>
      <c r="AB582" s="34">
        <v>10</v>
      </c>
      <c r="AC582" s="34"/>
      <c r="AD582" s="38"/>
      <c r="AE582" s="59" t="str">
        <f t="shared" si="29"/>
        <v>NO</v>
      </c>
      <c r="AF582" s="38" t="e" cm="1">
        <f t="array" aca="1" ref="AF582" ca="1">MIN(100, MAX(0, (IF(R582="ESTUDIANTE", 31, 0)) + (IF(I582&lt;=3, 30, IF(I582&lt;=6, 20, 0))) +(IF(OR(E582="413 - Control de Costes y Enlace Construcción", E582="480 - Secretaría General del Consejo", E582="132 - Civil y estructuras", E582="136 - Mecánica", E582="412 - Planificación", E582="142 - Compras"), 25, 0)) +(IF(OR(S582="GRADO ING. MECÁNICA", S582="GRADO ING. ELÉCTRICA", S582="GRADO DERECHO", S582="GRADO ECONOMÍA", S582="GRADO ING. TECNOLOGÍAS INDUSTRIALES"), 24, 0)) + (IF(AND(K582&gt;=451, K582&lt;=700), 23, 0)) + (IF(AND(AB582&gt;=5, AB582&lt;=8), 17, 0)) +(IF(_xludf.OR(_xludf.AND(AC582&gt;=8, AC582&lt;=10), _xludf.AND(AC582&gt;=0, AC582&lt;=5)), 16, 0)) + (IF(F582="Madrid", 11, 0))))</f>
        <v>#NAME?</v>
      </c>
      <c r="AG582" s="68"/>
      <c r="AH582" s="71" t="s">
        <v>164</v>
      </c>
    </row>
    <row r="583" spans="1:34" ht="14.4" x14ac:dyDescent="0.3">
      <c r="A583" s="66" t="s">
        <v>1581</v>
      </c>
      <c r="B583" s="66" t="s">
        <v>3698</v>
      </c>
      <c r="C583" s="33">
        <v>574</v>
      </c>
      <c r="D583" s="33" t="s">
        <v>5399</v>
      </c>
      <c r="E583" s="34" t="s">
        <v>5231</v>
      </c>
      <c r="F583" s="34" t="s">
        <v>18</v>
      </c>
      <c r="G583" s="57">
        <v>41960</v>
      </c>
      <c r="H583" s="57">
        <v>42315</v>
      </c>
      <c r="I583" s="34">
        <f t="shared" si="27"/>
        <v>11</v>
      </c>
      <c r="J583" s="34">
        <v>40</v>
      </c>
      <c r="K583" s="36">
        <v>325</v>
      </c>
      <c r="L583" s="34" t="s">
        <v>29</v>
      </c>
      <c r="M583" s="57">
        <v>31587</v>
      </c>
      <c r="N583" s="37">
        <f>(YEAR(TablaMadre[[#This Row],[ALTA]])-YEAR(M583))</f>
        <v>28</v>
      </c>
      <c r="O583" s="34" t="s">
        <v>153</v>
      </c>
      <c r="P583" s="34" t="s">
        <v>19</v>
      </c>
      <c r="Q583" s="34" t="s">
        <v>136</v>
      </c>
      <c r="R583" s="58" t="s">
        <v>30</v>
      </c>
      <c r="S583" s="34" t="s">
        <v>136</v>
      </c>
      <c r="T583" s="34"/>
      <c r="U583" s="34"/>
      <c r="V583" s="34" t="s">
        <v>74</v>
      </c>
      <c r="W583" s="34" t="s">
        <v>23</v>
      </c>
      <c r="X583" s="38" t="s">
        <v>164</v>
      </c>
      <c r="Y583" s="62"/>
      <c r="Z583" s="38" t="e">
        <f t="shared" si="28"/>
        <v>#NUM!</v>
      </c>
      <c r="AA583" s="38"/>
      <c r="AB583" s="34"/>
      <c r="AC583" s="34"/>
      <c r="AD583" s="38"/>
      <c r="AE583" s="59" t="str">
        <f t="shared" si="29"/>
        <v>SÍ</v>
      </c>
      <c r="AF583" s="38" t="e" cm="1">
        <f t="array" aca="1" ref="AF583" ca="1">MIN(100, MAX(0, (IF(R583="ESTUDIANTE", 31, 0)) + (IF(I583&lt;=3, 30, IF(I583&lt;=6, 20, 0))) +(IF(OR(E583="413 - Control de Costes y Enlace Construcción", E583="480 - Secretaría General del Consejo", E583="132 - Civil y estructuras", E583="136 - Mecánica", E583="412 - Planificación", E583="142 - Compras"), 25, 0)) +(IF(OR(S583="GRADO ING. MECÁNICA", S583="GRADO ING. ELÉCTRICA", S583="GRADO DERECHO", S583="GRADO ECONOMÍA", S583="GRADO ING. TECNOLOGÍAS INDUSTRIALES"), 24, 0)) + (IF(AND(K583&gt;=451, K583&lt;=700), 23, 0)) + (IF(AND(AB583&gt;=5, AB583&lt;=8), 17, 0)) +(IF(_xludf.OR(_xludf.AND(AC583&gt;=8, AC583&lt;=10), _xludf.AND(AC583&gt;=0, AC583&lt;=5)), 16, 0)) + (IF(F583="Madrid", 11, 0))))</f>
        <v>#NAME?</v>
      </c>
      <c r="AG583" s="68"/>
      <c r="AH583" s="71" t="s">
        <v>164</v>
      </c>
    </row>
    <row r="584" spans="1:34" ht="14.4" x14ac:dyDescent="0.3">
      <c r="A584" s="66" t="s">
        <v>1562</v>
      </c>
      <c r="B584" s="66" t="s">
        <v>3679</v>
      </c>
      <c r="C584" s="33">
        <v>583</v>
      </c>
      <c r="D584" s="33" t="s">
        <v>5393</v>
      </c>
      <c r="E584" s="34" t="s">
        <v>5232</v>
      </c>
      <c r="F584" s="34" t="s">
        <v>18</v>
      </c>
      <c r="G584" s="57">
        <v>41967</v>
      </c>
      <c r="H584" s="57">
        <v>42331</v>
      </c>
      <c r="I584" s="34">
        <f t="shared" si="27"/>
        <v>11</v>
      </c>
      <c r="J584" s="34">
        <v>40</v>
      </c>
      <c r="K584" s="36">
        <v>700</v>
      </c>
      <c r="L584" s="34" t="s">
        <v>17</v>
      </c>
      <c r="M584" s="57">
        <v>32339</v>
      </c>
      <c r="N584" s="37">
        <f>(YEAR(TablaMadre[[#This Row],[ALTA]])-YEAR(M584))</f>
        <v>26</v>
      </c>
      <c r="O584" s="34" t="s">
        <v>257</v>
      </c>
      <c r="P584" s="34" t="s">
        <v>19</v>
      </c>
      <c r="Q584" s="34" t="s">
        <v>292</v>
      </c>
      <c r="R584" s="58" t="s">
        <v>30</v>
      </c>
      <c r="S584" s="34" t="s">
        <v>26</v>
      </c>
      <c r="T584" s="34"/>
      <c r="U584" s="34"/>
      <c r="V584" s="34" t="s">
        <v>27</v>
      </c>
      <c r="W584" s="34" t="s">
        <v>28</v>
      </c>
      <c r="X584" s="38" t="s">
        <v>164</v>
      </c>
      <c r="Y584" s="62">
        <v>45145</v>
      </c>
      <c r="Z584" s="38">
        <f t="shared" si="28"/>
        <v>7</v>
      </c>
      <c r="AA584" s="38"/>
      <c r="AB584" s="34"/>
      <c r="AC584" s="34"/>
      <c r="AD584" s="38"/>
      <c r="AE584" s="59" t="str">
        <f t="shared" si="29"/>
        <v>SÍ</v>
      </c>
      <c r="AF584" s="38" t="e" cm="1">
        <f t="array" aca="1" ref="AF584" ca="1">MIN(100, MAX(0, (IF(R584="ESTUDIANTE", 31, 0)) + (IF(I584&lt;=3, 30, IF(I584&lt;=6, 20, 0))) +(IF(OR(E584="413 - Control de Costes y Enlace Construcción", E584="480 - Secretaría General del Consejo", E584="132 - Civil y estructuras", E584="136 - Mecánica", E584="412 - Planificación", E584="142 - Compras"), 25, 0)) +(IF(OR(S584="GRADO ING. MECÁNICA", S584="GRADO ING. ELÉCTRICA", S584="GRADO DERECHO", S584="GRADO ECONOMÍA", S584="GRADO ING. TECNOLOGÍAS INDUSTRIALES"), 24, 0)) + (IF(AND(K584&gt;=451, K584&lt;=700), 23, 0)) + (IF(AND(AB584&gt;=5, AB584&lt;=8), 17, 0)) +(IF(_xludf.OR(_xludf.AND(AC584&gt;=8, AC584&lt;=10), _xludf.AND(AC584&gt;=0, AC584&lt;=5)), 16, 0)) + (IF(F584="Madrid", 11, 0))))</f>
        <v>#NAME?</v>
      </c>
      <c r="AG584" s="68"/>
      <c r="AH584" s="71" t="s">
        <v>164</v>
      </c>
    </row>
    <row r="585" spans="1:34" ht="14.4" x14ac:dyDescent="0.3">
      <c r="A585" s="66" t="s">
        <v>1563</v>
      </c>
      <c r="B585" s="66" t="s">
        <v>3680</v>
      </c>
      <c r="C585" s="33">
        <v>584</v>
      </c>
      <c r="D585" s="33" t="s">
        <v>5394</v>
      </c>
      <c r="E585" s="34" t="s">
        <v>5231</v>
      </c>
      <c r="F585" s="34" t="s">
        <v>18</v>
      </c>
      <c r="G585" s="57">
        <v>41967</v>
      </c>
      <c r="H585" s="57">
        <v>42331</v>
      </c>
      <c r="I585" s="34">
        <f t="shared" si="27"/>
        <v>11</v>
      </c>
      <c r="J585" s="34">
        <v>40</v>
      </c>
      <c r="K585" s="36">
        <v>900</v>
      </c>
      <c r="L585" s="34" t="s">
        <v>29</v>
      </c>
      <c r="M585" s="57">
        <v>32320</v>
      </c>
      <c r="N585" s="37">
        <f>(YEAR(TablaMadre[[#This Row],[ALTA]])-YEAR(M585))</f>
        <v>26</v>
      </c>
      <c r="O585" s="34" t="s">
        <v>18</v>
      </c>
      <c r="P585" s="34" t="s">
        <v>19</v>
      </c>
      <c r="Q585" s="34" t="s">
        <v>297</v>
      </c>
      <c r="R585" s="34" t="s">
        <v>21</v>
      </c>
      <c r="S585" s="34" t="s">
        <v>297</v>
      </c>
      <c r="T585" s="34"/>
      <c r="U585" s="34"/>
      <c r="V585" s="34" t="s">
        <v>84</v>
      </c>
      <c r="W585" s="34" t="s">
        <v>28</v>
      </c>
      <c r="X585" s="38" t="s">
        <v>164</v>
      </c>
      <c r="Y585" s="62">
        <v>43461</v>
      </c>
      <c r="Z585" s="38">
        <f t="shared" si="28"/>
        <v>3</v>
      </c>
      <c r="AA585" s="38"/>
      <c r="AB585" s="34">
        <v>8</v>
      </c>
      <c r="AC585" s="34"/>
      <c r="AD585" s="38"/>
      <c r="AE585" s="59" t="str">
        <f t="shared" si="29"/>
        <v>NO</v>
      </c>
      <c r="AF585" s="38" t="e" cm="1">
        <f t="array" aca="1" ref="AF585" ca="1">MIN(100, MAX(0, (IF(R585="ESTUDIANTE", 31, 0)) + (IF(I585&lt;=3, 30, IF(I585&lt;=6, 20, 0))) +(IF(OR(E585="413 - Control de Costes y Enlace Construcción", E585="480 - Secretaría General del Consejo", E585="132 - Civil y estructuras", E585="136 - Mecánica", E585="412 - Planificación", E585="142 - Compras"), 25, 0)) +(IF(OR(S585="GRADO ING. MECÁNICA", S585="GRADO ING. ELÉCTRICA", S585="GRADO DERECHO", S585="GRADO ECONOMÍA", S585="GRADO ING. TECNOLOGÍAS INDUSTRIALES"), 24, 0)) + (IF(AND(K585&gt;=451, K585&lt;=700), 23, 0)) + (IF(AND(AB585&gt;=5, AB585&lt;=8), 17, 0)) +(IF(_xludf.OR(_xludf.AND(AC585&gt;=8, AC585&lt;=10), _xludf.AND(AC585&gt;=0, AC585&lt;=5)), 16, 0)) + (IF(F585="Madrid", 11, 0))))</f>
        <v>#NAME?</v>
      </c>
      <c r="AG585" s="68"/>
      <c r="AH585" s="71" t="s">
        <v>164</v>
      </c>
    </row>
    <row r="586" spans="1:34" ht="14.4" x14ac:dyDescent="0.3">
      <c r="A586" s="66" t="s">
        <v>1564</v>
      </c>
      <c r="B586" s="66" t="s">
        <v>3681</v>
      </c>
      <c r="C586" s="33">
        <v>585</v>
      </c>
      <c r="D586" s="33" t="s">
        <v>5395</v>
      </c>
      <c r="E586" s="34" t="s">
        <v>5231</v>
      </c>
      <c r="F586" s="34" t="s">
        <v>18</v>
      </c>
      <c r="G586" s="57">
        <v>41967</v>
      </c>
      <c r="H586" s="57">
        <v>42331</v>
      </c>
      <c r="I586" s="34">
        <f t="shared" si="27"/>
        <v>11</v>
      </c>
      <c r="J586" s="34">
        <v>40</v>
      </c>
      <c r="K586" s="36">
        <v>900</v>
      </c>
      <c r="L586" s="34" t="s">
        <v>17</v>
      </c>
      <c r="M586" s="57">
        <v>32287</v>
      </c>
      <c r="N586" s="37">
        <f>(YEAR(TablaMadre[[#This Row],[ALTA]])-YEAR(M586))</f>
        <v>26</v>
      </c>
      <c r="O586" s="34" t="s">
        <v>18</v>
      </c>
      <c r="P586" s="34" t="s">
        <v>19</v>
      </c>
      <c r="Q586" s="34" t="s">
        <v>285</v>
      </c>
      <c r="R586" s="34" t="s">
        <v>21</v>
      </c>
      <c r="S586" s="34" t="s">
        <v>322</v>
      </c>
      <c r="T586" s="34"/>
      <c r="U586" s="34"/>
      <c r="V586" s="34" t="s">
        <v>22</v>
      </c>
      <c r="W586" s="34" t="s">
        <v>28</v>
      </c>
      <c r="X586" s="38" t="s">
        <v>164</v>
      </c>
      <c r="Y586" s="62">
        <v>43012</v>
      </c>
      <c r="Z586" s="38">
        <f t="shared" si="28"/>
        <v>1</v>
      </c>
      <c r="AA586" s="38"/>
      <c r="AB586" s="34"/>
      <c r="AC586" s="34"/>
      <c r="AD586" s="38"/>
      <c r="AE586" s="59" t="str">
        <f t="shared" si="29"/>
        <v>NO</v>
      </c>
      <c r="AF586" s="38" t="e" cm="1">
        <f t="array" aca="1" ref="AF586" ca="1">MIN(100, MAX(0, (IF(R586="ESTUDIANTE", 31, 0)) + (IF(I586&lt;=3, 30, IF(I586&lt;=6, 20, 0))) +(IF(OR(E586="413 - Control de Costes y Enlace Construcción", E586="480 - Secretaría General del Consejo", E586="132 - Civil y estructuras", E586="136 - Mecánica", E586="412 - Planificación", E586="142 - Compras"), 25, 0)) +(IF(OR(S586="GRADO ING. MECÁNICA", S586="GRADO ING. ELÉCTRICA", S586="GRADO DERECHO", S586="GRADO ECONOMÍA", S586="GRADO ING. TECNOLOGÍAS INDUSTRIALES"), 24, 0)) + (IF(AND(K586&gt;=451, K586&lt;=700), 23, 0)) + (IF(AND(AB586&gt;=5, AB586&lt;=8), 17, 0)) +(IF(_xludf.OR(_xludf.AND(AC586&gt;=8, AC586&lt;=10), _xludf.AND(AC586&gt;=0, AC586&lt;=5)), 16, 0)) + (IF(F586="Madrid", 11, 0))))</f>
        <v>#NAME?</v>
      </c>
      <c r="AG586" s="68"/>
      <c r="AH586" s="71" t="s">
        <v>164</v>
      </c>
    </row>
    <row r="587" spans="1:34" ht="14.4" x14ac:dyDescent="0.3">
      <c r="A587" s="66" t="s">
        <v>1565</v>
      </c>
      <c r="B587" s="66" t="s">
        <v>3682</v>
      </c>
      <c r="C587" s="33">
        <v>586</v>
      </c>
      <c r="D587" s="33" t="s">
        <v>5396</v>
      </c>
      <c r="E587" s="34" t="s">
        <v>5231</v>
      </c>
      <c r="F587" s="34" t="s">
        <v>18</v>
      </c>
      <c r="G587" s="57">
        <v>41967</v>
      </c>
      <c r="H587" s="57">
        <v>42331</v>
      </c>
      <c r="I587" s="34">
        <f t="shared" si="27"/>
        <v>11</v>
      </c>
      <c r="J587" s="34">
        <v>40</v>
      </c>
      <c r="K587" s="36">
        <v>900</v>
      </c>
      <c r="L587" s="34" t="s">
        <v>29</v>
      </c>
      <c r="M587" s="57">
        <v>32710</v>
      </c>
      <c r="N587" s="37">
        <f>(YEAR(TablaMadre[[#This Row],[ALTA]])-YEAR(M587))</f>
        <v>25</v>
      </c>
      <c r="O587" s="34" t="s">
        <v>18</v>
      </c>
      <c r="P587" s="34" t="s">
        <v>19</v>
      </c>
      <c r="Q587" s="34" t="s">
        <v>36</v>
      </c>
      <c r="R587" s="34" t="s">
        <v>21</v>
      </c>
      <c r="S587" s="34" t="s">
        <v>307</v>
      </c>
      <c r="T587" s="34"/>
      <c r="U587" s="34"/>
      <c r="V587" s="34" t="s">
        <v>22</v>
      </c>
      <c r="W587" s="34" t="s">
        <v>28</v>
      </c>
      <c r="X587" s="38" t="s">
        <v>173</v>
      </c>
      <c r="Y587" s="62"/>
      <c r="Z587" s="38" t="e">
        <f t="shared" si="28"/>
        <v>#NUM!</v>
      </c>
      <c r="AA587" s="38"/>
      <c r="AB587" s="34" t="s">
        <v>303</v>
      </c>
      <c r="AC587" s="34"/>
      <c r="AD587" s="38"/>
      <c r="AE587" s="59" t="str">
        <f t="shared" si="29"/>
        <v>NO</v>
      </c>
      <c r="AF587" s="38" t="e" cm="1">
        <f t="array" aca="1" ref="AF587" ca="1">MIN(100, MAX(0, (IF(R587="ESTUDIANTE", 31, 0)) + (IF(I587&lt;=3, 30, IF(I587&lt;=6, 20, 0))) +(IF(OR(E587="413 - Control de Costes y Enlace Construcción", E587="480 - Secretaría General del Consejo", E587="132 - Civil y estructuras", E587="136 - Mecánica", E587="412 - Planificación", E587="142 - Compras"), 25, 0)) +(IF(OR(S587="GRADO ING. MECÁNICA", S587="GRADO ING. ELÉCTRICA", S587="GRADO DERECHO", S587="GRADO ECONOMÍA", S587="GRADO ING. TECNOLOGÍAS INDUSTRIALES"), 24, 0)) + (IF(AND(K587&gt;=451, K587&lt;=700), 23, 0)) + (IF(AND(AB587&gt;=5, AB587&lt;=8), 17, 0)) +(IF(_xludf.OR(_xludf.AND(AC587&gt;=8, AC587&lt;=10), _xludf.AND(AC587&gt;=0, AC587&lt;=5)), 16, 0)) + (IF(F587="Madrid", 11, 0))))</f>
        <v>#NAME?</v>
      </c>
      <c r="AG587" s="68"/>
      <c r="AH587" s="71" t="s">
        <v>164</v>
      </c>
    </row>
    <row r="588" spans="1:34" ht="14.4" x14ac:dyDescent="0.3">
      <c r="A588" s="66" t="s">
        <v>1566</v>
      </c>
      <c r="B588" s="66" t="s">
        <v>3683</v>
      </c>
      <c r="C588" s="33">
        <v>587</v>
      </c>
      <c r="D588" s="33" t="s">
        <v>5397</v>
      </c>
      <c r="E588" s="34" t="s">
        <v>5235</v>
      </c>
      <c r="F588" s="34" t="s">
        <v>18</v>
      </c>
      <c r="G588" s="57">
        <v>41967</v>
      </c>
      <c r="H588" s="57">
        <v>42331</v>
      </c>
      <c r="I588" s="34">
        <f t="shared" si="27"/>
        <v>11</v>
      </c>
      <c r="J588" s="34">
        <v>40</v>
      </c>
      <c r="K588" s="36">
        <v>900</v>
      </c>
      <c r="L588" s="34" t="s">
        <v>17</v>
      </c>
      <c r="M588" s="57">
        <v>30853</v>
      </c>
      <c r="N588" s="37">
        <f>(YEAR(TablaMadre[[#This Row],[ALTA]])-YEAR(M588))</f>
        <v>30</v>
      </c>
      <c r="O588" s="34" t="s">
        <v>18</v>
      </c>
      <c r="P588" s="34" t="s">
        <v>19</v>
      </c>
      <c r="Q588" s="34" t="s">
        <v>61</v>
      </c>
      <c r="R588" s="34" t="s">
        <v>21</v>
      </c>
      <c r="S588" s="34" t="s">
        <v>322</v>
      </c>
      <c r="T588" s="34"/>
      <c r="U588" s="34"/>
      <c r="V588" s="34" t="s">
        <v>22</v>
      </c>
      <c r="W588" s="34" t="s">
        <v>28</v>
      </c>
      <c r="X588" s="38" t="s">
        <v>173</v>
      </c>
      <c r="Y588" s="62"/>
      <c r="Z588" s="38" t="e">
        <f t="shared" si="28"/>
        <v>#NUM!</v>
      </c>
      <c r="AA588" s="38"/>
      <c r="AB588" s="34">
        <v>4</v>
      </c>
      <c r="AC588" s="34"/>
      <c r="AD588" s="38"/>
      <c r="AE588" s="59" t="str">
        <f t="shared" si="29"/>
        <v>NO</v>
      </c>
      <c r="AF588" s="38" t="e" cm="1">
        <f t="array" aca="1" ref="AF588" ca="1">MIN(100, MAX(0, (IF(R588="ESTUDIANTE", 31, 0)) + (IF(I588&lt;=3, 30, IF(I588&lt;=6, 20, 0))) +(IF(OR(E588="413 - Control de Costes y Enlace Construcción", E588="480 - Secretaría General del Consejo", E588="132 - Civil y estructuras", E588="136 - Mecánica", E588="412 - Planificación", E588="142 - Compras"), 25, 0)) +(IF(OR(S588="GRADO ING. MECÁNICA", S588="GRADO ING. ELÉCTRICA", S588="GRADO DERECHO", S588="GRADO ECONOMÍA", S588="GRADO ING. TECNOLOGÍAS INDUSTRIALES"), 24, 0)) + (IF(AND(K588&gt;=451, K588&lt;=700), 23, 0)) + (IF(AND(AB588&gt;=5, AB588&lt;=8), 17, 0)) +(IF(_xludf.OR(_xludf.AND(AC588&gt;=8, AC588&lt;=10), _xludf.AND(AC588&gt;=0, AC588&lt;=5)), 16, 0)) + (IF(F588="Madrid", 11, 0))))</f>
        <v>#NAME?</v>
      </c>
      <c r="AG588" s="68"/>
      <c r="AH588" s="71" t="s">
        <v>164</v>
      </c>
    </row>
    <row r="589" spans="1:34" ht="14.4" x14ac:dyDescent="0.3">
      <c r="A589" s="66" t="s">
        <v>1567</v>
      </c>
      <c r="B589" s="66" t="s">
        <v>3684</v>
      </c>
      <c r="C589" s="33">
        <v>588</v>
      </c>
      <c r="D589" s="33" t="s">
        <v>5398</v>
      </c>
      <c r="E589" s="34" t="s">
        <v>5254</v>
      </c>
      <c r="F589" s="34" t="s">
        <v>18</v>
      </c>
      <c r="G589" s="57">
        <v>41976</v>
      </c>
      <c r="H589" s="57">
        <v>42311</v>
      </c>
      <c r="I589" s="34">
        <f t="shared" si="27"/>
        <v>11</v>
      </c>
      <c r="J589" s="34">
        <v>40</v>
      </c>
      <c r="K589" s="36">
        <v>900</v>
      </c>
      <c r="L589" s="34" t="s">
        <v>29</v>
      </c>
      <c r="M589" s="57">
        <v>33436</v>
      </c>
      <c r="N589" s="37">
        <f>(YEAR(TablaMadre[[#This Row],[ALTA]])-YEAR(M589))</f>
        <v>23</v>
      </c>
      <c r="O589" s="34" t="s">
        <v>948</v>
      </c>
      <c r="P589" s="34" t="s">
        <v>19</v>
      </c>
      <c r="Q589" s="34" t="s">
        <v>85</v>
      </c>
      <c r="R589" s="34" t="s">
        <v>21</v>
      </c>
      <c r="S589" s="34" t="s">
        <v>322</v>
      </c>
      <c r="T589" s="34"/>
      <c r="U589" s="34"/>
      <c r="V589" s="34" t="s">
        <v>239</v>
      </c>
      <c r="W589" s="34" t="s">
        <v>28</v>
      </c>
      <c r="X589" s="38" t="s">
        <v>164</v>
      </c>
      <c r="Y589" s="62">
        <v>42676</v>
      </c>
      <c r="Z589" s="38">
        <f t="shared" si="28"/>
        <v>0</v>
      </c>
      <c r="AA589" s="38"/>
      <c r="AB589" s="34"/>
      <c r="AC589" s="34"/>
      <c r="AD589" s="38"/>
      <c r="AE589" s="59" t="str">
        <f t="shared" si="29"/>
        <v>SÍ</v>
      </c>
      <c r="AF589" s="38" t="e" cm="1">
        <f t="array" aca="1" ref="AF589" ca="1">MIN(100, MAX(0, (IF(R589="ESTUDIANTE", 31, 0)) + (IF(I589&lt;=3, 30, IF(I589&lt;=6, 20, 0))) +(IF(OR(E589="413 - Control de Costes y Enlace Construcción", E589="480 - Secretaría General del Consejo", E589="132 - Civil y estructuras", E589="136 - Mecánica", E589="412 - Planificación", E589="142 - Compras"), 25, 0)) +(IF(OR(S589="GRADO ING. MECÁNICA", S589="GRADO ING. ELÉCTRICA", S589="GRADO DERECHO", S589="GRADO ECONOMÍA", S589="GRADO ING. TECNOLOGÍAS INDUSTRIALES"), 24, 0)) + (IF(AND(K589&gt;=451, K589&lt;=700), 23, 0)) + (IF(AND(AB589&gt;=5, AB589&lt;=8), 17, 0)) +(IF(_xludf.OR(_xludf.AND(AC589&gt;=8, AC589&lt;=10), _xludf.AND(AC589&gt;=0, AC589&lt;=5)), 16, 0)) + (IF(F589="Madrid", 11, 0))))</f>
        <v>#NAME?</v>
      </c>
      <c r="AG589" s="68"/>
      <c r="AH589" s="71" t="s">
        <v>164</v>
      </c>
    </row>
    <row r="590" spans="1:34" ht="14.4" x14ac:dyDescent="0.3">
      <c r="A590" s="66" t="s">
        <v>1568</v>
      </c>
      <c r="B590" s="66" t="s">
        <v>3685</v>
      </c>
      <c r="C590" s="33">
        <v>589</v>
      </c>
      <c r="D590" s="33" t="s">
        <v>5399</v>
      </c>
      <c r="E590" s="34" t="s">
        <v>5254</v>
      </c>
      <c r="F590" s="34" t="s">
        <v>18</v>
      </c>
      <c r="G590" s="57">
        <v>41978</v>
      </c>
      <c r="H590" s="57">
        <v>42142</v>
      </c>
      <c r="I590" s="34">
        <f t="shared" si="27"/>
        <v>5</v>
      </c>
      <c r="J590" s="34">
        <v>40</v>
      </c>
      <c r="K590" s="36">
        <v>900</v>
      </c>
      <c r="L590" s="34" t="s">
        <v>17</v>
      </c>
      <c r="M590" s="57">
        <v>32957</v>
      </c>
      <c r="N590" s="37">
        <f>(YEAR(TablaMadre[[#This Row],[ALTA]])-YEAR(M590))</f>
        <v>24</v>
      </c>
      <c r="O590" s="34" t="s">
        <v>558</v>
      </c>
      <c r="P590" s="34" t="s">
        <v>19</v>
      </c>
      <c r="Q590" s="34" t="s">
        <v>20</v>
      </c>
      <c r="R590" s="34" t="s">
        <v>21</v>
      </c>
      <c r="S590" s="34" t="s">
        <v>151</v>
      </c>
      <c r="T590" s="34"/>
      <c r="U590" s="34"/>
      <c r="V590" s="34" t="s">
        <v>107</v>
      </c>
      <c r="W590" s="34" t="s">
        <v>28</v>
      </c>
      <c r="X590" s="38" t="s">
        <v>164</v>
      </c>
      <c r="Y590" s="62">
        <v>43292</v>
      </c>
      <c r="Z590" s="38">
        <f t="shared" si="28"/>
        <v>3</v>
      </c>
      <c r="AA590" s="38"/>
      <c r="AB590" s="34"/>
      <c r="AC590" s="34"/>
      <c r="AD590" s="38"/>
      <c r="AE590" s="59" t="str">
        <f t="shared" si="29"/>
        <v>SÍ</v>
      </c>
      <c r="AF590" s="38" t="e" cm="1">
        <f t="array" aca="1" ref="AF590" ca="1">MIN(100, MAX(0, (IF(R590="ESTUDIANTE", 31, 0)) + (IF(I590&lt;=3, 30, IF(I590&lt;=6, 20, 0))) +(IF(OR(E590="413 - Control de Costes y Enlace Construcción", E590="480 - Secretaría General del Consejo", E590="132 - Civil y estructuras", E590="136 - Mecánica", E590="412 - Planificación", E590="142 - Compras"), 25, 0)) +(IF(OR(S590="GRADO ING. MECÁNICA", S590="GRADO ING. ELÉCTRICA", S590="GRADO DERECHO", S590="GRADO ECONOMÍA", S590="GRADO ING. TECNOLOGÍAS INDUSTRIALES"), 24, 0)) + (IF(AND(K590&gt;=451, K590&lt;=700), 23, 0)) + (IF(AND(AB590&gt;=5, AB590&lt;=8), 17, 0)) +(IF(_xludf.OR(_xludf.AND(AC590&gt;=8, AC590&lt;=10), _xludf.AND(AC590&gt;=0, AC590&lt;=5)), 16, 0)) + (IF(F590="Madrid", 11, 0))))</f>
        <v>#NAME?</v>
      </c>
      <c r="AG590" s="68"/>
      <c r="AH590" s="71" t="s">
        <v>164</v>
      </c>
    </row>
    <row r="591" spans="1:34" ht="14.4" x14ac:dyDescent="0.3">
      <c r="A591" s="66" t="s">
        <v>1569</v>
      </c>
      <c r="B591" s="66" t="s">
        <v>3686</v>
      </c>
      <c r="C591" s="33">
        <v>590</v>
      </c>
      <c r="D591" s="33" t="s">
        <v>5400</v>
      </c>
      <c r="E591" s="34" t="s">
        <v>5240</v>
      </c>
      <c r="F591" s="34" t="s">
        <v>18</v>
      </c>
      <c r="G591" s="57">
        <v>41978</v>
      </c>
      <c r="H591" s="57">
        <v>42313</v>
      </c>
      <c r="I591" s="34">
        <f t="shared" si="27"/>
        <v>11</v>
      </c>
      <c r="J591" s="34">
        <v>40</v>
      </c>
      <c r="K591" s="36">
        <v>825</v>
      </c>
      <c r="L591" s="34" t="s">
        <v>17</v>
      </c>
      <c r="M591" s="57">
        <v>33777</v>
      </c>
      <c r="N591" s="37">
        <f>(YEAR(TablaMadre[[#This Row],[ALTA]])-YEAR(M591))</f>
        <v>22</v>
      </c>
      <c r="O591" s="34" t="s">
        <v>18</v>
      </c>
      <c r="P591" s="34" t="s">
        <v>19</v>
      </c>
      <c r="Q591" s="34" t="s">
        <v>333</v>
      </c>
      <c r="R591" s="34" t="s">
        <v>21</v>
      </c>
      <c r="S591" s="34" t="s">
        <v>473</v>
      </c>
      <c r="T591" s="34"/>
      <c r="U591" s="34"/>
      <c r="V591" s="34" t="s">
        <v>114</v>
      </c>
      <c r="W591" s="34" t="s">
        <v>127</v>
      </c>
      <c r="X591" s="38" t="s">
        <v>173</v>
      </c>
      <c r="Y591" s="62"/>
      <c r="Z591" s="38" t="e">
        <f t="shared" si="28"/>
        <v>#NUM!</v>
      </c>
      <c r="AA591" s="38"/>
      <c r="AB591" s="34"/>
      <c r="AC591" s="34"/>
      <c r="AD591" s="38"/>
      <c r="AE591" s="59" t="str">
        <f t="shared" si="29"/>
        <v>NO</v>
      </c>
      <c r="AF591" s="38" t="e" cm="1">
        <f t="array" aca="1" ref="AF591" ca="1">MIN(100, MAX(0, (IF(R591="ESTUDIANTE", 31, 0)) + (IF(I591&lt;=3, 30, IF(I591&lt;=6, 20, 0))) +(IF(OR(E591="413 - Control de Costes y Enlace Construcción", E591="480 - Secretaría General del Consejo", E591="132 - Civil y estructuras", E591="136 - Mecánica", E591="412 - Planificación", E591="142 - Compras"), 25, 0)) +(IF(OR(S591="GRADO ING. MECÁNICA", S591="GRADO ING. ELÉCTRICA", S591="GRADO DERECHO", S591="GRADO ECONOMÍA", S591="GRADO ING. TECNOLOGÍAS INDUSTRIALES"), 24, 0)) + (IF(AND(K591&gt;=451, K591&lt;=700), 23, 0)) + (IF(AND(AB591&gt;=5, AB591&lt;=8), 17, 0)) +(IF(_xludf.OR(_xludf.AND(AC591&gt;=8, AC591&lt;=10), _xludf.AND(AC591&gt;=0, AC591&lt;=5)), 16, 0)) + (IF(F591="Madrid", 11, 0))))</f>
        <v>#NAME?</v>
      </c>
      <c r="AG591" s="68"/>
      <c r="AH591" s="71" t="s">
        <v>164</v>
      </c>
    </row>
    <row r="592" spans="1:34" ht="14.4" x14ac:dyDescent="0.3">
      <c r="A592" s="66" t="s">
        <v>1570</v>
      </c>
      <c r="B592" s="66" t="s">
        <v>3687</v>
      </c>
      <c r="C592" s="33">
        <v>591</v>
      </c>
      <c r="D592" s="33" t="s">
        <v>5401</v>
      </c>
      <c r="E592" s="34" t="s">
        <v>5289</v>
      </c>
      <c r="F592" s="34" t="s">
        <v>18</v>
      </c>
      <c r="G592" s="57">
        <v>41988</v>
      </c>
      <c r="H592" s="57">
        <v>42352</v>
      </c>
      <c r="I592" s="34">
        <f t="shared" si="27"/>
        <v>11</v>
      </c>
      <c r="J592" s="34">
        <v>40</v>
      </c>
      <c r="K592" s="36">
        <v>900</v>
      </c>
      <c r="L592" s="34" t="s">
        <v>17</v>
      </c>
      <c r="M592" s="57">
        <v>32586</v>
      </c>
      <c r="N592" s="37">
        <f>(YEAR(TablaMadre[[#This Row],[ALTA]])-YEAR(M592))</f>
        <v>25</v>
      </c>
      <c r="O592" s="34" t="s">
        <v>75</v>
      </c>
      <c r="P592" s="34" t="s">
        <v>19</v>
      </c>
      <c r="Q592" s="34" t="s">
        <v>20</v>
      </c>
      <c r="R592" s="34" t="s">
        <v>21</v>
      </c>
      <c r="S592" s="34" t="s">
        <v>151</v>
      </c>
      <c r="T592" s="34"/>
      <c r="U592" s="34"/>
      <c r="V592" s="34" t="s">
        <v>81</v>
      </c>
      <c r="W592" s="34" t="s">
        <v>28</v>
      </c>
      <c r="X592" s="38" t="s">
        <v>164</v>
      </c>
      <c r="Y592" s="62">
        <v>42719</v>
      </c>
      <c r="Z592" s="38">
        <f t="shared" si="28"/>
        <v>1</v>
      </c>
      <c r="AA592" s="38"/>
      <c r="AB592" s="34">
        <v>9.5</v>
      </c>
      <c r="AC592" s="34"/>
      <c r="AD592" s="38"/>
      <c r="AE592" s="59" t="str">
        <f t="shared" si="29"/>
        <v>SÍ</v>
      </c>
      <c r="AF592" s="38" t="e" cm="1">
        <f t="array" aca="1" ref="AF592" ca="1">MIN(100, MAX(0, (IF(R592="ESTUDIANTE", 31, 0)) + (IF(I592&lt;=3, 30, IF(I592&lt;=6, 20, 0))) +(IF(OR(E592="413 - Control de Costes y Enlace Construcción", E592="480 - Secretaría General del Consejo", E592="132 - Civil y estructuras", E592="136 - Mecánica", E592="412 - Planificación", E592="142 - Compras"), 25, 0)) +(IF(OR(S592="GRADO ING. MECÁNICA", S592="GRADO ING. ELÉCTRICA", S592="GRADO DERECHO", S592="GRADO ECONOMÍA", S592="GRADO ING. TECNOLOGÍAS INDUSTRIALES"), 24, 0)) + (IF(AND(K592&gt;=451, K592&lt;=700), 23, 0)) + (IF(AND(AB592&gt;=5, AB592&lt;=8), 17, 0)) +(IF(_xludf.OR(_xludf.AND(AC592&gt;=8, AC592&lt;=10), _xludf.AND(AC592&gt;=0, AC592&lt;=5)), 16, 0)) + (IF(F592="Madrid", 11, 0))))</f>
        <v>#NAME?</v>
      </c>
      <c r="AG592" s="68"/>
      <c r="AH592" s="71" t="s">
        <v>164</v>
      </c>
    </row>
    <row r="593" spans="1:34" ht="14.4" x14ac:dyDescent="0.3">
      <c r="A593" s="66" t="s">
        <v>1571</v>
      </c>
      <c r="B593" s="66" t="s">
        <v>3688</v>
      </c>
      <c r="C593" s="33">
        <v>592</v>
      </c>
      <c r="D593" s="33" t="s">
        <v>5402</v>
      </c>
      <c r="E593" s="34" t="s">
        <v>5256</v>
      </c>
      <c r="F593" s="34" t="s">
        <v>18</v>
      </c>
      <c r="G593" s="57">
        <v>41988</v>
      </c>
      <c r="H593" s="57">
        <v>42352</v>
      </c>
      <c r="I593" s="34">
        <f t="shared" si="27"/>
        <v>11</v>
      </c>
      <c r="J593" s="34">
        <v>40</v>
      </c>
      <c r="K593" s="36">
        <v>900</v>
      </c>
      <c r="L593" s="34" t="s">
        <v>29</v>
      </c>
      <c r="M593" s="57">
        <v>31982</v>
      </c>
      <c r="N593" s="37">
        <f>(YEAR(TablaMadre[[#This Row],[ALTA]])-YEAR(M593))</f>
        <v>27</v>
      </c>
      <c r="O593" s="34" t="s">
        <v>226</v>
      </c>
      <c r="P593" s="34" t="s">
        <v>19</v>
      </c>
      <c r="Q593" s="34" t="s">
        <v>49</v>
      </c>
      <c r="R593" s="34" t="s">
        <v>21</v>
      </c>
      <c r="S593" s="34" t="s">
        <v>297</v>
      </c>
      <c r="T593" s="34"/>
      <c r="U593" s="34"/>
      <c r="V593" s="34" t="s">
        <v>122</v>
      </c>
      <c r="W593" s="34" t="s">
        <v>28</v>
      </c>
      <c r="X593" s="38" t="s">
        <v>164</v>
      </c>
      <c r="Y593" s="62">
        <v>42483</v>
      </c>
      <c r="Z593" s="38">
        <f t="shared" si="28"/>
        <v>0</v>
      </c>
      <c r="AA593" s="38"/>
      <c r="AB593" s="34">
        <v>10</v>
      </c>
      <c r="AC593" s="34">
        <v>10</v>
      </c>
      <c r="AD593" s="38"/>
      <c r="AE593" s="59" t="str">
        <f t="shared" si="29"/>
        <v>SÍ</v>
      </c>
      <c r="AF593" s="38" t="e" cm="1">
        <f t="array" aca="1" ref="AF593" ca="1">MIN(100, MAX(0, (IF(R593="ESTUDIANTE", 31, 0)) + (IF(I593&lt;=3, 30, IF(I593&lt;=6, 20, 0))) +(IF(OR(E593="413 - Control de Costes y Enlace Construcción", E593="480 - Secretaría General del Consejo", E593="132 - Civil y estructuras", E593="136 - Mecánica", E593="412 - Planificación", E593="142 - Compras"), 25, 0)) +(IF(OR(S593="GRADO ING. MECÁNICA", S593="GRADO ING. ELÉCTRICA", S593="GRADO DERECHO", S593="GRADO ECONOMÍA", S593="GRADO ING. TECNOLOGÍAS INDUSTRIALES"), 24, 0)) + (IF(AND(K593&gt;=451, K593&lt;=700), 23, 0)) + (IF(AND(AB593&gt;=5, AB593&lt;=8), 17, 0)) +(IF(_xludf.OR(_xludf.AND(AC593&gt;=8, AC593&lt;=10), _xludf.AND(AC593&gt;=0, AC593&lt;=5)), 16, 0)) + (IF(F593="Madrid", 11, 0))))</f>
        <v>#NAME?</v>
      </c>
      <c r="AG593" s="68"/>
      <c r="AH593" s="71" t="s">
        <v>164</v>
      </c>
    </row>
    <row r="594" spans="1:34" ht="14.4" x14ac:dyDescent="0.3">
      <c r="A594" s="66" t="s">
        <v>1572</v>
      </c>
      <c r="B594" s="66" t="s">
        <v>3689</v>
      </c>
      <c r="C594" s="33">
        <v>593</v>
      </c>
      <c r="D594" s="33" t="s">
        <v>5393</v>
      </c>
      <c r="E594" s="34" t="s">
        <v>5290</v>
      </c>
      <c r="F594" s="34" t="s">
        <v>18</v>
      </c>
      <c r="G594" s="57">
        <v>41988</v>
      </c>
      <c r="H594" s="57">
        <v>42352</v>
      </c>
      <c r="I594" s="34">
        <f t="shared" si="27"/>
        <v>11</v>
      </c>
      <c r="J594" s="34">
        <v>40</v>
      </c>
      <c r="K594" s="36">
        <v>900</v>
      </c>
      <c r="L594" s="34" t="s">
        <v>29</v>
      </c>
      <c r="M594" s="57">
        <v>33403</v>
      </c>
      <c r="N594" s="37">
        <f>(YEAR(TablaMadre[[#This Row],[ALTA]])-YEAR(M594))</f>
        <v>23</v>
      </c>
      <c r="O594" s="34" t="s">
        <v>293</v>
      </c>
      <c r="P594" s="34" t="s">
        <v>19</v>
      </c>
      <c r="Q594" s="34" t="s">
        <v>66</v>
      </c>
      <c r="R594" s="34" t="s">
        <v>21</v>
      </c>
      <c r="S594" s="34" t="s">
        <v>322</v>
      </c>
      <c r="T594" s="34"/>
      <c r="U594" s="34"/>
      <c r="V594" s="34" t="s">
        <v>340</v>
      </c>
      <c r="W594" s="34" t="s">
        <v>28</v>
      </c>
      <c r="X594" s="38" t="s">
        <v>164</v>
      </c>
      <c r="Y594" s="62">
        <v>43341</v>
      </c>
      <c r="Z594" s="38">
        <f t="shared" si="28"/>
        <v>2</v>
      </c>
      <c r="AA594" s="38"/>
      <c r="AB594" s="34">
        <v>9</v>
      </c>
      <c r="AC594" s="34"/>
      <c r="AD594" s="38"/>
      <c r="AE594" s="59" t="str">
        <f t="shared" si="29"/>
        <v>SÍ</v>
      </c>
      <c r="AF594" s="38" t="e" cm="1">
        <f t="array" aca="1" ref="AF594" ca="1">MIN(100, MAX(0, (IF(R594="ESTUDIANTE", 31, 0)) + (IF(I594&lt;=3, 30, IF(I594&lt;=6, 20, 0))) +(IF(OR(E594="413 - Control de Costes y Enlace Construcción", E594="480 - Secretaría General del Consejo", E594="132 - Civil y estructuras", E594="136 - Mecánica", E594="412 - Planificación", E594="142 - Compras"), 25, 0)) +(IF(OR(S594="GRADO ING. MECÁNICA", S594="GRADO ING. ELÉCTRICA", S594="GRADO DERECHO", S594="GRADO ECONOMÍA", S594="GRADO ING. TECNOLOGÍAS INDUSTRIALES"), 24, 0)) + (IF(AND(K594&gt;=451, K594&lt;=700), 23, 0)) + (IF(AND(AB594&gt;=5, AB594&lt;=8), 17, 0)) +(IF(_xludf.OR(_xludf.AND(AC594&gt;=8, AC594&lt;=10), _xludf.AND(AC594&gt;=0, AC594&lt;=5)), 16, 0)) + (IF(F594="Madrid", 11, 0))))</f>
        <v>#NAME?</v>
      </c>
      <c r="AG594" s="68"/>
      <c r="AH594" s="71" t="s">
        <v>164</v>
      </c>
    </row>
    <row r="595" spans="1:34" ht="14.4" x14ac:dyDescent="0.3">
      <c r="A595" s="66" t="s">
        <v>1582</v>
      </c>
      <c r="B595" s="66" t="s">
        <v>3699</v>
      </c>
      <c r="C595" s="33">
        <v>594</v>
      </c>
      <c r="D595" s="33" t="s">
        <v>5394</v>
      </c>
      <c r="E595" s="34" t="s">
        <v>5233</v>
      </c>
      <c r="F595" s="34" t="s">
        <v>18</v>
      </c>
      <c r="G595" s="57">
        <v>41988</v>
      </c>
      <c r="H595" s="57">
        <v>42537</v>
      </c>
      <c r="I595" s="34">
        <f t="shared" si="27"/>
        <v>18</v>
      </c>
      <c r="J595" s="34">
        <v>40</v>
      </c>
      <c r="K595" s="36">
        <v>900</v>
      </c>
      <c r="L595" s="34" t="s">
        <v>17</v>
      </c>
      <c r="M595" s="57">
        <v>33083</v>
      </c>
      <c r="N595" s="37">
        <f>(YEAR(TablaMadre[[#This Row],[ALTA]])-YEAR(M595))</f>
        <v>24</v>
      </c>
      <c r="O595" s="34" t="s">
        <v>18</v>
      </c>
      <c r="P595" s="34" t="s">
        <v>19</v>
      </c>
      <c r="Q595" s="34" t="s">
        <v>49</v>
      </c>
      <c r="R595" s="34" t="s">
        <v>21</v>
      </c>
      <c r="S595" s="34" t="s">
        <v>297</v>
      </c>
      <c r="T595" s="34"/>
      <c r="U595" s="34"/>
      <c r="V595" s="34" t="s">
        <v>22</v>
      </c>
      <c r="W595" s="34" t="s">
        <v>23</v>
      </c>
      <c r="X595" s="38" t="s">
        <v>164</v>
      </c>
      <c r="Y595" s="62"/>
      <c r="Z595" s="38" t="e">
        <f t="shared" si="28"/>
        <v>#NUM!</v>
      </c>
      <c r="AA595" s="38"/>
      <c r="AB595" s="34">
        <v>8</v>
      </c>
      <c r="AC595" s="34">
        <v>4</v>
      </c>
      <c r="AD595" s="38"/>
      <c r="AE595" s="59" t="str">
        <f t="shared" si="29"/>
        <v>NO</v>
      </c>
      <c r="AF595" s="38" t="e" cm="1">
        <f t="array" aca="1" ref="AF595" ca="1">MIN(100, MAX(0, (IF(R595="ESTUDIANTE", 31, 0)) + (IF(I595&lt;=3, 30, IF(I595&lt;=6, 20, 0))) +(IF(OR(E595="413 - Control de Costes y Enlace Construcción", E595="480 - Secretaría General del Consejo", E595="132 - Civil y estructuras", E595="136 - Mecánica", E595="412 - Planificación", E595="142 - Compras"), 25, 0)) +(IF(OR(S595="GRADO ING. MECÁNICA", S595="GRADO ING. ELÉCTRICA", S595="GRADO DERECHO", S595="GRADO ECONOMÍA", S595="GRADO ING. TECNOLOGÍAS INDUSTRIALES"), 24, 0)) + (IF(AND(K595&gt;=451, K595&lt;=700), 23, 0)) + (IF(AND(AB595&gt;=5, AB595&lt;=8), 17, 0)) +(IF(_xludf.OR(_xludf.AND(AC595&gt;=8, AC595&lt;=10), _xludf.AND(AC595&gt;=0, AC595&lt;=5)), 16, 0)) + (IF(F595="Madrid", 11, 0))))</f>
        <v>#NAME?</v>
      </c>
      <c r="AG595" s="68"/>
      <c r="AH595" s="71" t="s">
        <v>164</v>
      </c>
    </row>
    <row r="596" spans="1:34" ht="14.4" x14ac:dyDescent="0.3">
      <c r="A596" s="66" t="s">
        <v>1574</v>
      </c>
      <c r="B596" s="66" t="s">
        <v>3691</v>
      </c>
      <c r="C596" s="33">
        <v>595</v>
      </c>
      <c r="D596" s="33" t="s">
        <v>5395</v>
      </c>
      <c r="E596" s="34" t="s">
        <v>5232</v>
      </c>
      <c r="F596" s="34" t="s">
        <v>18</v>
      </c>
      <c r="G596" s="57">
        <v>41989</v>
      </c>
      <c r="H596" s="57">
        <v>42277</v>
      </c>
      <c r="I596" s="34">
        <f t="shared" si="27"/>
        <v>9</v>
      </c>
      <c r="J596" s="34">
        <v>40</v>
      </c>
      <c r="K596" s="36">
        <v>825</v>
      </c>
      <c r="L596" s="34" t="s">
        <v>17</v>
      </c>
      <c r="M596" s="57">
        <v>33011</v>
      </c>
      <c r="N596" s="37">
        <f>(YEAR(TablaMadre[[#This Row],[ALTA]])-YEAR(M596))</f>
        <v>24</v>
      </c>
      <c r="O596" s="34" t="s">
        <v>18</v>
      </c>
      <c r="P596" s="34" t="s">
        <v>19</v>
      </c>
      <c r="Q596" s="34" t="s">
        <v>130</v>
      </c>
      <c r="R596" s="34" t="s">
        <v>21</v>
      </c>
      <c r="S596" s="34" t="s">
        <v>307</v>
      </c>
      <c r="T596" s="34"/>
      <c r="U596" s="34"/>
      <c r="V596" s="34" t="s">
        <v>22</v>
      </c>
      <c r="W596" s="34" t="s">
        <v>28</v>
      </c>
      <c r="X596" s="38" t="s">
        <v>164</v>
      </c>
      <c r="Y596" s="62">
        <v>43453</v>
      </c>
      <c r="Z596" s="38">
        <f t="shared" si="28"/>
        <v>3</v>
      </c>
      <c r="AA596" s="38"/>
      <c r="AB596" s="34">
        <v>10</v>
      </c>
      <c r="AC596" s="34"/>
      <c r="AD596" s="38"/>
      <c r="AE596" s="59" t="str">
        <f t="shared" si="29"/>
        <v>NO</v>
      </c>
      <c r="AF596" s="38" t="e" cm="1">
        <f t="array" aca="1" ref="AF596" ca="1">MIN(100, MAX(0, (IF(R596="ESTUDIANTE", 31, 0)) + (IF(I596&lt;=3, 30, IF(I596&lt;=6, 20, 0))) +(IF(OR(E596="413 - Control de Costes y Enlace Construcción", E596="480 - Secretaría General del Consejo", E596="132 - Civil y estructuras", E596="136 - Mecánica", E596="412 - Planificación", E596="142 - Compras"), 25, 0)) +(IF(OR(S596="GRADO ING. MECÁNICA", S596="GRADO ING. ELÉCTRICA", S596="GRADO DERECHO", S596="GRADO ECONOMÍA", S596="GRADO ING. TECNOLOGÍAS INDUSTRIALES"), 24, 0)) + (IF(AND(K596&gt;=451, K596&lt;=700), 23, 0)) + (IF(AND(AB596&gt;=5, AB596&lt;=8), 17, 0)) +(IF(_xludf.OR(_xludf.AND(AC596&gt;=8, AC596&lt;=10), _xludf.AND(AC596&gt;=0, AC596&lt;=5)), 16, 0)) + (IF(F596="Madrid", 11, 0))))</f>
        <v>#NAME?</v>
      </c>
      <c r="AG596" s="68"/>
      <c r="AH596" s="71" t="s">
        <v>164</v>
      </c>
    </row>
    <row r="597" spans="1:34" s="4" customFormat="1" ht="14.4" x14ac:dyDescent="0.3">
      <c r="A597" s="66" t="s">
        <v>1575</v>
      </c>
      <c r="B597" s="66" t="s">
        <v>3692</v>
      </c>
      <c r="C597" s="33">
        <v>596</v>
      </c>
      <c r="D597" s="33" t="s">
        <v>5396</v>
      </c>
      <c r="E597" s="34" t="s">
        <v>5255</v>
      </c>
      <c r="F597" s="34" t="s">
        <v>18</v>
      </c>
      <c r="G597" s="57">
        <v>42011</v>
      </c>
      <c r="H597" s="57">
        <v>42369</v>
      </c>
      <c r="I597" s="34">
        <f t="shared" si="27"/>
        <v>11</v>
      </c>
      <c r="J597" s="34">
        <v>40</v>
      </c>
      <c r="K597" s="36">
        <v>900</v>
      </c>
      <c r="L597" s="34" t="s">
        <v>17</v>
      </c>
      <c r="M597" s="57">
        <v>33841</v>
      </c>
      <c r="N597" s="37">
        <f>(YEAR(TablaMadre[[#This Row],[ALTA]])-YEAR(M597))</f>
        <v>23</v>
      </c>
      <c r="O597" s="34" t="s">
        <v>18</v>
      </c>
      <c r="P597" s="34" t="s">
        <v>19</v>
      </c>
      <c r="Q597" s="34" t="s">
        <v>172</v>
      </c>
      <c r="R597" s="34" t="s">
        <v>21</v>
      </c>
      <c r="S597" s="34" t="s">
        <v>326</v>
      </c>
      <c r="T597" s="34"/>
      <c r="U597" s="34"/>
      <c r="V597" s="34" t="s">
        <v>22</v>
      </c>
      <c r="W597" s="34" t="s">
        <v>28</v>
      </c>
      <c r="X597" s="34" t="s">
        <v>173</v>
      </c>
      <c r="Y597" s="57"/>
      <c r="Z597" s="34" t="e">
        <f t="shared" si="28"/>
        <v>#NUM!</v>
      </c>
      <c r="AA597" s="34"/>
      <c r="AB597" s="34"/>
      <c r="AC597" s="34"/>
      <c r="AD597" s="34"/>
      <c r="AE597" s="59" t="str">
        <f t="shared" si="29"/>
        <v>NO</v>
      </c>
      <c r="AF597" s="34" t="e" cm="1">
        <f t="array" aca="1" ref="AF597" ca="1">MIN(100, MAX(0, (IF(R597="ESTUDIANTE", 31, 0)) + (IF(I597&lt;=3, 30, IF(I597&lt;=6, 20, 0))) +(IF(OR(E597="413 - Control de Costes y Enlace Construcción", E597="480 - Secretaría General del Consejo", E597="132 - Civil y estructuras", E597="136 - Mecánica", E597="412 - Planificación", E597="142 - Compras"), 25, 0)) +(IF(OR(S597="GRADO ING. MECÁNICA", S597="GRADO ING. ELÉCTRICA", S597="GRADO DERECHO", S597="GRADO ECONOMÍA", S597="GRADO ING. TECNOLOGÍAS INDUSTRIALES"), 24, 0)) + (IF(AND(K597&gt;=451, K597&lt;=700), 23, 0)) + (IF(AND(AB597&gt;=5, AB597&lt;=8), 17, 0)) +(IF(_xludf.OR(_xludf.AND(AC597&gt;=8, AC597&lt;=10), _xludf.AND(AC597&gt;=0, AC597&lt;=5)), 16, 0)) + (IF(F597="Madrid", 11, 0))))</f>
        <v>#NAME?</v>
      </c>
      <c r="AG597" s="69"/>
      <c r="AH597" s="71" t="s">
        <v>164</v>
      </c>
    </row>
    <row r="598" spans="1:34" ht="14.4" x14ac:dyDescent="0.3">
      <c r="A598" s="66" t="s">
        <v>1576</v>
      </c>
      <c r="B598" s="66" t="s">
        <v>3693</v>
      </c>
      <c r="C598" s="33">
        <v>597</v>
      </c>
      <c r="D598" s="33" t="s">
        <v>5397</v>
      </c>
      <c r="E598" s="34" t="s">
        <v>5291</v>
      </c>
      <c r="F598" s="34" t="s">
        <v>118</v>
      </c>
      <c r="G598" s="57">
        <v>42011</v>
      </c>
      <c r="H598" s="57">
        <v>42380</v>
      </c>
      <c r="I598" s="34">
        <f t="shared" si="27"/>
        <v>12</v>
      </c>
      <c r="J598" s="34">
        <v>40</v>
      </c>
      <c r="K598" s="36">
        <v>825</v>
      </c>
      <c r="L598" s="34" t="s">
        <v>17</v>
      </c>
      <c r="M598" s="57">
        <v>30792</v>
      </c>
      <c r="N598" s="37">
        <f>(YEAR(TablaMadre[[#This Row],[ALTA]])-YEAR(M598))</f>
        <v>31</v>
      </c>
      <c r="O598" s="34" t="s">
        <v>118</v>
      </c>
      <c r="P598" s="34" t="s">
        <v>19</v>
      </c>
      <c r="Q598" s="34" t="s">
        <v>344</v>
      </c>
      <c r="R598" s="34" t="s">
        <v>21</v>
      </c>
      <c r="S598" s="34" t="s">
        <v>26</v>
      </c>
      <c r="T598" s="34"/>
      <c r="U598" s="34"/>
      <c r="V598" s="34" t="s">
        <v>27</v>
      </c>
      <c r="W598" s="34" t="s">
        <v>28</v>
      </c>
      <c r="X598" s="38" t="s">
        <v>173</v>
      </c>
      <c r="Y598" s="62"/>
      <c r="Z598" s="38" t="e">
        <f t="shared" si="28"/>
        <v>#NUM!</v>
      </c>
      <c r="AA598" s="38"/>
      <c r="AB598" s="34">
        <v>9.5</v>
      </c>
      <c r="AC598" s="34"/>
      <c r="AD598" s="38"/>
      <c r="AE598" s="59" t="str">
        <f t="shared" si="29"/>
        <v>NO</v>
      </c>
      <c r="AF598" s="38" t="e" cm="1">
        <f t="array" aca="1" ref="AF598" ca="1">MIN(100, MAX(0, (IF(R598="ESTUDIANTE", 31, 0)) + (IF(I598&lt;=3, 30, IF(I598&lt;=6, 20, 0))) +(IF(OR(E598="413 - Control de Costes y Enlace Construcción", E598="480 - Secretaría General del Consejo", E598="132 - Civil y estructuras", E598="136 - Mecánica", E598="412 - Planificación", E598="142 - Compras"), 25, 0)) +(IF(OR(S598="GRADO ING. MECÁNICA", S598="GRADO ING. ELÉCTRICA", S598="GRADO DERECHO", S598="GRADO ECONOMÍA", S598="GRADO ING. TECNOLOGÍAS INDUSTRIALES"), 24, 0)) + (IF(AND(K598&gt;=451, K598&lt;=700), 23, 0)) + (IF(AND(AB598&gt;=5, AB598&lt;=8), 17, 0)) +(IF(_xludf.OR(_xludf.AND(AC598&gt;=8, AC598&lt;=10), _xludf.AND(AC598&gt;=0, AC598&lt;=5)), 16, 0)) + (IF(F598="Madrid", 11, 0))))</f>
        <v>#NAME?</v>
      </c>
      <c r="AG598" s="68"/>
      <c r="AH598" s="71" t="s">
        <v>164</v>
      </c>
    </row>
    <row r="599" spans="1:34" ht="14.4" x14ac:dyDescent="0.3">
      <c r="A599" s="66" t="s">
        <v>1577</v>
      </c>
      <c r="B599" s="66" t="s">
        <v>3694</v>
      </c>
      <c r="C599" s="33">
        <v>598</v>
      </c>
      <c r="D599" s="33" t="s">
        <v>5398</v>
      </c>
      <c r="E599" s="34" t="s">
        <v>5218</v>
      </c>
      <c r="F599" s="34" t="s">
        <v>18</v>
      </c>
      <c r="G599" s="57">
        <v>42011</v>
      </c>
      <c r="H599" s="57">
        <v>42735</v>
      </c>
      <c r="I599" s="34">
        <f t="shared" si="27"/>
        <v>23</v>
      </c>
      <c r="J599" s="34">
        <v>40</v>
      </c>
      <c r="K599" s="36">
        <v>900</v>
      </c>
      <c r="L599" s="34" t="s">
        <v>17</v>
      </c>
      <c r="M599" s="57">
        <v>33384</v>
      </c>
      <c r="N599" s="37">
        <f>(YEAR(TablaMadre[[#This Row],[ALTA]])-YEAR(M599))</f>
        <v>24</v>
      </c>
      <c r="O599" s="34" t="s">
        <v>255</v>
      </c>
      <c r="P599" s="34" t="s">
        <v>19</v>
      </c>
      <c r="Q599" s="34" t="s">
        <v>20</v>
      </c>
      <c r="R599" s="34" t="s">
        <v>21</v>
      </c>
      <c r="S599" s="34" t="s">
        <v>151</v>
      </c>
      <c r="T599" s="34"/>
      <c r="U599" s="34"/>
      <c r="V599" s="34" t="s">
        <v>81</v>
      </c>
      <c r="W599" s="34" t="s">
        <v>28</v>
      </c>
      <c r="X599" s="38" t="s">
        <v>173</v>
      </c>
      <c r="Y599" s="62"/>
      <c r="Z599" s="38" t="e">
        <f t="shared" si="28"/>
        <v>#NUM!</v>
      </c>
      <c r="AA599" s="38"/>
      <c r="AB599" s="34">
        <v>8</v>
      </c>
      <c r="AC599" s="34">
        <v>9</v>
      </c>
      <c r="AD599" s="38"/>
      <c r="AE599" s="59" t="str">
        <f t="shared" si="29"/>
        <v>SÍ</v>
      </c>
      <c r="AF599" s="38" t="e" cm="1">
        <f t="array" aca="1" ref="AF599" ca="1">MIN(100, MAX(0, (IF(R599="ESTUDIANTE", 31, 0)) + (IF(I599&lt;=3, 30, IF(I599&lt;=6, 20, 0))) +(IF(OR(E599="413 - Control de Costes y Enlace Construcción", E599="480 - Secretaría General del Consejo", E599="132 - Civil y estructuras", E599="136 - Mecánica", E599="412 - Planificación", E599="142 - Compras"), 25, 0)) +(IF(OR(S599="GRADO ING. MECÁNICA", S599="GRADO ING. ELÉCTRICA", S599="GRADO DERECHO", S599="GRADO ECONOMÍA", S599="GRADO ING. TECNOLOGÍAS INDUSTRIALES"), 24, 0)) + (IF(AND(K599&gt;=451, K599&lt;=700), 23, 0)) + (IF(AND(AB599&gt;=5, AB599&lt;=8), 17, 0)) +(IF(_xludf.OR(_xludf.AND(AC599&gt;=8, AC599&lt;=10), _xludf.AND(AC599&gt;=0, AC599&lt;=5)), 16, 0)) + (IF(F599="Madrid", 11, 0))))</f>
        <v>#NAME?</v>
      </c>
      <c r="AG599" s="68"/>
      <c r="AH599" s="71" t="s">
        <v>164</v>
      </c>
    </row>
    <row r="600" spans="1:34" ht="14.4" x14ac:dyDescent="0.3">
      <c r="A600" s="66" t="s">
        <v>1578</v>
      </c>
      <c r="B600" s="66" t="s">
        <v>3695</v>
      </c>
      <c r="C600" s="33">
        <v>599</v>
      </c>
      <c r="D600" s="33" t="s">
        <v>5399</v>
      </c>
      <c r="E600" s="34" t="s">
        <v>5272</v>
      </c>
      <c r="F600" s="34" t="s">
        <v>18</v>
      </c>
      <c r="G600" s="57">
        <v>42013</v>
      </c>
      <c r="H600" s="57">
        <v>42429</v>
      </c>
      <c r="I600" s="34">
        <f t="shared" si="27"/>
        <v>13</v>
      </c>
      <c r="J600" s="34">
        <v>40</v>
      </c>
      <c r="K600" s="36">
        <v>900</v>
      </c>
      <c r="L600" s="34" t="s">
        <v>29</v>
      </c>
      <c r="M600" s="57">
        <v>33078</v>
      </c>
      <c r="N600" s="37">
        <f>(YEAR(TablaMadre[[#This Row],[ALTA]])-YEAR(M600))</f>
        <v>25</v>
      </c>
      <c r="O600" s="34" t="s">
        <v>18</v>
      </c>
      <c r="P600" s="34" t="s">
        <v>19</v>
      </c>
      <c r="Q600" s="34" t="s">
        <v>297</v>
      </c>
      <c r="R600" s="34" t="s">
        <v>21</v>
      </c>
      <c r="S600" s="34" t="s">
        <v>297</v>
      </c>
      <c r="T600" s="34"/>
      <c r="U600" s="34"/>
      <c r="V600" s="34" t="s">
        <v>84</v>
      </c>
      <c r="W600" s="34" t="s">
        <v>28</v>
      </c>
      <c r="X600" s="38" t="s">
        <v>173</v>
      </c>
      <c r="Y600" s="62"/>
      <c r="Z600" s="38" t="e">
        <f t="shared" si="28"/>
        <v>#NUM!</v>
      </c>
      <c r="AA600" s="38"/>
      <c r="AB600" s="34"/>
      <c r="AC600" s="34"/>
      <c r="AD600" s="38"/>
      <c r="AE600" s="59" t="str">
        <f t="shared" si="29"/>
        <v>NO</v>
      </c>
      <c r="AF600" s="38" t="e" cm="1">
        <f t="array" aca="1" ref="AF600" ca="1">MIN(100, MAX(0, (IF(R600="ESTUDIANTE", 31, 0)) + (IF(I600&lt;=3, 30, IF(I600&lt;=6, 20, 0))) +(IF(OR(E600="413 - Control de Costes y Enlace Construcción", E600="480 - Secretaría General del Consejo", E600="132 - Civil y estructuras", E600="136 - Mecánica", E600="412 - Planificación", E600="142 - Compras"), 25, 0)) +(IF(OR(S600="GRADO ING. MECÁNICA", S600="GRADO ING. ELÉCTRICA", S600="GRADO DERECHO", S600="GRADO ECONOMÍA", S600="GRADO ING. TECNOLOGÍAS INDUSTRIALES"), 24, 0)) + (IF(AND(K600&gt;=451, K600&lt;=700), 23, 0)) + (IF(AND(AB600&gt;=5, AB600&lt;=8), 17, 0)) +(IF(_xludf.OR(_xludf.AND(AC600&gt;=8, AC600&lt;=10), _xludf.AND(AC600&gt;=0, AC600&lt;=5)), 16, 0)) + (IF(F600="Madrid", 11, 0))))</f>
        <v>#NAME?</v>
      </c>
      <c r="AG600" s="68"/>
      <c r="AH600" s="71" t="s">
        <v>164</v>
      </c>
    </row>
    <row r="601" spans="1:34" ht="14.4" x14ac:dyDescent="0.3">
      <c r="A601" s="66" t="s">
        <v>1580</v>
      </c>
      <c r="B601" s="66" t="s">
        <v>3697</v>
      </c>
      <c r="C601" s="33">
        <v>601</v>
      </c>
      <c r="D601" s="33" t="s">
        <v>5393</v>
      </c>
      <c r="E601" s="34" t="s">
        <v>5234</v>
      </c>
      <c r="F601" s="34" t="s">
        <v>18</v>
      </c>
      <c r="G601" s="57">
        <v>42013</v>
      </c>
      <c r="H601" s="57">
        <v>42613</v>
      </c>
      <c r="I601" s="34">
        <f t="shared" si="27"/>
        <v>19</v>
      </c>
      <c r="J601" s="34">
        <v>40</v>
      </c>
      <c r="K601" s="36">
        <v>750</v>
      </c>
      <c r="L601" s="34" t="s">
        <v>29</v>
      </c>
      <c r="M601" s="57">
        <v>32195</v>
      </c>
      <c r="N601" s="37">
        <f>(YEAR(TablaMadre[[#This Row],[ALTA]])-YEAR(M601))</f>
        <v>27</v>
      </c>
      <c r="O601" s="34" t="s">
        <v>211</v>
      </c>
      <c r="P601" s="34" t="s">
        <v>19</v>
      </c>
      <c r="Q601" s="34" t="s">
        <v>291</v>
      </c>
      <c r="R601" s="34" t="s">
        <v>21</v>
      </c>
      <c r="S601" s="34" t="s">
        <v>291</v>
      </c>
      <c r="T601" s="34"/>
      <c r="U601" s="34"/>
      <c r="V601" s="34" t="s">
        <v>137</v>
      </c>
      <c r="W601" s="34" t="s">
        <v>28</v>
      </c>
      <c r="X601" s="38" t="s">
        <v>164</v>
      </c>
      <c r="Y601" s="62">
        <v>44191</v>
      </c>
      <c r="Z601" s="38">
        <f t="shared" si="28"/>
        <v>4</v>
      </c>
      <c r="AA601" s="38"/>
      <c r="AB601" s="34"/>
      <c r="AC601" s="34"/>
      <c r="AD601" s="38"/>
      <c r="AE601" s="59" t="str">
        <f t="shared" si="29"/>
        <v>SÍ</v>
      </c>
      <c r="AF601" s="38" t="e" cm="1">
        <f t="array" aca="1" ref="AF601" ca="1">MIN(100, MAX(0, (IF(R601="ESTUDIANTE", 31, 0)) + (IF(I601&lt;=3, 30, IF(I601&lt;=6, 20, 0))) +(IF(OR(E601="413 - Control de Costes y Enlace Construcción", E601="480 - Secretaría General del Consejo", E601="132 - Civil y estructuras", E601="136 - Mecánica", E601="412 - Planificación", E601="142 - Compras"), 25, 0)) +(IF(OR(S601="GRADO ING. MECÁNICA", S601="GRADO ING. ELÉCTRICA", S601="GRADO DERECHO", S601="GRADO ECONOMÍA", S601="GRADO ING. TECNOLOGÍAS INDUSTRIALES"), 24, 0)) + (IF(AND(K601&gt;=451, K601&lt;=700), 23, 0)) + (IF(AND(AB601&gt;=5, AB601&lt;=8), 17, 0)) +(IF(_xludf.OR(_xludf.AND(AC601&gt;=8, AC601&lt;=10), _xludf.AND(AC601&gt;=0, AC601&lt;=5)), 16, 0)) + (IF(F601="Madrid", 11, 0))))</f>
        <v>#NAME?</v>
      </c>
      <c r="AG601" s="68"/>
      <c r="AH601" s="71" t="s">
        <v>164</v>
      </c>
    </row>
    <row r="602" spans="1:34" ht="14.4" x14ac:dyDescent="0.3">
      <c r="A602" s="66" t="s">
        <v>1654</v>
      </c>
      <c r="B602" s="66" t="s">
        <v>3771</v>
      </c>
      <c r="C602" s="33">
        <v>602</v>
      </c>
      <c r="D602" s="33" t="s">
        <v>5394</v>
      </c>
      <c r="E602" s="34" t="s">
        <v>5224</v>
      </c>
      <c r="F602" s="34" t="s">
        <v>18</v>
      </c>
      <c r="G602" s="57">
        <v>42013</v>
      </c>
      <c r="H602" s="57">
        <v>42704</v>
      </c>
      <c r="I602" s="34">
        <f t="shared" si="27"/>
        <v>22</v>
      </c>
      <c r="J602" s="34">
        <v>40</v>
      </c>
      <c r="K602" s="36">
        <v>800</v>
      </c>
      <c r="L602" s="34" t="s">
        <v>17</v>
      </c>
      <c r="M602" s="57">
        <v>33502</v>
      </c>
      <c r="N602" s="37">
        <f>(YEAR(TablaMadre[[#This Row],[ALTA]])-YEAR(M602))</f>
        <v>24</v>
      </c>
      <c r="O602" s="34" t="s">
        <v>302</v>
      </c>
      <c r="P602" s="34" t="s">
        <v>302</v>
      </c>
      <c r="Q602" s="34" t="s">
        <v>58</v>
      </c>
      <c r="R602" s="34" t="s">
        <v>21</v>
      </c>
      <c r="S602" s="34" t="s">
        <v>229</v>
      </c>
      <c r="T602" s="34"/>
      <c r="U602" s="34"/>
      <c r="V602" s="34" t="s">
        <v>90</v>
      </c>
      <c r="W602" s="34" t="s">
        <v>23</v>
      </c>
      <c r="X602" s="38" t="s">
        <v>164</v>
      </c>
      <c r="Y602" s="62"/>
      <c r="Z602" s="62" t="e">
        <f t="shared" si="28"/>
        <v>#NUM!</v>
      </c>
      <c r="AA602" s="62"/>
      <c r="AB602" s="34">
        <v>8</v>
      </c>
      <c r="AC602" s="34"/>
      <c r="AD602" s="38"/>
      <c r="AE602" s="59" t="str">
        <f t="shared" si="29"/>
        <v>SÍ</v>
      </c>
      <c r="AF602" s="38" t="e" cm="1">
        <f t="array" aca="1" ref="AF602" ca="1">MIN(100, MAX(0, (IF(R602="ESTUDIANTE", 31, 0)) + (IF(I602&lt;=3, 30, IF(I602&lt;=6, 20, 0))) +(IF(OR(E602="413 - Control de Costes y Enlace Construcción", E602="480 - Secretaría General del Consejo", E602="132 - Civil y estructuras", E602="136 - Mecánica", E602="412 - Planificación", E602="142 - Compras"), 25, 0)) +(IF(OR(S602="GRADO ING. MECÁNICA", S602="GRADO ING. ELÉCTRICA", S602="GRADO DERECHO", S602="GRADO ECONOMÍA", S602="GRADO ING. TECNOLOGÍAS INDUSTRIALES"), 24, 0)) + (IF(AND(K602&gt;=451, K602&lt;=700), 23, 0)) + (IF(AND(AB602&gt;=5, AB602&lt;=8), 17, 0)) +(IF(_xludf.OR(_xludf.AND(AC602&gt;=8, AC602&lt;=10), _xludf.AND(AC602&gt;=0, AC602&lt;=5)), 16, 0)) + (IF(F602="Madrid", 11, 0))))</f>
        <v>#NAME?</v>
      </c>
      <c r="AG602" s="68"/>
      <c r="AH602" s="71" t="s">
        <v>164</v>
      </c>
    </row>
    <row r="603" spans="1:34" ht="14.4" x14ac:dyDescent="0.3">
      <c r="A603" s="66" t="s">
        <v>1655</v>
      </c>
      <c r="B603" s="66" t="s">
        <v>3772</v>
      </c>
      <c r="C603" s="33">
        <v>600</v>
      </c>
      <c r="D603" s="33" t="s">
        <v>5395</v>
      </c>
      <c r="E603" s="34" t="s">
        <v>5242</v>
      </c>
      <c r="F603" s="34" t="s">
        <v>100</v>
      </c>
      <c r="G603" s="57">
        <v>42013</v>
      </c>
      <c r="H603" s="57">
        <v>42551</v>
      </c>
      <c r="I603" s="34">
        <f t="shared" si="27"/>
        <v>17</v>
      </c>
      <c r="J603" s="34">
        <v>30</v>
      </c>
      <c r="K603" s="36">
        <v>620</v>
      </c>
      <c r="L603" s="34" t="s">
        <v>17</v>
      </c>
      <c r="M603" s="57">
        <v>30116</v>
      </c>
      <c r="N603" s="37">
        <f>(YEAR(TablaMadre[[#This Row],[ALTA]])-YEAR(M603))</f>
        <v>33</v>
      </c>
      <c r="O603" s="34" t="s">
        <v>100</v>
      </c>
      <c r="P603" s="34" t="s">
        <v>19</v>
      </c>
      <c r="Q603" s="34" t="s">
        <v>322</v>
      </c>
      <c r="R603" s="58" t="s">
        <v>30</v>
      </c>
      <c r="S603" s="34" t="s">
        <v>322</v>
      </c>
      <c r="T603" s="34"/>
      <c r="U603" s="34"/>
      <c r="V603" s="34" t="s">
        <v>107</v>
      </c>
      <c r="W603" s="34" t="s">
        <v>23</v>
      </c>
      <c r="X603" s="38" t="s">
        <v>164</v>
      </c>
      <c r="Y603" s="62"/>
      <c r="Z603" s="62" t="e">
        <f t="shared" si="28"/>
        <v>#NUM!</v>
      </c>
      <c r="AA603" s="62"/>
      <c r="AB603" s="34"/>
      <c r="AC603" s="34"/>
      <c r="AD603" s="38"/>
      <c r="AE603" s="59" t="str">
        <f t="shared" si="29"/>
        <v>NO</v>
      </c>
      <c r="AF603" s="38" t="e" cm="1">
        <f t="array" aca="1" ref="AF603" ca="1">MIN(100, MAX(0, (IF(R603="ESTUDIANTE", 31, 0)) + (IF(I603&lt;=3, 30, IF(I603&lt;=6, 20, 0))) +(IF(OR(E603="413 - Control de Costes y Enlace Construcción", E603="480 - Secretaría General del Consejo", E603="132 - Civil y estructuras", E603="136 - Mecánica", E603="412 - Planificación", E603="142 - Compras"), 25, 0)) +(IF(OR(S603="GRADO ING. MECÁNICA", S603="GRADO ING. ELÉCTRICA", S603="GRADO DERECHO", S603="GRADO ECONOMÍA", S603="GRADO ING. TECNOLOGÍAS INDUSTRIALES"), 24, 0)) + (IF(AND(K603&gt;=451, K603&lt;=700), 23, 0)) + (IF(AND(AB603&gt;=5, AB603&lt;=8), 17, 0)) +(IF(_xludf.OR(_xludf.AND(AC603&gt;=8, AC603&lt;=10), _xludf.AND(AC603&gt;=0, AC603&lt;=5)), 16, 0)) + (IF(F603="Madrid", 11, 0))))</f>
        <v>#NAME?</v>
      </c>
      <c r="AG603" s="68"/>
      <c r="AH603" s="71" t="s">
        <v>164</v>
      </c>
    </row>
    <row r="604" spans="1:34" ht="14.4" x14ac:dyDescent="0.3">
      <c r="A604" s="66" t="s">
        <v>1672</v>
      </c>
      <c r="B604" s="66" t="s">
        <v>3789</v>
      </c>
      <c r="C604" s="33">
        <v>603</v>
      </c>
      <c r="D604" s="33" t="s">
        <v>5396</v>
      </c>
      <c r="E604" s="34" t="s">
        <v>5218</v>
      </c>
      <c r="F604" s="34" t="s">
        <v>18</v>
      </c>
      <c r="G604" s="57">
        <v>42014</v>
      </c>
      <c r="H604" s="57">
        <v>42643</v>
      </c>
      <c r="I604" s="34">
        <f t="shared" si="27"/>
        <v>20</v>
      </c>
      <c r="J604" s="34">
        <v>40</v>
      </c>
      <c r="K604" s="36">
        <v>900</v>
      </c>
      <c r="L604" s="34" t="s">
        <v>29</v>
      </c>
      <c r="M604" s="57">
        <v>24164</v>
      </c>
      <c r="N604" s="37">
        <f>(YEAR(TablaMadre[[#This Row],[ALTA]])-YEAR(M604))</f>
        <v>49</v>
      </c>
      <c r="O604" s="34" t="s">
        <v>654</v>
      </c>
      <c r="P604" s="34" t="s">
        <v>19</v>
      </c>
      <c r="Q604" s="34" t="s">
        <v>20</v>
      </c>
      <c r="R604" s="34" t="s">
        <v>21</v>
      </c>
      <c r="S604" s="34" t="s">
        <v>151</v>
      </c>
      <c r="T604" s="34"/>
      <c r="U604" s="34"/>
      <c r="V604" s="34" t="s">
        <v>69</v>
      </c>
      <c r="W604" s="34" t="s">
        <v>370</v>
      </c>
      <c r="X604" s="38" t="s">
        <v>164</v>
      </c>
      <c r="Y604" s="62"/>
      <c r="Z604" s="62" t="e">
        <f t="shared" si="28"/>
        <v>#NUM!</v>
      </c>
      <c r="AA604" s="62"/>
      <c r="AB604" s="34">
        <v>9</v>
      </c>
      <c r="AC604" s="34"/>
      <c r="AD604" s="38"/>
      <c r="AE604" s="59" t="str">
        <f t="shared" si="29"/>
        <v>SÍ</v>
      </c>
      <c r="AF604" s="38" t="e" cm="1">
        <f t="array" aca="1" ref="AF604" ca="1">MIN(100, MAX(0, (IF(R604="ESTUDIANTE", 31, 0)) + (IF(I604&lt;=3, 30, IF(I604&lt;=6, 20, 0))) +(IF(OR(E604="413 - Control de Costes y Enlace Construcción", E604="480 - Secretaría General del Consejo", E604="132 - Civil y estructuras", E604="136 - Mecánica", E604="412 - Planificación", E604="142 - Compras"), 25, 0)) +(IF(OR(S604="GRADO ING. MECÁNICA", S604="GRADO ING. ELÉCTRICA", S604="GRADO DERECHO", S604="GRADO ECONOMÍA", S604="GRADO ING. TECNOLOGÍAS INDUSTRIALES"), 24, 0)) + (IF(AND(K604&gt;=451, K604&lt;=700), 23, 0)) + (IF(AND(AB604&gt;=5, AB604&lt;=8), 17, 0)) +(IF(_xludf.OR(_xludf.AND(AC604&gt;=8, AC604&lt;=10), _xludf.AND(AC604&gt;=0, AC604&lt;=5)), 16, 0)) + (IF(F604="Madrid", 11, 0))))</f>
        <v>#NAME?</v>
      </c>
      <c r="AG604" s="68"/>
      <c r="AH604" s="71" t="s">
        <v>164</v>
      </c>
    </row>
    <row r="605" spans="1:34" ht="14.4" x14ac:dyDescent="0.3">
      <c r="A605" s="66" t="s">
        <v>1584</v>
      </c>
      <c r="B605" s="66" t="s">
        <v>3701</v>
      </c>
      <c r="C605" s="33">
        <v>605</v>
      </c>
      <c r="D605" s="33" t="s">
        <v>5397</v>
      </c>
      <c r="E605" s="34" t="s">
        <v>5285</v>
      </c>
      <c r="F605" s="34" t="s">
        <v>18</v>
      </c>
      <c r="G605" s="57">
        <v>42016</v>
      </c>
      <c r="H605" s="57">
        <v>42886</v>
      </c>
      <c r="I605" s="34">
        <f t="shared" si="27"/>
        <v>28</v>
      </c>
      <c r="J605" s="34">
        <v>40</v>
      </c>
      <c r="K605" s="36">
        <v>900</v>
      </c>
      <c r="L605" s="34" t="s">
        <v>17</v>
      </c>
      <c r="M605" s="57">
        <v>33932</v>
      </c>
      <c r="N605" s="37">
        <f>(YEAR(TablaMadre[[#This Row],[ALTA]])-YEAR(M605))</f>
        <v>23</v>
      </c>
      <c r="O605" s="34" t="s">
        <v>247</v>
      </c>
      <c r="P605" s="34" t="s">
        <v>19</v>
      </c>
      <c r="Q605" s="34" t="s">
        <v>386</v>
      </c>
      <c r="R605" s="34" t="s">
        <v>21</v>
      </c>
      <c r="S605" s="34" t="s">
        <v>151</v>
      </c>
      <c r="T605" s="34"/>
      <c r="U605" s="34"/>
      <c r="V605" s="34" t="s">
        <v>107</v>
      </c>
      <c r="W605" s="34" t="s">
        <v>28</v>
      </c>
      <c r="X605" s="38" t="s">
        <v>164</v>
      </c>
      <c r="Y605" s="62">
        <v>43773</v>
      </c>
      <c r="Z605" s="38">
        <f t="shared" si="28"/>
        <v>2</v>
      </c>
      <c r="AA605" s="38"/>
      <c r="AB605" s="34">
        <v>8</v>
      </c>
      <c r="AC605" s="34">
        <v>10</v>
      </c>
      <c r="AD605" s="38"/>
      <c r="AE605" s="59" t="str">
        <f t="shared" si="29"/>
        <v>SÍ</v>
      </c>
      <c r="AF605" s="38" t="e" cm="1">
        <f t="array" aca="1" ref="AF605" ca="1">MIN(100, MAX(0, (IF(R605="ESTUDIANTE", 31, 0)) + (IF(I605&lt;=3, 30, IF(I605&lt;=6, 20, 0))) +(IF(OR(E605="413 - Control de Costes y Enlace Construcción", E605="480 - Secretaría General del Consejo", E605="132 - Civil y estructuras", E605="136 - Mecánica", E605="412 - Planificación", E605="142 - Compras"), 25, 0)) +(IF(OR(S605="GRADO ING. MECÁNICA", S605="GRADO ING. ELÉCTRICA", S605="GRADO DERECHO", S605="GRADO ECONOMÍA", S605="GRADO ING. TECNOLOGÍAS INDUSTRIALES"), 24, 0)) + (IF(AND(K605&gt;=451, K605&lt;=700), 23, 0)) + (IF(AND(AB605&gt;=5, AB605&lt;=8), 17, 0)) +(IF(_xludf.OR(_xludf.AND(AC605&gt;=8, AC605&lt;=10), _xludf.AND(AC605&gt;=0, AC605&lt;=5)), 16, 0)) + (IF(F605="Madrid", 11, 0))))</f>
        <v>#NAME?</v>
      </c>
      <c r="AG605" s="68"/>
      <c r="AH605" s="71" t="s">
        <v>164</v>
      </c>
    </row>
    <row r="606" spans="1:34" ht="14.4" x14ac:dyDescent="0.3">
      <c r="A606" s="66" t="s">
        <v>1586</v>
      </c>
      <c r="B606" s="66" t="s">
        <v>3703</v>
      </c>
      <c r="C606" s="33">
        <v>607</v>
      </c>
      <c r="D606" s="33" t="s">
        <v>5393</v>
      </c>
      <c r="E606" s="34" t="s">
        <v>5244</v>
      </c>
      <c r="F606" s="34" t="s">
        <v>18</v>
      </c>
      <c r="G606" s="57">
        <v>42016</v>
      </c>
      <c r="H606" s="57">
        <v>42886</v>
      </c>
      <c r="I606" s="34">
        <f t="shared" si="27"/>
        <v>28</v>
      </c>
      <c r="J606" s="34">
        <v>40</v>
      </c>
      <c r="K606" s="36">
        <v>900</v>
      </c>
      <c r="L606" s="34" t="s">
        <v>17</v>
      </c>
      <c r="M606" s="57">
        <v>31380</v>
      </c>
      <c r="N606" s="37">
        <f>(YEAR(TablaMadre[[#This Row],[ALTA]])-YEAR(M606))</f>
        <v>30</v>
      </c>
      <c r="O606" s="34" t="s">
        <v>18</v>
      </c>
      <c r="P606" s="34" t="s">
        <v>19</v>
      </c>
      <c r="Q606" s="34" t="s">
        <v>177</v>
      </c>
      <c r="R606" s="34" t="s">
        <v>21</v>
      </c>
      <c r="S606" s="34" t="s">
        <v>397</v>
      </c>
      <c r="T606" s="34"/>
      <c r="U606" s="34"/>
      <c r="V606" s="34" t="s">
        <v>22</v>
      </c>
      <c r="W606" s="34" t="s">
        <v>28</v>
      </c>
      <c r="X606" s="34" t="s">
        <v>164</v>
      </c>
      <c r="Y606" s="57">
        <v>43252</v>
      </c>
      <c r="Z606" s="34">
        <f t="shared" si="28"/>
        <v>1</v>
      </c>
      <c r="AA606" s="34"/>
      <c r="AB606" s="34">
        <v>6</v>
      </c>
      <c r="AC606" s="34"/>
      <c r="AD606" s="34"/>
      <c r="AE606" s="59" t="str">
        <f t="shared" si="29"/>
        <v>NO</v>
      </c>
      <c r="AF606" s="38" t="e" cm="1">
        <f t="array" aca="1" ref="AF606" ca="1">MIN(100, MAX(0, (IF(R606="ESTUDIANTE", 31, 0)) + (IF(I606&lt;=3, 30, IF(I606&lt;=6, 20, 0))) +(IF(OR(E606="413 - Control de Costes y Enlace Construcción", E606="480 - Secretaría General del Consejo", E606="132 - Civil y estructuras", E606="136 - Mecánica", E606="412 - Planificación", E606="142 - Compras"), 25, 0)) +(IF(OR(S606="GRADO ING. MECÁNICA", S606="GRADO ING. ELÉCTRICA", S606="GRADO DERECHO", S606="GRADO ECONOMÍA", S606="GRADO ING. TECNOLOGÍAS INDUSTRIALES"), 24, 0)) + (IF(AND(K606&gt;=451, K606&lt;=700), 23, 0)) + (IF(AND(AB606&gt;=5, AB606&lt;=8), 17, 0)) +(IF(_xludf.OR(_xludf.AND(AC606&gt;=8, AC606&lt;=10), _xludf.AND(AC606&gt;=0, AC606&lt;=5)), 16, 0)) + (IF(F606="Madrid", 11, 0))))</f>
        <v>#NAME?</v>
      </c>
      <c r="AG606" s="68"/>
      <c r="AH606" s="71" t="s">
        <v>164</v>
      </c>
    </row>
    <row r="607" spans="1:34" ht="14.4" x14ac:dyDescent="0.3">
      <c r="A607" s="66" t="s">
        <v>1679</v>
      </c>
      <c r="B607" s="66" t="s">
        <v>3796</v>
      </c>
      <c r="C607" s="33">
        <v>604</v>
      </c>
      <c r="D607" s="33" t="s">
        <v>5394</v>
      </c>
      <c r="E607" s="34" t="s">
        <v>5245</v>
      </c>
      <c r="F607" s="34" t="s">
        <v>18</v>
      </c>
      <c r="G607" s="57">
        <v>42016</v>
      </c>
      <c r="H607" s="57">
        <v>42521</v>
      </c>
      <c r="I607" s="34">
        <f t="shared" si="27"/>
        <v>16</v>
      </c>
      <c r="J607" s="34">
        <v>40</v>
      </c>
      <c r="K607" s="36">
        <v>900</v>
      </c>
      <c r="L607" s="34" t="s">
        <v>17</v>
      </c>
      <c r="M607" s="57">
        <v>32312</v>
      </c>
      <c r="N607" s="37">
        <f>(YEAR(TablaMadre[[#This Row],[ALTA]])-YEAR(M607))</f>
        <v>27</v>
      </c>
      <c r="O607" s="34" t="s">
        <v>18</v>
      </c>
      <c r="P607" s="34" t="s">
        <v>19</v>
      </c>
      <c r="Q607" s="34" t="s">
        <v>357</v>
      </c>
      <c r="R607" s="34" t="s">
        <v>21</v>
      </c>
      <c r="S607" s="34"/>
      <c r="T607" s="34"/>
      <c r="U607" s="34"/>
      <c r="V607" s="34" t="s">
        <v>22</v>
      </c>
      <c r="W607" s="34" t="s">
        <v>23</v>
      </c>
      <c r="X607" s="38" t="s">
        <v>164</v>
      </c>
      <c r="Y607" s="62"/>
      <c r="Z607" s="62" t="e">
        <f t="shared" si="28"/>
        <v>#NUM!</v>
      </c>
      <c r="AA607" s="62"/>
      <c r="AB607" s="34"/>
      <c r="AC607" s="34"/>
      <c r="AD607" s="38"/>
      <c r="AE607" s="59" t="str">
        <f t="shared" si="29"/>
        <v>NO</v>
      </c>
      <c r="AF607" s="38" t="e" cm="1">
        <f t="array" aca="1" ref="AF607" ca="1">MIN(100, MAX(0, (IF(R607="ESTUDIANTE", 31, 0)) + (IF(I607&lt;=3, 30, IF(I607&lt;=6, 20, 0))) +(IF(OR(E607="413 - Control de Costes y Enlace Construcción", E607="480 - Secretaría General del Consejo", E607="132 - Civil y estructuras", E607="136 - Mecánica", E607="412 - Planificación", E607="142 - Compras"), 25, 0)) +(IF(OR(S607="GRADO ING. MECÁNICA", S607="GRADO ING. ELÉCTRICA", S607="GRADO DERECHO", S607="GRADO ECONOMÍA", S607="GRADO ING. TECNOLOGÍAS INDUSTRIALES"), 24, 0)) + (IF(AND(K607&gt;=451, K607&lt;=700), 23, 0)) + (IF(AND(AB607&gt;=5, AB607&lt;=8), 17, 0)) +(IF(_xludf.OR(_xludf.AND(AC607&gt;=8, AC607&lt;=10), _xludf.AND(AC607&gt;=0, AC607&lt;=5)), 16, 0)) + (IF(F607="Madrid", 11, 0))))</f>
        <v>#NAME?</v>
      </c>
      <c r="AG607" s="68"/>
      <c r="AH607" s="71" t="s">
        <v>164</v>
      </c>
    </row>
    <row r="608" spans="1:34" s="4" customFormat="1" ht="14.4" x14ac:dyDescent="0.3">
      <c r="A608" s="66" t="s">
        <v>1680</v>
      </c>
      <c r="B608" s="66" t="s">
        <v>3797</v>
      </c>
      <c r="C608" s="33">
        <v>606</v>
      </c>
      <c r="D608" s="33" t="s">
        <v>5395</v>
      </c>
      <c r="E608" s="34" t="s">
        <v>5291</v>
      </c>
      <c r="F608" s="34" t="s">
        <v>118</v>
      </c>
      <c r="G608" s="57">
        <v>42016</v>
      </c>
      <c r="H608" s="57">
        <v>42886</v>
      </c>
      <c r="I608" s="34">
        <f t="shared" si="27"/>
        <v>28</v>
      </c>
      <c r="J608" s="34">
        <v>40</v>
      </c>
      <c r="K608" s="36">
        <v>650</v>
      </c>
      <c r="L608" s="34" t="s">
        <v>29</v>
      </c>
      <c r="M608" s="57">
        <v>33015</v>
      </c>
      <c r="N608" s="37">
        <f>(YEAR(TablaMadre[[#This Row],[ALTA]])-YEAR(M608))</f>
        <v>25</v>
      </c>
      <c r="O608" s="34" t="s">
        <v>118</v>
      </c>
      <c r="P608" s="34" t="s">
        <v>19</v>
      </c>
      <c r="Q608" s="34" t="s">
        <v>206</v>
      </c>
      <c r="R608" s="58" t="s">
        <v>30</v>
      </c>
      <c r="S608" s="34" t="s">
        <v>206</v>
      </c>
      <c r="T608" s="34"/>
      <c r="U608" s="34"/>
      <c r="V608" s="34" t="s">
        <v>37</v>
      </c>
      <c r="W608" s="34" t="s">
        <v>370</v>
      </c>
      <c r="X608" s="38" t="s">
        <v>164</v>
      </c>
      <c r="Y608" s="62"/>
      <c r="Z608" s="62" t="e">
        <f t="shared" si="28"/>
        <v>#NUM!</v>
      </c>
      <c r="AA608" s="62"/>
      <c r="AB608" s="34">
        <v>10</v>
      </c>
      <c r="AC608" s="34">
        <v>8.8000000000000007</v>
      </c>
      <c r="AD608" s="38"/>
      <c r="AE608" s="59" t="str">
        <f t="shared" si="29"/>
        <v>NO</v>
      </c>
      <c r="AF608" s="34" t="e" cm="1">
        <f t="array" aca="1" ref="AF608" ca="1">MIN(100, MAX(0, (IF(R608="ESTUDIANTE", 31, 0)) + (IF(I608&lt;=3, 30, IF(I608&lt;=6, 20, 0))) +(IF(OR(E608="413 - Control de Costes y Enlace Construcción", E608="480 - Secretaría General del Consejo", E608="132 - Civil y estructuras", E608="136 - Mecánica", E608="412 - Planificación", E608="142 - Compras"), 25, 0)) +(IF(OR(S608="GRADO ING. MECÁNICA", S608="GRADO ING. ELÉCTRICA", S608="GRADO DERECHO", S608="GRADO ECONOMÍA", S608="GRADO ING. TECNOLOGÍAS INDUSTRIALES"), 24, 0)) + (IF(AND(K608&gt;=451, K608&lt;=700), 23, 0)) + (IF(AND(AB608&gt;=5, AB608&lt;=8), 17, 0)) +(IF(_xludf.OR(_xludf.AND(AC608&gt;=8, AC608&lt;=10), _xludf.AND(AC608&gt;=0, AC608&lt;=5)), 16, 0)) + (IF(F608="Madrid", 11, 0))))</f>
        <v>#NAME?</v>
      </c>
      <c r="AG608" s="69"/>
      <c r="AH608" s="71" t="s">
        <v>164</v>
      </c>
    </row>
    <row r="609" spans="1:34" ht="14.4" x14ac:dyDescent="0.3">
      <c r="A609" s="66" t="s">
        <v>1681</v>
      </c>
      <c r="B609" s="66" t="s">
        <v>3798</v>
      </c>
      <c r="C609" s="33">
        <v>608</v>
      </c>
      <c r="D609" s="33" t="s">
        <v>5396</v>
      </c>
      <c r="E609" s="34" t="s">
        <v>5244</v>
      </c>
      <c r="F609" s="34" t="s">
        <v>18</v>
      </c>
      <c r="G609" s="57">
        <v>42016</v>
      </c>
      <c r="H609" s="57">
        <v>42886</v>
      </c>
      <c r="I609" s="34">
        <f t="shared" si="27"/>
        <v>28</v>
      </c>
      <c r="J609" s="34">
        <v>40</v>
      </c>
      <c r="K609" s="36">
        <v>900</v>
      </c>
      <c r="L609" s="34" t="s">
        <v>17</v>
      </c>
      <c r="M609" s="57">
        <v>33650</v>
      </c>
      <c r="N609" s="37">
        <f>(YEAR(TablaMadre[[#This Row],[ALTA]])-YEAR(M609))</f>
        <v>23</v>
      </c>
      <c r="O609" s="34" t="s">
        <v>18</v>
      </c>
      <c r="P609" s="34" t="s">
        <v>19</v>
      </c>
      <c r="Q609" s="34" t="s">
        <v>285</v>
      </c>
      <c r="R609" s="34" t="s">
        <v>21</v>
      </c>
      <c r="S609" s="34" t="s">
        <v>322</v>
      </c>
      <c r="T609" s="34"/>
      <c r="U609" s="34"/>
      <c r="V609" s="34" t="s">
        <v>67</v>
      </c>
      <c r="W609" s="34" t="s">
        <v>23</v>
      </c>
      <c r="X609" s="38" t="s">
        <v>164</v>
      </c>
      <c r="Y609" s="62"/>
      <c r="Z609" s="62" t="e">
        <f t="shared" si="28"/>
        <v>#NUM!</v>
      </c>
      <c r="AA609" s="62"/>
      <c r="AB609" s="34">
        <v>8</v>
      </c>
      <c r="AC609" s="34">
        <v>8</v>
      </c>
      <c r="AD609" s="38"/>
      <c r="AE609" s="59" t="str">
        <f t="shared" si="29"/>
        <v>NO</v>
      </c>
      <c r="AF609" s="38" t="e" cm="1">
        <f t="array" aca="1" ref="AF609" ca="1">MIN(100, MAX(0, (IF(R609="ESTUDIANTE", 31, 0)) + (IF(I609&lt;=3, 30, IF(I609&lt;=6, 20, 0))) +(IF(OR(E609="413 - Control de Costes y Enlace Construcción", E609="480 - Secretaría General del Consejo", E609="132 - Civil y estructuras", E609="136 - Mecánica", E609="412 - Planificación", E609="142 - Compras"), 25, 0)) +(IF(OR(S609="GRADO ING. MECÁNICA", S609="GRADO ING. ELÉCTRICA", S609="GRADO DERECHO", S609="GRADO ECONOMÍA", S609="GRADO ING. TECNOLOGÍAS INDUSTRIALES"), 24, 0)) + (IF(AND(K609&gt;=451, K609&lt;=700), 23, 0)) + (IF(AND(AB609&gt;=5, AB609&lt;=8), 17, 0)) +(IF(_xludf.OR(_xludf.AND(AC609&gt;=8, AC609&lt;=10), _xludf.AND(AC609&gt;=0, AC609&lt;=5)), 16, 0)) + (IF(F609="Madrid", 11, 0))))</f>
        <v>#NAME?</v>
      </c>
      <c r="AG609" s="68"/>
      <c r="AH609" s="71" t="s">
        <v>164</v>
      </c>
    </row>
    <row r="610" spans="1:34" ht="14.4" x14ac:dyDescent="0.3">
      <c r="A610" s="66" t="s">
        <v>1588</v>
      </c>
      <c r="B610" s="66" t="s">
        <v>3705</v>
      </c>
      <c r="C610" s="33">
        <v>609</v>
      </c>
      <c r="D610" s="33" t="s">
        <v>5397</v>
      </c>
      <c r="E610" s="34" t="s">
        <v>5254</v>
      </c>
      <c r="F610" s="34" t="s">
        <v>18</v>
      </c>
      <c r="G610" s="57">
        <v>42018</v>
      </c>
      <c r="H610" s="57">
        <v>42290</v>
      </c>
      <c r="I610" s="34">
        <f t="shared" si="27"/>
        <v>8</v>
      </c>
      <c r="J610" s="34">
        <v>40</v>
      </c>
      <c r="K610" s="36">
        <v>900</v>
      </c>
      <c r="L610" s="34" t="s">
        <v>29</v>
      </c>
      <c r="M610" s="57">
        <v>34477</v>
      </c>
      <c r="N610" s="37">
        <f>(YEAR(TablaMadre[[#This Row],[ALTA]])-YEAR(M610))</f>
        <v>21</v>
      </c>
      <c r="O610" s="34" t="s">
        <v>105</v>
      </c>
      <c r="P610" s="34" t="s">
        <v>19</v>
      </c>
      <c r="Q610" s="34" t="s">
        <v>20</v>
      </c>
      <c r="R610" s="34" t="s">
        <v>21</v>
      </c>
      <c r="S610" s="34" t="s">
        <v>151</v>
      </c>
      <c r="T610" s="34"/>
      <c r="U610" s="34"/>
      <c r="V610" s="34" t="s">
        <v>174</v>
      </c>
      <c r="W610" s="34" t="s">
        <v>28</v>
      </c>
      <c r="X610" s="38" t="s">
        <v>164</v>
      </c>
      <c r="Y610" s="62">
        <v>43239</v>
      </c>
      <c r="Z610" s="38">
        <f t="shared" si="28"/>
        <v>2</v>
      </c>
      <c r="AA610" s="38"/>
      <c r="AB610" s="34"/>
      <c r="AC610" s="34"/>
      <c r="AD610" s="38"/>
      <c r="AE610" s="59" t="str">
        <f t="shared" si="29"/>
        <v>SÍ</v>
      </c>
      <c r="AF610" s="38" t="e" cm="1">
        <f t="array" aca="1" ref="AF610" ca="1">MIN(100, MAX(0, (IF(R610="ESTUDIANTE", 31, 0)) + (IF(I610&lt;=3, 30, IF(I610&lt;=6, 20, 0))) +(IF(OR(E610="413 - Control de Costes y Enlace Construcción", E610="480 - Secretaría General del Consejo", E610="132 - Civil y estructuras", E610="136 - Mecánica", E610="412 - Planificación", E610="142 - Compras"), 25, 0)) +(IF(OR(S610="GRADO ING. MECÁNICA", S610="GRADO ING. ELÉCTRICA", S610="GRADO DERECHO", S610="GRADO ECONOMÍA", S610="GRADO ING. TECNOLOGÍAS INDUSTRIALES"), 24, 0)) + (IF(AND(K610&gt;=451, K610&lt;=700), 23, 0)) + (IF(AND(AB610&gt;=5, AB610&lt;=8), 17, 0)) +(IF(_xludf.OR(_xludf.AND(AC610&gt;=8, AC610&lt;=10), _xludf.AND(AC610&gt;=0, AC610&lt;=5)), 16, 0)) + (IF(F610="Madrid", 11, 0))))</f>
        <v>#NAME?</v>
      </c>
      <c r="AG610" s="68"/>
      <c r="AH610" s="71" t="s">
        <v>164</v>
      </c>
    </row>
    <row r="611" spans="1:34" ht="14.4" x14ac:dyDescent="0.3">
      <c r="A611" s="66" t="s">
        <v>1589</v>
      </c>
      <c r="B611" s="66" t="s">
        <v>3706</v>
      </c>
      <c r="C611" s="33">
        <v>610</v>
      </c>
      <c r="D611" s="33" t="s">
        <v>5398</v>
      </c>
      <c r="E611" s="34" t="s">
        <v>5263</v>
      </c>
      <c r="F611" s="34" t="s">
        <v>18</v>
      </c>
      <c r="G611" s="57">
        <v>42023</v>
      </c>
      <c r="H611" s="57">
        <v>42387</v>
      </c>
      <c r="I611" s="34">
        <f t="shared" si="27"/>
        <v>11</v>
      </c>
      <c r="J611" s="34">
        <v>40</v>
      </c>
      <c r="K611" s="36">
        <v>750</v>
      </c>
      <c r="L611" s="34" t="s">
        <v>17</v>
      </c>
      <c r="M611" s="57">
        <v>31165</v>
      </c>
      <c r="N611" s="37">
        <f>(YEAR(TablaMadre[[#This Row],[ALTA]])-YEAR(M611))</f>
        <v>30</v>
      </c>
      <c r="O611" s="34" t="s">
        <v>18</v>
      </c>
      <c r="P611" s="34" t="s">
        <v>19</v>
      </c>
      <c r="Q611" s="34" t="s">
        <v>345</v>
      </c>
      <c r="R611" s="34" t="s">
        <v>21</v>
      </c>
      <c r="S611" s="34" t="s">
        <v>345</v>
      </c>
      <c r="T611" s="34"/>
      <c r="U611" s="34"/>
      <c r="V611" s="34" t="s">
        <v>84</v>
      </c>
      <c r="W611" s="34" t="s">
        <v>28</v>
      </c>
      <c r="X611" s="38" t="s">
        <v>164</v>
      </c>
      <c r="Y611" s="62">
        <v>44537</v>
      </c>
      <c r="Z611" s="38">
        <f t="shared" si="28"/>
        <v>5</v>
      </c>
      <c r="AA611" s="38"/>
      <c r="AB611" s="34"/>
      <c r="AC611" s="34"/>
      <c r="AD611" s="38"/>
      <c r="AE611" s="59" t="str">
        <f t="shared" si="29"/>
        <v>NO</v>
      </c>
      <c r="AF611" s="38" t="e" cm="1">
        <f t="array" aca="1" ref="AF611" ca="1">MIN(100, MAX(0, (IF(R611="ESTUDIANTE", 31, 0)) + (IF(I611&lt;=3, 30, IF(I611&lt;=6, 20, 0))) +(IF(OR(E611="413 - Control de Costes y Enlace Construcción", E611="480 - Secretaría General del Consejo", E611="132 - Civil y estructuras", E611="136 - Mecánica", E611="412 - Planificación", E611="142 - Compras"), 25, 0)) +(IF(OR(S611="GRADO ING. MECÁNICA", S611="GRADO ING. ELÉCTRICA", S611="GRADO DERECHO", S611="GRADO ECONOMÍA", S611="GRADO ING. TECNOLOGÍAS INDUSTRIALES"), 24, 0)) + (IF(AND(K611&gt;=451, K611&lt;=700), 23, 0)) + (IF(AND(AB611&gt;=5, AB611&lt;=8), 17, 0)) +(IF(_xludf.OR(_xludf.AND(AC611&gt;=8, AC611&lt;=10), _xludf.AND(AC611&gt;=0, AC611&lt;=5)), 16, 0)) + (IF(F611="Madrid", 11, 0))))</f>
        <v>#NAME?</v>
      </c>
      <c r="AG611" s="68"/>
      <c r="AH611" s="71" t="s">
        <v>164</v>
      </c>
    </row>
    <row r="612" spans="1:34" ht="14.4" x14ac:dyDescent="0.3">
      <c r="A612" s="66" t="s">
        <v>1590</v>
      </c>
      <c r="B612" s="66" t="s">
        <v>3707</v>
      </c>
      <c r="C612" s="33">
        <v>611</v>
      </c>
      <c r="D612" s="33" t="s">
        <v>5399</v>
      </c>
      <c r="E612" s="34" t="s">
        <v>5236</v>
      </c>
      <c r="F612" s="34" t="s">
        <v>18</v>
      </c>
      <c r="G612" s="57">
        <v>42024</v>
      </c>
      <c r="H612" s="57">
        <v>42388</v>
      </c>
      <c r="I612" s="34">
        <f t="shared" si="27"/>
        <v>11</v>
      </c>
      <c r="J612" s="34">
        <v>40</v>
      </c>
      <c r="K612" s="36">
        <v>825</v>
      </c>
      <c r="L612" s="34" t="s">
        <v>17</v>
      </c>
      <c r="M612" s="57">
        <v>34079</v>
      </c>
      <c r="N612" s="37">
        <f>(YEAR(TablaMadre[[#This Row],[ALTA]])-YEAR(M612))</f>
        <v>22</v>
      </c>
      <c r="O612" s="34" t="s">
        <v>226</v>
      </c>
      <c r="P612" s="34" t="s">
        <v>19</v>
      </c>
      <c r="Q612" s="34" t="s">
        <v>279</v>
      </c>
      <c r="R612" s="34" t="s">
        <v>21</v>
      </c>
      <c r="S612" s="34" t="s">
        <v>280</v>
      </c>
      <c r="T612" s="34"/>
      <c r="U612" s="34"/>
      <c r="V612" s="34" t="s">
        <v>67</v>
      </c>
      <c r="W612" s="34" t="s">
        <v>28</v>
      </c>
      <c r="X612" s="38" t="s">
        <v>164</v>
      </c>
      <c r="Y612" s="62">
        <v>43162</v>
      </c>
      <c r="Z612" s="38">
        <f t="shared" si="28"/>
        <v>2</v>
      </c>
      <c r="AA612" s="38"/>
      <c r="AB612" s="34"/>
      <c r="AC612" s="34"/>
      <c r="AD612" s="38"/>
      <c r="AE612" s="59" t="str">
        <f t="shared" si="29"/>
        <v>SÍ</v>
      </c>
      <c r="AF612" s="38" t="e" cm="1">
        <f t="array" aca="1" ref="AF612" ca="1">MIN(100, MAX(0, (IF(R612="ESTUDIANTE", 31, 0)) + (IF(I612&lt;=3, 30, IF(I612&lt;=6, 20, 0))) +(IF(OR(E612="413 - Control de Costes y Enlace Construcción", E612="480 - Secretaría General del Consejo", E612="132 - Civil y estructuras", E612="136 - Mecánica", E612="412 - Planificación", E612="142 - Compras"), 25, 0)) +(IF(OR(S612="GRADO ING. MECÁNICA", S612="GRADO ING. ELÉCTRICA", S612="GRADO DERECHO", S612="GRADO ECONOMÍA", S612="GRADO ING. TECNOLOGÍAS INDUSTRIALES"), 24, 0)) + (IF(AND(K612&gt;=451, K612&lt;=700), 23, 0)) + (IF(AND(AB612&gt;=5, AB612&lt;=8), 17, 0)) +(IF(_xludf.OR(_xludf.AND(AC612&gt;=8, AC612&lt;=10), _xludf.AND(AC612&gt;=0, AC612&lt;=5)), 16, 0)) + (IF(F612="Madrid", 11, 0))))</f>
        <v>#NAME?</v>
      </c>
      <c r="AG612" s="68"/>
      <c r="AH612" s="71" t="s">
        <v>164</v>
      </c>
    </row>
    <row r="613" spans="1:34" s="4" customFormat="1" ht="14.4" x14ac:dyDescent="0.3">
      <c r="A613" s="66" t="s">
        <v>1591</v>
      </c>
      <c r="B613" s="66" t="s">
        <v>3708</v>
      </c>
      <c r="C613" s="33">
        <v>612</v>
      </c>
      <c r="D613" s="33" t="s">
        <v>5400</v>
      </c>
      <c r="E613" s="34" t="s">
        <v>5236</v>
      </c>
      <c r="F613" s="34" t="s">
        <v>18</v>
      </c>
      <c r="G613" s="57">
        <v>42024</v>
      </c>
      <c r="H613" s="57">
        <v>42568</v>
      </c>
      <c r="I613" s="34">
        <f t="shared" si="27"/>
        <v>17</v>
      </c>
      <c r="J613" s="34">
        <v>40</v>
      </c>
      <c r="K613" s="36">
        <v>650</v>
      </c>
      <c r="L613" s="34" t="s">
        <v>17</v>
      </c>
      <c r="M613" s="57">
        <v>32716</v>
      </c>
      <c r="N613" s="37">
        <f>(YEAR(TablaMadre[[#This Row],[ALTA]])-YEAR(M613))</f>
        <v>26</v>
      </c>
      <c r="O613" s="34" t="s">
        <v>18</v>
      </c>
      <c r="P613" s="34" t="s">
        <v>19</v>
      </c>
      <c r="Q613" s="34" t="s">
        <v>279</v>
      </c>
      <c r="R613" s="58" t="s">
        <v>30</v>
      </c>
      <c r="S613" s="34" t="s">
        <v>280</v>
      </c>
      <c r="T613" s="34"/>
      <c r="U613" s="34"/>
      <c r="V613" s="34" t="s">
        <v>67</v>
      </c>
      <c r="W613" s="34" t="s">
        <v>28</v>
      </c>
      <c r="X613" s="34" t="s">
        <v>164</v>
      </c>
      <c r="Y613" s="57">
        <v>44261</v>
      </c>
      <c r="Z613" s="34">
        <f t="shared" si="28"/>
        <v>4</v>
      </c>
      <c r="AA613" s="34"/>
      <c r="AB613" s="34"/>
      <c r="AC613" s="34"/>
      <c r="AD613" s="34"/>
      <c r="AE613" s="59" t="str">
        <f t="shared" si="29"/>
        <v>NO</v>
      </c>
      <c r="AF613" s="34" t="e" cm="1">
        <f t="array" aca="1" ref="AF613" ca="1">MIN(100, MAX(0, (IF(R613="ESTUDIANTE", 31, 0)) + (IF(I613&lt;=3, 30, IF(I613&lt;=6, 20, 0))) +(IF(OR(E613="413 - Control de Costes y Enlace Construcción", E613="480 - Secretaría General del Consejo", E613="132 - Civil y estructuras", E613="136 - Mecánica", E613="412 - Planificación", E613="142 - Compras"), 25, 0)) +(IF(OR(S613="GRADO ING. MECÁNICA", S613="GRADO ING. ELÉCTRICA", S613="GRADO DERECHO", S613="GRADO ECONOMÍA", S613="GRADO ING. TECNOLOGÍAS INDUSTRIALES"), 24, 0)) + (IF(AND(K613&gt;=451, K613&lt;=700), 23, 0)) + (IF(AND(AB613&gt;=5, AB613&lt;=8), 17, 0)) +(IF(_xludf.OR(_xludf.AND(AC613&gt;=8, AC613&lt;=10), _xludf.AND(AC613&gt;=0, AC613&lt;=5)), 16, 0)) + (IF(F613="Madrid", 11, 0))))</f>
        <v>#NAME?</v>
      </c>
      <c r="AG613" s="69"/>
      <c r="AH613" s="71" t="s">
        <v>164</v>
      </c>
    </row>
    <row r="614" spans="1:34" ht="14.4" x14ac:dyDescent="0.3">
      <c r="A614" s="66" t="s">
        <v>1585</v>
      </c>
      <c r="B614" s="66" t="s">
        <v>3702</v>
      </c>
      <c r="C614" s="33">
        <v>615</v>
      </c>
      <c r="D614" s="33" t="s">
        <v>5401</v>
      </c>
      <c r="E614" s="34" t="s">
        <v>5240</v>
      </c>
      <c r="F614" s="34" t="s">
        <v>18</v>
      </c>
      <c r="G614" s="57">
        <v>42030</v>
      </c>
      <c r="H614" s="57">
        <v>42394</v>
      </c>
      <c r="I614" s="34">
        <f t="shared" si="27"/>
        <v>11</v>
      </c>
      <c r="J614" s="34">
        <v>40</v>
      </c>
      <c r="K614" s="36">
        <v>700</v>
      </c>
      <c r="L614" s="34" t="s">
        <v>17</v>
      </c>
      <c r="M614" s="57">
        <v>34288</v>
      </c>
      <c r="N614" s="37">
        <f>(YEAR(TablaMadre[[#This Row],[ALTA]])-YEAR(M614))</f>
        <v>22</v>
      </c>
      <c r="O614" s="34" t="s">
        <v>18</v>
      </c>
      <c r="P614" s="34" t="s">
        <v>19</v>
      </c>
      <c r="Q614" s="34" t="s">
        <v>292</v>
      </c>
      <c r="R614" s="58" t="s">
        <v>30</v>
      </c>
      <c r="S614" s="34" t="s">
        <v>26</v>
      </c>
      <c r="T614" s="34"/>
      <c r="U614" s="34"/>
      <c r="V614" s="34" t="s">
        <v>27</v>
      </c>
      <c r="W614" s="34" t="s">
        <v>23</v>
      </c>
      <c r="X614" s="38" t="s">
        <v>164</v>
      </c>
      <c r="Y614" s="62"/>
      <c r="Z614" s="62" t="e">
        <f t="shared" si="28"/>
        <v>#NUM!</v>
      </c>
      <c r="AA614" s="62"/>
      <c r="AB614" s="34"/>
      <c r="AC614" s="34"/>
      <c r="AD614" s="38"/>
      <c r="AE614" s="59" t="str">
        <f t="shared" si="29"/>
        <v>NO</v>
      </c>
      <c r="AF614" s="38" t="e" cm="1">
        <f t="array" aca="1" ref="AF614" ca="1">MIN(100, MAX(0, (IF(R614="ESTUDIANTE", 31, 0)) + (IF(I614&lt;=3, 30, IF(I614&lt;=6, 20, 0))) +(IF(OR(E614="413 - Control de Costes y Enlace Construcción", E614="480 - Secretaría General del Consejo", E614="132 - Civil y estructuras", E614="136 - Mecánica", E614="412 - Planificación", E614="142 - Compras"), 25, 0)) +(IF(OR(S614="GRADO ING. MECÁNICA", S614="GRADO ING. ELÉCTRICA", S614="GRADO DERECHO", S614="GRADO ECONOMÍA", S614="GRADO ING. TECNOLOGÍAS INDUSTRIALES"), 24, 0)) + (IF(AND(K614&gt;=451, K614&lt;=700), 23, 0)) + (IF(AND(AB614&gt;=5, AB614&lt;=8), 17, 0)) +(IF(_xludf.OR(_xludf.AND(AC614&gt;=8, AC614&lt;=10), _xludf.AND(AC614&gt;=0, AC614&lt;=5)), 16, 0)) + (IF(F614="Madrid", 11, 0))))</f>
        <v>#NAME?</v>
      </c>
      <c r="AG614" s="68"/>
      <c r="AH614" s="71" t="s">
        <v>164</v>
      </c>
    </row>
    <row r="615" spans="1:34" ht="14.4" x14ac:dyDescent="0.3">
      <c r="A615" s="66" t="s">
        <v>1592</v>
      </c>
      <c r="B615" s="66" t="s">
        <v>3709</v>
      </c>
      <c r="C615" s="33">
        <v>613</v>
      </c>
      <c r="D615" s="33" t="s">
        <v>5402</v>
      </c>
      <c r="E615" s="34" t="s">
        <v>5232</v>
      </c>
      <c r="F615" s="34" t="s">
        <v>18</v>
      </c>
      <c r="G615" s="57">
        <v>42030</v>
      </c>
      <c r="H615" s="57">
        <v>42216</v>
      </c>
      <c r="I615" s="34">
        <f t="shared" si="27"/>
        <v>6</v>
      </c>
      <c r="J615" s="34">
        <v>40</v>
      </c>
      <c r="K615" s="36">
        <v>825</v>
      </c>
      <c r="L615" s="34" t="s">
        <v>17</v>
      </c>
      <c r="M615" s="57">
        <v>33015</v>
      </c>
      <c r="N615" s="37">
        <f>(YEAR(TablaMadre[[#This Row],[ALTA]])-YEAR(M615))</f>
        <v>25</v>
      </c>
      <c r="O615" s="34" t="s">
        <v>18</v>
      </c>
      <c r="P615" s="34" t="s">
        <v>19</v>
      </c>
      <c r="Q615" s="34" t="s">
        <v>321</v>
      </c>
      <c r="R615" s="34" t="s">
        <v>21</v>
      </c>
      <c r="S615" s="34" t="s">
        <v>321</v>
      </c>
      <c r="T615" s="34"/>
      <c r="U615" s="34"/>
      <c r="V615" s="34" t="s">
        <v>67</v>
      </c>
      <c r="W615" s="34" t="s">
        <v>28</v>
      </c>
      <c r="X615" s="38" t="s">
        <v>164</v>
      </c>
      <c r="Y615" s="62">
        <v>44020</v>
      </c>
      <c r="Z615" s="38">
        <f t="shared" si="28"/>
        <v>4</v>
      </c>
      <c r="AA615" s="38"/>
      <c r="AB615" s="34"/>
      <c r="AC615" s="34"/>
      <c r="AD615" s="38"/>
      <c r="AE615" s="59" t="str">
        <f t="shared" si="29"/>
        <v>NO</v>
      </c>
      <c r="AF615" s="38" t="e" cm="1">
        <f t="array" aca="1" ref="AF615" ca="1">MIN(100, MAX(0, (IF(R615="ESTUDIANTE", 31, 0)) + (IF(I615&lt;=3, 30, IF(I615&lt;=6, 20, 0))) +(IF(OR(E615="413 - Control de Costes y Enlace Construcción", E615="480 - Secretaría General del Consejo", E615="132 - Civil y estructuras", E615="136 - Mecánica", E615="412 - Planificación", E615="142 - Compras"), 25, 0)) +(IF(OR(S615="GRADO ING. MECÁNICA", S615="GRADO ING. ELÉCTRICA", S615="GRADO DERECHO", S615="GRADO ECONOMÍA", S615="GRADO ING. TECNOLOGÍAS INDUSTRIALES"), 24, 0)) + (IF(AND(K615&gt;=451, K615&lt;=700), 23, 0)) + (IF(AND(AB615&gt;=5, AB615&lt;=8), 17, 0)) +(IF(_xludf.OR(_xludf.AND(AC615&gt;=8, AC615&lt;=10), _xludf.AND(AC615&gt;=0, AC615&lt;=5)), 16, 0)) + (IF(F615="Madrid", 11, 0))))</f>
        <v>#NAME?</v>
      </c>
      <c r="AG615" s="68"/>
      <c r="AH615" s="71" t="s">
        <v>164</v>
      </c>
    </row>
    <row r="616" spans="1:34" ht="14.4" x14ac:dyDescent="0.3">
      <c r="A616" s="66" t="s">
        <v>1593</v>
      </c>
      <c r="B616" s="66" t="s">
        <v>3710</v>
      </c>
      <c r="C616" s="33">
        <v>614</v>
      </c>
      <c r="D616" s="33" t="s">
        <v>5393</v>
      </c>
      <c r="E616" s="34" t="s">
        <v>5240</v>
      </c>
      <c r="F616" s="34" t="s">
        <v>18</v>
      </c>
      <c r="G616" s="57">
        <v>42030</v>
      </c>
      <c r="H616" s="57">
        <v>42216</v>
      </c>
      <c r="I616" s="34">
        <f t="shared" si="27"/>
        <v>6</v>
      </c>
      <c r="J616" s="34">
        <v>40</v>
      </c>
      <c r="K616" s="36">
        <v>900</v>
      </c>
      <c r="L616" s="34" t="s">
        <v>29</v>
      </c>
      <c r="M616" s="57">
        <v>32992</v>
      </c>
      <c r="N616" s="37">
        <f>(YEAR(TablaMadre[[#This Row],[ALTA]])-YEAR(M616))</f>
        <v>25</v>
      </c>
      <c r="O616" s="34" t="s">
        <v>18</v>
      </c>
      <c r="P616" s="34" t="s">
        <v>19</v>
      </c>
      <c r="Q616" s="34" t="s">
        <v>136</v>
      </c>
      <c r="R616" s="34" t="s">
        <v>21</v>
      </c>
      <c r="S616" s="34" t="s">
        <v>136</v>
      </c>
      <c r="T616" s="34"/>
      <c r="U616" s="34"/>
      <c r="V616" s="34" t="s">
        <v>67</v>
      </c>
      <c r="W616" s="34" t="s">
        <v>28</v>
      </c>
      <c r="X616" s="38" t="s">
        <v>164</v>
      </c>
      <c r="Y616" s="62">
        <v>44028</v>
      </c>
      <c r="Z616" s="38">
        <f t="shared" si="28"/>
        <v>4</v>
      </c>
      <c r="AA616" s="38"/>
      <c r="AB616" s="34"/>
      <c r="AC616" s="34"/>
      <c r="AD616" s="38"/>
      <c r="AE616" s="59" t="str">
        <f t="shared" si="29"/>
        <v>NO</v>
      </c>
      <c r="AF616" s="38" t="e" cm="1">
        <f t="array" aca="1" ref="AF616" ca="1">MIN(100, MAX(0, (IF(R616="ESTUDIANTE", 31, 0)) + (IF(I616&lt;=3, 30, IF(I616&lt;=6, 20, 0))) +(IF(OR(E616="413 - Control de Costes y Enlace Construcción", E616="480 - Secretaría General del Consejo", E616="132 - Civil y estructuras", E616="136 - Mecánica", E616="412 - Planificación", E616="142 - Compras"), 25, 0)) +(IF(OR(S616="GRADO ING. MECÁNICA", S616="GRADO ING. ELÉCTRICA", S616="GRADO DERECHO", S616="GRADO ECONOMÍA", S616="GRADO ING. TECNOLOGÍAS INDUSTRIALES"), 24, 0)) + (IF(AND(K616&gt;=451, K616&lt;=700), 23, 0)) + (IF(AND(AB616&gt;=5, AB616&lt;=8), 17, 0)) +(IF(_xludf.OR(_xludf.AND(AC616&gt;=8, AC616&lt;=10), _xludf.AND(AC616&gt;=0, AC616&lt;=5)), 16, 0)) + (IF(F616="Madrid", 11, 0))))</f>
        <v>#NAME?</v>
      </c>
      <c r="AG616" s="68"/>
      <c r="AH616" s="71" t="s">
        <v>164</v>
      </c>
    </row>
    <row r="617" spans="1:34" ht="14.4" x14ac:dyDescent="0.3">
      <c r="A617" s="66" t="s">
        <v>1595</v>
      </c>
      <c r="B617" s="66" t="s">
        <v>3712</v>
      </c>
      <c r="C617" s="33">
        <v>616</v>
      </c>
      <c r="D617" s="33" t="s">
        <v>5394</v>
      </c>
      <c r="E617" s="34" t="s">
        <v>5235</v>
      </c>
      <c r="F617" s="34" t="s">
        <v>18</v>
      </c>
      <c r="G617" s="57">
        <v>42036</v>
      </c>
      <c r="H617" s="57">
        <v>42369</v>
      </c>
      <c r="I617" s="34">
        <f t="shared" si="27"/>
        <v>10</v>
      </c>
      <c r="J617" s="34">
        <v>40</v>
      </c>
      <c r="K617" s="36">
        <v>900</v>
      </c>
      <c r="L617" s="34" t="s">
        <v>17</v>
      </c>
      <c r="M617" s="57">
        <v>32410</v>
      </c>
      <c r="N617" s="37">
        <f>(YEAR(TablaMadre[[#This Row],[ALTA]])-YEAR(M617))</f>
        <v>27</v>
      </c>
      <c r="O617" s="34" t="s">
        <v>118</v>
      </c>
      <c r="P617" s="34" t="s">
        <v>19</v>
      </c>
      <c r="Q617" s="34" t="s">
        <v>61</v>
      </c>
      <c r="R617" s="34" t="s">
        <v>21</v>
      </c>
      <c r="S617" s="34" t="s">
        <v>322</v>
      </c>
      <c r="T617" s="34"/>
      <c r="U617" s="34"/>
      <c r="V617" s="34" t="s">
        <v>37</v>
      </c>
      <c r="W617" s="34" t="s">
        <v>28</v>
      </c>
      <c r="X617" s="38" t="s">
        <v>164</v>
      </c>
      <c r="Y617" s="62">
        <v>42798</v>
      </c>
      <c r="Z617" s="38">
        <f t="shared" si="28"/>
        <v>1</v>
      </c>
      <c r="AA617" s="38"/>
      <c r="AB617" s="34"/>
      <c r="AC617" s="34"/>
      <c r="AD617" s="38"/>
      <c r="AE617" s="59" t="str">
        <f t="shared" si="29"/>
        <v>SÍ</v>
      </c>
      <c r="AF617" s="38" t="e" cm="1">
        <f t="array" aca="1" ref="AF617" ca="1">MIN(100, MAX(0, (IF(R617="ESTUDIANTE", 31, 0)) + (IF(I617&lt;=3, 30, IF(I617&lt;=6, 20, 0))) +(IF(OR(E617="413 - Control de Costes y Enlace Construcción", E617="480 - Secretaría General del Consejo", E617="132 - Civil y estructuras", E617="136 - Mecánica", E617="412 - Planificación", E617="142 - Compras"), 25, 0)) +(IF(OR(S617="GRADO ING. MECÁNICA", S617="GRADO ING. ELÉCTRICA", S617="GRADO DERECHO", S617="GRADO ECONOMÍA", S617="GRADO ING. TECNOLOGÍAS INDUSTRIALES"), 24, 0)) + (IF(AND(K617&gt;=451, K617&lt;=700), 23, 0)) + (IF(AND(AB617&gt;=5, AB617&lt;=8), 17, 0)) +(IF(_xludf.OR(_xludf.AND(AC617&gt;=8, AC617&lt;=10), _xludf.AND(AC617&gt;=0, AC617&lt;=5)), 16, 0)) + (IF(F617="Madrid", 11, 0))))</f>
        <v>#NAME?</v>
      </c>
      <c r="AG617" s="68"/>
      <c r="AH617" s="71" t="s">
        <v>164</v>
      </c>
    </row>
    <row r="618" spans="1:34" ht="14.4" x14ac:dyDescent="0.3">
      <c r="A618" s="66" t="s">
        <v>1594</v>
      </c>
      <c r="B618" s="66" t="s">
        <v>3711</v>
      </c>
      <c r="C618" s="33">
        <v>618</v>
      </c>
      <c r="D618" s="33" t="s">
        <v>5395</v>
      </c>
      <c r="E618" s="34" t="s">
        <v>5232</v>
      </c>
      <c r="F618" s="34" t="s">
        <v>18</v>
      </c>
      <c r="G618" s="57">
        <v>42037</v>
      </c>
      <c r="H618" s="57">
        <v>42155</v>
      </c>
      <c r="I618" s="34">
        <f t="shared" si="27"/>
        <v>3</v>
      </c>
      <c r="J618" s="34">
        <v>20</v>
      </c>
      <c r="K618" s="36">
        <v>325</v>
      </c>
      <c r="L618" s="34" t="s">
        <v>29</v>
      </c>
      <c r="M618" s="57">
        <v>33478</v>
      </c>
      <c r="N618" s="37">
        <f>(YEAR(TablaMadre[[#This Row],[ALTA]])-YEAR(M618))</f>
        <v>24</v>
      </c>
      <c r="O618" s="34" t="s">
        <v>18</v>
      </c>
      <c r="P618" s="34" t="s">
        <v>19</v>
      </c>
      <c r="Q618" s="34" t="s">
        <v>306</v>
      </c>
      <c r="R618" s="58" t="s">
        <v>30</v>
      </c>
      <c r="S618" s="34" t="s">
        <v>307</v>
      </c>
      <c r="T618" s="34"/>
      <c r="U618" s="34"/>
      <c r="V618" s="34" t="s">
        <v>22</v>
      </c>
      <c r="W618" s="34" t="s">
        <v>47</v>
      </c>
      <c r="X618" s="38" t="s">
        <v>164</v>
      </c>
      <c r="Y618" s="62"/>
      <c r="Z618" s="62" t="e">
        <f t="shared" si="28"/>
        <v>#NUM!</v>
      </c>
      <c r="AA618" s="62"/>
      <c r="AB618" s="34"/>
      <c r="AC618" s="34"/>
      <c r="AD618" s="38"/>
      <c r="AE618" s="59" t="str">
        <f t="shared" si="29"/>
        <v>NO</v>
      </c>
      <c r="AF618" s="38" t="e" cm="1">
        <f t="array" aca="1" ref="AF618" ca="1">MIN(100, MAX(0, (IF(R618="ESTUDIANTE", 31, 0)) + (IF(I618&lt;=3, 30, IF(I618&lt;=6, 20, 0))) +(IF(OR(E618="413 - Control de Costes y Enlace Construcción", E618="480 - Secretaría General del Consejo", E618="132 - Civil y estructuras", E618="136 - Mecánica", E618="412 - Planificación", E618="142 - Compras"), 25, 0)) +(IF(OR(S618="GRADO ING. MECÁNICA", S618="GRADO ING. ELÉCTRICA", S618="GRADO DERECHO", S618="GRADO ECONOMÍA", S618="GRADO ING. TECNOLOGÍAS INDUSTRIALES"), 24, 0)) + (IF(AND(K618&gt;=451, K618&lt;=700), 23, 0)) + (IF(AND(AB618&gt;=5, AB618&lt;=8), 17, 0)) +(IF(_xludf.OR(_xludf.AND(AC618&gt;=8, AC618&lt;=10), _xludf.AND(AC618&gt;=0, AC618&lt;=5)), 16, 0)) + (IF(F618="Madrid", 11, 0))))</f>
        <v>#NAME?</v>
      </c>
      <c r="AG618" s="68"/>
      <c r="AH618" s="71" t="s">
        <v>164</v>
      </c>
    </row>
    <row r="619" spans="1:34" ht="14.4" x14ac:dyDescent="0.3">
      <c r="A619" s="66" t="s">
        <v>1596</v>
      </c>
      <c r="B619" s="66" t="s">
        <v>3713</v>
      </c>
      <c r="C619" s="33">
        <v>617</v>
      </c>
      <c r="D619" s="33" t="s">
        <v>5396</v>
      </c>
      <c r="E619" s="34" t="s">
        <v>5292</v>
      </c>
      <c r="F619" s="34" t="s">
        <v>18</v>
      </c>
      <c r="G619" s="57">
        <v>42037</v>
      </c>
      <c r="H619" s="57">
        <v>42124</v>
      </c>
      <c r="I619" s="34">
        <f t="shared" si="27"/>
        <v>2</v>
      </c>
      <c r="J619" s="34">
        <v>40</v>
      </c>
      <c r="K619" s="36">
        <v>825</v>
      </c>
      <c r="L619" s="34" t="s">
        <v>17</v>
      </c>
      <c r="M619" s="57">
        <v>31582</v>
      </c>
      <c r="N619" s="37">
        <f>(YEAR(TablaMadre[[#This Row],[ALTA]])-YEAR(M619))</f>
        <v>29</v>
      </c>
      <c r="O619" s="34" t="s">
        <v>18</v>
      </c>
      <c r="P619" s="34" t="s">
        <v>19</v>
      </c>
      <c r="Q619" s="34" t="s">
        <v>306</v>
      </c>
      <c r="R619" s="34" t="s">
        <v>21</v>
      </c>
      <c r="S619" s="34" t="s">
        <v>307</v>
      </c>
      <c r="T619" s="34"/>
      <c r="U619" s="34"/>
      <c r="V619" s="34" t="s">
        <v>22</v>
      </c>
      <c r="W619" s="34" t="s">
        <v>23</v>
      </c>
      <c r="X619" s="38" t="s">
        <v>164</v>
      </c>
      <c r="Y619" s="62"/>
      <c r="Z619" s="62" t="e">
        <f t="shared" si="28"/>
        <v>#NUM!</v>
      </c>
      <c r="AA619" s="62"/>
      <c r="AB619" s="34"/>
      <c r="AC619" s="34"/>
      <c r="AD619" s="38"/>
      <c r="AE619" s="59" t="str">
        <f t="shared" si="29"/>
        <v>NO</v>
      </c>
      <c r="AF619" s="38" t="e" cm="1">
        <f t="array" aca="1" ref="AF619" ca="1">MIN(100, MAX(0, (IF(R619="ESTUDIANTE", 31, 0)) + (IF(I619&lt;=3, 30, IF(I619&lt;=6, 20, 0))) +(IF(OR(E619="413 - Control de Costes y Enlace Construcción", E619="480 - Secretaría General del Consejo", E619="132 - Civil y estructuras", E619="136 - Mecánica", E619="412 - Planificación", E619="142 - Compras"), 25, 0)) +(IF(OR(S619="GRADO ING. MECÁNICA", S619="GRADO ING. ELÉCTRICA", S619="GRADO DERECHO", S619="GRADO ECONOMÍA", S619="GRADO ING. TECNOLOGÍAS INDUSTRIALES"), 24, 0)) + (IF(AND(K619&gt;=451, K619&lt;=700), 23, 0)) + (IF(AND(AB619&gt;=5, AB619&lt;=8), 17, 0)) +(IF(_xludf.OR(_xludf.AND(AC619&gt;=8, AC619&lt;=10), _xludf.AND(AC619&gt;=0, AC619&lt;=5)), 16, 0)) + (IF(F619="Madrid", 11, 0))))</f>
        <v>#NAME?</v>
      </c>
      <c r="AG619" s="68"/>
      <c r="AH619" s="71" t="s">
        <v>164</v>
      </c>
    </row>
    <row r="620" spans="1:34" ht="14.4" x14ac:dyDescent="0.3">
      <c r="A620" s="66" t="s">
        <v>1597</v>
      </c>
      <c r="B620" s="66" t="s">
        <v>3714</v>
      </c>
      <c r="C620" s="33">
        <v>620</v>
      </c>
      <c r="D620" s="33" t="s">
        <v>5397</v>
      </c>
      <c r="E620" s="34" t="s">
        <v>5216</v>
      </c>
      <c r="F620" s="34" t="s">
        <v>18</v>
      </c>
      <c r="G620" s="57">
        <v>42037</v>
      </c>
      <c r="H620" s="57">
        <v>42371</v>
      </c>
      <c r="I620" s="34">
        <f t="shared" si="27"/>
        <v>11</v>
      </c>
      <c r="J620" s="34">
        <v>40</v>
      </c>
      <c r="K620" s="36">
        <v>700</v>
      </c>
      <c r="L620" s="34" t="s">
        <v>17</v>
      </c>
      <c r="M620" s="57">
        <v>33807</v>
      </c>
      <c r="N620" s="37">
        <f>(YEAR(TablaMadre[[#This Row],[ALTA]])-YEAR(M620))</f>
        <v>23</v>
      </c>
      <c r="O620" s="34" t="s">
        <v>153</v>
      </c>
      <c r="P620" s="34" t="s">
        <v>19</v>
      </c>
      <c r="Q620" s="34" t="s">
        <v>343</v>
      </c>
      <c r="R620" s="58" t="s">
        <v>30</v>
      </c>
      <c r="S620" s="34" t="s">
        <v>26</v>
      </c>
      <c r="T620" s="34"/>
      <c r="U620" s="34"/>
      <c r="V620" s="34" t="s">
        <v>27</v>
      </c>
      <c r="W620" s="34" t="s">
        <v>23</v>
      </c>
      <c r="X620" s="34" t="s">
        <v>164</v>
      </c>
      <c r="Y620" s="57"/>
      <c r="Z620" s="57" t="e">
        <f t="shared" si="28"/>
        <v>#NUM!</v>
      </c>
      <c r="AA620" s="57"/>
      <c r="AB620" s="34"/>
      <c r="AC620" s="34"/>
      <c r="AD620" s="34"/>
      <c r="AE620" s="59" t="str">
        <f t="shared" si="29"/>
        <v>SÍ</v>
      </c>
      <c r="AF620" s="38" t="e" cm="1">
        <f t="array" aca="1" ref="AF620" ca="1">MIN(100, MAX(0, (IF(R620="ESTUDIANTE", 31, 0)) + (IF(I620&lt;=3, 30, IF(I620&lt;=6, 20, 0))) +(IF(OR(E620="413 - Control de Costes y Enlace Construcción", E620="480 - Secretaría General del Consejo", E620="132 - Civil y estructuras", E620="136 - Mecánica", E620="412 - Planificación", E620="142 - Compras"), 25, 0)) +(IF(OR(S620="GRADO ING. MECÁNICA", S620="GRADO ING. ELÉCTRICA", S620="GRADO DERECHO", S620="GRADO ECONOMÍA", S620="GRADO ING. TECNOLOGÍAS INDUSTRIALES"), 24, 0)) + (IF(AND(K620&gt;=451, K620&lt;=700), 23, 0)) + (IF(AND(AB620&gt;=5, AB620&lt;=8), 17, 0)) +(IF(_xludf.OR(_xludf.AND(AC620&gt;=8, AC620&lt;=10), _xludf.AND(AC620&gt;=0, AC620&lt;=5)), 16, 0)) + (IF(F620="Madrid", 11, 0))))</f>
        <v>#NAME?</v>
      </c>
      <c r="AG620" s="68"/>
      <c r="AH620" s="71" t="s">
        <v>164</v>
      </c>
    </row>
    <row r="621" spans="1:34" s="4" customFormat="1" ht="14.4" x14ac:dyDescent="0.3">
      <c r="A621" s="66" t="s">
        <v>1598</v>
      </c>
      <c r="B621" s="66" t="s">
        <v>3715</v>
      </c>
      <c r="C621" s="33">
        <v>619</v>
      </c>
      <c r="D621" s="33" t="s">
        <v>5398</v>
      </c>
      <c r="E621" s="34" t="s">
        <v>5219</v>
      </c>
      <c r="F621" s="34" t="s">
        <v>18</v>
      </c>
      <c r="G621" s="57">
        <v>42037</v>
      </c>
      <c r="H621" s="57">
        <v>42216</v>
      </c>
      <c r="I621" s="34">
        <f t="shared" si="27"/>
        <v>5</v>
      </c>
      <c r="J621" s="34">
        <v>40</v>
      </c>
      <c r="K621" s="36">
        <v>900</v>
      </c>
      <c r="L621" s="34" t="s">
        <v>17</v>
      </c>
      <c r="M621" s="57">
        <v>33960</v>
      </c>
      <c r="N621" s="37">
        <f>(YEAR(TablaMadre[[#This Row],[ALTA]])-YEAR(M621))</f>
        <v>23</v>
      </c>
      <c r="O621" s="34" t="s">
        <v>18</v>
      </c>
      <c r="P621" s="34" t="s">
        <v>19</v>
      </c>
      <c r="Q621" s="34" t="s">
        <v>297</v>
      </c>
      <c r="R621" s="34" t="s">
        <v>21</v>
      </c>
      <c r="S621" s="34" t="s">
        <v>297</v>
      </c>
      <c r="T621" s="34"/>
      <c r="U621" s="34"/>
      <c r="V621" s="34" t="s">
        <v>40</v>
      </c>
      <c r="W621" s="34" t="s">
        <v>28</v>
      </c>
      <c r="X621" s="38" t="s">
        <v>164</v>
      </c>
      <c r="Y621" s="62">
        <v>44896</v>
      </c>
      <c r="Z621" s="38">
        <f t="shared" si="28"/>
        <v>7</v>
      </c>
      <c r="AA621" s="38"/>
      <c r="AB621" s="34"/>
      <c r="AC621" s="34"/>
      <c r="AD621" s="38"/>
      <c r="AE621" s="59" t="str">
        <f t="shared" si="29"/>
        <v>NO</v>
      </c>
      <c r="AF621" s="34" t="e" cm="1">
        <f t="array" aca="1" ref="AF621" ca="1">MIN(100, MAX(0, (IF(R621="ESTUDIANTE", 31, 0)) + (IF(I621&lt;=3, 30, IF(I621&lt;=6, 20, 0))) +(IF(OR(E621="413 - Control de Costes y Enlace Construcción", E621="480 - Secretaría General del Consejo", E621="132 - Civil y estructuras", E621="136 - Mecánica", E621="412 - Planificación", E621="142 - Compras"), 25, 0)) +(IF(OR(S621="GRADO ING. MECÁNICA", S621="GRADO ING. ELÉCTRICA", S621="GRADO DERECHO", S621="GRADO ECONOMÍA", S621="GRADO ING. TECNOLOGÍAS INDUSTRIALES"), 24, 0)) + (IF(AND(K621&gt;=451, K621&lt;=700), 23, 0)) + (IF(AND(AB621&gt;=5, AB621&lt;=8), 17, 0)) +(IF(_xludf.OR(_xludf.AND(AC621&gt;=8, AC621&lt;=10), _xludf.AND(AC621&gt;=0, AC621&lt;=5)), 16, 0)) + (IF(F621="Madrid", 11, 0))))</f>
        <v>#NAME?</v>
      </c>
      <c r="AG621" s="69"/>
      <c r="AH621" s="71" t="s">
        <v>164</v>
      </c>
    </row>
    <row r="622" spans="1:34" ht="14.4" x14ac:dyDescent="0.3">
      <c r="A622" s="66" t="s">
        <v>1600</v>
      </c>
      <c r="B622" s="66" t="s">
        <v>3717</v>
      </c>
      <c r="C622" s="33">
        <v>621</v>
      </c>
      <c r="D622" s="33" t="s">
        <v>5399</v>
      </c>
      <c r="E622" s="34" t="s">
        <v>5260</v>
      </c>
      <c r="F622" s="34" t="s">
        <v>18</v>
      </c>
      <c r="G622" s="57">
        <v>42037</v>
      </c>
      <c r="H622" s="57">
        <v>42400</v>
      </c>
      <c r="I622" s="34">
        <f t="shared" si="27"/>
        <v>11</v>
      </c>
      <c r="J622" s="34">
        <v>40</v>
      </c>
      <c r="K622" s="36">
        <v>900</v>
      </c>
      <c r="L622" s="34" t="s">
        <v>17</v>
      </c>
      <c r="M622" s="57">
        <v>32505</v>
      </c>
      <c r="N622" s="37">
        <f>(YEAR(TablaMadre[[#This Row],[ALTA]])-YEAR(M622))</f>
        <v>27</v>
      </c>
      <c r="O622" s="34" t="s">
        <v>18</v>
      </c>
      <c r="P622" s="34" t="s">
        <v>19</v>
      </c>
      <c r="Q622" s="34" t="s">
        <v>251</v>
      </c>
      <c r="R622" s="34" t="s">
        <v>21</v>
      </c>
      <c r="S622" s="34" t="s">
        <v>252</v>
      </c>
      <c r="T622" s="34"/>
      <c r="U622" s="34"/>
      <c r="V622" s="34" t="s">
        <v>22</v>
      </c>
      <c r="W622" s="34" t="s">
        <v>28</v>
      </c>
      <c r="X622" s="38" t="s">
        <v>164</v>
      </c>
      <c r="Y622" s="62">
        <v>42678</v>
      </c>
      <c r="Z622" s="38">
        <f t="shared" si="28"/>
        <v>0</v>
      </c>
      <c r="AA622" s="38"/>
      <c r="AB622" s="34"/>
      <c r="AC622" s="34"/>
      <c r="AD622" s="38"/>
      <c r="AE622" s="59" t="str">
        <f t="shared" si="29"/>
        <v>NO</v>
      </c>
      <c r="AF622" s="38" t="e" cm="1">
        <f t="array" aca="1" ref="AF622" ca="1">MIN(100, MAX(0, (IF(R622="ESTUDIANTE", 31, 0)) + (IF(I622&lt;=3, 30, IF(I622&lt;=6, 20, 0))) +(IF(OR(E622="413 - Control de Costes y Enlace Construcción", E622="480 - Secretaría General del Consejo", E622="132 - Civil y estructuras", E622="136 - Mecánica", E622="412 - Planificación", E622="142 - Compras"), 25, 0)) +(IF(OR(S622="GRADO ING. MECÁNICA", S622="GRADO ING. ELÉCTRICA", S622="GRADO DERECHO", S622="GRADO ECONOMÍA", S622="GRADO ING. TECNOLOGÍAS INDUSTRIALES"), 24, 0)) + (IF(AND(K622&gt;=451, K622&lt;=700), 23, 0)) + (IF(AND(AB622&gt;=5, AB622&lt;=8), 17, 0)) +(IF(_xludf.OR(_xludf.AND(AC622&gt;=8, AC622&lt;=10), _xludf.AND(AC622&gt;=0, AC622&lt;=5)), 16, 0)) + (IF(F622="Madrid", 11, 0))))</f>
        <v>#NAME?</v>
      </c>
      <c r="AG622" s="68"/>
      <c r="AH622" s="71" t="s">
        <v>164</v>
      </c>
    </row>
    <row r="623" spans="1:34" ht="14.4" x14ac:dyDescent="0.3">
      <c r="A623" s="66" t="s">
        <v>1609</v>
      </c>
      <c r="B623" s="66" t="s">
        <v>3726</v>
      </c>
      <c r="C623" s="33">
        <v>622</v>
      </c>
      <c r="D623" s="33" t="s">
        <v>5400</v>
      </c>
      <c r="E623" s="34" t="s">
        <v>5240</v>
      </c>
      <c r="F623" s="34" t="s">
        <v>18</v>
      </c>
      <c r="G623" s="57">
        <v>42038</v>
      </c>
      <c r="H623" s="57">
        <v>42247</v>
      </c>
      <c r="I623" s="34">
        <f t="shared" si="27"/>
        <v>6</v>
      </c>
      <c r="J623" s="34">
        <v>40</v>
      </c>
      <c r="K623" s="36">
        <v>900</v>
      </c>
      <c r="L623" s="34" t="s">
        <v>17</v>
      </c>
      <c r="M623" s="57">
        <v>31914</v>
      </c>
      <c r="N623" s="37">
        <f>(YEAR(TablaMadre[[#This Row],[ALTA]])-YEAR(M623))</f>
        <v>28</v>
      </c>
      <c r="O623" s="34" t="s">
        <v>18</v>
      </c>
      <c r="P623" s="34" t="s">
        <v>19</v>
      </c>
      <c r="Q623" s="34" t="s">
        <v>85</v>
      </c>
      <c r="R623" s="34" t="s">
        <v>21</v>
      </c>
      <c r="S623" s="34" t="s">
        <v>322</v>
      </c>
      <c r="T623" s="34"/>
      <c r="U623" s="34"/>
      <c r="V623" s="34" t="s">
        <v>137</v>
      </c>
      <c r="W623" s="34" t="s">
        <v>23</v>
      </c>
      <c r="X623" s="38" t="s">
        <v>164</v>
      </c>
      <c r="Y623" s="62"/>
      <c r="Z623" s="62" t="e">
        <f t="shared" si="28"/>
        <v>#NUM!</v>
      </c>
      <c r="AA623" s="62"/>
      <c r="AB623" s="34"/>
      <c r="AC623" s="34">
        <v>6</v>
      </c>
      <c r="AD623" s="38"/>
      <c r="AE623" s="59" t="str">
        <f t="shared" si="29"/>
        <v>NO</v>
      </c>
      <c r="AF623" s="38" t="e" cm="1">
        <f t="array" aca="1" ref="AF623" ca="1">MIN(100, MAX(0, (IF(R623="ESTUDIANTE", 31, 0)) + (IF(I623&lt;=3, 30, IF(I623&lt;=6, 20, 0))) +(IF(OR(E623="413 - Control de Costes y Enlace Construcción", E623="480 - Secretaría General del Consejo", E623="132 - Civil y estructuras", E623="136 - Mecánica", E623="412 - Planificación", E623="142 - Compras"), 25, 0)) +(IF(OR(S623="GRADO ING. MECÁNICA", S623="GRADO ING. ELÉCTRICA", S623="GRADO DERECHO", S623="GRADO ECONOMÍA", S623="GRADO ING. TECNOLOGÍAS INDUSTRIALES"), 24, 0)) + (IF(AND(K623&gt;=451, K623&lt;=700), 23, 0)) + (IF(AND(AB623&gt;=5, AB623&lt;=8), 17, 0)) +(IF(_xludf.OR(_xludf.AND(AC623&gt;=8, AC623&lt;=10), _xludf.AND(AC623&gt;=0, AC623&lt;=5)), 16, 0)) + (IF(F623="Madrid", 11, 0))))</f>
        <v>#NAME?</v>
      </c>
      <c r="AG623" s="68"/>
      <c r="AH623" s="71" t="s">
        <v>164</v>
      </c>
    </row>
    <row r="624" spans="1:34" ht="14.4" x14ac:dyDescent="0.3">
      <c r="A624" s="66" t="s">
        <v>1643</v>
      </c>
      <c r="B624" s="66" t="s">
        <v>3760</v>
      </c>
      <c r="C624" s="33">
        <v>623</v>
      </c>
      <c r="D624" s="33" t="s">
        <v>5401</v>
      </c>
      <c r="E624" s="34" t="s">
        <v>5253</v>
      </c>
      <c r="F624" s="34" t="s">
        <v>18</v>
      </c>
      <c r="G624" s="57">
        <v>42042</v>
      </c>
      <c r="H624" s="57">
        <v>42277</v>
      </c>
      <c r="I624" s="34">
        <f t="shared" si="27"/>
        <v>7</v>
      </c>
      <c r="J624" s="34">
        <v>20</v>
      </c>
      <c r="K624" s="36">
        <v>325</v>
      </c>
      <c r="L624" s="34" t="s">
        <v>29</v>
      </c>
      <c r="M624" s="57">
        <v>34229</v>
      </c>
      <c r="N624" s="37">
        <f>(YEAR(TablaMadre[[#This Row],[ALTA]])-YEAR(M624))</f>
        <v>22</v>
      </c>
      <c r="O624" s="34" t="s">
        <v>18</v>
      </c>
      <c r="P624" s="34" t="s">
        <v>19</v>
      </c>
      <c r="Q624" s="34" t="s">
        <v>308</v>
      </c>
      <c r="R624" s="58" t="s">
        <v>30</v>
      </c>
      <c r="S624" s="34" t="s">
        <v>322</v>
      </c>
      <c r="T624" s="34"/>
      <c r="U624" s="34"/>
      <c r="V624" s="34" t="s">
        <v>22</v>
      </c>
      <c r="W624" s="34" t="s">
        <v>23</v>
      </c>
      <c r="X624" s="38" t="s">
        <v>164</v>
      </c>
      <c r="Y624" s="62"/>
      <c r="Z624" s="62" t="e">
        <f t="shared" si="28"/>
        <v>#NUM!</v>
      </c>
      <c r="AA624" s="62"/>
      <c r="AB624" s="34"/>
      <c r="AC624" s="34"/>
      <c r="AD624" s="38"/>
      <c r="AE624" s="59" t="str">
        <f t="shared" si="29"/>
        <v>NO</v>
      </c>
      <c r="AF624" s="38" t="e" cm="1">
        <f t="array" aca="1" ref="AF624" ca="1">MIN(100, MAX(0, (IF(R624="ESTUDIANTE", 31, 0)) + (IF(I624&lt;=3, 30, IF(I624&lt;=6, 20, 0))) +(IF(OR(E624="413 - Control de Costes y Enlace Construcción", E624="480 - Secretaría General del Consejo", E624="132 - Civil y estructuras", E624="136 - Mecánica", E624="412 - Planificación", E624="142 - Compras"), 25, 0)) +(IF(OR(S624="GRADO ING. MECÁNICA", S624="GRADO ING. ELÉCTRICA", S624="GRADO DERECHO", S624="GRADO ECONOMÍA", S624="GRADO ING. TECNOLOGÍAS INDUSTRIALES"), 24, 0)) + (IF(AND(K624&gt;=451, K624&lt;=700), 23, 0)) + (IF(AND(AB624&gt;=5, AB624&lt;=8), 17, 0)) +(IF(_xludf.OR(_xludf.AND(AC624&gt;=8, AC624&lt;=10), _xludf.AND(AC624&gt;=0, AC624&lt;=5)), 16, 0)) + (IF(F624="Madrid", 11, 0))))</f>
        <v>#NAME?</v>
      </c>
      <c r="AG624" s="68"/>
      <c r="AH624" s="71" t="s">
        <v>164</v>
      </c>
    </row>
    <row r="625" spans="1:34" ht="14.4" x14ac:dyDescent="0.3">
      <c r="A625" s="66" t="s">
        <v>1603</v>
      </c>
      <c r="B625" s="66" t="s">
        <v>3720</v>
      </c>
      <c r="C625" s="33">
        <v>624</v>
      </c>
      <c r="D625" s="33" t="s">
        <v>5402</v>
      </c>
      <c r="E625" s="34" t="s">
        <v>5252</v>
      </c>
      <c r="F625" s="34" t="s">
        <v>18</v>
      </c>
      <c r="G625" s="57">
        <v>42046</v>
      </c>
      <c r="H625" s="57">
        <v>42855</v>
      </c>
      <c r="I625" s="34">
        <f t="shared" si="27"/>
        <v>26</v>
      </c>
      <c r="J625" s="34">
        <v>40</v>
      </c>
      <c r="K625" s="36">
        <v>900</v>
      </c>
      <c r="L625" s="34" t="s">
        <v>17</v>
      </c>
      <c r="M625" s="57">
        <v>31880</v>
      </c>
      <c r="N625" s="37">
        <f>(YEAR(TablaMadre[[#This Row],[ALTA]])-YEAR(M625))</f>
        <v>28</v>
      </c>
      <c r="O625" s="34" t="s">
        <v>18</v>
      </c>
      <c r="P625" s="34" t="s">
        <v>19</v>
      </c>
      <c r="Q625" s="34" t="s">
        <v>85</v>
      </c>
      <c r="R625" s="34" t="s">
        <v>21</v>
      </c>
      <c r="S625" s="34" t="s">
        <v>322</v>
      </c>
      <c r="T625" s="34"/>
      <c r="U625" s="34"/>
      <c r="V625" s="34" t="s">
        <v>22</v>
      </c>
      <c r="W625" s="34" t="s">
        <v>28</v>
      </c>
      <c r="X625" s="38" t="s">
        <v>164</v>
      </c>
      <c r="Y625" s="62">
        <v>44501</v>
      </c>
      <c r="Z625" s="38">
        <f t="shared" si="28"/>
        <v>4</v>
      </c>
      <c r="AA625" s="38"/>
      <c r="AB625" s="34">
        <v>7</v>
      </c>
      <c r="AC625" s="34">
        <v>10</v>
      </c>
      <c r="AD625" s="38"/>
      <c r="AE625" s="59" t="str">
        <f t="shared" si="29"/>
        <v>NO</v>
      </c>
      <c r="AF625" s="38" t="e" cm="1">
        <f t="array" aca="1" ref="AF625" ca="1">MIN(100, MAX(0, (IF(R625="ESTUDIANTE", 31, 0)) + (IF(I625&lt;=3, 30, IF(I625&lt;=6, 20, 0))) +(IF(OR(E625="413 - Control de Costes y Enlace Construcción", E625="480 - Secretaría General del Consejo", E625="132 - Civil y estructuras", E625="136 - Mecánica", E625="412 - Planificación", E625="142 - Compras"), 25, 0)) +(IF(OR(S625="GRADO ING. MECÁNICA", S625="GRADO ING. ELÉCTRICA", S625="GRADO DERECHO", S625="GRADO ECONOMÍA", S625="GRADO ING. TECNOLOGÍAS INDUSTRIALES"), 24, 0)) + (IF(AND(K625&gt;=451, K625&lt;=700), 23, 0)) + (IF(AND(AB625&gt;=5, AB625&lt;=8), 17, 0)) +(IF(_xludf.OR(_xludf.AND(AC625&gt;=8, AC625&lt;=10), _xludf.AND(AC625&gt;=0, AC625&lt;=5)), 16, 0)) + (IF(F625="Madrid", 11, 0))))</f>
        <v>#NAME?</v>
      </c>
      <c r="AG625" s="68"/>
      <c r="AH625" s="71" t="s">
        <v>164</v>
      </c>
    </row>
    <row r="626" spans="1:34" ht="14.4" x14ac:dyDescent="0.3">
      <c r="A626" s="66" t="s">
        <v>1604</v>
      </c>
      <c r="B626" s="66" t="s">
        <v>3721</v>
      </c>
      <c r="C626" s="33">
        <v>625</v>
      </c>
      <c r="D626" s="33" t="s">
        <v>5393</v>
      </c>
      <c r="E626" s="34" t="s">
        <v>5251</v>
      </c>
      <c r="F626" s="34" t="s">
        <v>18</v>
      </c>
      <c r="G626" s="57">
        <v>42046</v>
      </c>
      <c r="H626" s="57">
        <v>42855</v>
      </c>
      <c r="I626" s="34">
        <f t="shared" si="27"/>
        <v>26</v>
      </c>
      <c r="J626" s="34">
        <v>40</v>
      </c>
      <c r="K626" s="36">
        <v>825</v>
      </c>
      <c r="L626" s="34" t="s">
        <v>17</v>
      </c>
      <c r="M626" s="57">
        <v>26740</v>
      </c>
      <c r="N626" s="37">
        <f>(YEAR(TablaMadre[[#This Row],[ALTA]])-YEAR(M626))</f>
        <v>42</v>
      </c>
      <c r="O626" s="34" t="s">
        <v>257</v>
      </c>
      <c r="P626" s="34" t="s">
        <v>19</v>
      </c>
      <c r="Q626" s="34" t="s">
        <v>384</v>
      </c>
      <c r="R626" s="34" t="s">
        <v>21</v>
      </c>
      <c r="S626" s="34" t="s">
        <v>384</v>
      </c>
      <c r="T626" s="34"/>
      <c r="U626" s="34"/>
      <c r="V626" s="34" t="s">
        <v>40</v>
      </c>
      <c r="W626" s="34" t="s">
        <v>28</v>
      </c>
      <c r="X626" s="38" t="s">
        <v>164</v>
      </c>
      <c r="Y626" s="62">
        <v>45848</v>
      </c>
      <c r="Z626" s="38">
        <f t="shared" si="28"/>
        <v>8</v>
      </c>
      <c r="AA626" s="38"/>
      <c r="AB626" s="34">
        <v>9</v>
      </c>
      <c r="AC626" s="34">
        <v>10</v>
      </c>
      <c r="AD626" s="38"/>
      <c r="AE626" s="59" t="str">
        <f t="shared" si="29"/>
        <v>SÍ</v>
      </c>
      <c r="AF626" s="38" t="e" cm="1">
        <f t="array" aca="1" ref="AF626" ca="1">MIN(100, MAX(0, (IF(R626="ESTUDIANTE", 31, 0)) + (IF(I626&lt;=3, 30, IF(I626&lt;=6, 20, 0))) +(IF(OR(E626="413 - Control de Costes y Enlace Construcción", E626="480 - Secretaría General del Consejo", E626="132 - Civil y estructuras", E626="136 - Mecánica", E626="412 - Planificación", E626="142 - Compras"), 25, 0)) +(IF(OR(S626="GRADO ING. MECÁNICA", S626="GRADO ING. ELÉCTRICA", S626="GRADO DERECHO", S626="GRADO ECONOMÍA", S626="GRADO ING. TECNOLOGÍAS INDUSTRIALES"), 24, 0)) + (IF(AND(K626&gt;=451, K626&lt;=700), 23, 0)) + (IF(AND(AB626&gt;=5, AB626&lt;=8), 17, 0)) +(IF(_xludf.OR(_xludf.AND(AC626&gt;=8, AC626&lt;=10), _xludf.AND(AC626&gt;=0, AC626&lt;=5)), 16, 0)) + (IF(F626="Madrid", 11, 0))))</f>
        <v>#NAME?</v>
      </c>
      <c r="AG626" s="68"/>
      <c r="AH626" s="71" t="s">
        <v>164</v>
      </c>
    </row>
    <row r="627" spans="1:34" ht="14.4" x14ac:dyDescent="0.3">
      <c r="A627" s="66" t="s">
        <v>1606</v>
      </c>
      <c r="B627" s="66" t="s">
        <v>3723</v>
      </c>
      <c r="C627" s="33">
        <v>627</v>
      </c>
      <c r="D627" s="33" t="s">
        <v>5394</v>
      </c>
      <c r="E627" s="34" t="s">
        <v>5218</v>
      </c>
      <c r="F627" s="34" t="s">
        <v>18</v>
      </c>
      <c r="G627" s="57">
        <v>42051</v>
      </c>
      <c r="H627" s="57">
        <v>42415</v>
      </c>
      <c r="I627" s="34">
        <f t="shared" si="27"/>
        <v>11</v>
      </c>
      <c r="J627" s="34">
        <v>40</v>
      </c>
      <c r="K627" s="36">
        <v>900</v>
      </c>
      <c r="L627" s="34" t="s">
        <v>17</v>
      </c>
      <c r="M627" s="57">
        <v>32705</v>
      </c>
      <c r="N627" s="37">
        <f>(YEAR(TablaMadre[[#This Row],[ALTA]])-YEAR(M627))</f>
        <v>26</v>
      </c>
      <c r="O627" s="34" t="s">
        <v>18</v>
      </c>
      <c r="P627" s="34" t="s">
        <v>19</v>
      </c>
      <c r="Q627" s="34" t="s">
        <v>20</v>
      </c>
      <c r="R627" s="34" t="s">
        <v>21</v>
      </c>
      <c r="S627" s="34" t="s">
        <v>151</v>
      </c>
      <c r="T627" s="34"/>
      <c r="U627" s="34"/>
      <c r="V627" s="34" t="s">
        <v>22</v>
      </c>
      <c r="W627" s="34" t="s">
        <v>28</v>
      </c>
      <c r="X627" s="38" t="s">
        <v>173</v>
      </c>
      <c r="Y627" s="62"/>
      <c r="Z627" s="38" t="e">
        <f t="shared" si="28"/>
        <v>#NUM!</v>
      </c>
      <c r="AA627" s="38"/>
      <c r="AB627" s="34">
        <v>8</v>
      </c>
      <c r="AC627" s="34">
        <v>8</v>
      </c>
      <c r="AD627" s="38"/>
      <c r="AE627" s="59" t="str">
        <f t="shared" si="29"/>
        <v>NO</v>
      </c>
      <c r="AF627" s="38" t="e" cm="1">
        <f t="array" aca="1" ref="AF627" ca="1">MIN(100, MAX(0, (IF(R627="ESTUDIANTE", 31, 0)) + (IF(I627&lt;=3, 30, IF(I627&lt;=6, 20, 0))) +(IF(OR(E627="413 - Control de Costes y Enlace Construcción", E627="480 - Secretaría General del Consejo", E627="132 - Civil y estructuras", E627="136 - Mecánica", E627="412 - Planificación", E627="142 - Compras"), 25, 0)) +(IF(OR(S627="GRADO ING. MECÁNICA", S627="GRADO ING. ELÉCTRICA", S627="GRADO DERECHO", S627="GRADO ECONOMÍA", S627="GRADO ING. TECNOLOGÍAS INDUSTRIALES"), 24, 0)) + (IF(AND(K627&gt;=451, K627&lt;=700), 23, 0)) + (IF(AND(AB627&gt;=5, AB627&lt;=8), 17, 0)) +(IF(_xludf.OR(_xludf.AND(AC627&gt;=8, AC627&lt;=10), _xludf.AND(AC627&gt;=0, AC627&lt;=5)), 16, 0)) + (IF(F627="Madrid", 11, 0))))</f>
        <v>#NAME?</v>
      </c>
      <c r="AG627" s="68"/>
      <c r="AH627" s="71" t="s">
        <v>164</v>
      </c>
    </row>
    <row r="628" spans="1:34" ht="14.4" x14ac:dyDescent="0.3">
      <c r="A628" s="66" t="s">
        <v>1607</v>
      </c>
      <c r="B628" s="66" t="s">
        <v>3724</v>
      </c>
      <c r="C628" s="33">
        <v>628</v>
      </c>
      <c r="D628" s="33" t="s">
        <v>5395</v>
      </c>
      <c r="E628" s="34" t="s">
        <v>5218</v>
      </c>
      <c r="F628" s="34" t="s">
        <v>18</v>
      </c>
      <c r="G628" s="57">
        <v>42051</v>
      </c>
      <c r="H628" s="57">
        <v>42415</v>
      </c>
      <c r="I628" s="34">
        <f t="shared" si="27"/>
        <v>11</v>
      </c>
      <c r="J628" s="34">
        <v>40</v>
      </c>
      <c r="K628" s="36">
        <v>825</v>
      </c>
      <c r="L628" s="34" t="s">
        <v>17</v>
      </c>
      <c r="M628" s="57">
        <v>32956</v>
      </c>
      <c r="N628" s="37">
        <f>(YEAR(TablaMadre[[#This Row],[ALTA]])-YEAR(M628))</f>
        <v>25</v>
      </c>
      <c r="O628" s="34" t="s">
        <v>226</v>
      </c>
      <c r="P628" s="34" t="s">
        <v>19</v>
      </c>
      <c r="Q628" s="34" t="s">
        <v>348</v>
      </c>
      <c r="R628" s="34" t="s">
        <v>21</v>
      </c>
      <c r="S628" s="34" t="s">
        <v>151</v>
      </c>
      <c r="T628" s="34"/>
      <c r="U628" s="34"/>
      <c r="V628" s="34" t="s">
        <v>216</v>
      </c>
      <c r="W628" s="34" t="s">
        <v>28</v>
      </c>
      <c r="X628" s="38" t="s">
        <v>164</v>
      </c>
      <c r="Y628" s="62">
        <v>42598</v>
      </c>
      <c r="Z628" s="38">
        <f t="shared" si="28"/>
        <v>0</v>
      </c>
      <c r="AA628" s="38"/>
      <c r="AB628" s="34">
        <v>4</v>
      </c>
      <c r="AC628" s="34"/>
      <c r="AD628" s="38"/>
      <c r="AE628" s="59" t="str">
        <f t="shared" si="29"/>
        <v>SÍ</v>
      </c>
      <c r="AF628" s="38" t="e" cm="1">
        <f t="array" aca="1" ref="AF628" ca="1">MIN(100, MAX(0, (IF(R628="ESTUDIANTE", 31, 0)) + (IF(I628&lt;=3, 30, IF(I628&lt;=6, 20, 0))) +(IF(OR(E628="413 - Control de Costes y Enlace Construcción", E628="480 - Secretaría General del Consejo", E628="132 - Civil y estructuras", E628="136 - Mecánica", E628="412 - Planificación", E628="142 - Compras"), 25, 0)) +(IF(OR(S628="GRADO ING. MECÁNICA", S628="GRADO ING. ELÉCTRICA", S628="GRADO DERECHO", S628="GRADO ECONOMÍA", S628="GRADO ING. TECNOLOGÍAS INDUSTRIALES"), 24, 0)) + (IF(AND(K628&gt;=451, K628&lt;=700), 23, 0)) + (IF(AND(AB628&gt;=5, AB628&lt;=8), 17, 0)) +(IF(_xludf.OR(_xludf.AND(AC628&gt;=8, AC628&lt;=10), _xludf.AND(AC628&gt;=0, AC628&lt;=5)), 16, 0)) + (IF(F628="Madrid", 11, 0))))</f>
        <v>#NAME?</v>
      </c>
      <c r="AG628" s="68"/>
      <c r="AH628" s="71" t="s">
        <v>164</v>
      </c>
    </row>
    <row r="629" spans="1:34" ht="14.4" x14ac:dyDescent="0.3">
      <c r="A629" s="66" t="s">
        <v>1608</v>
      </c>
      <c r="B629" s="66" t="s">
        <v>3725</v>
      </c>
      <c r="C629" s="33">
        <v>626</v>
      </c>
      <c r="D629" s="33" t="s">
        <v>5396</v>
      </c>
      <c r="E629" s="34" t="s">
        <v>5229</v>
      </c>
      <c r="F629" s="34" t="s">
        <v>18</v>
      </c>
      <c r="G629" s="57">
        <v>42051</v>
      </c>
      <c r="H629" s="57">
        <v>42414</v>
      </c>
      <c r="I629" s="34">
        <f t="shared" si="27"/>
        <v>11</v>
      </c>
      <c r="J629" s="34">
        <v>20</v>
      </c>
      <c r="K629" s="36">
        <v>415</v>
      </c>
      <c r="L629" s="34" t="s">
        <v>17</v>
      </c>
      <c r="M629" s="57">
        <v>27112</v>
      </c>
      <c r="N629" s="37">
        <f>(YEAR(TablaMadre[[#This Row],[ALTA]])-YEAR(M629))</f>
        <v>41</v>
      </c>
      <c r="O629" s="34" t="s">
        <v>257</v>
      </c>
      <c r="P629" s="34" t="s">
        <v>19</v>
      </c>
      <c r="Q629" s="34" t="s">
        <v>306</v>
      </c>
      <c r="R629" s="58" t="s">
        <v>30</v>
      </c>
      <c r="S629" s="34" t="s">
        <v>307</v>
      </c>
      <c r="T629" s="34"/>
      <c r="U629" s="34"/>
      <c r="V629" s="34" t="s">
        <v>22</v>
      </c>
      <c r="W629" s="34" t="s">
        <v>23</v>
      </c>
      <c r="X629" s="38" t="s">
        <v>164</v>
      </c>
      <c r="Y629" s="62"/>
      <c r="Z629" s="62" t="e">
        <f t="shared" si="28"/>
        <v>#NUM!</v>
      </c>
      <c r="AA629" s="62"/>
      <c r="AB629" s="34"/>
      <c r="AC629" s="34"/>
      <c r="AD629" s="38"/>
      <c r="AE629" s="59" t="str">
        <f t="shared" si="29"/>
        <v>SÍ</v>
      </c>
      <c r="AF629" s="38" t="e" cm="1">
        <f t="array" aca="1" ref="AF629" ca="1">MIN(100, MAX(0, (IF(R629="ESTUDIANTE", 31, 0)) + (IF(I629&lt;=3, 30, IF(I629&lt;=6, 20, 0))) +(IF(OR(E629="413 - Control de Costes y Enlace Construcción", E629="480 - Secretaría General del Consejo", E629="132 - Civil y estructuras", E629="136 - Mecánica", E629="412 - Planificación", E629="142 - Compras"), 25, 0)) +(IF(OR(S629="GRADO ING. MECÁNICA", S629="GRADO ING. ELÉCTRICA", S629="GRADO DERECHO", S629="GRADO ECONOMÍA", S629="GRADO ING. TECNOLOGÍAS INDUSTRIALES"), 24, 0)) + (IF(AND(K629&gt;=451, K629&lt;=700), 23, 0)) + (IF(AND(AB629&gt;=5, AB629&lt;=8), 17, 0)) +(IF(_xludf.OR(_xludf.AND(AC629&gt;=8, AC629&lt;=10), _xludf.AND(AC629&gt;=0, AC629&lt;=5)), 16, 0)) + (IF(F629="Madrid", 11, 0))))</f>
        <v>#NAME?</v>
      </c>
      <c r="AG629" s="68"/>
      <c r="AH629" s="71" t="s">
        <v>164</v>
      </c>
    </row>
    <row r="630" spans="1:34" s="4" customFormat="1" ht="14.4" x14ac:dyDescent="0.3">
      <c r="A630" s="66" t="s">
        <v>2959</v>
      </c>
      <c r="B630" s="66" t="s">
        <v>5076</v>
      </c>
      <c r="C630" s="33">
        <v>629</v>
      </c>
      <c r="D630" s="33" t="s">
        <v>5397</v>
      </c>
      <c r="E630" s="34" t="s">
        <v>5226</v>
      </c>
      <c r="F630" s="34" t="s">
        <v>118</v>
      </c>
      <c r="G630" s="57">
        <v>42058</v>
      </c>
      <c r="H630" s="57">
        <v>42069</v>
      </c>
      <c r="I630" s="34">
        <f t="shared" si="27"/>
        <v>0</v>
      </c>
      <c r="J630" s="34">
        <v>20</v>
      </c>
      <c r="K630" s="36">
        <v>0</v>
      </c>
      <c r="L630" s="34" t="s">
        <v>17</v>
      </c>
      <c r="M630" s="57">
        <v>35270</v>
      </c>
      <c r="N630" s="37">
        <f>(YEAR(TablaMadre[[#This Row],[ALTA]])-YEAR(M630))</f>
        <v>19</v>
      </c>
      <c r="O630" s="34" t="s">
        <v>18</v>
      </c>
      <c r="P630" s="34" t="s">
        <v>19</v>
      </c>
      <c r="Q630" s="34" t="s">
        <v>300</v>
      </c>
      <c r="R630" s="34" t="s">
        <v>30</v>
      </c>
      <c r="S630" s="34" t="s">
        <v>301</v>
      </c>
      <c r="T630" s="34"/>
      <c r="U630" s="34"/>
      <c r="V630" s="34" t="s">
        <v>163</v>
      </c>
      <c r="W630" s="34" t="s">
        <v>23</v>
      </c>
      <c r="X630" s="34" t="s">
        <v>164</v>
      </c>
      <c r="Y630" s="57"/>
      <c r="Z630" s="57" t="e">
        <f t="shared" si="28"/>
        <v>#NUM!</v>
      </c>
      <c r="AA630" s="57"/>
      <c r="AB630" s="34"/>
      <c r="AC630" s="34"/>
      <c r="AD630" s="34"/>
      <c r="AE630" s="59" t="str">
        <f t="shared" si="29"/>
        <v>SÍ</v>
      </c>
      <c r="AF630" s="34" t="e" cm="1">
        <f t="array" aca="1" ref="AF630" ca="1">MIN(100, MAX(0, (IF(R630="ESTUDIANTE", 31, 0)) + (IF(I630&lt;=3, 30, IF(I630&lt;=6, 20, 0))) +(IF(OR(E630="413 - Control de Costes y Enlace Construcción", E630="480 - Secretaría General del Consejo", E630="132 - Civil y estructuras", E630="136 - Mecánica", E630="412 - Planificación", E630="142 - Compras"), 25, 0)) +(IF(OR(S630="GRADO ING. MECÁNICA", S630="GRADO ING. ELÉCTRICA", S630="GRADO DERECHO", S630="GRADO ECONOMÍA", S630="GRADO ING. TECNOLOGÍAS INDUSTRIALES"), 24, 0)) + (IF(AND(K630&gt;=451, K630&lt;=700), 23, 0)) + (IF(AND(AB630&gt;=5, AB630&lt;=8), 17, 0)) +(IF(_xludf.OR(_xludf.AND(AC630&gt;=8, AC630&lt;=10), _xludf.AND(AC630&gt;=0, AC630&lt;=5)), 16, 0)) + (IF(F630="Madrid", 11, 0))))</f>
        <v>#NAME?</v>
      </c>
      <c r="AG630" s="69"/>
      <c r="AH630" s="71" t="s">
        <v>164</v>
      </c>
    </row>
    <row r="631" spans="1:34" s="4" customFormat="1" ht="14.4" x14ac:dyDescent="0.3">
      <c r="A631" s="66" t="s">
        <v>2960</v>
      </c>
      <c r="B631" s="66" t="s">
        <v>5077</v>
      </c>
      <c r="C631" s="33">
        <v>630</v>
      </c>
      <c r="D631" s="33" t="s">
        <v>5398</v>
      </c>
      <c r="E631" s="34" t="s">
        <v>5226</v>
      </c>
      <c r="F631" s="34" t="s">
        <v>118</v>
      </c>
      <c r="G631" s="57">
        <v>42058</v>
      </c>
      <c r="H631" s="57">
        <v>42069</v>
      </c>
      <c r="I631" s="34">
        <f t="shared" si="27"/>
        <v>0</v>
      </c>
      <c r="J631" s="34">
        <v>20</v>
      </c>
      <c r="K631" s="36">
        <v>0</v>
      </c>
      <c r="L631" s="34" t="s">
        <v>29</v>
      </c>
      <c r="M631" s="57">
        <v>32223</v>
      </c>
      <c r="N631" s="37">
        <f>(YEAR(TablaMadre[[#This Row],[ALTA]])-YEAR(M631))</f>
        <v>27</v>
      </c>
      <c r="O631" s="34" t="s">
        <v>118</v>
      </c>
      <c r="P631" s="34" t="s">
        <v>19</v>
      </c>
      <c r="Q631" s="34" t="s">
        <v>300</v>
      </c>
      <c r="R631" s="34" t="s">
        <v>30</v>
      </c>
      <c r="S631" s="34" t="s">
        <v>301</v>
      </c>
      <c r="T631" s="34"/>
      <c r="U631" s="34"/>
      <c r="V631" s="34" t="s">
        <v>163</v>
      </c>
      <c r="W631" s="34" t="s">
        <v>23</v>
      </c>
      <c r="X631" s="34" t="s">
        <v>164</v>
      </c>
      <c r="Y631" s="57"/>
      <c r="Z631" s="57" t="e">
        <f t="shared" si="28"/>
        <v>#NUM!</v>
      </c>
      <c r="AA631" s="57"/>
      <c r="AB631" s="34"/>
      <c r="AC631" s="34"/>
      <c r="AD631" s="34"/>
      <c r="AE631" s="59" t="str">
        <f t="shared" si="29"/>
        <v>NO</v>
      </c>
      <c r="AF631" s="34" t="e" cm="1">
        <f t="array" aca="1" ref="AF631" ca="1">MIN(100, MAX(0, (IF(R631="ESTUDIANTE", 31, 0)) + (IF(I631&lt;=3, 30, IF(I631&lt;=6, 20, 0))) +(IF(OR(E631="413 - Control de Costes y Enlace Construcción", E631="480 - Secretaría General del Consejo", E631="132 - Civil y estructuras", E631="136 - Mecánica", E631="412 - Planificación", E631="142 - Compras"), 25, 0)) +(IF(OR(S631="GRADO ING. MECÁNICA", S631="GRADO ING. ELÉCTRICA", S631="GRADO DERECHO", S631="GRADO ECONOMÍA", S631="GRADO ING. TECNOLOGÍAS INDUSTRIALES"), 24, 0)) + (IF(AND(K631&gt;=451, K631&lt;=700), 23, 0)) + (IF(AND(AB631&gt;=5, AB631&lt;=8), 17, 0)) +(IF(_xludf.OR(_xludf.AND(AC631&gt;=8, AC631&lt;=10), _xludf.AND(AC631&gt;=0, AC631&lt;=5)), 16, 0)) + (IF(F631="Madrid", 11, 0))))</f>
        <v>#NAME?</v>
      </c>
      <c r="AG631" s="69"/>
      <c r="AH631" s="71" t="s">
        <v>164</v>
      </c>
    </row>
    <row r="632" spans="1:34" s="4" customFormat="1" ht="14.4" x14ac:dyDescent="0.3">
      <c r="A632" s="66" t="s">
        <v>1610</v>
      </c>
      <c r="B632" s="66" t="s">
        <v>3727</v>
      </c>
      <c r="C632" s="33">
        <v>631</v>
      </c>
      <c r="D632" s="33" t="s">
        <v>5399</v>
      </c>
      <c r="E632" s="34" t="s">
        <v>5248</v>
      </c>
      <c r="F632" s="34" t="s">
        <v>18</v>
      </c>
      <c r="G632" s="57">
        <v>42066</v>
      </c>
      <c r="H632" s="57">
        <v>42216</v>
      </c>
      <c r="I632" s="34">
        <f t="shared" si="27"/>
        <v>4</v>
      </c>
      <c r="J632" s="34">
        <v>40</v>
      </c>
      <c r="K632" s="36">
        <v>825</v>
      </c>
      <c r="L632" s="34" t="s">
        <v>29</v>
      </c>
      <c r="M632" s="57">
        <v>32920</v>
      </c>
      <c r="N632" s="37">
        <f>(YEAR(TablaMadre[[#This Row],[ALTA]])-YEAR(M632))</f>
        <v>25</v>
      </c>
      <c r="O632" s="34" t="s">
        <v>18</v>
      </c>
      <c r="P632" s="34" t="s">
        <v>19</v>
      </c>
      <c r="Q632" s="34" t="s">
        <v>306</v>
      </c>
      <c r="R632" s="34" t="s">
        <v>21</v>
      </c>
      <c r="S632" s="34" t="s">
        <v>307</v>
      </c>
      <c r="T632" s="34"/>
      <c r="U632" s="34"/>
      <c r="V632" s="34" t="s">
        <v>22</v>
      </c>
      <c r="W632" s="34" t="s">
        <v>23</v>
      </c>
      <c r="X632" s="34" t="s">
        <v>164</v>
      </c>
      <c r="Y632" s="57"/>
      <c r="Z632" s="57" t="e">
        <f t="shared" si="28"/>
        <v>#NUM!</v>
      </c>
      <c r="AA632" s="57"/>
      <c r="AB632" s="34"/>
      <c r="AC632" s="34"/>
      <c r="AD632" s="34"/>
      <c r="AE632" s="59" t="str">
        <f t="shared" si="29"/>
        <v>NO</v>
      </c>
      <c r="AF632" s="34" t="e" cm="1">
        <f t="array" aca="1" ref="AF632" ca="1">MIN(100, MAX(0, (IF(R632="ESTUDIANTE", 31, 0)) + (IF(I632&lt;=3, 30, IF(I632&lt;=6, 20, 0))) +(IF(OR(E632="413 - Control de Costes y Enlace Construcción", E632="480 - Secretaría General del Consejo", E632="132 - Civil y estructuras", E632="136 - Mecánica", E632="412 - Planificación", E632="142 - Compras"), 25, 0)) +(IF(OR(S632="GRADO ING. MECÁNICA", S632="GRADO ING. ELÉCTRICA", S632="GRADO DERECHO", S632="GRADO ECONOMÍA", S632="GRADO ING. TECNOLOGÍAS INDUSTRIALES"), 24, 0)) + (IF(AND(K632&gt;=451, K632&lt;=700), 23, 0)) + (IF(AND(AB632&gt;=5, AB632&lt;=8), 17, 0)) +(IF(_xludf.OR(_xludf.AND(AC632&gt;=8, AC632&lt;=10), _xludf.AND(AC632&gt;=0, AC632&lt;=5)), 16, 0)) + (IF(F632="Madrid", 11, 0))))</f>
        <v>#NAME?</v>
      </c>
      <c r="AG632" s="69"/>
      <c r="AH632" s="71" t="s">
        <v>164</v>
      </c>
    </row>
    <row r="633" spans="1:34" ht="14.4" x14ac:dyDescent="0.3">
      <c r="A633" s="66" t="s">
        <v>1611</v>
      </c>
      <c r="B633" s="66" t="s">
        <v>3728</v>
      </c>
      <c r="C633" s="33">
        <v>632</v>
      </c>
      <c r="D633" s="33" t="s">
        <v>5393</v>
      </c>
      <c r="E633" s="34" t="s">
        <v>5273</v>
      </c>
      <c r="F633" s="34" t="s">
        <v>18</v>
      </c>
      <c r="G633" s="57">
        <v>42066</v>
      </c>
      <c r="H633" s="57">
        <v>42442</v>
      </c>
      <c r="I633" s="34">
        <f t="shared" si="27"/>
        <v>12</v>
      </c>
      <c r="J633" s="34">
        <v>40</v>
      </c>
      <c r="K633" s="36">
        <v>750</v>
      </c>
      <c r="L633" s="34" t="s">
        <v>17</v>
      </c>
      <c r="M633" s="57">
        <v>33287</v>
      </c>
      <c r="N633" s="37">
        <f>(YEAR(TablaMadre[[#This Row],[ALTA]])-YEAR(M633))</f>
        <v>24</v>
      </c>
      <c r="O633" s="34" t="s">
        <v>18</v>
      </c>
      <c r="P633" s="34" t="s">
        <v>19</v>
      </c>
      <c r="Q633" s="34" t="s">
        <v>130</v>
      </c>
      <c r="R633" s="34" t="s">
        <v>21</v>
      </c>
      <c r="S633" s="34" t="s">
        <v>307</v>
      </c>
      <c r="T633" s="34"/>
      <c r="U633" s="34"/>
      <c r="V633" s="34" t="s">
        <v>22</v>
      </c>
      <c r="W633" s="34" t="s">
        <v>28</v>
      </c>
      <c r="X633" s="38" t="s">
        <v>164</v>
      </c>
      <c r="Y633" s="62">
        <v>44220</v>
      </c>
      <c r="Z633" s="38">
        <f t="shared" si="28"/>
        <v>4</v>
      </c>
      <c r="AA633" s="38"/>
      <c r="AB633" s="34">
        <v>8</v>
      </c>
      <c r="AC633" s="34"/>
      <c r="AD633" s="38"/>
      <c r="AE633" s="59" t="str">
        <f t="shared" si="29"/>
        <v>NO</v>
      </c>
      <c r="AF633" s="38" t="e" cm="1">
        <f t="array" aca="1" ref="AF633" ca="1">MIN(100, MAX(0, (IF(R633="ESTUDIANTE", 31, 0)) + (IF(I633&lt;=3, 30, IF(I633&lt;=6, 20, 0))) +(IF(OR(E633="413 - Control de Costes y Enlace Construcción", E633="480 - Secretaría General del Consejo", E633="132 - Civil y estructuras", E633="136 - Mecánica", E633="412 - Planificación", E633="142 - Compras"), 25, 0)) +(IF(OR(S633="GRADO ING. MECÁNICA", S633="GRADO ING. ELÉCTRICA", S633="GRADO DERECHO", S633="GRADO ECONOMÍA", S633="GRADO ING. TECNOLOGÍAS INDUSTRIALES"), 24, 0)) + (IF(AND(K633&gt;=451, K633&lt;=700), 23, 0)) + (IF(AND(AB633&gt;=5, AB633&lt;=8), 17, 0)) +(IF(_xludf.OR(_xludf.AND(AC633&gt;=8, AC633&lt;=10), _xludf.AND(AC633&gt;=0, AC633&lt;=5)), 16, 0)) + (IF(F633="Madrid", 11, 0))))</f>
        <v>#NAME?</v>
      </c>
      <c r="AG633" s="68"/>
      <c r="AH633" s="71" t="s">
        <v>164</v>
      </c>
    </row>
    <row r="634" spans="1:34" ht="14.4" x14ac:dyDescent="0.3">
      <c r="A634" s="66" t="s">
        <v>1612</v>
      </c>
      <c r="B634" s="66" t="s">
        <v>3729</v>
      </c>
      <c r="C634" s="33">
        <v>633</v>
      </c>
      <c r="D634" s="33" t="s">
        <v>5394</v>
      </c>
      <c r="E634" s="34" t="s">
        <v>5268</v>
      </c>
      <c r="F634" s="34" t="s">
        <v>18</v>
      </c>
      <c r="G634" s="57">
        <v>42071</v>
      </c>
      <c r="H634" s="57">
        <v>42226</v>
      </c>
      <c r="I634" s="34">
        <f t="shared" si="27"/>
        <v>5</v>
      </c>
      <c r="J634" s="34">
        <v>40</v>
      </c>
      <c r="K634" s="36">
        <v>750</v>
      </c>
      <c r="L634" s="34" t="s">
        <v>17</v>
      </c>
      <c r="M634" s="57">
        <v>33287</v>
      </c>
      <c r="N634" s="37">
        <f>(YEAR(TablaMadre[[#This Row],[ALTA]])-YEAR(M634))</f>
        <v>24</v>
      </c>
      <c r="O634" s="34" t="s">
        <v>18</v>
      </c>
      <c r="P634" s="34" t="s">
        <v>19</v>
      </c>
      <c r="Q634" s="34" t="s">
        <v>229</v>
      </c>
      <c r="R634" s="34" t="s">
        <v>21</v>
      </c>
      <c r="S634" s="34" t="s">
        <v>229</v>
      </c>
      <c r="T634" s="34"/>
      <c r="U634" s="34"/>
      <c r="V634" s="34" t="s">
        <v>67</v>
      </c>
      <c r="W634" s="34" t="s">
        <v>28</v>
      </c>
      <c r="X634" s="38" t="s">
        <v>164</v>
      </c>
      <c r="Y634" s="62">
        <v>45476</v>
      </c>
      <c r="Z634" s="38">
        <f t="shared" si="28"/>
        <v>8</v>
      </c>
      <c r="AA634" s="38"/>
      <c r="AB634" s="34"/>
      <c r="AC634" s="34"/>
      <c r="AD634" s="38"/>
      <c r="AE634" s="59" t="str">
        <f t="shared" si="29"/>
        <v>NO</v>
      </c>
      <c r="AF634" s="38" t="e" cm="1">
        <f t="array" aca="1" ref="AF634" ca="1">MIN(100, MAX(0, (IF(R634="ESTUDIANTE", 31, 0)) + (IF(I634&lt;=3, 30, IF(I634&lt;=6, 20, 0))) +(IF(OR(E634="413 - Control de Costes y Enlace Construcción", E634="480 - Secretaría General del Consejo", E634="132 - Civil y estructuras", E634="136 - Mecánica", E634="412 - Planificación", E634="142 - Compras"), 25, 0)) +(IF(OR(S634="GRADO ING. MECÁNICA", S634="GRADO ING. ELÉCTRICA", S634="GRADO DERECHO", S634="GRADO ECONOMÍA", S634="GRADO ING. TECNOLOGÍAS INDUSTRIALES"), 24, 0)) + (IF(AND(K634&gt;=451, K634&lt;=700), 23, 0)) + (IF(AND(AB634&gt;=5, AB634&lt;=8), 17, 0)) +(IF(_xludf.OR(_xludf.AND(AC634&gt;=8, AC634&lt;=10), _xludf.AND(AC634&gt;=0, AC634&lt;=5)), 16, 0)) + (IF(F634="Madrid", 11, 0))))</f>
        <v>#NAME?</v>
      </c>
      <c r="AG634" s="68"/>
      <c r="AH634" s="71" t="s">
        <v>164</v>
      </c>
    </row>
    <row r="635" spans="1:34" s="4" customFormat="1" ht="14.4" x14ac:dyDescent="0.3">
      <c r="A635" s="66" t="s">
        <v>1613</v>
      </c>
      <c r="B635" s="66" t="s">
        <v>3730</v>
      </c>
      <c r="C635" s="33">
        <v>634</v>
      </c>
      <c r="D635" s="33" t="s">
        <v>5395</v>
      </c>
      <c r="E635" s="34" t="s">
        <v>5278</v>
      </c>
      <c r="F635" s="34" t="s">
        <v>18</v>
      </c>
      <c r="G635" s="57">
        <v>42071</v>
      </c>
      <c r="H635" s="57">
        <v>42704</v>
      </c>
      <c r="I635" s="34">
        <f t="shared" si="27"/>
        <v>20</v>
      </c>
      <c r="J635" s="34">
        <v>40</v>
      </c>
      <c r="K635" s="36">
        <v>900</v>
      </c>
      <c r="L635" s="34" t="s">
        <v>29</v>
      </c>
      <c r="M635" s="57">
        <v>33737</v>
      </c>
      <c r="N635" s="37">
        <f>(YEAR(TablaMadre[[#This Row],[ALTA]])-YEAR(M635))</f>
        <v>23</v>
      </c>
      <c r="O635" s="34" t="s">
        <v>205</v>
      </c>
      <c r="P635" s="34" t="s">
        <v>19</v>
      </c>
      <c r="Q635" s="34" t="s">
        <v>20</v>
      </c>
      <c r="R635" s="34" t="s">
        <v>21</v>
      </c>
      <c r="S635" s="34" t="s">
        <v>151</v>
      </c>
      <c r="T635" s="34"/>
      <c r="U635" s="34"/>
      <c r="V635" s="34" t="s">
        <v>81</v>
      </c>
      <c r="W635" s="34" t="s">
        <v>28</v>
      </c>
      <c r="X635" s="34" t="s">
        <v>164</v>
      </c>
      <c r="Y635" s="57">
        <v>44060</v>
      </c>
      <c r="Z635" s="34">
        <f t="shared" si="28"/>
        <v>3</v>
      </c>
      <c r="AA635" s="34"/>
      <c r="AB635" s="34">
        <v>10</v>
      </c>
      <c r="AC635" s="34"/>
      <c r="AD635" s="34"/>
      <c r="AE635" s="59" t="str">
        <f t="shared" si="29"/>
        <v>SÍ</v>
      </c>
      <c r="AF635" s="34" t="e" cm="1">
        <f t="array" aca="1" ref="AF635" ca="1">MIN(100, MAX(0, (IF(R635="ESTUDIANTE", 31, 0)) + (IF(I635&lt;=3, 30, IF(I635&lt;=6, 20, 0))) +(IF(OR(E635="413 - Control de Costes y Enlace Construcción", E635="480 - Secretaría General del Consejo", E635="132 - Civil y estructuras", E635="136 - Mecánica", E635="412 - Planificación", E635="142 - Compras"), 25, 0)) +(IF(OR(S635="GRADO ING. MECÁNICA", S635="GRADO ING. ELÉCTRICA", S635="GRADO DERECHO", S635="GRADO ECONOMÍA", S635="GRADO ING. TECNOLOGÍAS INDUSTRIALES"), 24, 0)) + (IF(AND(K635&gt;=451, K635&lt;=700), 23, 0)) + (IF(AND(AB635&gt;=5, AB635&lt;=8), 17, 0)) +(IF(_xludf.OR(_xludf.AND(AC635&gt;=8, AC635&lt;=10), _xludf.AND(AC635&gt;=0, AC635&lt;=5)), 16, 0)) + (IF(F635="Madrid", 11, 0))))</f>
        <v>#NAME?</v>
      </c>
      <c r="AG635" s="69"/>
      <c r="AH635" s="71" t="s">
        <v>164</v>
      </c>
    </row>
    <row r="636" spans="1:34" ht="14.4" x14ac:dyDescent="0.3">
      <c r="A636" s="66" t="s">
        <v>1614</v>
      </c>
      <c r="B636" s="66" t="s">
        <v>3731</v>
      </c>
      <c r="C636" s="33">
        <v>635</v>
      </c>
      <c r="D636" s="33" t="s">
        <v>5396</v>
      </c>
      <c r="E636" s="34" t="s">
        <v>5218</v>
      </c>
      <c r="F636" s="34" t="s">
        <v>18</v>
      </c>
      <c r="G636" s="57">
        <v>42071</v>
      </c>
      <c r="H636" s="57">
        <v>42766</v>
      </c>
      <c r="I636" s="34">
        <f t="shared" si="27"/>
        <v>22</v>
      </c>
      <c r="J636" s="34">
        <v>40</v>
      </c>
      <c r="K636" s="36">
        <v>900</v>
      </c>
      <c r="L636" s="34" t="s">
        <v>17</v>
      </c>
      <c r="M636" s="57">
        <v>31153</v>
      </c>
      <c r="N636" s="37">
        <f>(YEAR(TablaMadre[[#This Row],[ALTA]])-YEAR(M636))</f>
        <v>30</v>
      </c>
      <c r="O636" s="34" t="s">
        <v>18</v>
      </c>
      <c r="P636" s="34" t="s">
        <v>19</v>
      </c>
      <c r="Q636" s="34" t="s">
        <v>89</v>
      </c>
      <c r="R636" s="34" t="s">
        <v>21</v>
      </c>
      <c r="S636" s="34" t="s">
        <v>384</v>
      </c>
      <c r="T636" s="34"/>
      <c r="U636" s="34"/>
      <c r="V636" s="34" t="s">
        <v>22</v>
      </c>
      <c r="W636" s="34" t="s">
        <v>28</v>
      </c>
      <c r="X636" s="38" t="s">
        <v>164</v>
      </c>
      <c r="Y636" s="62">
        <v>44565</v>
      </c>
      <c r="Z636" s="38">
        <f t="shared" si="28"/>
        <v>4</v>
      </c>
      <c r="AA636" s="38"/>
      <c r="AB636" s="34">
        <v>10</v>
      </c>
      <c r="AC636" s="34">
        <v>8</v>
      </c>
      <c r="AD636" s="38"/>
      <c r="AE636" s="59" t="str">
        <f t="shared" si="29"/>
        <v>NO</v>
      </c>
      <c r="AF636" s="38" t="e" cm="1">
        <f t="array" aca="1" ref="AF636" ca="1">MIN(100, MAX(0, (IF(R636="ESTUDIANTE", 31, 0)) + (IF(I636&lt;=3, 30, IF(I636&lt;=6, 20, 0))) +(IF(OR(E636="413 - Control de Costes y Enlace Construcción", E636="480 - Secretaría General del Consejo", E636="132 - Civil y estructuras", E636="136 - Mecánica", E636="412 - Planificación", E636="142 - Compras"), 25, 0)) +(IF(OR(S636="GRADO ING. MECÁNICA", S636="GRADO ING. ELÉCTRICA", S636="GRADO DERECHO", S636="GRADO ECONOMÍA", S636="GRADO ING. TECNOLOGÍAS INDUSTRIALES"), 24, 0)) + (IF(AND(K636&gt;=451, K636&lt;=700), 23, 0)) + (IF(AND(AB636&gt;=5, AB636&lt;=8), 17, 0)) +(IF(_xludf.OR(_xludf.AND(AC636&gt;=8, AC636&lt;=10), _xludf.AND(AC636&gt;=0, AC636&lt;=5)), 16, 0)) + (IF(F636="Madrid", 11, 0))))</f>
        <v>#NAME?</v>
      </c>
      <c r="AG636" s="68"/>
      <c r="AH636" s="71" t="s">
        <v>164</v>
      </c>
    </row>
    <row r="637" spans="1:34" ht="14.4" x14ac:dyDescent="0.3">
      <c r="A637" s="66" t="s">
        <v>1615</v>
      </c>
      <c r="B637" s="66" t="s">
        <v>3732</v>
      </c>
      <c r="C637" s="33">
        <v>636</v>
      </c>
      <c r="D637" s="33" t="s">
        <v>5397</v>
      </c>
      <c r="E637" s="34" t="s">
        <v>5229</v>
      </c>
      <c r="F637" s="34" t="s">
        <v>18</v>
      </c>
      <c r="G637" s="57">
        <v>42081</v>
      </c>
      <c r="H637" s="57">
        <v>42551</v>
      </c>
      <c r="I637" s="34">
        <f t="shared" si="27"/>
        <v>15</v>
      </c>
      <c r="J637" s="34">
        <v>40</v>
      </c>
      <c r="K637" s="36">
        <v>700</v>
      </c>
      <c r="L637" s="34" t="s">
        <v>29</v>
      </c>
      <c r="M637" s="57">
        <v>31737</v>
      </c>
      <c r="N637" s="37">
        <f>(YEAR(TablaMadre[[#This Row],[ALTA]])-YEAR(M637))</f>
        <v>29</v>
      </c>
      <c r="O637" s="34" t="s">
        <v>302</v>
      </c>
      <c r="P637" s="34" t="s">
        <v>19</v>
      </c>
      <c r="Q637" s="34" t="s">
        <v>292</v>
      </c>
      <c r="R637" s="58" t="s">
        <v>30</v>
      </c>
      <c r="S637" s="34" t="s">
        <v>26</v>
      </c>
      <c r="T637" s="34"/>
      <c r="U637" s="34"/>
      <c r="V637" s="34" t="s">
        <v>27</v>
      </c>
      <c r="W637" s="34" t="s">
        <v>23</v>
      </c>
      <c r="X637" s="38" t="s">
        <v>173</v>
      </c>
      <c r="Y637" s="62"/>
      <c r="Z637" s="62" t="e">
        <f t="shared" si="28"/>
        <v>#NUM!</v>
      </c>
      <c r="AA637" s="62"/>
      <c r="AB637" s="34"/>
      <c r="AC637" s="34"/>
      <c r="AD637" s="38"/>
      <c r="AE637" s="59" t="str">
        <f t="shared" si="29"/>
        <v>SÍ</v>
      </c>
      <c r="AF637" s="38" t="e" cm="1">
        <f t="array" aca="1" ref="AF637" ca="1">MIN(100, MAX(0, (IF(R637="ESTUDIANTE", 31, 0)) + (IF(I637&lt;=3, 30, IF(I637&lt;=6, 20, 0))) +(IF(OR(E637="413 - Control de Costes y Enlace Construcción", E637="480 - Secretaría General del Consejo", E637="132 - Civil y estructuras", E637="136 - Mecánica", E637="412 - Planificación", E637="142 - Compras"), 25, 0)) +(IF(OR(S637="GRADO ING. MECÁNICA", S637="GRADO ING. ELÉCTRICA", S637="GRADO DERECHO", S637="GRADO ECONOMÍA", S637="GRADO ING. TECNOLOGÍAS INDUSTRIALES"), 24, 0)) + (IF(AND(K637&gt;=451, K637&lt;=700), 23, 0)) + (IF(AND(AB637&gt;=5, AB637&lt;=8), 17, 0)) +(IF(_xludf.OR(_xludf.AND(AC637&gt;=8, AC637&lt;=10), _xludf.AND(AC637&gt;=0, AC637&lt;=5)), 16, 0)) + (IF(F637="Madrid", 11, 0))))</f>
        <v>#NAME?</v>
      </c>
      <c r="AG637" s="68"/>
      <c r="AH637" s="71" t="s">
        <v>164</v>
      </c>
    </row>
    <row r="638" spans="1:34" s="4" customFormat="1" ht="14.4" x14ac:dyDescent="0.3">
      <c r="A638" s="66" t="s">
        <v>1616</v>
      </c>
      <c r="B638" s="66" t="s">
        <v>3733</v>
      </c>
      <c r="C638" s="33">
        <v>637</v>
      </c>
      <c r="D638" s="33" t="s">
        <v>5398</v>
      </c>
      <c r="E638" s="34" t="s">
        <v>5229</v>
      </c>
      <c r="F638" s="34" t="s">
        <v>18</v>
      </c>
      <c r="G638" s="57">
        <v>42081</v>
      </c>
      <c r="H638" s="57">
        <v>42657</v>
      </c>
      <c r="I638" s="34">
        <f t="shared" si="27"/>
        <v>18</v>
      </c>
      <c r="J638" s="34">
        <v>40</v>
      </c>
      <c r="K638" s="36">
        <v>700</v>
      </c>
      <c r="L638" s="34" t="s">
        <v>29</v>
      </c>
      <c r="M638" s="57">
        <v>30463</v>
      </c>
      <c r="N638" s="37">
        <f>(YEAR(TablaMadre[[#This Row],[ALTA]])-YEAR(M638))</f>
        <v>32</v>
      </c>
      <c r="O638" s="34" t="s">
        <v>18</v>
      </c>
      <c r="P638" s="34" t="s">
        <v>19</v>
      </c>
      <c r="Q638" s="34" t="s">
        <v>292</v>
      </c>
      <c r="R638" s="58" t="s">
        <v>30</v>
      </c>
      <c r="S638" s="34" t="s">
        <v>26</v>
      </c>
      <c r="T638" s="34"/>
      <c r="U638" s="34"/>
      <c r="V638" s="34" t="s">
        <v>27</v>
      </c>
      <c r="W638" s="34" t="s">
        <v>370</v>
      </c>
      <c r="X638" s="34" t="s">
        <v>173</v>
      </c>
      <c r="Y638" s="57"/>
      <c r="Z638" s="57" t="e">
        <f t="shared" si="28"/>
        <v>#NUM!</v>
      </c>
      <c r="AA638" s="57"/>
      <c r="AB638" s="34">
        <v>7</v>
      </c>
      <c r="AC638" s="34"/>
      <c r="AD638" s="34"/>
      <c r="AE638" s="59" t="str">
        <f t="shared" si="29"/>
        <v>NO</v>
      </c>
      <c r="AF638" s="34" t="e" cm="1">
        <f t="array" aca="1" ref="AF638" ca="1">MIN(100, MAX(0, (IF(R638="ESTUDIANTE", 31, 0)) + (IF(I638&lt;=3, 30, IF(I638&lt;=6, 20, 0))) +(IF(OR(E638="413 - Control de Costes y Enlace Construcción", E638="480 - Secretaría General del Consejo", E638="132 - Civil y estructuras", E638="136 - Mecánica", E638="412 - Planificación", E638="142 - Compras"), 25, 0)) +(IF(OR(S638="GRADO ING. MECÁNICA", S638="GRADO ING. ELÉCTRICA", S638="GRADO DERECHO", S638="GRADO ECONOMÍA", S638="GRADO ING. TECNOLOGÍAS INDUSTRIALES"), 24, 0)) + (IF(AND(K638&gt;=451, K638&lt;=700), 23, 0)) + (IF(AND(AB638&gt;=5, AB638&lt;=8), 17, 0)) +(IF(_xludf.OR(_xludf.AND(AC638&gt;=8, AC638&lt;=10), _xludf.AND(AC638&gt;=0, AC638&lt;=5)), 16, 0)) + (IF(F638="Madrid", 11, 0))))</f>
        <v>#NAME?</v>
      </c>
      <c r="AG638" s="69"/>
      <c r="AH638" s="71" t="s">
        <v>164</v>
      </c>
    </row>
    <row r="639" spans="1:34" ht="14.4" x14ac:dyDescent="0.3">
      <c r="A639" s="66" t="s">
        <v>1617</v>
      </c>
      <c r="B639" s="66" t="s">
        <v>3734</v>
      </c>
      <c r="C639" s="33">
        <v>638</v>
      </c>
      <c r="D639" s="33" t="s">
        <v>5399</v>
      </c>
      <c r="E639" s="34" t="s">
        <v>5236</v>
      </c>
      <c r="F639" s="34" t="s">
        <v>18</v>
      </c>
      <c r="G639" s="57">
        <v>42086</v>
      </c>
      <c r="H639" s="57">
        <v>42713</v>
      </c>
      <c r="I639" s="34">
        <f t="shared" si="27"/>
        <v>20</v>
      </c>
      <c r="J639" s="34">
        <v>40</v>
      </c>
      <c r="K639" s="36">
        <v>700</v>
      </c>
      <c r="L639" s="34" t="s">
        <v>17</v>
      </c>
      <c r="M639" s="57">
        <v>32381</v>
      </c>
      <c r="N639" s="37">
        <f>(YEAR(TablaMadre[[#This Row],[ALTA]])-YEAR(M639))</f>
        <v>27</v>
      </c>
      <c r="O639" s="34" t="s">
        <v>18</v>
      </c>
      <c r="P639" s="34" t="s">
        <v>19</v>
      </c>
      <c r="Q639" s="34" t="s">
        <v>343</v>
      </c>
      <c r="R639" s="58" t="s">
        <v>30</v>
      </c>
      <c r="S639" s="34" t="s">
        <v>26</v>
      </c>
      <c r="T639" s="34"/>
      <c r="U639" s="34"/>
      <c r="V639" s="34" t="s">
        <v>27</v>
      </c>
      <c r="W639" s="34" t="s">
        <v>28</v>
      </c>
      <c r="X639" s="38" t="s">
        <v>173</v>
      </c>
      <c r="Y639" s="62"/>
      <c r="Z639" s="38" t="e">
        <f t="shared" si="28"/>
        <v>#NUM!</v>
      </c>
      <c r="AA639" s="38"/>
      <c r="AB639" s="34">
        <v>9</v>
      </c>
      <c r="AC639" s="34"/>
      <c r="AD639" s="38"/>
      <c r="AE639" s="59" t="str">
        <f t="shared" si="29"/>
        <v>NO</v>
      </c>
      <c r="AF639" s="38" t="e" cm="1">
        <f t="array" aca="1" ref="AF639" ca="1">MIN(100, MAX(0, (IF(R639="ESTUDIANTE", 31, 0)) + (IF(I639&lt;=3, 30, IF(I639&lt;=6, 20, 0))) +(IF(OR(E639="413 - Control de Costes y Enlace Construcción", E639="480 - Secretaría General del Consejo", E639="132 - Civil y estructuras", E639="136 - Mecánica", E639="412 - Planificación", E639="142 - Compras"), 25, 0)) +(IF(OR(S639="GRADO ING. MECÁNICA", S639="GRADO ING. ELÉCTRICA", S639="GRADO DERECHO", S639="GRADO ECONOMÍA", S639="GRADO ING. TECNOLOGÍAS INDUSTRIALES"), 24, 0)) + (IF(AND(K639&gt;=451, K639&lt;=700), 23, 0)) + (IF(AND(AB639&gt;=5, AB639&lt;=8), 17, 0)) +(IF(_xludf.OR(_xludf.AND(AC639&gt;=8, AC639&lt;=10), _xludf.AND(AC639&gt;=0, AC639&lt;=5)), 16, 0)) + (IF(F639="Madrid", 11, 0))))</f>
        <v>#NAME?</v>
      </c>
      <c r="AG639" s="68"/>
      <c r="AH639" s="71" t="s">
        <v>164</v>
      </c>
    </row>
    <row r="640" spans="1:34" ht="14.4" x14ac:dyDescent="0.3">
      <c r="A640" s="66" t="s">
        <v>1618</v>
      </c>
      <c r="B640" s="66" t="s">
        <v>3735</v>
      </c>
      <c r="C640" s="33">
        <v>639</v>
      </c>
      <c r="D640" s="33" t="s">
        <v>5400</v>
      </c>
      <c r="E640" s="34" t="s">
        <v>5216</v>
      </c>
      <c r="F640" s="34" t="s">
        <v>18</v>
      </c>
      <c r="G640" s="57">
        <v>42087</v>
      </c>
      <c r="H640" s="57">
        <v>42715</v>
      </c>
      <c r="I640" s="34">
        <f t="shared" si="27"/>
        <v>20</v>
      </c>
      <c r="J640" s="34">
        <v>30</v>
      </c>
      <c r="K640" s="36">
        <v>675</v>
      </c>
      <c r="L640" s="34" t="s">
        <v>17</v>
      </c>
      <c r="M640" s="57">
        <v>32836</v>
      </c>
      <c r="N640" s="37">
        <f>(YEAR(TablaMadre[[#This Row],[ALTA]])-YEAR(M640))</f>
        <v>26</v>
      </c>
      <c r="O640" s="34" t="s">
        <v>70</v>
      </c>
      <c r="P640" s="34" t="s">
        <v>19</v>
      </c>
      <c r="Q640" s="34" t="s">
        <v>49</v>
      </c>
      <c r="R640" s="58" t="s">
        <v>30</v>
      </c>
      <c r="S640" s="34" t="s">
        <v>297</v>
      </c>
      <c r="T640" s="34"/>
      <c r="U640" s="34"/>
      <c r="V640" s="34" t="s">
        <v>86</v>
      </c>
      <c r="W640" s="34" t="s">
        <v>28</v>
      </c>
      <c r="X640" s="38" t="s">
        <v>164</v>
      </c>
      <c r="Y640" s="62">
        <v>44809</v>
      </c>
      <c r="Z640" s="38">
        <f t="shared" si="28"/>
        <v>5</v>
      </c>
      <c r="AA640" s="38"/>
      <c r="AB640" s="34">
        <v>9</v>
      </c>
      <c r="AC640" s="34"/>
      <c r="AD640" s="38"/>
      <c r="AE640" s="59" t="str">
        <f t="shared" si="29"/>
        <v>SÍ</v>
      </c>
      <c r="AF640" s="38" t="e" cm="1">
        <f t="array" aca="1" ref="AF640" ca="1">MIN(100, MAX(0, (IF(R640="ESTUDIANTE", 31, 0)) + (IF(I640&lt;=3, 30, IF(I640&lt;=6, 20, 0))) +(IF(OR(E640="413 - Control de Costes y Enlace Construcción", E640="480 - Secretaría General del Consejo", E640="132 - Civil y estructuras", E640="136 - Mecánica", E640="412 - Planificación", E640="142 - Compras"), 25, 0)) +(IF(OR(S640="GRADO ING. MECÁNICA", S640="GRADO ING. ELÉCTRICA", S640="GRADO DERECHO", S640="GRADO ECONOMÍA", S640="GRADO ING. TECNOLOGÍAS INDUSTRIALES"), 24, 0)) + (IF(AND(K640&gt;=451, K640&lt;=700), 23, 0)) + (IF(AND(AB640&gt;=5, AB640&lt;=8), 17, 0)) +(IF(_xludf.OR(_xludf.AND(AC640&gt;=8, AC640&lt;=10), _xludf.AND(AC640&gt;=0, AC640&lt;=5)), 16, 0)) + (IF(F640="Madrid", 11, 0))))</f>
        <v>#NAME?</v>
      </c>
      <c r="AG640" s="68"/>
      <c r="AH640" s="71" t="s">
        <v>164</v>
      </c>
    </row>
    <row r="641" spans="1:34" s="4" customFormat="1" ht="14.4" x14ac:dyDescent="0.3">
      <c r="A641" s="66" t="s">
        <v>2440</v>
      </c>
      <c r="B641" s="66" t="s">
        <v>4557</v>
      </c>
      <c r="C641" s="33">
        <v>640</v>
      </c>
      <c r="D641" s="33" t="s">
        <v>5401</v>
      </c>
      <c r="E641" s="34" t="s">
        <v>5226</v>
      </c>
      <c r="F641" s="34" t="s">
        <v>118</v>
      </c>
      <c r="G641" s="57">
        <v>42088</v>
      </c>
      <c r="H641" s="57">
        <v>42103</v>
      </c>
      <c r="I641" s="34">
        <f t="shared" si="27"/>
        <v>0</v>
      </c>
      <c r="J641" s="34">
        <v>20</v>
      </c>
      <c r="K641" s="36">
        <v>0</v>
      </c>
      <c r="L641" s="34" t="s">
        <v>17</v>
      </c>
      <c r="M641" s="57">
        <v>33439</v>
      </c>
      <c r="N641" s="37">
        <f>(YEAR(TablaMadre[[#This Row],[ALTA]])-YEAR(M641))</f>
        <v>24</v>
      </c>
      <c r="O641" s="34" t="s">
        <v>118</v>
      </c>
      <c r="P641" s="34" t="s">
        <v>19</v>
      </c>
      <c r="Q641" s="34" t="s">
        <v>300</v>
      </c>
      <c r="R641" s="34" t="s">
        <v>30</v>
      </c>
      <c r="S641" s="34" t="s">
        <v>301</v>
      </c>
      <c r="T641" s="34"/>
      <c r="U641" s="34"/>
      <c r="V641" s="34" t="s">
        <v>163</v>
      </c>
      <c r="W641" s="34" t="s">
        <v>23</v>
      </c>
      <c r="X641" s="34" t="s">
        <v>173</v>
      </c>
      <c r="Y641" s="57"/>
      <c r="Z641" s="57" t="e">
        <f t="shared" si="28"/>
        <v>#NUM!</v>
      </c>
      <c r="AA641" s="57"/>
      <c r="AB641" s="34"/>
      <c r="AC641" s="34"/>
      <c r="AD641" s="34"/>
      <c r="AE641" s="59" t="str">
        <f t="shared" si="29"/>
        <v>NO</v>
      </c>
      <c r="AF641" s="34" t="e" cm="1">
        <f t="array" aca="1" ref="AF641" ca="1">MIN(100, MAX(0, (IF(R641="ESTUDIANTE", 31, 0)) + (IF(I641&lt;=3, 30, IF(I641&lt;=6, 20, 0))) +(IF(OR(E641="413 - Control de Costes y Enlace Construcción", E641="480 - Secretaría General del Consejo", E641="132 - Civil y estructuras", E641="136 - Mecánica", E641="412 - Planificación", E641="142 - Compras"), 25, 0)) +(IF(OR(S641="GRADO ING. MECÁNICA", S641="GRADO ING. ELÉCTRICA", S641="GRADO DERECHO", S641="GRADO ECONOMÍA", S641="GRADO ING. TECNOLOGÍAS INDUSTRIALES"), 24, 0)) + (IF(AND(K641&gt;=451, K641&lt;=700), 23, 0)) + (IF(AND(AB641&gt;=5, AB641&lt;=8), 17, 0)) +(IF(_xludf.OR(_xludf.AND(AC641&gt;=8, AC641&lt;=10), _xludf.AND(AC641&gt;=0, AC641&lt;=5)), 16, 0)) + (IF(F641="Madrid", 11, 0))))</f>
        <v>#NAME?</v>
      </c>
      <c r="AG641" s="69"/>
      <c r="AH641" s="71" t="s">
        <v>164</v>
      </c>
    </row>
    <row r="642" spans="1:34" s="4" customFormat="1" ht="14.4" x14ac:dyDescent="0.3">
      <c r="A642" s="66" t="s">
        <v>2961</v>
      </c>
      <c r="B642" s="66" t="s">
        <v>5078</v>
      </c>
      <c r="C642" s="33">
        <v>641</v>
      </c>
      <c r="D642" s="33" t="s">
        <v>5402</v>
      </c>
      <c r="E642" s="34" t="s">
        <v>5226</v>
      </c>
      <c r="F642" s="34" t="s">
        <v>118</v>
      </c>
      <c r="G642" s="57">
        <v>42088</v>
      </c>
      <c r="H642" s="57">
        <v>42103</v>
      </c>
      <c r="I642" s="34">
        <f t="shared" ref="I642:I705" si="30">DATEDIF(G642, H642, "M")</f>
        <v>0</v>
      </c>
      <c r="J642" s="34">
        <v>20</v>
      </c>
      <c r="K642" s="36">
        <v>0</v>
      </c>
      <c r="L642" s="34" t="s">
        <v>29</v>
      </c>
      <c r="M642" s="57">
        <v>34175</v>
      </c>
      <c r="N642" s="37">
        <f>(YEAR(TablaMadre[[#This Row],[ALTA]])-YEAR(M642))</f>
        <v>22</v>
      </c>
      <c r="O642" s="34" t="s">
        <v>118</v>
      </c>
      <c r="P642" s="34" t="s">
        <v>19</v>
      </c>
      <c r="Q642" s="34" t="s">
        <v>300</v>
      </c>
      <c r="R642" s="34" t="s">
        <v>30</v>
      </c>
      <c r="S642" s="34" t="s">
        <v>301</v>
      </c>
      <c r="T642" s="34"/>
      <c r="U642" s="34"/>
      <c r="V642" s="34" t="s">
        <v>163</v>
      </c>
      <c r="W642" s="34" t="s">
        <v>23</v>
      </c>
      <c r="X642" s="34" t="s">
        <v>164</v>
      </c>
      <c r="Y642" s="57"/>
      <c r="Z642" s="57" t="e">
        <f t="shared" ref="Z642:Z705" si="31">DATEDIF(H642, Y642, "y")</f>
        <v>#NUM!</v>
      </c>
      <c r="AA642" s="57"/>
      <c r="AB642" s="34"/>
      <c r="AC642" s="34"/>
      <c r="AD642" s="34"/>
      <c r="AE642" s="59" t="str">
        <f t="shared" si="29"/>
        <v>NO</v>
      </c>
      <c r="AF642" s="34" t="e" cm="1">
        <f t="array" aca="1" ref="AF642" ca="1">MIN(100, MAX(0, (IF(R642="ESTUDIANTE", 31, 0)) + (IF(I642&lt;=3, 30, IF(I642&lt;=6, 20, 0))) +(IF(OR(E642="413 - Control de Costes y Enlace Construcción", E642="480 - Secretaría General del Consejo", E642="132 - Civil y estructuras", E642="136 - Mecánica", E642="412 - Planificación", E642="142 - Compras"), 25, 0)) +(IF(OR(S642="GRADO ING. MECÁNICA", S642="GRADO ING. ELÉCTRICA", S642="GRADO DERECHO", S642="GRADO ECONOMÍA", S642="GRADO ING. TECNOLOGÍAS INDUSTRIALES"), 24, 0)) + (IF(AND(K642&gt;=451, K642&lt;=700), 23, 0)) + (IF(AND(AB642&gt;=5, AB642&lt;=8), 17, 0)) +(IF(_xludf.OR(_xludf.AND(AC642&gt;=8, AC642&lt;=10), _xludf.AND(AC642&gt;=0, AC642&lt;=5)), 16, 0)) + (IF(F642="Madrid", 11, 0))))</f>
        <v>#NAME?</v>
      </c>
      <c r="AG642" s="69"/>
      <c r="AH642" s="71" t="s">
        <v>164</v>
      </c>
    </row>
    <row r="643" spans="1:34" s="4" customFormat="1" ht="14.4" x14ac:dyDescent="0.3">
      <c r="A643" s="66" t="s">
        <v>1621</v>
      </c>
      <c r="B643" s="66" t="s">
        <v>3738</v>
      </c>
      <c r="C643" s="33">
        <v>642</v>
      </c>
      <c r="D643" s="33" t="s">
        <v>5393</v>
      </c>
      <c r="E643" s="34" t="s">
        <v>5252</v>
      </c>
      <c r="F643" s="34" t="s">
        <v>18</v>
      </c>
      <c r="G643" s="57">
        <v>42099</v>
      </c>
      <c r="H643" s="57">
        <v>42480</v>
      </c>
      <c r="I643" s="34">
        <f t="shared" si="30"/>
        <v>12</v>
      </c>
      <c r="J643" s="34">
        <v>40</v>
      </c>
      <c r="K643" s="36">
        <v>825</v>
      </c>
      <c r="L643" s="34" t="s">
        <v>17</v>
      </c>
      <c r="M643" s="57">
        <v>33798</v>
      </c>
      <c r="N643" s="37">
        <f>(YEAR(TablaMadre[[#This Row],[ALTA]])-YEAR(M643))</f>
        <v>23</v>
      </c>
      <c r="O643" s="34" t="s">
        <v>202</v>
      </c>
      <c r="P643" s="34" t="s">
        <v>19</v>
      </c>
      <c r="Q643" s="34" t="s">
        <v>297</v>
      </c>
      <c r="R643" s="34" t="s">
        <v>21</v>
      </c>
      <c r="S643" s="34" t="s">
        <v>297</v>
      </c>
      <c r="T643" s="34"/>
      <c r="U643" s="34"/>
      <c r="V643" s="34" t="s">
        <v>56</v>
      </c>
      <c r="W643" s="34" t="s">
        <v>127</v>
      </c>
      <c r="X643" s="34" t="s">
        <v>164</v>
      </c>
      <c r="Y643" s="57">
        <v>43039</v>
      </c>
      <c r="Z643" s="34">
        <f t="shared" si="31"/>
        <v>1</v>
      </c>
      <c r="AA643" s="34"/>
      <c r="AB643" s="34">
        <v>8</v>
      </c>
      <c r="AC643" s="34">
        <v>8</v>
      </c>
      <c r="AD643" s="34"/>
      <c r="AE643" s="59" t="str">
        <f t="shared" ref="AE643:AE706" si="32">IF(F643=O643, "NO", "SÍ")</f>
        <v>SÍ</v>
      </c>
      <c r="AF643" s="34" t="e" cm="1">
        <f t="array" aca="1" ref="AF643" ca="1">MIN(100, MAX(0, (IF(R643="ESTUDIANTE", 31, 0)) + (IF(I643&lt;=3, 30, IF(I643&lt;=6, 20, 0))) +(IF(OR(E643="413 - Control de Costes y Enlace Construcción", E643="480 - Secretaría General del Consejo", E643="132 - Civil y estructuras", E643="136 - Mecánica", E643="412 - Planificación", E643="142 - Compras"), 25, 0)) +(IF(OR(S643="GRADO ING. MECÁNICA", S643="GRADO ING. ELÉCTRICA", S643="GRADO DERECHO", S643="GRADO ECONOMÍA", S643="GRADO ING. TECNOLOGÍAS INDUSTRIALES"), 24, 0)) + (IF(AND(K643&gt;=451, K643&lt;=700), 23, 0)) + (IF(AND(AB643&gt;=5, AB643&lt;=8), 17, 0)) +(IF(_xludf.OR(_xludf.AND(AC643&gt;=8, AC643&lt;=10), _xludf.AND(AC643&gt;=0, AC643&lt;=5)), 16, 0)) + (IF(F643="Madrid", 11, 0))))</f>
        <v>#NAME?</v>
      </c>
      <c r="AG643" s="69"/>
      <c r="AH643" s="71" t="s">
        <v>164</v>
      </c>
    </row>
    <row r="644" spans="1:34" ht="14.4" x14ac:dyDescent="0.3">
      <c r="A644" s="66" t="s">
        <v>1674</v>
      </c>
      <c r="B644" s="66" t="s">
        <v>3791</v>
      </c>
      <c r="C644" s="33">
        <v>644</v>
      </c>
      <c r="D644" s="33" t="s">
        <v>5394</v>
      </c>
      <c r="E644" s="34" t="s">
        <v>5263</v>
      </c>
      <c r="F644" s="34" t="s">
        <v>18</v>
      </c>
      <c r="G644" s="57">
        <v>42105</v>
      </c>
      <c r="H644" s="57">
        <v>42613</v>
      </c>
      <c r="I644" s="34">
        <f t="shared" si="30"/>
        <v>16</v>
      </c>
      <c r="J644" s="34">
        <v>40</v>
      </c>
      <c r="K644" s="36">
        <v>800</v>
      </c>
      <c r="L644" s="34" t="s">
        <v>17</v>
      </c>
      <c r="M644" s="57">
        <v>32621</v>
      </c>
      <c r="N644" s="37">
        <f>(YEAR(TablaMadre[[#This Row],[ALTA]])-YEAR(M644))</f>
        <v>26</v>
      </c>
      <c r="O644" s="34" t="s">
        <v>623</v>
      </c>
      <c r="P644" s="34" t="s">
        <v>19</v>
      </c>
      <c r="Q644" s="34" t="s">
        <v>366</v>
      </c>
      <c r="R644" s="34" t="s">
        <v>21</v>
      </c>
      <c r="S644" s="34" t="s">
        <v>345</v>
      </c>
      <c r="T644" s="34"/>
      <c r="U644" s="34"/>
      <c r="V644" s="34" t="s">
        <v>122</v>
      </c>
      <c r="W644" s="34" t="s">
        <v>47</v>
      </c>
      <c r="X644" s="34" t="s">
        <v>164</v>
      </c>
      <c r="Y644" s="57"/>
      <c r="Z644" s="57" t="e">
        <f t="shared" si="31"/>
        <v>#NUM!</v>
      </c>
      <c r="AA644" s="57"/>
      <c r="AB644" s="34"/>
      <c r="AC644" s="34"/>
      <c r="AD644" s="34"/>
      <c r="AE644" s="59" t="str">
        <f t="shared" si="32"/>
        <v>SÍ</v>
      </c>
      <c r="AF644" s="38" t="e" cm="1">
        <f t="array" aca="1" ref="AF644" ca="1">MIN(100, MAX(0, (IF(R644="ESTUDIANTE", 31, 0)) + (IF(I644&lt;=3, 30, IF(I644&lt;=6, 20, 0))) +(IF(OR(E644="413 - Control de Costes y Enlace Construcción", E644="480 - Secretaría General del Consejo", E644="132 - Civil y estructuras", E644="136 - Mecánica", E644="412 - Planificación", E644="142 - Compras"), 25, 0)) +(IF(OR(S644="GRADO ING. MECÁNICA", S644="GRADO ING. ELÉCTRICA", S644="GRADO DERECHO", S644="GRADO ECONOMÍA", S644="GRADO ING. TECNOLOGÍAS INDUSTRIALES"), 24, 0)) + (IF(AND(K644&gt;=451, K644&lt;=700), 23, 0)) + (IF(AND(AB644&gt;=5, AB644&lt;=8), 17, 0)) +(IF(_xludf.OR(_xludf.AND(AC644&gt;=8, AC644&lt;=10), _xludf.AND(AC644&gt;=0, AC644&lt;=5)), 16, 0)) + (IF(F644="Madrid", 11, 0))))</f>
        <v>#NAME?</v>
      </c>
      <c r="AG644" s="68"/>
      <c r="AH644" s="71" t="s">
        <v>164</v>
      </c>
    </row>
    <row r="645" spans="1:34" s="4" customFormat="1" ht="14.4" x14ac:dyDescent="0.3">
      <c r="A645" s="66" t="s">
        <v>1675</v>
      </c>
      <c r="B645" s="66" t="s">
        <v>3792</v>
      </c>
      <c r="C645" s="33">
        <v>643</v>
      </c>
      <c r="D645" s="33" t="s">
        <v>5395</v>
      </c>
      <c r="E645" s="34" t="s">
        <v>5244</v>
      </c>
      <c r="F645" s="34" t="s">
        <v>18</v>
      </c>
      <c r="G645" s="57">
        <v>42105</v>
      </c>
      <c r="H645" s="57">
        <v>42472</v>
      </c>
      <c r="I645" s="34">
        <f t="shared" si="30"/>
        <v>12</v>
      </c>
      <c r="J645" s="34">
        <v>40</v>
      </c>
      <c r="K645" s="36">
        <v>900</v>
      </c>
      <c r="L645" s="34" t="s">
        <v>17</v>
      </c>
      <c r="M645" s="57">
        <v>33190</v>
      </c>
      <c r="N645" s="37">
        <f>(YEAR(TablaMadre[[#This Row],[ALTA]])-YEAR(M645))</f>
        <v>25</v>
      </c>
      <c r="O645" s="34" t="s">
        <v>654</v>
      </c>
      <c r="P645" s="34" t="s">
        <v>19</v>
      </c>
      <c r="Q645" s="34" t="s">
        <v>336</v>
      </c>
      <c r="R645" s="34" t="s">
        <v>21</v>
      </c>
      <c r="S645" s="34" t="s">
        <v>322</v>
      </c>
      <c r="T645" s="34"/>
      <c r="U645" s="34"/>
      <c r="V645" s="34" t="s">
        <v>51</v>
      </c>
      <c r="W645" s="34" t="s">
        <v>47</v>
      </c>
      <c r="X645" s="38" t="s">
        <v>164</v>
      </c>
      <c r="Y645" s="62"/>
      <c r="Z645" s="62" t="e">
        <f t="shared" si="31"/>
        <v>#NUM!</v>
      </c>
      <c r="AA645" s="62"/>
      <c r="AB645" s="34">
        <v>4</v>
      </c>
      <c r="AC645" s="34" t="s">
        <v>352</v>
      </c>
      <c r="AD645" s="38"/>
      <c r="AE645" s="59" t="str">
        <f t="shared" si="32"/>
        <v>SÍ</v>
      </c>
      <c r="AF645" s="34" t="e" cm="1">
        <f t="array" aca="1" ref="AF645" ca="1">MIN(100, MAX(0, (IF(R645="ESTUDIANTE", 31, 0)) + (IF(I645&lt;=3, 30, IF(I645&lt;=6, 20, 0))) +(IF(OR(E645="413 - Control de Costes y Enlace Construcción", E645="480 - Secretaría General del Consejo", E645="132 - Civil y estructuras", E645="136 - Mecánica", E645="412 - Planificación", E645="142 - Compras"), 25, 0)) +(IF(OR(S645="GRADO ING. MECÁNICA", S645="GRADO ING. ELÉCTRICA", S645="GRADO DERECHO", S645="GRADO ECONOMÍA", S645="GRADO ING. TECNOLOGÍAS INDUSTRIALES"), 24, 0)) + (IF(AND(K645&gt;=451, K645&lt;=700), 23, 0)) + (IF(AND(AB645&gt;=5, AB645&lt;=8), 17, 0)) +(IF(_xludf.OR(_xludf.AND(AC645&gt;=8, AC645&lt;=10), _xludf.AND(AC645&gt;=0, AC645&lt;=5)), 16, 0)) + (IF(F645="Madrid", 11, 0))))</f>
        <v>#NAME?</v>
      </c>
      <c r="AG645" s="69"/>
      <c r="AH645" s="71" t="s">
        <v>164</v>
      </c>
    </row>
    <row r="646" spans="1:34" ht="14.4" x14ac:dyDescent="0.3">
      <c r="A646" s="66" t="s">
        <v>1624</v>
      </c>
      <c r="B646" s="66" t="s">
        <v>3741</v>
      </c>
      <c r="C646" s="33">
        <v>645</v>
      </c>
      <c r="D646" s="33" t="s">
        <v>5396</v>
      </c>
      <c r="E646" s="34" t="s">
        <v>5224</v>
      </c>
      <c r="F646" s="34" t="s">
        <v>18</v>
      </c>
      <c r="G646" s="57">
        <v>42107</v>
      </c>
      <c r="H646" s="57">
        <v>42289</v>
      </c>
      <c r="I646" s="34">
        <f t="shared" si="30"/>
        <v>5</v>
      </c>
      <c r="J646" s="34">
        <v>40</v>
      </c>
      <c r="K646" s="36">
        <v>800</v>
      </c>
      <c r="L646" s="34" t="s">
        <v>29</v>
      </c>
      <c r="M646" s="57">
        <v>33480</v>
      </c>
      <c r="N646" s="37">
        <f>(YEAR(TablaMadre[[#This Row],[ALTA]])-YEAR(M646))</f>
        <v>24</v>
      </c>
      <c r="O646" s="34" t="s">
        <v>205</v>
      </c>
      <c r="P646" s="34" t="s">
        <v>19</v>
      </c>
      <c r="Q646" s="34" t="s">
        <v>58</v>
      </c>
      <c r="R646" s="34" t="s">
        <v>21</v>
      </c>
      <c r="S646" s="34" t="s">
        <v>229</v>
      </c>
      <c r="T646" s="34"/>
      <c r="U646" s="34"/>
      <c r="V646" s="34" t="s">
        <v>207</v>
      </c>
      <c r="W646" s="34" t="s">
        <v>28</v>
      </c>
      <c r="X646" s="38" t="s">
        <v>164</v>
      </c>
      <c r="Y646" s="62">
        <v>43309</v>
      </c>
      <c r="Z646" s="38">
        <f t="shared" si="31"/>
        <v>2</v>
      </c>
      <c r="AA646" s="38"/>
      <c r="AB646" s="34"/>
      <c r="AC646" s="34">
        <v>8</v>
      </c>
      <c r="AD646" s="38"/>
      <c r="AE646" s="59" t="str">
        <f t="shared" si="32"/>
        <v>SÍ</v>
      </c>
      <c r="AF646" s="38" t="e" cm="1">
        <f t="array" aca="1" ref="AF646" ca="1">MIN(100, MAX(0, (IF(R646="ESTUDIANTE", 31, 0)) + (IF(I646&lt;=3, 30, IF(I646&lt;=6, 20, 0))) +(IF(OR(E646="413 - Control de Costes y Enlace Construcción", E646="480 - Secretaría General del Consejo", E646="132 - Civil y estructuras", E646="136 - Mecánica", E646="412 - Planificación", E646="142 - Compras"), 25, 0)) +(IF(OR(S646="GRADO ING. MECÁNICA", S646="GRADO ING. ELÉCTRICA", S646="GRADO DERECHO", S646="GRADO ECONOMÍA", S646="GRADO ING. TECNOLOGÍAS INDUSTRIALES"), 24, 0)) + (IF(AND(K646&gt;=451, K646&lt;=700), 23, 0)) + (IF(AND(AB646&gt;=5, AB646&lt;=8), 17, 0)) +(IF(_xludf.OR(_xludf.AND(AC646&gt;=8, AC646&lt;=10), _xludf.AND(AC646&gt;=0, AC646&lt;=5)), 16, 0)) + (IF(F646="Madrid", 11, 0))))</f>
        <v>#NAME?</v>
      </c>
      <c r="AG646" s="68"/>
      <c r="AH646" s="71" t="s">
        <v>164</v>
      </c>
    </row>
    <row r="647" spans="1:34" ht="14.4" x14ac:dyDescent="0.3">
      <c r="A647" s="66" t="s">
        <v>1625</v>
      </c>
      <c r="B647" s="66" t="s">
        <v>3742</v>
      </c>
      <c r="C647" s="33">
        <v>646</v>
      </c>
      <c r="D647" s="33" t="s">
        <v>5397</v>
      </c>
      <c r="E647" s="34" t="s">
        <v>5251</v>
      </c>
      <c r="F647" s="34" t="s">
        <v>18</v>
      </c>
      <c r="G647" s="57">
        <v>42107</v>
      </c>
      <c r="H647" s="57">
        <v>42472</v>
      </c>
      <c r="I647" s="34">
        <f t="shared" si="30"/>
        <v>11</v>
      </c>
      <c r="J647" s="34">
        <v>40</v>
      </c>
      <c r="K647" s="36">
        <v>900</v>
      </c>
      <c r="L647" s="34" t="s">
        <v>29</v>
      </c>
      <c r="M647" s="57">
        <v>32647</v>
      </c>
      <c r="N647" s="37">
        <f>(YEAR(TablaMadre[[#This Row],[ALTA]])-YEAR(M647))</f>
        <v>26</v>
      </c>
      <c r="O647" s="34" t="s">
        <v>18</v>
      </c>
      <c r="P647" s="34" t="s">
        <v>19</v>
      </c>
      <c r="Q647" s="34" t="s">
        <v>49</v>
      </c>
      <c r="R647" s="34" t="s">
        <v>21</v>
      </c>
      <c r="S647" s="34" t="s">
        <v>297</v>
      </c>
      <c r="T647" s="34"/>
      <c r="U647" s="34"/>
      <c r="V647" s="34" t="s">
        <v>40</v>
      </c>
      <c r="W647" s="34" t="s">
        <v>28</v>
      </c>
      <c r="X647" s="38" t="s">
        <v>164</v>
      </c>
      <c r="Y647" s="62">
        <v>43586</v>
      </c>
      <c r="Z647" s="38">
        <f t="shared" si="31"/>
        <v>3</v>
      </c>
      <c r="AA647" s="38"/>
      <c r="AB647" s="34"/>
      <c r="AC647" s="34"/>
      <c r="AD647" s="38"/>
      <c r="AE647" s="59" t="str">
        <f t="shared" si="32"/>
        <v>NO</v>
      </c>
      <c r="AF647" s="38" t="e" cm="1">
        <f t="array" aca="1" ref="AF647" ca="1">MIN(100, MAX(0, (IF(R647="ESTUDIANTE", 31, 0)) + (IF(I647&lt;=3, 30, IF(I647&lt;=6, 20, 0))) +(IF(OR(E647="413 - Control de Costes y Enlace Construcción", E647="480 - Secretaría General del Consejo", E647="132 - Civil y estructuras", E647="136 - Mecánica", E647="412 - Planificación", E647="142 - Compras"), 25, 0)) +(IF(OR(S647="GRADO ING. MECÁNICA", S647="GRADO ING. ELÉCTRICA", S647="GRADO DERECHO", S647="GRADO ECONOMÍA", S647="GRADO ING. TECNOLOGÍAS INDUSTRIALES"), 24, 0)) + (IF(AND(K647&gt;=451, K647&lt;=700), 23, 0)) + (IF(AND(AB647&gt;=5, AB647&lt;=8), 17, 0)) +(IF(_xludf.OR(_xludf.AND(AC647&gt;=8, AC647&lt;=10), _xludf.AND(AC647&gt;=0, AC647&lt;=5)), 16, 0)) + (IF(F647="Madrid", 11, 0))))</f>
        <v>#NAME?</v>
      </c>
      <c r="AG647" s="68"/>
      <c r="AH647" s="71" t="s">
        <v>164</v>
      </c>
    </row>
    <row r="648" spans="1:34" ht="14.4" x14ac:dyDescent="0.3">
      <c r="A648" s="66" t="s">
        <v>1623</v>
      </c>
      <c r="B648" s="66" t="s">
        <v>3740</v>
      </c>
      <c r="C648" s="33">
        <v>647</v>
      </c>
      <c r="D648" s="33" t="s">
        <v>5398</v>
      </c>
      <c r="E648" s="34" t="s">
        <v>5293</v>
      </c>
      <c r="F648" s="34" t="s">
        <v>18</v>
      </c>
      <c r="G648" s="57">
        <v>42114</v>
      </c>
      <c r="H648" s="57">
        <v>42174</v>
      </c>
      <c r="I648" s="34">
        <f t="shared" si="30"/>
        <v>1</v>
      </c>
      <c r="J648" s="34">
        <v>20</v>
      </c>
      <c r="K648" s="36">
        <v>130</v>
      </c>
      <c r="L648" s="34" t="s">
        <v>29</v>
      </c>
      <c r="M648" s="57">
        <v>33712</v>
      </c>
      <c r="N648" s="37">
        <f>(YEAR(TablaMadre[[#This Row],[ALTA]])-YEAR(M648))</f>
        <v>23</v>
      </c>
      <c r="O648" s="34" t="s">
        <v>350</v>
      </c>
      <c r="P648" s="34" t="s">
        <v>19</v>
      </c>
      <c r="Q648" s="34" t="s">
        <v>151</v>
      </c>
      <c r="R648" s="58" t="s">
        <v>30</v>
      </c>
      <c r="S648" s="34" t="s">
        <v>151</v>
      </c>
      <c r="T648" s="34"/>
      <c r="U648" s="34"/>
      <c r="V648" s="34" t="s">
        <v>22</v>
      </c>
      <c r="W648" s="34" t="s">
        <v>23</v>
      </c>
      <c r="X648" s="38" t="s">
        <v>164</v>
      </c>
      <c r="Y648" s="62"/>
      <c r="Z648" s="62" t="e">
        <f t="shared" si="31"/>
        <v>#NUM!</v>
      </c>
      <c r="AA648" s="62"/>
      <c r="AB648" s="34"/>
      <c r="AC648" s="34"/>
      <c r="AD648" s="38"/>
      <c r="AE648" s="59" t="str">
        <f t="shared" si="32"/>
        <v>SÍ</v>
      </c>
      <c r="AF648" s="38" t="e" cm="1">
        <f t="array" aca="1" ref="AF648" ca="1">MIN(100, MAX(0, (IF(R648="ESTUDIANTE", 31, 0)) + (IF(I648&lt;=3, 30, IF(I648&lt;=6, 20, 0))) +(IF(OR(E648="413 - Control de Costes y Enlace Construcción", E648="480 - Secretaría General del Consejo", E648="132 - Civil y estructuras", E648="136 - Mecánica", E648="412 - Planificación", E648="142 - Compras"), 25, 0)) +(IF(OR(S648="GRADO ING. MECÁNICA", S648="GRADO ING. ELÉCTRICA", S648="GRADO DERECHO", S648="GRADO ECONOMÍA", S648="GRADO ING. TECNOLOGÍAS INDUSTRIALES"), 24, 0)) + (IF(AND(K648&gt;=451, K648&lt;=700), 23, 0)) + (IF(AND(AB648&gt;=5, AB648&lt;=8), 17, 0)) +(IF(_xludf.OR(_xludf.AND(AC648&gt;=8, AC648&lt;=10), _xludf.AND(AC648&gt;=0, AC648&lt;=5)), 16, 0)) + (IF(F648="Madrid", 11, 0))))</f>
        <v>#NAME?</v>
      </c>
      <c r="AG648" s="68"/>
      <c r="AH648" s="71" t="s">
        <v>164</v>
      </c>
    </row>
    <row r="649" spans="1:34" ht="14.4" x14ac:dyDescent="0.3">
      <c r="A649" s="66" t="s">
        <v>1627</v>
      </c>
      <c r="B649" s="66" t="s">
        <v>3744</v>
      </c>
      <c r="C649" s="33">
        <v>648</v>
      </c>
      <c r="D649" s="33" t="s">
        <v>5399</v>
      </c>
      <c r="E649" s="34" t="s">
        <v>5270</v>
      </c>
      <c r="F649" s="34" t="s">
        <v>18</v>
      </c>
      <c r="G649" s="57">
        <v>42117</v>
      </c>
      <c r="H649" s="57">
        <v>42482</v>
      </c>
      <c r="I649" s="34">
        <f t="shared" si="30"/>
        <v>11</v>
      </c>
      <c r="J649" s="34">
        <v>40</v>
      </c>
      <c r="K649" s="36">
        <v>900</v>
      </c>
      <c r="L649" s="34" t="s">
        <v>17</v>
      </c>
      <c r="M649" s="57">
        <v>33285</v>
      </c>
      <c r="N649" s="37">
        <f>(YEAR(TablaMadre[[#This Row],[ALTA]])-YEAR(M649))</f>
        <v>24</v>
      </c>
      <c r="O649" s="34" t="s">
        <v>18</v>
      </c>
      <c r="P649" s="34" t="s">
        <v>19</v>
      </c>
      <c r="Q649" s="34" t="s">
        <v>251</v>
      </c>
      <c r="R649" s="34" t="s">
        <v>21</v>
      </c>
      <c r="S649" s="34" t="s">
        <v>252</v>
      </c>
      <c r="T649" s="34"/>
      <c r="U649" s="34"/>
      <c r="V649" s="34" t="s">
        <v>22</v>
      </c>
      <c r="W649" s="34" t="s">
        <v>28</v>
      </c>
      <c r="X649" s="38" t="s">
        <v>164</v>
      </c>
      <c r="Y649" s="62">
        <v>42648</v>
      </c>
      <c r="Z649" s="38">
        <f t="shared" si="31"/>
        <v>0</v>
      </c>
      <c r="AA649" s="38"/>
      <c r="AB649" s="34"/>
      <c r="AC649" s="34"/>
      <c r="AD649" s="38"/>
      <c r="AE649" s="59" t="str">
        <f t="shared" si="32"/>
        <v>NO</v>
      </c>
      <c r="AF649" s="38" t="e" cm="1">
        <f t="array" aca="1" ref="AF649" ca="1">MIN(100, MAX(0, (IF(R649="ESTUDIANTE", 31, 0)) + (IF(I649&lt;=3, 30, IF(I649&lt;=6, 20, 0))) +(IF(OR(E649="413 - Control de Costes y Enlace Construcción", E649="480 - Secretaría General del Consejo", E649="132 - Civil y estructuras", E649="136 - Mecánica", E649="412 - Planificación", E649="142 - Compras"), 25, 0)) +(IF(OR(S649="GRADO ING. MECÁNICA", S649="GRADO ING. ELÉCTRICA", S649="GRADO DERECHO", S649="GRADO ECONOMÍA", S649="GRADO ING. TECNOLOGÍAS INDUSTRIALES"), 24, 0)) + (IF(AND(K649&gt;=451, K649&lt;=700), 23, 0)) + (IF(AND(AB649&gt;=5, AB649&lt;=8), 17, 0)) +(IF(_xludf.OR(_xludf.AND(AC649&gt;=8, AC649&lt;=10), _xludf.AND(AC649&gt;=0, AC649&lt;=5)), 16, 0)) + (IF(F649="Madrid", 11, 0))))</f>
        <v>#NAME?</v>
      </c>
      <c r="AG649" s="68"/>
      <c r="AH649" s="71" t="s">
        <v>164</v>
      </c>
    </row>
    <row r="650" spans="1:34" ht="14.4" x14ac:dyDescent="0.3">
      <c r="A650" s="66" t="s">
        <v>1629</v>
      </c>
      <c r="B650" s="66" t="s">
        <v>3746</v>
      </c>
      <c r="C650" s="33">
        <v>650</v>
      </c>
      <c r="D650" s="33" t="s">
        <v>5393</v>
      </c>
      <c r="E650" s="34" t="s">
        <v>5278</v>
      </c>
      <c r="F650" s="34" t="s">
        <v>18</v>
      </c>
      <c r="G650" s="57">
        <v>42134</v>
      </c>
      <c r="H650" s="57">
        <v>42704</v>
      </c>
      <c r="I650" s="34">
        <f t="shared" si="30"/>
        <v>18</v>
      </c>
      <c r="J650" s="34">
        <v>40</v>
      </c>
      <c r="K650" s="36">
        <v>900</v>
      </c>
      <c r="L650" s="34" t="s">
        <v>29</v>
      </c>
      <c r="M650" s="57">
        <v>29004</v>
      </c>
      <c r="N650" s="37">
        <f>(YEAR(TablaMadre[[#This Row],[ALTA]])-YEAR(M650))</f>
        <v>36</v>
      </c>
      <c r="O650" s="34" t="s">
        <v>202</v>
      </c>
      <c r="P650" s="34" t="s">
        <v>19</v>
      </c>
      <c r="Q650" s="34" t="s">
        <v>49</v>
      </c>
      <c r="R650" s="34" t="s">
        <v>21</v>
      </c>
      <c r="S650" s="34" t="s">
        <v>297</v>
      </c>
      <c r="T650" s="34"/>
      <c r="U650" s="34"/>
      <c r="V650" s="34" t="s">
        <v>122</v>
      </c>
      <c r="W650" s="34" t="s">
        <v>28</v>
      </c>
      <c r="X650" s="38" t="s">
        <v>164</v>
      </c>
      <c r="Y650" s="62">
        <v>43769</v>
      </c>
      <c r="Z650" s="38">
        <f t="shared" si="31"/>
        <v>2</v>
      </c>
      <c r="AA650" s="38"/>
      <c r="AB650" s="34">
        <v>10</v>
      </c>
      <c r="AC650" s="34"/>
      <c r="AD650" s="38"/>
      <c r="AE650" s="59" t="str">
        <f t="shared" si="32"/>
        <v>SÍ</v>
      </c>
      <c r="AF650" s="38" t="e" cm="1">
        <f t="array" aca="1" ref="AF650" ca="1">MIN(100, MAX(0, (IF(R650="ESTUDIANTE", 31, 0)) + (IF(I650&lt;=3, 30, IF(I650&lt;=6, 20, 0))) +(IF(OR(E650="413 - Control de Costes y Enlace Construcción", E650="480 - Secretaría General del Consejo", E650="132 - Civil y estructuras", E650="136 - Mecánica", E650="412 - Planificación", E650="142 - Compras"), 25, 0)) +(IF(OR(S650="GRADO ING. MECÁNICA", S650="GRADO ING. ELÉCTRICA", S650="GRADO DERECHO", S650="GRADO ECONOMÍA", S650="GRADO ING. TECNOLOGÍAS INDUSTRIALES"), 24, 0)) + (IF(AND(K650&gt;=451, K650&lt;=700), 23, 0)) + (IF(AND(AB650&gt;=5, AB650&lt;=8), 17, 0)) +(IF(_xludf.OR(_xludf.AND(AC650&gt;=8, AC650&lt;=10), _xludf.AND(AC650&gt;=0, AC650&lt;=5)), 16, 0)) + (IF(F650="Madrid", 11, 0))))</f>
        <v>#NAME?</v>
      </c>
      <c r="AG650" s="68"/>
      <c r="AH650" s="71" t="s">
        <v>164</v>
      </c>
    </row>
    <row r="651" spans="1:34" ht="14.4" x14ac:dyDescent="0.3">
      <c r="A651" s="66" t="s">
        <v>1673</v>
      </c>
      <c r="B651" s="66" t="s">
        <v>3790</v>
      </c>
      <c r="C651" s="33">
        <v>649</v>
      </c>
      <c r="D651" s="33" t="s">
        <v>5394</v>
      </c>
      <c r="E651" s="34" t="s">
        <v>5241</v>
      </c>
      <c r="F651" s="34" t="s">
        <v>18</v>
      </c>
      <c r="G651" s="57">
        <v>42134</v>
      </c>
      <c r="H651" s="57">
        <v>42551</v>
      </c>
      <c r="I651" s="34">
        <f t="shared" si="30"/>
        <v>13</v>
      </c>
      <c r="J651" s="34">
        <v>40</v>
      </c>
      <c r="K651" s="36">
        <v>2334</v>
      </c>
      <c r="L651" s="34" t="s">
        <v>17</v>
      </c>
      <c r="M651" s="57">
        <v>34045</v>
      </c>
      <c r="N651" s="37">
        <f>(YEAR(TablaMadre[[#This Row],[ALTA]])-YEAR(M651))</f>
        <v>22</v>
      </c>
      <c r="O651" s="34" t="s">
        <v>102</v>
      </c>
      <c r="P651" s="34" t="s">
        <v>103</v>
      </c>
      <c r="Q651" s="34" t="s">
        <v>136</v>
      </c>
      <c r="R651" s="34" t="s">
        <v>21</v>
      </c>
      <c r="S651" s="34" t="s">
        <v>136</v>
      </c>
      <c r="T651" s="34"/>
      <c r="U651" s="34"/>
      <c r="V651" s="34" t="s">
        <v>90</v>
      </c>
      <c r="W651" s="34" t="s">
        <v>23</v>
      </c>
      <c r="X651" s="38" t="s">
        <v>164</v>
      </c>
      <c r="Y651" s="62"/>
      <c r="Z651" s="62" t="e">
        <f t="shared" si="31"/>
        <v>#NUM!</v>
      </c>
      <c r="AA651" s="62"/>
      <c r="AB651" s="34"/>
      <c r="AC651" s="34"/>
      <c r="AD651" s="38"/>
      <c r="AE651" s="59" t="str">
        <f t="shared" si="32"/>
        <v>SÍ</v>
      </c>
      <c r="AF651" s="38" t="e" cm="1">
        <f t="array" aca="1" ref="AF651" ca="1">MIN(100, MAX(0, (IF(R651="ESTUDIANTE", 31, 0)) + (IF(I651&lt;=3, 30, IF(I651&lt;=6, 20, 0))) +(IF(OR(E651="413 - Control de Costes y Enlace Construcción", E651="480 - Secretaría General del Consejo", E651="132 - Civil y estructuras", E651="136 - Mecánica", E651="412 - Planificación", E651="142 - Compras"), 25, 0)) +(IF(OR(S651="GRADO ING. MECÁNICA", S651="GRADO ING. ELÉCTRICA", S651="GRADO DERECHO", S651="GRADO ECONOMÍA", S651="GRADO ING. TECNOLOGÍAS INDUSTRIALES"), 24, 0)) + (IF(AND(K651&gt;=451, K651&lt;=700), 23, 0)) + (IF(AND(AB651&gt;=5, AB651&lt;=8), 17, 0)) +(IF(_xludf.OR(_xludf.AND(AC651&gt;=8, AC651&lt;=10), _xludf.AND(AC651&gt;=0, AC651&lt;=5)), 16, 0)) + (IF(F651="Madrid", 11, 0))))</f>
        <v>#NAME?</v>
      </c>
      <c r="AG651" s="68"/>
      <c r="AH651" s="71" t="s">
        <v>164</v>
      </c>
    </row>
    <row r="652" spans="1:34" ht="14.4" x14ac:dyDescent="0.3">
      <c r="A652" s="66" t="s">
        <v>1626</v>
      </c>
      <c r="B652" s="66" t="s">
        <v>3743</v>
      </c>
      <c r="C652" s="33">
        <v>651</v>
      </c>
      <c r="D652" s="33" t="s">
        <v>5395</v>
      </c>
      <c r="E652" s="34" t="s">
        <v>5252</v>
      </c>
      <c r="F652" s="34" t="s">
        <v>18</v>
      </c>
      <c r="G652" s="57">
        <v>42143</v>
      </c>
      <c r="H652" s="57">
        <v>42158</v>
      </c>
      <c r="I652" s="34">
        <f t="shared" si="30"/>
        <v>0</v>
      </c>
      <c r="J652" s="34">
        <v>40</v>
      </c>
      <c r="K652" s="36">
        <v>650</v>
      </c>
      <c r="L652" s="34" t="s">
        <v>17</v>
      </c>
      <c r="M652" s="57">
        <v>32775</v>
      </c>
      <c r="N652" s="37">
        <f>(YEAR(TablaMadre[[#This Row],[ALTA]])-YEAR(M652))</f>
        <v>26</v>
      </c>
      <c r="O652" s="34" t="s">
        <v>18</v>
      </c>
      <c r="P652" s="34" t="s">
        <v>19</v>
      </c>
      <c r="Q652" s="34" t="s">
        <v>309</v>
      </c>
      <c r="R652" s="58" t="s">
        <v>30</v>
      </c>
      <c r="S652" s="34" t="s">
        <v>322</v>
      </c>
      <c r="T652" s="34"/>
      <c r="U652" s="34"/>
      <c r="V652" s="34" t="s">
        <v>137</v>
      </c>
      <c r="W652" s="34" t="s">
        <v>181</v>
      </c>
      <c r="X652" s="38" t="s">
        <v>164</v>
      </c>
      <c r="Y652" s="62"/>
      <c r="Z652" s="62" t="e">
        <f t="shared" si="31"/>
        <v>#NUM!</v>
      </c>
      <c r="AA652" s="62"/>
      <c r="AB652" s="34"/>
      <c r="AC652" s="34"/>
      <c r="AD652" s="38"/>
      <c r="AE652" s="59" t="str">
        <f t="shared" si="32"/>
        <v>NO</v>
      </c>
      <c r="AF652" s="38" t="e" cm="1">
        <f t="array" aca="1" ref="AF652" ca="1">MIN(100, MAX(0, (IF(R652="ESTUDIANTE", 31, 0)) + (IF(I652&lt;=3, 30, IF(I652&lt;=6, 20, 0))) +(IF(OR(E652="413 - Control de Costes y Enlace Construcción", E652="480 - Secretaría General del Consejo", E652="132 - Civil y estructuras", E652="136 - Mecánica", E652="412 - Planificación", E652="142 - Compras"), 25, 0)) +(IF(OR(S652="GRADO ING. MECÁNICA", S652="GRADO ING. ELÉCTRICA", S652="GRADO DERECHO", S652="GRADO ECONOMÍA", S652="GRADO ING. TECNOLOGÍAS INDUSTRIALES"), 24, 0)) + (IF(AND(K652&gt;=451, K652&lt;=700), 23, 0)) + (IF(AND(AB652&gt;=5, AB652&lt;=8), 17, 0)) +(IF(_xludf.OR(_xludf.AND(AC652&gt;=8, AC652&lt;=10), _xludf.AND(AC652&gt;=0, AC652&lt;=5)), 16, 0)) + (IF(F652="Madrid", 11, 0))))</f>
        <v>#NAME?</v>
      </c>
      <c r="AG652" s="68"/>
      <c r="AH652" s="71" t="s">
        <v>164</v>
      </c>
    </row>
    <row r="653" spans="1:34" ht="14.4" x14ac:dyDescent="0.3">
      <c r="A653" s="66" t="s">
        <v>1631</v>
      </c>
      <c r="B653" s="66" t="s">
        <v>3748</v>
      </c>
      <c r="C653" s="33">
        <v>652</v>
      </c>
      <c r="D653" s="33" t="s">
        <v>5396</v>
      </c>
      <c r="E653" s="34" t="s">
        <v>5287</v>
      </c>
      <c r="F653" s="34" t="s">
        <v>18</v>
      </c>
      <c r="G653" s="57">
        <v>42143</v>
      </c>
      <c r="H653" s="57">
        <v>42508</v>
      </c>
      <c r="I653" s="34">
        <f t="shared" si="30"/>
        <v>11</v>
      </c>
      <c r="J653" s="34">
        <v>40</v>
      </c>
      <c r="K653" s="36">
        <v>900</v>
      </c>
      <c r="L653" s="34" t="s">
        <v>29</v>
      </c>
      <c r="M653" s="57">
        <v>32682</v>
      </c>
      <c r="N653" s="37">
        <f>(YEAR(TablaMadre[[#This Row],[ALTA]])-YEAR(M653))</f>
        <v>26</v>
      </c>
      <c r="O653" s="34" t="s">
        <v>18</v>
      </c>
      <c r="P653" s="34" t="s">
        <v>19</v>
      </c>
      <c r="Q653" s="34" t="s">
        <v>49</v>
      </c>
      <c r="R653" s="34" t="s">
        <v>21</v>
      </c>
      <c r="S653" s="34" t="s">
        <v>297</v>
      </c>
      <c r="T653" s="34"/>
      <c r="U653" s="34"/>
      <c r="V653" s="34" t="s">
        <v>40</v>
      </c>
      <c r="W653" s="34" t="s">
        <v>127</v>
      </c>
      <c r="X653" s="38" t="s">
        <v>173</v>
      </c>
      <c r="Y653" s="62"/>
      <c r="Z653" s="38" t="e">
        <f t="shared" si="31"/>
        <v>#NUM!</v>
      </c>
      <c r="AA653" s="38"/>
      <c r="AB653" s="34">
        <v>9</v>
      </c>
      <c r="AC653" s="34"/>
      <c r="AD653" s="38"/>
      <c r="AE653" s="59" t="str">
        <f t="shared" si="32"/>
        <v>NO</v>
      </c>
      <c r="AF653" s="38" t="e" cm="1">
        <f t="array" aca="1" ref="AF653" ca="1">MIN(100, MAX(0, (IF(R653="ESTUDIANTE", 31, 0)) + (IF(I653&lt;=3, 30, IF(I653&lt;=6, 20, 0))) +(IF(OR(E653="413 - Control de Costes y Enlace Construcción", E653="480 - Secretaría General del Consejo", E653="132 - Civil y estructuras", E653="136 - Mecánica", E653="412 - Planificación", E653="142 - Compras"), 25, 0)) +(IF(OR(S653="GRADO ING. MECÁNICA", S653="GRADO ING. ELÉCTRICA", S653="GRADO DERECHO", S653="GRADO ECONOMÍA", S653="GRADO ING. TECNOLOGÍAS INDUSTRIALES"), 24, 0)) + (IF(AND(K653&gt;=451, K653&lt;=700), 23, 0)) + (IF(AND(AB653&gt;=5, AB653&lt;=8), 17, 0)) +(IF(_xludf.OR(_xludf.AND(AC653&gt;=8, AC653&lt;=10), _xludf.AND(AC653&gt;=0, AC653&lt;=5)), 16, 0)) + (IF(F653="Madrid", 11, 0))))</f>
        <v>#NAME?</v>
      </c>
      <c r="AG653" s="68"/>
      <c r="AH653" s="71" t="s">
        <v>164</v>
      </c>
    </row>
    <row r="654" spans="1:34" ht="14.4" x14ac:dyDescent="0.3">
      <c r="A654" s="66" t="s">
        <v>1632</v>
      </c>
      <c r="B654" s="66" t="s">
        <v>3749</v>
      </c>
      <c r="C654" s="33">
        <v>653</v>
      </c>
      <c r="D654" s="33" t="s">
        <v>5397</v>
      </c>
      <c r="E654" s="34" t="s">
        <v>5259</v>
      </c>
      <c r="F654" s="34" t="s">
        <v>18</v>
      </c>
      <c r="G654" s="57">
        <v>42144</v>
      </c>
      <c r="H654" s="57">
        <v>42329</v>
      </c>
      <c r="I654" s="34">
        <f t="shared" si="30"/>
        <v>6</v>
      </c>
      <c r="J654" s="34">
        <v>40</v>
      </c>
      <c r="K654" s="36">
        <v>900</v>
      </c>
      <c r="L654" s="34" t="s">
        <v>17</v>
      </c>
      <c r="M654" s="57">
        <v>32500</v>
      </c>
      <c r="N654" s="37">
        <f>(YEAR(TablaMadre[[#This Row],[ALTA]])-YEAR(M654))</f>
        <v>27</v>
      </c>
      <c r="O654" s="34" t="s">
        <v>18</v>
      </c>
      <c r="P654" s="34" t="s">
        <v>19</v>
      </c>
      <c r="Q654" s="34" t="s">
        <v>336</v>
      </c>
      <c r="R654" s="34" t="s">
        <v>21</v>
      </c>
      <c r="S654" s="34" t="s">
        <v>322</v>
      </c>
      <c r="T654" s="34"/>
      <c r="U654" s="34"/>
      <c r="V654" s="34" t="s">
        <v>137</v>
      </c>
      <c r="W654" s="34" t="s">
        <v>28</v>
      </c>
      <c r="X654" s="38" t="s">
        <v>164</v>
      </c>
      <c r="Y654" s="62">
        <v>43610</v>
      </c>
      <c r="Z654" s="38">
        <f t="shared" si="31"/>
        <v>3</v>
      </c>
      <c r="AA654" s="38"/>
      <c r="AB654" s="34"/>
      <c r="AC654" s="34"/>
      <c r="AD654" s="38"/>
      <c r="AE654" s="59" t="str">
        <f t="shared" si="32"/>
        <v>NO</v>
      </c>
      <c r="AF654" s="38" t="e" cm="1">
        <f t="array" aca="1" ref="AF654" ca="1">MIN(100, MAX(0, (IF(R654="ESTUDIANTE", 31, 0)) + (IF(I654&lt;=3, 30, IF(I654&lt;=6, 20, 0))) +(IF(OR(E654="413 - Control de Costes y Enlace Construcción", E654="480 - Secretaría General del Consejo", E654="132 - Civil y estructuras", E654="136 - Mecánica", E654="412 - Planificación", E654="142 - Compras"), 25, 0)) +(IF(OR(S654="GRADO ING. MECÁNICA", S654="GRADO ING. ELÉCTRICA", S654="GRADO DERECHO", S654="GRADO ECONOMÍA", S654="GRADO ING. TECNOLOGÍAS INDUSTRIALES"), 24, 0)) + (IF(AND(K654&gt;=451, K654&lt;=700), 23, 0)) + (IF(AND(AB654&gt;=5, AB654&lt;=8), 17, 0)) +(IF(_xludf.OR(_xludf.AND(AC654&gt;=8, AC654&lt;=10), _xludf.AND(AC654&gt;=0, AC654&lt;=5)), 16, 0)) + (IF(F654="Madrid", 11, 0))))</f>
        <v>#NAME?</v>
      </c>
      <c r="AG654" s="68"/>
      <c r="AH654" s="71" t="s">
        <v>164</v>
      </c>
    </row>
    <row r="655" spans="1:34" ht="14.4" x14ac:dyDescent="0.3">
      <c r="A655" s="66" t="s">
        <v>1628</v>
      </c>
      <c r="B655" s="66" t="s">
        <v>3745</v>
      </c>
      <c r="C655" s="33">
        <v>654</v>
      </c>
      <c r="D655" s="33" t="s">
        <v>5393</v>
      </c>
      <c r="E655" s="34" t="s">
        <v>5235</v>
      </c>
      <c r="F655" s="34" t="s">
        <v>18</v>
      </c>
      <c r="G655" s="57">
        <v>42149</v>
      </c>
      <c r="H655" s="57">
        <v>42514</v>
      </c>
      <c r="I655" s="34">
        <f t="shared" si="30"/>
        <v>11</v>
      </c>
      <c r="J655" s="34">
        <v>40</v>
      </c>
      <c r="K655" s="36">
        <v>900</v>
      </c>
      <c r="L655" s="34" t="s">
        <v>29</v>
      </c>
      <c r="M655" s="57">
        <v>32280</v>
      </c>
      <c r="N655" s="37">
        <f>(YEAR(TablaMadre[[#This Row],[ALTA]])-YEAR(M655))</f>
        <v>27</v>
      </c>
      <c r="O655" s="34" t="s">
        <v>18</v>
      </c>
      <c r="P655" s="34" t="s">
        <v>19</v>
      </c>
      <c r="Q655" s="34" t="s">
        <v>356</v>
      </c>
      <c r="R655" s="34" t="s">
        <v>21</v>
      </c>
      <c r="S655" s="34" t="s">
        <v>322</v>
      </c>
      <c r="T655" s="34"/>
      <c r="U655" s="34"/>
      <c r="V655" s="34" t="s">
        <v>67</v>
      </c>
      <c r="W655" s="34" t="s">
        <v>23</v>
      </c>
      <c r="X655" s="38" t="s">
        <v>164</v>
      </c>
      <c r="Y655" s="62"/>
      <c r="Z655" s="62" t="e">
        <f t="shared" si="31"/>
        <v>#NUM!</v>
      </c>
      <c r="AA655" s="62"/>
      <c r="AB655" s="34">
        <v>7</v>
      </c>
      <c r="AC655" s="34"/>
      <c r="AD655" s="38"/>
      <c r="AE655" s="59" t="str">
        <f t="shared" si="32"/>
        <v>NO</v>
      </c>
      <c r="AF655" s="38" t="e" cm="1">
        <f t="array" aca="1" ref="AF655" ca="1">MIN(100, MAX(0, (IF(R655="ESTUDIANTE", 31, 0)) + (IF(I655&lt;=3, 30, IF(I655&lt;=6, 20, 0))) +(IF(OR(E655="413 - Control de Costes y Enlace Construcción", E655="480 - Secretaría General del Consejo", E655="132 - Civil y estructuras", E655="136 - Mecánica", E655="412 - Planificación", E655="142 - Compras"), 25, 0)) +(IF(OR(S655="GRADO ING. MECÁNICA", S655="GRADO ING. ELÉCTRICA", S655="GRADO DERECHO", S655="GRADO ECONOMÍA", S655="GRADO ING. TECNOLOGÍAS INDUSTRIALES"), 24, 0)) + (IF(AND(K655&gt;=451, K655&lt;=700), 23, 0)) + (IF(AND(AB655&gt;=5, AB655&lt;=8), 17, 0)) +(IF(_xludf.OR(_xludf.AND(AC655&gt;=8, AC655&lt;=10), _xludf.AND(AC655&gt;=0, AC655&lt;=5)), 16, 0)) + (IF(F655="Madrid", 11, 0))))</f>
        <v>#NAME?</v>
      </c>
      <c r="AG655" s="68"/>
      <c r="AH655" s="71" t="s">
        <v>164</v>
      </c>
    </row>
    <row r="656" spans="1:34" ht="14.4" x14ac:dyDescent="0.3">
      <c r="A656" s="66" t="s">
        <v>1634</v>
      </c>
      <c r="B656" s="66" t="s">
        <v>3751</v>
      </c>
      <c r="C656" s="33">
        <v>655</v>
      </c>
      <c r="D656" s="33" t="s">
        <v>5394</v>
      </c>
      <c r="E656" s="34" t="s">
        <v>5260</v>
      </c>
      <c r="F656" s="34" t="s">
        <v>18</v>
      </c>
      <c r="G656" s="57">
        <v>42159</v>
      </c>
      <c r="H656" s="57">
        <v>42500</v>
      </c>
      <c r="I656" s="34">
        <f t="shared" si="30"/>
        <v>11</v>
      </c>
      <c r="J656" s="34">
        <v>30</v>
      </c>
      <c r="K656" s="36">
        <v>900</v>
      </c>
      <c r="L656" s="34" t="s">
        <v>17</v>
      </c>
      <c r="M656" s="57">
        <v>34200</v>
      </c>
      <c r="N656" s="37">
        <f>(YEAR(TablaMadre[[#This Row],[ALTA]])-YEAR(M656))</f>
        <v>22</v>
      </c>
      <c r="O656" s="34" t="s">
        <v>18</v>
      </c>
      <c r="P656" s="34" t="s">
        <v>19</v>
      </c>
      <c r="Q656" s="34" t="s">
        <v>254</v>
      </c>
      <c r="R656" s="34" t="s">
        <v>21</v>
      </c>
      <c r="S656" s="34" t="s">
        <v>322</v>
      </c>
      <c r="T656" s="34"/>
      <c r="U656" s="34"/>
      <c r="V656" s="34" t="s">
        <v>22</v>
      </c>
      <c r="W656" s="34" t="s">
        <v>28</v>
      </c>
      <c r="X656" s="38" t="s">
        <v>164</v>
      </c>
      <c r="Y656" s="62">
        <v>44645</v>
      </c>
      <c r="Z656" s="38">
        <f t="shared" si="31"/>
        <v>5</v>
      </c>
      <c r="AA656" s="38"/>
      <c r="AB656" s="34"/>
      <c r="AC656" s="34"/>
      <c r="AD656" s="38"/>
      <c r="AE656" s="59" t="str">
        <f t="shared" si="32"/>
        <v>NO</v>
      </c>
      <c r="AF656" s="38" t="e" cm="1">
        <f t="array" aca="1" ref="AF656" ca="1">MIN(100, MAX(0, (IF(R656="ESTUDIANTE", 31, 0)) + (IF(I656&lt;=3, 30, IF(I656&lt;=6, 20, 0))) +(IF(OR(E656="413 - Control de Costes y Enlace Construcción", E656="480 - Secretaría General del Consejo", E656="132 - Civil y estructuras", E656="136 - Mecánica", E656="412 - Planificación", E656="142 - Compras"), 25, 0)) +(IF(OR(S656="GRADO ING. MECÁNICA", S656="GRADO ING. ELÉCTRICA", S656="GRADO DERECHO", S656="GRADO ECONOMÍA", S656="GRADO ING. TECNOLOGÍAS INDUSTRIALES"), 24, 0)) + (IF(AND(K656&gt;=451, K656&lt;=700), 23, 0)) + (IF(AND(AB656&gt;=5, AB656&lt;=8), 17, 0)) +(IF(_xludf.OR(_xludf.AND(AC656&gt;=8, AC656&lt;=10), _xludf.AND(AC656&gt;=0, AC656&lt;=5)), 16, 0)) + (IF(F656="Madrid", 11, 0))))</f>
        <v>#NAME?</v>
      </c>
      <c r="AG656" s="68"/>
      <c r="AH656" s="71" t="s">
        <v>164</v>
      </c>
    </row>
    <row r="657" spans="1:34" ht="14.4" x14ac:dyDescent="0.3">
      <c r="A657" s="66" t="s">
        <v>1635</v>
      </c>
      <c r="B657" s="66" t="s">
        <v>3752</v>
      </c>
      <c r="C657" s="33">
        <v>656</v>
      </c>
      <c r="D657" s="33" t="s">
        <v>5395</v>
      </c>
      <c r="E657" s="34" t="s">
        <v>5240</v>
      </c>
      <c r="F657" s="34" t="s">
        <v>18</v>
      </c>
      <c r="G657" s="57">
        <v>42159</v>
      </c>
      <c r="H657" s="57">
        <v>42494</v>
      </c>
      <c r="I657" s="34">
        <f t="shared" si="30"/>
        <v>11</v>
      </c>
      <c r="J657" s="34">
        <v>30</v>
      </c>
      <c r="K657" s="36">
        <v>900</v>
      </c>
      <c r="L657" s="34" t="s">
        <v>17</v>
      </c>
      <c r="M657" s="57">
        <v>33707</v>
      </c>
      <c r="N657" s="37">
        <f>(YEAR(TablaMadre[[#This Row],[ALTA]])-YEAR(M657))</f>
        <v>23</v>
      </c>
      <c r="O657" s="34" t="s">
        <v>302</v>
      </c>
      <c r="P657" s="34" t="s">
        <v>19</v>
      </c>
      <c r="Q657" s="34" t="s">
        <v>136</v>
      </c>
      <c r="R657" s="34" t="s">
        <v>21</v>
      </c>
      <c r="S657" s="34" t="s">
        <v>136</v>
      </c>
      <c r="T657" s="34"/>
      <c r="U657" s="34"/>
      <c r="V657" s="34" t="s">
        <v>67</v>
      </c>
      <c r="W657" s="34" t="s">
        <v>28</v>
      </c>
      <c r="X657" s="38" t="s">
        <v>164</v>
      </c>
      <c r="Y657" s="62">
        <v>44296</v>
      </c>
      <c r="Z657" s="38">
        <f t="shared" si="31"/>
        <v>4</v>
      </c>
      <c r="AA657" s="38"/>
      <c r="AB657" s="34"/>
      <c r="AC657" s="34"/>
      <c r="AD657" s="38"/>
      <c r="AE657" s="59" t="str">
        <f t="shared" si="32"/>
        <v>SÍ</v>
      </c>
      <c r="AF657" s="38" t="e" cm="1">
        <f t="array" aca="1" ref="AF657" ca="1">MIN(100, MAX(0, (IF(R657="ESTUDIANTE", 31, 0)) + (IF(I657&lt;=3, 30, IF(I657&lt;=6, 20, 0))) +(IF(OR(E657="413 - Control de Costes y Enlace Construcción", E657="480 - Secretaría General del Consejo", E657="132 - Civil y estructuras", E657="136 - Mecánica", E657="412 - Planificación", E657="142 - Compras"), 25, 0)) +(IF(OR(S657="GRADO ING. MECÁNICA", S657="GRADO ING. ELÉCTRICA", S657="GRADO DERECHO", S657="GRADO ECONOMÍA", S657="GRADO ING. TECNOLOGÍAS INDUSTRIALES"), 24, 0)) + (IF(AND(K657&gt;=451, K657&lt;=700), 23, 0)) + (IF(AND(AB657&gt;=5, AB657&lt;=8), 17, 0)) +(IF(_xludf.OR(_xludf.AND(AC657&gt;=8, AC657&lt;=10), _xludf.AND(AC657&gt;=0, AC657&lt;=5)), 16, 0)) + (IF(F657="Madrid", 11, 0))))</f>
        <v>#NAME?</v>
      </c>
      <c r="AG657" s="68"/>
      <c r="AH657" s="71" t="s">
        <v>164</v>
      </c>
    </row>
    <row r="658" spans="1:34" ht="14.4" x14ac:dyDescent="0.3">
      <c r="A658" s="66" t="s">
        <v>1636</v>
      </c>
      <c r="B658" s="66" t="s">
        <v>3753</v>
      </c>
      <c r="C658" s="33">
        <v>657</v>
      </c>
      <c r="D658" s="33" t="s">
        <v>5396</v>
      </c>
      <c r="E658" s="34" t="s">
        <v>5238</v>
      </c>
      <c r="F658" s="34" t="s">
        <v>18</v>
      </c>
      <c r="G658" s="57">
        <v>42159</v>
      </c>
      <c r="H658" s="57">
        <v>42494</v>
      </c>
      <c r="I658" s="34">
        <f t="shared" si="30"/>
        <v>11</v>
      </c>
      <c r="J658" s="34">
        <v>30</v>
      </c>
      <c r="K658" s="36">
        <v>825</v>
      </c>
      <c r="L658" s="34" t="s">
        <v>17</v>
      </c>
      <c r="M658" s="57">
        <v>33707</v>
      </c>
      <c r="N658" s="37">
        <f>(YEAR(TablaMadre[[#This Row],[ALTA]])-YEAR(M658))</f>
        <v>23</v>
      </c>
      <c r="O658" s="34" t="s">
        <v>18</v>
      </c>
      <c r="P658" s="34" t="s">
        <v>19</v>
      </c>
      <c r="Q658" s="34" t="s">
        <v>354</v>
      </c>
      <c r="R658" s="34" t="s">
        <v>21</v>
      </c>
      <c r="S658" s="34" t="s">
        <v>354</v>
      </c>
      <c r="T658" s="34"/>
      <c r="U658" s="34"/>
      <c r="V658" s="34" t="s">
        <v>158</v>
      </c>
      <c r="W658" s="34" t="s">
        <v>28</v>
      </c>
      <c r="X658" s="38" t="s">
        <v>164</v>
      </c>
      <c r="Y658" s="62">
        <v>44835</v>
      </c>
      <c r="Z658" s="38">
        <f t="shared" si="31"/>
        <v>6</v>
      </c>
      <c r="AA658" s="38"/>
      <c r="AB658" s="34">
        <v>10</v>
      </c>
      <c r="AC658" s="34"/>
      <c r="AD658" s="38"/>
      <c r="AE658" s="59" t="str">
        <f t="shared" si="32"/>
        <v>NO</v>
      </c>
      <c r="AF658" s="38" t="e" cm="1">
        <f t="array" aca="1" ref="AF658" ca="1">MIN(100, MAX(0, (IF(R658="ESTUDIANTE", 31, 0)) + (IF(I658&lt;=3, 30, IF(I658&lt;=6, 20, 0))) +(IF(OR(E658="413 - Control de Costes y Enlace Construcción", E658="480 - Secretaría General del Consejo", E658="132 - Civil y estructuras", E658="136 - Mecánica", E658="412 - Planificación", E658="142 - Compras"), 25, 0)) +(IF(OR(S658="GRADO ING. MECÁNICA", S658="GRADO ING. ELÉCTRICA", S658="GRADO DERECHO", S658="GRADO ECONOMÍA", S658="GRADO ING. TECNOLOGÍAS INDUSTRIALES"), 24, 0)) + (IF(AND(K658&gt;=451, K658&lt;=700), 23, 0)) + (IF(AND(AB658&gt;=5, AB658&lt;=8), 17, 0)) +(IF(_xludf.OR(_xludf.AND(AC658&gt;=8, AC658&lt;=10), _xludf.AND(AC658&gt;=0, AC658&lt;=5)), 16, 0)) + (IF(F658="Madrid", 11, 0))))</f>
        <v>#NAME?</v>
      </c>
      <c r="AG658" s="68"/>
      <c r="AH658" s="71" t="s">
        <v>164</v>
      </c>
    </row>
    <row r="659" spans="1:34" ht="14.4" x14ac:dyDescent="0.3">
      <c r="A659" s="66" t="s">
        <v>1637</v>
      </c>
      <c r="B659" s="66" t="s">
        <v>3754</v>
      </c>
      <c r="C659" s="33">
        <v>658</v>
      </c>
      <c r="D659" s="33" t="s">
        <v>5397</v>
      </c>
      <c r="E659" s="34" t="s">
        <v>5269</v>
      </c>
      <c r="F659" s="34" t="s">
        <v>18</v>
      </c>
      <c r="G659" s="57">
        <v>42159</v>
      </c>
      <c r="H659" s="57">
        <v>42494</v>
      </c>
      <c r="I659" s="34">
        <f t="shared" si="30"/>
        <v>11</v>
      </c>
      <c r="J659" s="34">
        <v>30</v>
      </c>
      <c r="K659" s="36">
        <v>900</v>
      </c>
      <c r="L659" s="34" t="s">
        <v>17</v>
      </c>
      <c r="M659" s="57">
        <v>33310</v>
      </c>
      <c r="N659" s="37">
        <f>(YEAR(TablaMadre[[#This Row],[ALTA]])-YEAR(M659))</f>
        <v>24</v>
      </c>
      <c r="O659" s="34" t="s">
        <v>913</v>
      </c>
      <c r="P659" s="34" t="s">
        <v>19</v>
      </c>
      <c r="Q659" s="34" t="s">
        <v>36</v>
      </c>
      <c r="R659" s="34" t="s">
        <v>21</v>
      </c>
      <c r="S659" s="34" t="s">
        <v>307</v>
      </c>
      <c r="T659" s="34"/>
      <c r="U659" s="34"/>
      <c r="V659" s="34" t="s">
        <v>339</v>
      </c>
      <c r="W659" s="34" t="s">
        <v>28</v>
      </c>
      <c r="X659" s="38" t="s">
        <v>164</v>
      </c>
      <c r="Y659" s="62">
        <v>43926</v>
      </c>
      <c r="Z659" s="38">
        <f t="shared" si="31"/>
        <v>3</v>
      </c>
      <c r="AA659" s="38"/>
      <c r="AB659" s="34">
        <v>10</v>
      </c>
      <c r="AC659" s="34"/>
      <c r="AD659" s="38"/>
      <c r="AE659" s="59" t="str">
        <f t="shared" si="32"/>
        <v>SÍ</v>
      </c>
      <c r="AF659" s="38" t="e" cm="1">
        <f t="array" aca="1" ref="AF659" ca="1">MIN(100, MAX(0, (IF(R659="ESTUDIANTE", 31, 0)) + (IF(I659&lt;=3, 30, IF(I659&lt;=6, 20, 0))) +(IF(OR(E659="413 - Control de Costes y Enlace Construcción", E659="480 - Secretaría General del Consejo", E659="132 - Civil y estructuras", E659="136 - Mecánica", E659="412 - Planificación", E659="142 - Compras"), 25, 0)) +(IF(OR(S659="GRADO ING. MECÁNICA", S659="GRADO ING. ELÉCTRICA", S659="GRADO DERECHO", S659="GRADO ECONOMÍA", S659="GRADO ING. TECNOLOGÍAS INDUSTRIALES"), 24, 0)) + (IF(AND(K659&gt;=451, K659&lt;=700), 23, 0)) + (IF(AND(AB659&gt;=5, AB659&lt;=8), 17, 0)) +(IF(_xludf.OR(_xludf.AND(AC659&gt;=8, AC659&lt;=10), _xludf.AND(AC659&gt;=0, AC659&lt;=5)), 16, 0)) + (IF(F659="Madrid", 11, 0))))</f>
        <v>#NAME?</v>
      </c>
      <c r="AG659" s="68"/>
      <c r="AH659" s="71" t="s">
        <v>164</v>
      </c>
    </row>
    <row r="660" spans="1:34" ht="14.4" x14ac:dyDescent="0.3">
      <c r="A660" s="66" t="s">
        <v>1644</v>
      </c>
      <c r="B660" s="66" t="s">
        <v>3761</v>
      </c>
      <c r="C660" s="33">
        <v>659</v>
      </c>
      <c r="D660" s="33" t="s">
        <v>5398</v>
      </c>
      <c r="E660" s="34" t="s">
        <v>5235</v>
      </c>
      <c r="F660" s="34" t="s">
        <v>18</v>
      </c>
      <c r="G660" s="57">
        <v>42162</v>
      </c>
      <c r="H660" s="57">
        <v>42499</v>
      </c>
      <c r="I660" s="34">
        <f t="shared" si="30"/>
        <v>11</v>
      </c>
      <c r="J660" s="34">
        <v>40</v>
      </c>
      <c r="K660" s="36">
        <v>650</v>
      </c>
      <c r="L660" s="34" t="s">
        <v>29</v>
      </c>
      <c r="M660" s="57">
        <v>33356</v>
      </c>
      <c r="N660" s="37">
        <f>(YEAR(TablaMadre[[#This Row],[ALTA]])-YEAR(M660))</f>
        <v>24</v>
      </c>
      <c r="O660" s="34" t="s">
        <v>18</v>
      </c>
      <c r="P660" s="34" t="s">
        <v>19</v>
      </c>
      <c r="Q660" s="34" t="s">
        <v>308</v>
      </c>
      <c r="R660" s="58" t="s">
        <v>30</v>
      </c>
      <c r="S660" s="34" t="s">
        <v>322</v>
      </c>
      <c r="T660" s="34"/>
      <c r="U660" s="34"/>
      <c r="V660" s="34" t="s">
        <v>22</v>
      </c>
      <c r="W660" s="34" t="s">
        <v>23</v>
      </c>
      <c r="X660" s="38" t="s">
        <v>164</v>
      </c>
      <c r="Y660" s="62"/>
      <c r="Z660" s="62" t="e">
        <f t="shared" si="31"/>
        <v>#NUM!</v>
      </c>
      <c r="AA660" s="62"/>
      <c r="AB660" s="34">
        <v>8</v>
      </c>
      <c r="AC660" s="34"/>
      <c r="AD660" s="38"/>
      <c r="AE660" s="59" t="str">
        <f t="shared" si="32"/>
        <v>NO</v>
      </c>
      <c r="AF660" s="38" t="e" cm="1">
        <f t="array" aca="1" ref="AF660" ca="1">MIN(100, MAX(0, (IF(R660="ESTUDIANTE", 31, 0)) + (IF(I660&lt;=3, 30, IF(I660&lt;=6, 20, 0))) +(IF(OR(E660="413 - Control de Costes y Enlace Construcción", E660="480 - Secretaría General del Consejo", E660="132 - Civil y estructuras", E660="136 - Mecánica", E660="412 - Planificación", E660="142 - Compras"), 25, 0)) +(IF(OR(S660="GRADO ING. MECÁNICA", S660="GRADO ING. ELÉCTRICA", S660="GRADO DERECHO", S660="GRADO ECONOMÍA", S660="GRADO ING. TECNOLOGÍAS INDUSTRIALES"), 24, 0)) + (IF(AND(K660&gt;=451, K660&lt;=700), 23, 0)) + (IF(AND(AB660&gt;=5, AB660&lt;=8), 17, 0)) +(IF(_xludf.OR(_xludf.AND(AC660&gt;=8, AC660&lt;=10), _xludf.AND(AC660&gt;=0, AC660&lt;=5)), 16, 0)) + (IF(F660="Madrid", 11, 0))))</f>
        <v>#NAME?</v>
      </c>
      <c r="AG660" s="68"/>
      <c r="AH660" s="71" t="s">
        <v>164</v>
      </c>
    </row>
    <row r="661" spans="1:34" ht="14.4" x14ac:dyDescent="0.3">
      <c r="A661" s="66" t="s">
        <v>1646</v>
      </c>
      <c r="B661" s="66" t="s">
        <v>3763</v>
      </c>
      <c r="C661" s="33">
        <v>660</v>
      </c>
      <c r="D661" s="33" t="s">
        <v>5399</v>
      </c>
      <c r="E661" s="34" t="s">
        <v>5241</v>
      </c>
      <c r="F661" s="34" t="s">
        <v>18</v>
      </c>
      <c r="G661" s="57">
        <v>42162</v>
      </c>
      <c r="H661" s="57">
        <v>42247</v>
      </c>
      <c r="I661" s="34">
        <f t="shared" si="30"/>
        <v>2</v>
      </c>
      <c r="J661" s="34">
        <v>40</v>
      </c>
      <c r="K661" s="36">
        <v>650</v>
      </c>
      <c r="L661" s="34" t="s">
        <v>17</v>
      </c>
      <c r="M661" s="57">
        <v>32561</v>
      </c>
      <c r="N661" s="37">
        <f>(YEAR(TablaMadre[[#This Row],[ALTA]])-YEAR(M661))</f>
        <v>26</v>
      </c>
      <c r="O661" s="34" t="s">
        <v>18</v>
      </c>
      <c r="P661" s="34" t="s">
        <v>19</v>
      </c>
      <c r="Q661" s="34" t="s">
        <v>297</v>
      </c>
      <c r="R661" s="58" t="s">
        <v>30</v>
      </c>
      <c r="S661" s="34" t="s">
        <v>297</v>
      </c>
      <c r="T661" s="34"/>
      <c r="U661" s="34"/>
      <c r="V661" s="34" t="s">
        <v>40</v>
      </c>
      <c r="W661" s="34" t="s">
        <v>23</v>
      </c>
      <c r="X661" s="38" t="s">
        <v>173</v>
      </c>
      <c r="Y661" s="62"/>
      <c r="Z661" s="62" t="e">
        <f t="shared" si="31"/>
        <v>#NUM!</v>
      </c>
      <c r="AA661" s="62"/>
      <c r="AB661" s="34">
        <v>9</v>
      </c>
      <c r="AC661" s="34"/>
      <c r="AD661" s="38"/>
      <c r="AE661" s="59" t="str">
        <f t="shared" si="32"/>
        <v>NO</v>
      </c>
      <c r="AF661" s="38" t="e" cm="1">
        <f t="array" aca="1" ref="AF661" ca="1">MIN(100, MAX(0, (IF(R661="ESTUDIANTE", 31, 0)) + (IF(I661&lt;=3, 30, IF(I661&lt;=6, 20, 0))) +(IF(OR(E661="413 - Control de Costes y Enlace Construcción", E661="480 - Secretaría General del Consejo", E661="132 - Civil y estructuras", E661="136 - Mecánica", E661="412 - Planificación", E661="142 - Compras"), 25, 0)) +(IF(OR(S661="GRADO ING. MECÁNICA", S661="GRADO ING. ELÉCTRICA", S661="GRADO DERECHO", S661="GRADO ECONOMÍA", S661="GRADO ING. TECNOLOGÍAS INDUSTRIALES"), 24, 0)) + (IF(AND(K661&gt;=451, K661&lt;=700), 23, 0)) + (IF(AND(AB661&gt;=5, AB661&lt;=8), 17, 0)) +(IF(_xludf.OR(_xludf.AND(AC661&gt;=8, AC661&lt;=10), _xludf.AND(AC661&gt;=0, AC661&lt;=5)), 16, 0)) + (IF(F661="Madrid", 11, 0))))</f>
        <v>#NAME?</v>
      </c>
      <c r="AG661" s="68"/>
      <c r="AH661" s="71" t="s">
        <v>164</v>
      </c>
    </row>
    <row r="662" spans="1:34" ht="14.4" x14ac:dyDescent="0.3">
      <c r="A662" s="66" t="s">
        <v>1633</v>
      </c>
      <c r="B662" s="66" t="s">
        <v>3750</v>
      </c>
      <c r="C662" s="33">
        <v>662</v>
      </c>
      <c r="D662" s="33" t="s">
        <v>5400</v>
      </c>
      <c r="E662" s="34" t="s">
        <v>5252</v>
      </c>
      <c r="F662" s="34" t="s">
        <v>18</v>
      </c>
      <c r="G662" s="57">
        <v>42170</v>
      </c>
      <c r="H662" s="57">
        <v>42251</v>
      </c>
      <c r="I662" s="34">
        <f t="shared" si="30"/>
        <v>2</v>
      </c>
      <c r="J662" s="34">
        <v>40</v>
      </c>
      <c r="K662" s="36">
        <v>825</v>
      </c>
      <c r="L662" s="34" t="s">
        <v>17</v>
      </c>
      <c r="M662" s="57">
        <v>33405</v>
      </c>
      <c r="N662" s="37">
        <f>(YEAR(TablaMadre[[#This Row],[ALTA]])-YEAR(M662))</f>
        <v>24</v>
      </c>
      <c r="O662" s="34" t="s">
        <v>153</v>
      </c>
      <c r="P662" s="34" t="s">
        <v>19</v>
      </c>
      <c r="Q662" s="34" t="s">
        <v>136</v>
      </c>
      <c r="R662" s="34" t="s">
        <v>21</v>
      </c>
      <c r="S662" s="34" t="s">
        <v>136</v>
      </c>
      <c r="T662" s="34"/>
      <c r="U662" s="34"/>
      <c r="V662" s="34" t="s">
        <v>90</v>
      </c>
      <c r="W662" s="34" t="s">
        <v>23</v>
      </c>
      <c r="X662" s="38" t="s">
        <v>164</v>
      </c>
      <c r="Y662" s="62"/>
      <c r="Z662" s="62" t="e">
        <f t="shared" si="31"/>
        <v>#NUM!</v>
      </c>
      <c r="AA662" s="62"/>
      <c r="AB662" s="34">
        <v>4</v>
      </c>
      <c r="AC662" s="34"/>
      <c r="AD662" s="38"/>
      <c r="AE662" s="59" t="str">
        <f t="shared" si="32"/>
        <v>SÍ</v>
      </c>
      <c r="AF662" s="38" t="e" cm="1">
        <f t="array" aca="1" ref="AF662" ca="1">MIN(100, MAX(0, (IF(R662="ESTUDIANTE", 31, 0)) + (IF(I662&lt;=3, 30, IF(I662&lt;=6, 20, 0))) +(IF(OR(E662="413 - Control de Costes y Enlace Construcción", E662="480 - Secretaría General del Consejo", E662="132 - Civil y estructuras", E662="136 - Mecánica", E662="412 - Planificación", E662="142 - Compras"), 25, 0)) +(IF(OR(S662="GRADO ING. MECÁNICA", S662="GRADO ING. ELÉCTRICA", S662="GRADO DERECHO", S662="GRADO ECONOMÍA", S662="GRADO ING. TECNOLOGÍAS INDUSTRIALES"), 24, 0)) + (IF(AND(K662&gt;=451, K662&lt;=700), 23, 0)) + (IF(AND(AB662&gt;=5, AB662&lt;=8), 17, 0)) +(IF(_xludf.OR(_xludf.AND(AC662&gt;=8, AC662&lt;=10), _xludf.AND(AC662&gt;=0, AC662&lt;=5)), 16, 0)) + (IF(F662="Madrid", 11, 0))))</f>
        <v>#NAME?</v>
      </c>
      <c r="AG662" s="68"/>
      <c r="AH662" s="71" t="s">
        <v>164</v>
      </c>
    </row>
    <row r="663" spans="1:34" ht="14.4" x14ac:dyDescent="0.3">
      <c r="A663" s="66" t="s">
        <v>1638</v>
      </c>
      <c r="B663" s="66" t="s">
        <v>3755</v>
      </c>
      <c r="C663" s="33">
        <v>661</v>
      </c>
      <c r="D663" s="33" t="s">
        <v>5401</v>
      </c>
      <c r="E663" s="34" t="s">
        <v>5232</v>
      </c>
      <c r="F663" s="34" t="s">
        <v>18</v>
      </c>
      <c r="G663" s="57">
        <v>42170</v>
      </c>
      <c r="H663" s="57">
        <v>42202</v>
      </c>
      <c r="I663" s="34">
        <f t="shared" si="30"/>
        <v>1</v>
      </c>
      <c r="J663" s="34">
        <v>40</v>
      </c>
      <c r="K663" s="36">
        <v>900</v>
      </c>
      <c r="L663" s="34" t="s">
        <v>29</v>
      </c>
      <c r="M663" s="57">
        <v>33351</v>
      </c>
      <c r="N663" s="37">
        <f>(YEAR(TablaMadre[[#This Row],[ALTA]])-YEAR(M663))</f>
        <v>24</v>
      </c>
      <c r="O663" s="34" t="s">
        <v>18</v>
      </c>
      <c r="P663" s="34" t="s">
        <v>19</v>
      </c>
      <c r="Q663" s="34" t="s">
        <v>319</v>
      </c>
      <c r="R663" s="34" t="s">
        <v>21</v>
      </c>
      <c r="S663" s="34" t="s">
        <v>322</v>
      </c>
      <c r="T663" s="34"/>
      <c r="U663" s="34"/>
      <c r="V663" s="34" t="s">
        <v>22</v>
      </c>
      <c r="W663" s="34" t="s">
        <v>181</v>
      </c>
      <c r="X663" s="38" t="s">
        <v>164</v>
      </c>
      <c r="Y663" s="62"/>
      <c r="Z663" s="62" t="e">
        <f t="shared" si="31"/>
        <v>#NUM!</v>
      </c>
      <c r="AA663" s="62"/>
      <c r="AB663" s="34"/>
      <c r="AC663" s="34"/>
      <c r="AD663" s="38"/>
      <c r="AE663" s="59" t="str">
        <f t="shared" si="32"/>
        <v>NO</v>
      </c>
      <c r="AF663" s="38" t="e" cm="1">
        <f t="array" aca="1" ref="AF663" ca="1">MIN(100, MAX(0, (IF(R663="ESTUDIANTE", 31, 0)) + (IF(I663&lt;=3, 30, IF(I663&lt;=6, 20, 0))) +(IF(OR(E663="413 - Control de Costes y Enlace Construcción", E663="480 - Secretaría General del Consejo", E663="132 - Civil y estructuras", E663="136 - Mecánica", E663="412 - Planificación", E663="142 - Compras"), 25, 0)) +(IF(OR(S663="GRADO ING. MECÁNICA", S663="GRADO ING. ELÉCTRICA", S663="GRADO DERECHO", S663="GRADO ECONOMÍA", S663="GRADO ING. TECNOLOGÍAS INDUSTRIALES"), 24, 0)) + (IF(AND(K663&gt;=451, K663&lt;=700), 23, 0)) + (IF(AND(AB663&gt;=5, AB663&lt;=8), 17, 0)) +(IF(_xludf.OR(_xludf.AND(AC663&gt;=8, AC663&lt;=10), _xludf.AND(AC663&gt;=0, AC663&lt;=5)), 16, 0)) + (IF(F663="Madrid", 11, 0))))</f>
        <v>#NAME?</v>
      </c>
      <c r="AG663" s="68"/>
      <c r="AH663" s="71" t="s">
        <v>164</v>
      </c>
    </row>
    <row r="664" spans="1:34" ht="14.4" x14ac:dyDescent="0.3">
      <c r="A664" s="66" t="s">
        <v>1642</v>
      </c>
      <c r="B664" s="66" t="s">
        <v>3759</v>
      </c>
      <c r="C664" s="33">
        <v>663</v>
      </c>
      <c r="D664" s="33" t="s">
        <v>5402</v>
      </c>
      <c r="E664" s="34" t="s">
        <v>5222</v>
      </c>
      <c r="F664" s="34" t="s">
        <v>18</v>
      </c>
      <c r="G664" s="57">
        <v>42171</v>
      </c>
      <c r="H664" s="57">
        <v>42719</v>
      </c>
      <c r="I664" s="34">
        <f t="shared" si="30"/>
        <v>17</v>
      </c>
      <c r="J664" s="34">
        <v>40</v>
      </c>
      <c r="K664" s="36">
        <v>900</v>
      </c>
      <c r="L664" s="34" t="s">
        <v>29</v>
      </c>
      <c r="M664" s="57">
        <v>33343</v>
      </c>
      <c r="N664" s="37">
        <f>(YEAR(TablaMadre[[#This Row],[ALTA]])-YEAR(M664))</f>
        <v>24</v>
      </c>
      <c r="O664" s="34" t="s">
        <v>121</v>
      </c>
      <c r="P664" s="34" t="s">
        <v>19</v>
      </c>
      <c r="Q664" s="34" t="s">
        <v>32</v>
      </c>
      <c r="R664" s="34" t="s">
        <v>21</v>
      </c>
      <c r="S664" s="34" t="s">
        <v>322</v>
      </c>
      <c r="T664" s="34"/>
      <c r="U664" s="34"/>
      <c r="V664" s="34" t="s">
        <v>122</v>
      </c>
      <c r="W664" s="34" t="s">
        <v>28</v>
      </c>
      <c r="X664" s="38" t="s">
        <v>164</v>
      </c>
      <c r="Y664" s="62">
        <v>44169</v>
      </c>
      <c r="Z664" s="38">
        <f t="shared" si="31"/>
        <v>3</v>
      </c>
      <c r="AA664" s="38"/>
      <c r="AB664" s="34">
        <v>10</v>
      </c>
      <c r="AC664" s="34">
        <v>8</v>
      </c>
      <c r="AD664" s="38"/>
      <c r="AE664" s="59" t="str">
        <f t="shared" si="32"/>
        <v>SÍ</v>
      </c>
      <c r="AF664" s="38" t="e" cm="1">
        <f t="array" aca="1" ref="AF664" ca="1">MIN(100, MAX(0, (IF(R664="ESTUDIANTE", 31, 0)) + (IF(I664&lt;=3, 30, IF(I664&lt;=6, 20, 0))) +(IF(OR(E664="413 - Control de Costes y Enlace Construcción", E664="480 - Secretaría General del Consejo", E664="132 - Civil y estructuras", E664="136 - Mecánica", E664="412 - Planificación", E664="142 - Compras"), 25, 0)) +(IF(OR(S664="GRADO ING. MECÁNICA", S664="GRADO ING. ELÉCTRICA", S664="GRADO DERECHO", S664="GRADO ECONOMÍA", S664="GRADO ING. TECNOLOGÍAS INDUSTRIALES"), 24, 0)) + (IF(AND(K664&gt;=451, K664&lt;=700), 23, 0)) + (IF(AND(AB664&gt;=5, AB664&lt;=8), 17, 0)) +(IF(_xludf.OR(_xludf.AND(AC664&gt;=8, AC664&lt;=10), _xludf.AND(AC664&gt;=0, AC664&lt;=5)), 16, 0)) + (IF(F664="Madrid", 11, 0))))</f>
        <v>#NAME?</v>
      </c>
      <c r="AG664" s="68"/>
      <c r="AH664" s="71" t="s">
        <v>164</v>
      </c>
    </row>
    <row r="665" spans="1:34" ht="14.4" x14ac:dyDescent="0.3">
      <c r="A665" s="66" t="s">
        <v>1639</v>
      </c>
      <c r="B665" s="66" t="s">
        <v>3756</v>
      </c>
      <c r="C665" s="33">
        <v>664</v>
      </c>
      <c r="D665" s="33" t="s">
        <v>5393</v>
      </c>
      <c r="E665" s="34" t="s">
        <v>5240</v>
      </c>
      <c r="F665" s="34" t="s">
        <v>18</v>
      </c>
      <c r="G665" s="57">
        <v>42177</v>
      </c>
      <c r="H665" s="57">
        <v>42359</v>
      </c>
      <c r="I665" s="34">
        <f t="shared" si="30"/>
        <v>5</v>
      </c>
      <c r="J665" s="34">
        <v>40</v>
      </c>
      <c r="K665" s="36">
        <v>900</v>
      </c>
      <c r="L665" s="34" t="s">
        <v>17</v>
      </c>
      <c r="M665" s="57">
        <v>34756</v>
      </c>
      <c r="N665" s="37">
        <f>(YEAR(TablaMadre[[#This Row],[ALTA]])-YEAR(M665))</f>
        <v>20</v>
      </c>
      <c r="O665" s="34" t="s">
        <v>247</v>
      </c>
      <c r="P665" s="34" t="s">
        <v>19</v>
      </c>
      <c r="Q665" s="34" t="s">
        <v>254</v>
      </c>
      <c r="R665" s="34" t="s">
        <v>21</v>
      </c>
      <c r="S665" s="34" t="s">
        <v>322</v>
      </c>
      <c r="T665" s="34"/>
      <c r="U665" s="34"/>
      <c r="V665" s="34" t="s">
        <v>22</v>
      </c>
      <c r="W665" s="34" t="s">
        <v>23</v>
      </c>
      <c r="X665" s="38" t="s">
        <v>164</v>
      </c>
      <c r="Y665" s="62"/>
      <c r="Z665" s="62" t="e">
        <f t="shared" si="31"/>
        <v>#NUM!</v>
      </c>
      <c r="AA665" s="62"/>
      <c r="AB665" s="34"/>
      <c r="AC665" s="34"/>
      <c r="AD665" s="38"/>
      <c r="AE665" s="59" t="str">
        <f t="shared" si="32"/>
        <v>SÍ</v>
      </c>
      <c r="AF665" s="38" t="e" cm="1">
        <f t="array" aca="1" ref="AF665" ca="1">MIN(100, MAX(0, (IF(R665="ESTUDIANTE", 31, 0)) + (IF(I665&lt;=3, 30, IF(I665&lt;=6, 20, 0))) +(IF(OR(E665="413 - Control de Costes y Enlace Construcción", E665="480 - Secretaría General del Consejo", E665="132 - Civil y estructuras", E665="136 - Mecánica", E665="412 - Planificación", E665="142 - Compras"), 25, 0)) +(IF(OR(S665="GRADO ING. MECÁNICA", S665="GRADO ING. ELÉCTRICA", S665="GRADO DERECHO", S665="GRADO ECONOMÍA", S665="GRADO ING. TECNOLOGÍAS INDUSTRIALES"), 24, 0)) + (IF(AND(K665&gt;=451, K665&lt;=700), 23, 0)) + (IF(AND(AB665&gt;=5, AB665&lt;=8), 17, 0)) +(IF(_xludf.OR(_xludf.AND(AC665&gt;=8, AC665&lt;=10), _xludf.AND(AC665&gt;=0, AC665&lt;=5)), 16, 0)) + (IF(F665="Madrid", 11, 0))))</f>
        <v>#NAME?</v>
      </c>
      <c r="AG665" s="68"/>
      <c r="AH665" s="71" t="s">
        <v>164</v>
      </c>
    </row>
    <row r="666" spans="1:34" ht="14.4" x14ac:dyDescent="0.3">
      <c r="A666" s="66" t="s">
        <v>1640</v>
      </c>
      <c r="B666" s="66" t="s">
        <v>3757</v>
      </c>
      <c r="C666" s="33">
        <v>667</v>
      </c>
      <c r="D666" s="33" t="s">
        <v>5394</v>
      </c>
      <c r="E666" s="34" t="s">
        <v>5287</v>
      </c>
      <c r="F666" s="34" t="s">
        <v>18</v>
      </c>
      <c r="G666" s="57">
        <v>42177</v>
      </c>
      <c r="H666" s="57">
        <v>42635</v>
      </c>
      <c r="I666" s="34">
        <f t="shared" si="30"/>
        <v>15</v>
      </c>
      <c r="J666" s="34">
        <v>40</v>
      </c>
      <c r="K666" s="36">
        <v>800</v>
      </c>
      <c r="L666" s="34" t="s">
        <v>17</v>
      </c>
      <c r="M666" s="57">
        <v>33504</v>
      </c>
      <c r="N666" s="37">
        <f>(YEAR(TablaMadre[[#This Row],[ALTA]])-YEAR(M666))</f>
        <v>24</v>
      </c>
      <c r="O666" s="34" t="s">
        <v>18</v>
      </c>
      <c r="P666" s="34" t="s">
        <v>19</v>
      </c>
      <c r="Q666" s="34" t="s">
        <v>351</v>
      </c>
      <c r="R666" s="34" t="s">
        <v>21</v>
      </c>
      <c r="S666" s="34" t="s">
        <v>274</v>
      </c>
      <c r="T666" s="34"/>
      <c r="U666" s="34"/>
      <c r="V666" s="34" t="s">
        <v>158</v>
      </c>
      <c r="W666" s="34" t="s">
        <v>181</v>
      </c>
      <c r="X666" s="38" t="s">
        <v>164</v>
      </c>
      <c r="Y666" s="62"/>
      <c r="Z666" s="62" t="e">
        <f t="shared" si="31"/>
        <v>#NUM!</v>
      </c>
      <c r="AA666" s="62"/>
      <c r="AB666" s="34">
        <v>6.5</v>
      </c>
      <c r="AC666" s="34"/>
      <c r="AD666" s="38"/>
      <c r="AE666" s="59" t="str">
        <f t="shared" si="32"/>
        <v>NO</v>
      </c>
      <c r="AF666" s="38" t="e" cm="1">
        <f t="array" aca="1" ref="AF666" ca="1">MIN(100, MAX(0, (IF(R666="ESTUDIANTE", 31, 0)) + (IF(I666&lt;=3, 30, IF(I666&lt;=6, 20, 0))) +(IF(OR(E666="413 - Control de Costes y Enlace Construcción", E666="480 - Secretaría General del Consejo", E666="132 - Civil y estructuras", E666="136 - Mecánica", E666="412 - Planificación", E666="142 - Compras"), 25, 0)) +(IF(OR(S666="GRADO ING. MECÁNICA", S666="GRADO ING. ELÉCTRICA", S666="GRADO DERECHO", S666="GRADO ECONOMÍA", S666="GRADO ING. TECNOLOGÍAS INDUSTRIALES"), 24, 0)) + (IF(AND(K666&gt;=451, K666&lt;=700), 23, 0)) + (IF(AND(AB666&gt;=5, AB666&lt;=8), 17, 0)) +(IF(_xludf.OR(_xludf.AND(AC666&gt;=8, AC666&lt;=10), _xludf.AND(AC666&gt;=0, AC666&lt;=5)), 16, 0)) + (IF(F666="Madrid", 11, 0))))</f>
        <v>#NAME?</v>
      </c>
      <c r="AG666" s="68"/>
      <c r="AH666" s="71" t="s">
        <v>164</v>
      </c>
    </row>
    <row r="667" spans="1:34" ht="14.4" x14ac:dyDescent="0.3">
      <c r="A667" s="66" t="s">
        <v>1641</v>
      </c>
      <c r="B667" s="66" t="s">
        <v>3758</v>
      </c>
      <c r="C667" s="33">
        <v>665</v>
      </c>
      <c r="D667" s="33" t="s">
        <v>5395</v>
      </c>
      <c r="E667" s="34" t="s">
        <v>5218</v>
      </c>
      <c r="F667" s="34" t="s">
        <v>18</v>
      </c>
      <c r="G667" s="57">
        <v>42177</v>
      </c>
      <c r="H667" s="57">
        <v>42521</v>
      </c>
      <c r="I667" s="34">
        <f t="shared" si="30"/>
        <v>11</v>
      </c>
      <c r="J667" s="34">
        <v>40</v>
      </c>
      <c r="K667" s="36">
        <v>900</v>
      </c>
      <c r="L667" s="34" t="s">
        <v>29</v>
      </c>
      <c r="M667" s="57">
        <v>34025</v>
      </c>
      <c r="N667" s="37">
        <f>(YEAR(TablaMadre[[#This Row],[ALTA]])-YEAR(M667))</f>
        <v>22</v>
      </c>
      <c r="O667" s="34" t="s">
        <v>293</v>
      </c>
      <c r="P667" s="34" t="s">
        <v>19</v>
      </c>
      <c r="Q667" s="34" t="s">
        <v>20</v>
      </c>
      <c r="R667" s="34" t="s">
        <v>21</v>
      </c>
      <c r="S667" s="34" t="s">
        <v>151</v>
      </c>
      <c r="T667" s="34"/>
      <c r="U667" s="34"/>
      <c r="V667" s="34" t="s">
        <v>340</v>
      </c>
      <c r="W667" s="34" t="s">
        <v>23</v>
      </c>
      <c r="X667" s="38" t="s">
        <v>164</v>
      </c>
      <c r="Y667" s="62"/>
      <c r="Z667" s="62" t="e">
        <f t="shared" si="31"/>
        <v>#NUM!</v>
      </c>
      <c r="AA667" s="62"/>
      <c r="AB667" s="34">
        <v>8</v>
      </c>
      <c r="AC667" s="34"/>
      <c r="AD667" s="38"/>
      <c r="AE667" s="59" t="str">
        <f t="shared" si="32"/>
        <v>SÍ</v>
      </c>
      <c r="AF667" s="38" t="e" cm="1">
        <f t="array" aca="1" ref="AF667" ca="1">MIN(100, MAX(0, (IF(R667="ESTUDIANTE", 31, 0)) + (IF(I667&lt;=3, 30, IF(I667&lt;=6, 20, 0))) +(IF(OR(E667="413 - Control de Costes y Enlace Construcción", E667="480 - Secretaría General del Consejo", E667="132 - Civil y estructuras", E667="136 - Mecánica", E667="412 - Planificación", E667="142 - Compras"), 25, 0)) +(IF(OR(S667="GRADO ING. MECÁNICA", S667="GRADO ING. ELÉCTRICA", S667="GRADO DERECHO", S667="GRADO ECONOMÍA", S667="GRADO ING. TECNOLOGÍAS INDUSTRIALES"), 24, 0)) + (IF(AND(K667&gt;=451, K667&lt;=700), 23, 0)) + (IF(AND(AB667&gt;=5, AB667&lt;=8), 17, 0)) +(IF(_xludf.OR(_xludf.AND(AC667&gt;=8, AC667&lt;=10), _xludf.AND(AC667&gt;=0, AC667&lt;=5)), 16, 0)) + (IF(F667="Madrid", 11, 0))))</f>
        <v>#NAME?</v>
      </c>
      <c r="AG667" s="68"/>
      <c r="AH667" s="71" t="s">
        <v>164</v>
      </c>
    </row>
    <row r="668" spans="1:34" ht="14.4" x14ac:dyDescent="0.3">
      <c r="A668" s="66" t="s">
        <v>1645</v>
      </c>
      <c r="B668" s="66" t="s">
        <v>3762</v>
      </c>
      <c r="C668" s="33">
        <v>666</v>
      </c>
      <c r="D668" s="33" t="s">
        <v>5396</v>
      </c>
      <c r="E668" s="34" t="s">
        <v>5255</v>
      </c>
      <c r="F668" s="34" t="s">
        <v>18</v>
      </c>
      <c r="G668" s="57">
        <v>42177</v>
      </c>
      <c r="H668" s="57">
        <v>42551</v>
      </c>
      <c r="I668" s="34">
        <f t="shared" si="30"/>
        <v>12</v>
      </c>
      <c r="J668" s="34">
        <v>40</v>
      </c>
      <c r="K668" s="36">
        <v>800</v>
      </c>
      <c r="L668" s="34" t="s">
        <v>29</v>
      </c>
      <c r="M668" s="57">
        <v>33654</v>
      </c>
      <c r="N668" s="37">
        <f>(YEAR(TablaMadre[[#This Row],[ALTA]])-YEAR(M668))</f>
        <v>23</v>
      </c>
      <c r="O668" s="34" t="s">
        <v>92</v>
      </c>
      <c r="P668" s="34" t="s">
        <v>19</v>
      </c>
      <c r="Q668" s="34" t="s">
        <v>361</v>
      </c>
      <c r="R668" s="34" t="s">
        <v>21</v>
      </c>
      <c r="S668" s="34" t="s">
        <v>609</v>
      </c>
      <c r="T668" s="34"/>
      <c r="U668" s="34"/>
      <c r="V668" s="34" t="s">
        <v>163</v>
      </c>
      <c r="W668" s="34" t="s">
        <v>127</v>
      </c>
      <c r="X668" s="38" t="s">
        <v>164</v>
      </c>
      <c r="Y668" s="62">
        <v>44835</v>
      </c>
      <c r="Z668" s="38">
        <f t="shared" si="31"/>
        <v>6</v>
      </c>
      <c r="AA668" s="38"/>
      <c r="AB668" s="34"/>
      <c r="AC668" s="34"/>
      <c r="AD668" s="38"/>
      <c r="AE668" s="59" t="str">
        <f t="shared" si="32"/>
        <v>SÍ</v>
      </c>
      <c r="AF668" s="38" t="e" cm="1">
        <f t="array" aca="1" ref="AF668" ca="1">MIN(100, MAX(0, (IF(R668="ESTUDIANTE", 31, 0)) + (IF(I668&lt;=3, 30, IF(I668&lt;=6, 20, 0))) +(IF(OR(E668="413 - Control de Costes y Enlace Construcción", E668="480 - Secretaría General del Consejo", E668="132 - Civil y estructuras", E668="136 - Mecánica", E668="412 - Planificación", E668="142 - Compras"), 25, 0)) +(IF(OR(S668="GRADO ING. MECÁNICA", S668="GRADO ING. ELÉCTRICA", S668="GRADO DERECHO", S668="GRADO ECONOMÍA", S668="GRADO ING. TECNOLOGÍAS INDUSTRIALES"), 24, 0)) + (IF(AND(K668&gt;=451, K668&lt;=700), 23, 0)) + (IF(AND(AB668&gt;=5, AB668&lt;=8), 17, 0)) +(IF(_xludf.OR(_xludf.AND(AC668&gt;=8, AC668&lt;=10), _xludf.AND(AC668&gt;=0, AC668&lt;=5)), 16, 0)) + (IF(F668="Madrid", 11, 0))))</f>
        <v>#NAME?</v>
      </c>
      <c r="AG668" s="68"/>
      <c r="AH668" s="71" t="s">
        <v>164</v>
      </c>
    </row>
    <row r="669" spans="1:34" ht="14.4" x14ac:dyDescent="0.3">
      <c r="A669" s="66" t="s">
        <v>1647</v>
      </c>
      <c r="B669" s="66" t="s">
        <v>3764</v>
      </c>
      <c r="C669" s="33">
        <v>668</v>
      </c>
      <c r="D669" s="33" t="s">
        <v>5397</v>
      </c>
      <c r="E669" s="34" t="s">
        <v>5252</v>
      </c>
      <c r="F669" s="34" t="s">
        <v>18</v>
      </c>
      <c r="G669" s="57">
        <v>42177</v>
      </c>
      <c r="H669" s="57">
        <v>42725</v>
      </c>
      <c r="I669" s="34">
        <f t="shared" si="30"/>
        <v>17</v>
      </c>
      <c r="J669" s="34">
        <v>25</v>
      </c>
      <c r="K669" s="36">
        <v>515</v>
      </c>
      <c r="L669" s="34" t="s">
        <v>17</v>
      </c>
      <c r="M669" s="57">
        <v>34324</v>
      </c>
      <c r="N669" s="37">
        <f>(YEAR(TablaMadre[[#This Row],[ALTA]])-YEAR(M669))</f>
        <v>22</v>
      </c>
      <c r="O669" s="34" t="s">
        <v>18</v>
      </c>
      <c r="P669" s="34" t="s">
        <v>19</v>
      </c>
      <c r="Q669" s="34" t="s">
        <v>297</v>
      </c>
      <c r="R669" s="58" t="s">
        <v>30</v>
      </c>
      <c r="S669" s="34" t="s">
        <v>297</v>
      </c>
      <c r="T669" s="34"/>
      <c r="U669" s="34"/>
      <c r="V669" s="34" t="s">
        <v>40</v>
      </c>
      <c r="W669" s="34" t="s">
        <v>127</v>
      </c>
      <c r="X669" s="38" t="s">
        <v>164</v>
      </c>
      <c r="Y669" s="62">
        <v>42979</v>
      </c>
      <c r="Z669" s="38">
        <f t="shared" si="31"/>
        <v>0</v>
      </c>
      <c r="AA669" s="38"/>
      <c r="AB669" s="34">
        <v>9</v>
      </c>
      <c r="AC669" s="34"/>
      <c r="AD669" s="38"/>
      <c r="AE669" s="59" t="str">
        <f t="shared" si="32"/>
        <v>NO</v>
      </c>
      <c r="AF669" s="38" t="e" cm="1">
        <f t="array" aca="1" ref="AF669" ca="1">MIN(100, MAX(0, (IF(R669="ESTUDIANTE", 31, 0)) + (IF(I669&lt;=3, 30, IF(I669&lt;=6, 20, 0))) +(IF(OR(E669="413 - Control de Costes y Enlace Construcción", E669="480 - Secretaría General del Consejo", E669="132 - Civil y estructuras", E669="136 - Mecánica", E669="412 - Planificación", E669="142 - Compras"), 25, 0)) +(IF(OR(S669="GRADO ING. MECÁNICA", S669="GRADO ING. ELÉCTRICA", S669="GRADO DERECHO", S669="GRADO ECONOMÍA", S669="GRADO ING. TECNOLOGÍAS INDUSTRIALES"), 24, 0)) + (IF(AND(K669&gt;=451, K669&lt;=700), 23, 0)) + (IF(AND(AB669&gt;=5, AB669&lt;=8), 17, 0)) +(IF(_xludf.OR(_xludf.AND(AC669&gt;=8, AC669&lt;=10), _xludf.AND(AC669&gt;=0, AC669&lt;=5)), 16, 0)) + (IF(F669="Madrid", 11, 0))))</f>
        <v>#NAME?</v>
      </c>
      <c r="AG669" s="68"/>
      <c r="AH669" s="71" t="s">
        <v>164</v>
      </c>
    </row>
    <row r="670" spans="1:34" ht="14.4" x14ac:dyDescent="0.3">
      <c r="A670" s="66" t="s">
        <v>1648</v>
      </c>
      <c r="B670" s="66" t="s">
        <v>3765</v>
      </c>
      <c r="C670" s="33">
        <v>669</v>
      </c>
      <c r="D670" s="33" t="s">
        <v>5398</v>
      </c>
      <c r="E670" s="34" t="s">
        <v>5222</v>
      </c>
      <c r="F670" s="34" t="s">
        <v>18</v>
      </c>
      <c r="G670" s="57">
        <v>42180</v>
      </c>
      <c r="H670" s="57">
        <v>42362</v>
      </c>
      <c r="I670" s="34">
        <f t="shared" si="30"/>
        <v>5</v>
      </c>
      <c r="J670" s="34">
        <v>40</v>
      </c>
      <c r="K670" s="36">
        <v>900</v>
      </c>
      <c r="L670" s="34" t="s">
        <v>17</v>
      </c>
      <c r="M670" s="57">
        <v>35176</v>
      </c>
      <c r="N670" s="37">
        <f>(YEAR(TablaMadre[[#This Row],[ALTA]])-YEAR(M670))</f>
        <v>19</v>
      </c>
      <c r="O670" s="34" t="s">
        <v>257</v>
      </c>
      <c r="P670" s="34" t="s">
        <v>19</v>
      </c>
      <c r="Q670" s="34" t="s">
        <v>341</v>
      </c>
      <c r="R670" s="34" t="s">
        <v>21</v>
      </c>
      <c r="S670" s="34" t="s">
        <v>322</v>
      </c>
      <c r="T670" s="34"/>
      <c r="U670" s="34"/>
      <c r="V670" s="34" t="s">
        <v>142</v>
      </c>
      <c r="W670" s="34" t="s">
        <v>28</v>
      </c>
      <c r="X670" s="38" t="s">
        <v>173</v>
      </c>
      <c r="Y670" s="62"/>
      <c r="Z670" s="38" t="e">
        <f t="shared" si="31"/>
        <v>#NUM!</v>
      </c>
      <c r="AA670" s="38"/>
      <c r="AB670" s="34"/>
      <c r="AC670" s="34"/>
      <c r="AD670" s="38"/>
      <c r="AE670" s="59" t="str">
        <f t="shared" si="32"/>
        <v>SÍ</v>
      </c>
      <c r="AF670" s="38" t="e" cm="1">
        <f t="array" aca="1" ref="AF670" ca="1">MIN(100, MAX(0, (IF(R670="ESTUDIANTE", 31, 0)) + (IF(I670&lt;=3, 30, IF(I670&lt;=6, 20, 0))) +(IF(OR(E670="413 - Control de Costes y Enlace Construcción", E670="480 - Secretaría General del Consejo", E670="132 - Civil y estructuras", E670="136 - Mecánica", E670="412 - Planificación", E670="142 - Compras"), 25, 0)) +(IF(OR(S670="GRADO ING. MECÁNICA", S670="GRADO ING. ELÉCTRICA", S670="GRADO DERECHO", S670="GRADO ECONOMÍA", S670="GRADO ING. TECNOLOGÍAS INDUSTRIALES"), 24, 0)) + (IF(AND(K670&gt;=451, K670&lt;=700), 23, 0)) + (IF(AND(AB670&gt;=5, AB670&lt;=8), 17, 0)) +(IF(_xludf.OR(_xludf.AND(AC670&gt;=8, AC670&lt;=10), _xludf.AND(AC670&gt;=0, AC670&lt;=5)), 16, 0)) + (IF(F670="Madrid", 11, 0))))</f>
        <v>#NAME?</v>
      </c>
      <c r="AG670" s="68"/>
      <c r="AH670" s="71" t="s">
        <v>164</v>
      </c>
    </row>
    <row r="671" spans="1:34" ht="14.4" x14ac:dyDescent="0.3">
      <c r="A671" s="66" t="s">
        <v>1499</v>
      </c>
      <c r="B671" s="66" t="s">
        <v>3616</v>
      </c>
      <c r="C671" s="33">
        <v>670</v>
      </c>
      <c r="D671" s="33" t="s">
        <v>5399</v>
      </c>
      <c r="E671" s="34" t="s">
        <v>5284</v>
      </c>
      <c r="F671" s="34" t="s">
        <v>931</v>
      </c>
      <c r="G671" s="57">
        <v>42184</v>
      </c>
      <c r="H671" s="57">
        <v>42216</v>
      </c>
      <c r="I671" s="34">
        <f t="shared" si="30"/>
        <v>1</v>
      </c>
      <c r="J671" s="34">
        <v>40</v>
      </c>
      <c r="K671" s="36">
        <v>650</v>
      </c>
      <c r="L671" s="34" t="s">
        <v>17</v>
      </c>
      <c r="M671" s="57">
        <v>34163</v>
      </c>
      <c r="N671" s="37">
        <f>(YEAR(TablaMadre[[#This Row],[ALTA]])-YEAR(M671))</f>
        <v>22</v>
      </c>
      <c r="O671" s="34" t="s">
        <v>18</v>
      </c>
      <c r="P671" s="34" t="s">
        <v>19</v>
      </c>
      <c r="Q671" s="34" t="s">
        <v>283</v>
      </c>
      <c r="R671" s="58" t="s">
        <v>30</v>
      </c>
      <c r="S671" s="34" t="s">
        <v>283</v>
      </c>
      <c r="T671" s="34"/>
      <c r="U671" s="34"/>
      <c r="V671" s="34" t="s">
        <v>90</v>
      </c>
      <c r="W671" s="34" t="s">
        <v>23</v>
      </c>
      <c r="X671" s="38" t="s">
        <v>164</v>
      </c>
      <c r="Y671" s="62"/>
      <c r="Z671" s="62" t="e">
        <f t="shared" si="31"/>
        <v>#NUM!</v>
      </c>
      <c r="AA671" s="62"/>
      <c r="AB671" s="34"/>
      <c r="AC671" s="34"/>
      <c r="AD671" s="38"/>
      <c r="AE671" s="59" t="str">
        <f t="shared" si="32"/>
        <v>SÍ</v>
      </c>
      <c r="AF671" s="38" t="e" cm="1">
        <f t="array" aca="1" ref="AF671" ca="1">MIN(100, MAX(0, (IF(R671="ESTUDIANTE", 31, 0)) + (IF(I671&lt;=3, 30, IF(I671&lt;=6, 20, 0))) +(IF(OR(E671="413 - Control de Costes y Enlace Construcción", E671="480 - Secretaría General del Consejo", E671="132 - Civil y estructuras", E671="136 - Mecánica", E671="412 - Planificación", E671="142 - Compras"), 25, 0)) +(IF(OR(S671="GRADO ING. MECÁNICA", S671="GRADO ING. ELÉCTRICA", S671="GRADO DERECHO", S671="GRADO ECONOMÍA", S671="GRADO ING. TECNOLOGÍAS INDUSTRIALES"), 24, 0)) + (IF(AND(K671&gt;=451, K671&lt;=700), 23, 0)) + (IF(AND(AB671&gt;=5, AB671&lt;=8), 17, 0)) +(IF(_xludf.OR(_xludf.AND(AC671&gt;=8, AC671&lt;=10), _xludf.AND(AC671&gt;=0, AC671&lt;=5)), 16, 0)) + (IF(F671="Madrid", 11, 0))))</f>
        <v>#NAME?</v>
      </c>
      <c r="AG671" s="68"/>
      <c r="AH671" s="71" t="s">
        <v>164</v>
      </c>
    </row>
    <row r="672" spans="1:34" ht="14.4" x14ac:dyDescent="0.3">
      <c r="A672" s="66" t="s">
        <v>1426</v>
      </c>
      <c r="B672" s="66" t="s">
        <v>3543</v>
      </c>
      <c r="C672" s="33">
        <v>671</v>
      </c>
      <c r="D672" s="33" t="s">
        <v>5393</v>
      </c>
      <c r="E672" s="34" t="s">
        <v>5231</v>
      </c>
      <c r="F672" s="34" t="s">
        <v>18</v>
      </c>
      <c r="G672" s="57">
        <v>42186</v>
      </c>
      <c r="H672" s="57">
        <v>42369</v>
      </c>
      <c r="I672" s="34">
        <f t="shared" si="30"/>
        <v>5</v>
      </c>
      <c r="J672" s="34">
        <v>40</v>
      </c>
      <c r="K672" s="36">
        <v>900</v>
      </c>
      <c r="L672" s="34" t="s">
        <v>17</v>
      </c>
      <c r="M672" s="57">
        <v>33389</v>
      </c>
      <c r="N672" s="37">
        <f>(YEAR(TablaMadre[[#This Row],[ALTA]])-YEAR(M672))</f>
        <v>24</v>
      </c>
      <c r="O672" s="34" t="s">
        <v>233</v>
      </c>
      <c r="P672" s="34" t="s">
        <v>19</v>
      </c>
      <c r="Q672" s="34" t="s">
        <v>49</v>
      </c>
      <c r="R672" s="34" t="s">
        <v>21</v>
      </c>
      <c r="S672" s="34" t="s">
        <v>297</v>
      </c>
      <c r="T672" s="34"/>
      <c r="U672" s="34"/>
      <c r="V672" s="34" t="s">
        <v>216</v>
      </c>
      <c r="W672" s="34" t="s">
        <v>28</v>
      </c>
      <c r="X672" s="38" t="s">
        <v>173</v>
      </c>
      <c r="Y672" s="62"/>
      <c r="Z672" s="38" t="e">
        <f t="shared" si="31"/>
        <v>#NUM!</v>
      </c>
      <c r="AA672" s="38" t="s">
        <v>173</v>
      </c>
      <c r="AB672" s="34">
        <v>10</v>
      </c>
      <c r="AC672" s="34"/>
      <c r="AD672" s="38"/>
      <c r="AE672" s="59" t="str">
        <f t="shared" si="32"/>
        <v>SÍ</v>
      </c>
      <c r="AF672" s="38" t="e" cm="1">
        <f t="array" aca="1" ref="AF672" ca="1">MIN(100, MAX(0, (IF(R672="ESTUDIANTE", 31, 0)) + (IF(I672&lt;=3, 30, IF(I672&lt;=6, 20, 0))) +(IF(OR(E672="413 - Control de Costes y Enlace Construcción", E672="480 - Secretaría General del Consejo", E672="132 - Civil y estructuras", E672="136 - Mecánica", E672="412 - Planificación", E672="142 - Compras"), 25, 0)) +(IF(OR(S672="GRADO ING. MECÁNICA", S672="GRADO ING. ELÉCTRICA", S672="GRADO DERECHO", S672="GRADO ECONOMÍA", S672="GRADO ING. TECNOLOGÍAS INDUSTRIALES"), 24, 0)) + (IF(AND(K672&gt;=451, K672&lt;=700), 23, 0)) + (IF(AND(AB672&gt;=5, AB672&lt;=8), 17, 0)) +(IF(_xludf.OR(_xludf.AND(AC672&gt;=8, AC672&lt;=10), _xludf.AND(AC672&gt;=0, AC672&lt;=5)), 16, 0)) + (IF(F672="Madrid", 11, 0))))</f>
        <v>#NAME?</v>
      </c>
      <c r="AG672" s="68"/>
      <c r="AH672" s="71" t="s">
        <v>164</v>
      </c>
    </row>
    <row r="673" spans="1:34" ht="14.4" x14ac:dyDescent="0.3">
      <c r="A673" s="66" t="s">
        <v>1651</v>
      </c>
      <c r="B673" s="66" t="s">
        <v>3768</v>
      </c>
      <c r="C673" s="33">
        <v>672</v>
      </c>
      <c r="D673" s="33" t="s">
        <v>5394</v>
      </c>
      <c r="E673" s="34" t="s">
        <v>5235</v>
      </c>
      <c r="F673" s="34" t="s">
        <v>18</v>
      </c>
      <c r="G673" s="57">
        <v>42186</v>
      </c>
      <c r="H673" s="57">
        <v>42369</v>
      </c>
      <c r="I673" s="34">
        <f t="shared" si="30"/>
        <v>5</v>
      </c>
      <c r="J673" s="34">
        <v>40</v>
      </c>
      <c r="K673" s="36">
        <v>900</v>
      </c>
      <c r="L673" s="34" t="s">
        <v>17</v>
      </c>
      <c r="M673" s="57">
        <v>33864</v>
      </c>
      <c r="N673" s="37">
        <f>(YEAR(TablaMadre[[#This Row],[ALTA]])-YEAR(M673))</f>
        <v>23</v>
      </c>
      <c r="O673" s="34" t="s">
        <v>146</v>
      </c>
      <c r="P673" s="34" t="s">
        <v>19</v>
      </c>
      <c r="Q673" s="34" t="s">
        <v>32</v>
      </c>
      <c r="R673" s="34" t="s">
        <v>21</v>
      </c>
      <c r="S673" s="34" t="s">
        <v>322</v>
      </c>
      <c r="T673" s="34"/>
      <c r="U673" s="34"/>
      <c r="V673" s="34" t="s">
        <v>86</v>
      </c>
      <c r="W673" s="34" t="s">
        <v>28</v>
      </c>
      <c r="X673" s="38" t="s">
        <v>164</v>
      </c>
      <c r="Y673" s="62">
        <v>43619</v>
      </c>
      <c r="Z673" s="38">
        <f t="shared" si="31"/>
        <v>3</v>
      </c>
      <c r="AA673" s="38"/>
      <c r="AB673" s="34">
        <v>8</v>
      </c>
      <c r="AC673" s="34"/>
      <c r="AD673" s="38"/>
      <c r="AE673" s="59" t="str">
        <f t="shared" si="32"/>
        <v>SÍ</v>
      </c>
      <c r="AF673" s="38" t="e" cm="1">
        <f t="array" aca="1" ref="AF673" ca="1">MIN(100, MAX(0, (IF(R673="ESTUDIANTE", 31, 0)) + (IF(I673&lt;=3, 30, IF(I673&lt;=6, 20, 0))) +(IF(OR(E673="413 - Control de Costes y Enlace Construcción", E673="480 - Secretaría General del Consejo", E673="132 - Civil y estructuras", E673="136 - Mecánica", E673="412 - Planificación", E673="142 - Compras"), 25, 0)) +(IF(OR(S673="GRADO ING. MECÁNICA", S673="GRADO ING. ELÉCTRICA", S673="GRADO DERECHO", S673="GRADO ECONOMÍA", S673="GRADO ING. TECNOLOGÍAS INDUSTRIALES"), 24, 0)) + (IF(AND(K673&gt;=451, K673&lt;=700), 23, 0)) + (IF(AND(AB673&gt;=5, AB673&lt;=8), 17, 0)) +(IF(_xludf.OR(_xludf.AND(AC673&gt;=8, AC673&lt;=10), _xludf.AND(AC673&gt;=0, AC673&lt;=5)), 16, 0)) + (IF(F673="Madrid", 11, 0))))</f>
        <v>#NAME?</v>
      </c>
      <c r="AG673" s="68"/>
      <c r="AH673" s="71" t="s">
        <v>164</v>
      </c>
    </row>
    <row r="674" spans="1:34" ht="14.4" x14ac:dyDescent="0.3">
      <c r="A674" s="66" t="s">
        <v>1652</v>
      </c>
      <c r="B674" s="66" t="s">
        <v>3769</v>
      </c>
      <c r="C674" s="33">
        <v>673</v>
      </c>
      <c r="D674" s="33" t="s">
        <v>5395</v>
      </c>
      <c r="E674" s="34" t="s">
        <v>5244</v>
      </c>
      <c r="F674" s="34" t="s">
        <v>18</v>
      </c>
      <c r="G674" s="57">
        <v>42186</v>
      </c>
      <c r="H674" s="57">
        <v>42369</v>
      </c>
      <c r="I674" s="34">
        <f t="shared" si="30"/>
        <v>5</v>
      </c>
      <c r="J674" s="34">
        <v>40</v>
      </c>
      <c r="K674" s="36">
        <v>900</v>
      </c>
      <c r="L674" s="34" t="s">
        <v>29</v>
      </c>
      <c r="M674" s="57">
        <v>32620</v>
      </c>
      <c r="N674" s="37">
        <f>(YEAR(TablaMadre[[#This Row],[ALTA]])-YEAR(M674))</f>
        <v>26</v>
      </c>
      <c r="O674" s="34" t="s">
        <v>18</v>
      </c>
      <c r="P674" s="34" t="s">
        <v>19</v>
      </c>
      <c r="Q674" s="34" t="s">
        <v>49</v>
      </c>
      <c r="R674" s="34" t="s">
        <v>21</v>
      </c>
      <c r="S674" s="34" t="s">
        <v>297</v>
      </c>
      <c r="T674" s="34"/>
      <c r="U674" s="34"/>
      <c r="V674" s="34" t="s">
        <v>56</v>
      </c>
      <c r="W674" s="34" t="s">
        <v>28</v>
      </c>
      <c r="X674" s="38" t="s">
        <v>164</v>
      </c>
      <c r="Y674" s="62">
        <v>43785</v>
      </c>
      <c r="Z674" s="38">
        <f t="shared" si="31"/>
        <v>3</v>
      </c>
      <c r="AA674" s="38"/>
      <c r="AB674" s="34"/>
      <c r="AC674" s="34">
        <v>8</v>
      </c>
      <c r="AD674" s="38"/>
      <c r="AE674" s="59" t="str">
        <f t="shared" si="32"/>
        <v>NO</v>
      </c>
      <c r="AF674" s="38" t="e" cm="1">
        <f t="array" aca="1" ref="AF674" ca="1">MIN(100, MAX(0, (IF(R674="ESTUDIANTE", 31, 0)) + (IF(I674&lt;=3, 30, IF(I674&lt;=6, 20, 0))) +(IF(OR(E674="413 - Control de Costes y Enlace Construcción", E674="480 - Secretaría General del Consejo", E674="132 - Civil y estructuras", E674="136 - Mecánica", E674="412 - Planificación", E674="142 - Compras"), 25, 0)) +(IF(OR(S674="GRADO ING. MECÁNICA", S674="GRADO ING. ELÉCTRICA", S674="GRADO DERECHO", S674="GRADO ECONOMÍA", S674="GRADO ING. TECNOLOGÍAS INDUSTRIALES"), 24, 0)) + (IF(AND(K674&gt;=451, K674&lt;=700), 23, 0)) + (IF(AND(AB674&gt;=5, AB674&lt;=8), 17, 0)) +(IF(_xludf.OR(_xludf.AND(AC674&gt;=8, AC674&lt;=10), _xludf.AND(AC674&gt;=0, AC674&lt;=5)), 16, 0)) + (IF(F674="Madrid", 11, 0))))</f>
        <v>#NAME?</v>
      </c>
      <c r="AG674" s="68"/>
      <c r="AH674" s="71" t="s">
        <v>164</v>
      </c>
    </row>
    <row r="675" spans="1:34" ht="14.4" x14ac:dyDescent="0.3">
      <c r="A675" s="66" t="s">
        <v>1619</v>
      </c>
      <c r="B675" s="66" t="s">
        <v>3736</v>
      </c>
      <c r="C675" s="33">
        <v>674</v>
      </c>
      <c r="D675" s="33" t="s">
        <v>5396</v>
      </c>
      <c r="E675" s="34" t="s">
        <v>5252</v>
      </c>
      <c r="F675" s="34" t="s">
        <v>18</v>
      </c>
      <c r="G675" s="57">
        <v>42189</v>
      </c>
      <c r="H675" s="57">
        <v>42674</v>
      </c>
      <c r="I675" s="34">
        <f t="shared" si="30"/>
        <v>15</v>
      </c>
      <c r="J675" s="34">
        <v>40</v>
      </c>
      <c r="K675" s="36">
        <v>700</v>
      </c>
      <c r="L675" s="34" t="s">
        <v>17</v>
      </c>
      <c r="M675" s="57">
        <v>34407</v>
      </c>
      <c r="N675" s="37">
        <f>(YEAR(TablaMadre[[#This Row],[ALTA]])-YEAR(M675))</f>
        <v>21</v>
      </c>
      <c r="O675" s="34" t="s">
        <v>18</v>
      </c>
      <c r="P675" s="34" t="s">
        <v>19</v>
      </c>
      <c r="Q675" s="34" t="s">
        <v>292</v>
      </c>
      <c r="R675" s="58" t="s">
        <v>30</v>
      </c>
      <c r="S675" s="34" t="s">
        <v>26</v>
      </c>
      <c r="T675" s="34"/>
      <c r="U675" s="34"/>
      <c r="V675" s="34" t="s">
        <v>27</v>
      </c>
      <c r="W675" s="34" t="s">
        <v>370</v>
      </c>
      <c r="X675" s="38" t="s">
        <v>164</v>
      </c>
      <c r="Y675" s="62"/>
      <c r="Z675" s="62" t="e">
        <f t="shared" si="31"/>
        <v>#NUM!</v>
      </c>
      <c r="AA675" s="62"/>
      <c r="AB675" s="34">
        <v>7</v>
      </c>
      <c r="AC675" s="34"/>
      <c r="AD675" s="38"/>
      <c r="AE675" s="59" t="str">
        <f t="shared" si="32"/>
        <v>NO</v>
      </c>
      <c r="AF675" s="38" t="e" cm="1">
        <f t="array" aca="1" ref="AF675" ca="1">MIN(100, MAX(0, (IF(R675="ESTUDIANTE", 31, 0)) + (IF(I675&lt;=3, 30, IF(I675&lt;=6, 20, 0))) +(IF(OR(E675="413 - Control de Costes y Enlace Construcción", E675="480 - Secretaría General del Consejo", E675="132 - Civil y estructuras", E675="136 - Mecánica", E675="412 - Planificación", E675="142 - Compras"), 25, 0)) +(IF(OR(S675="GRADO ING. MECÁNICA", S675="GRADO ING. ELÉCTRICA", S675="GRADO DERECHO", S675="GRADO ECONOMÍA", S675="GRADO ING. TECNOLOGÍAS INDUSTRIALES"), 24, 0)) + (IF(AND(K675&gt;=451, K675&lt;=700), 23, 0)) + (IF(AND(AB675&gt;=5, AB675&lt;=8), 17, 0)) +(IF(_xludf.OR(_xludf.AND(AC675&gt;=8, AC675&lt;=10), _xludf.AND(AC675&gt;=0, AC675&lt;=5)), 16, 0)) + (IF(F675="Madrid", 11, 0))))</f>
        <v>#NAME?</v>
      </c>
      <c r="AG675" s="68"/>
      <c r="AH675" s="71" t="s">
        <v>164</v>
      </c>
    </row>
    <row r="676" spans="1:34" ht="14.4" x14ac:dyDescent="0.3">
      <c r="A676" s="66" t="s">
        <v>1620</v>
      </c>
      <c r="B676" s="66" t="s">
        <v>3737</v>
      </c>
      <c r="C676" s="33">
        <v>676</v>
      </c>
      <c r="D676" s="33" t="s">
        <v>5397</v>
      </c>
      <c r="E676" s="34" t="s">
        <v>5252</v>
      </c>
      <c r="F676" s="34" t="s">
        <v>18</v>
      </c>
      <c r="G676" s="57">
        <v>42189</v>
      </c>
      <c r="H676" s="57">
        <v>42735</v>
      </c>
      <c r="I676" s="34">
        <f t="shared" si="30"/>
        <v>17</v>
      </c>
      <c r="J676" s="34">
        <v>40</v>
      </c>
      <c r="K676" s="36">
        <v>700</v>
      </c>
      <c r="L676" s="34" t="s">
        <v>17</v>
      </c>
      <c r="M676" s="57">
        <v>34416</v>
      </c>
      <c r="N676" s="37">
        <f>(YEAR(TablaMadre[[#This Row],[ALTA]])-YEAR(M676))</f>
        <v>21</v>
      </c>
      <c r="O676" s="34" t="s">
        <v>18</v>
      </c>
      <c r="P676" s="34" t="s">
        <v>19</v>
      </c>
      <c r="Q676" s="34" t="s">
        <v>292</v>
      </c>
      <c r="R676" s="58" t="s">
        <v>30</v>
      </c>
      <c r="S676" s="34" t="s">
        <v>26</v>
      </c>
      <c r="T676" s="34"/>
      <c r="U676" s="34"/>
      <c r="V676" s="34" t="s">
        <v>27</v>
      </c>
      <c r="W676" s="34" t="s">
        <v>23</v>
      </c>
      <c r="X676" s="38" t="s">
        <v>164</v>
      </c>
      <c r="Y676" s="62"/>
      <c r="Z676" s="62" t="e">
        <f t="shared" si="31"/>
        <v>#NUM!</v>
      </c>
      <c r="AA676" s="62"/>
      <c r="AB676" s="34">
        <v>9</v>
      </c>
      <c r="AC676" s="34"/>
      <c r="AD676" s="38"/>
      <c r="AE676" s="59" t="str">
        <f t="shared" si="32"/>
        <v>NO</v>
      </c>
      <c r="AF676" s="38" t="e" cm="1">
        <f t="array" aca="1" ref="AF676" ca="1">MIN(100, MAX(0, (IF(R676="ESTUDIANTE", 31, 0)) + (IF(I676&lt;=3, 30, IF(I676&lt;=6, 20, 0))) +(IF(OR(E676="413 - Control de Costes y Enlace Construcción", E676="480 - Secretaría General del Consejo", E676="132 - Civil y estructuras", E676="136 - Mecánica", E676="412 - Planificación", E676="142 - Compras"), 25, 0)) +(IF(OR(S676="GRADO ING. MECÁNICA", S676="GRADO ING. ELÉCTRICA", S676="GRADO DERECHO", S676="GRADO ECONOMÍA", S676="GRADO ING. TECNOLOGÍAS INDUSTRIALES"), 24, 0)) + (IF(AND(K676&gt;=451, K676&lt;=700), 23, 0)) + (IF(AND(AB676&gt;=5, AB676&lt;=8), 17, 0)) +(IF(_xludf.OR(_xludf.AND(AC676&gt;=8, AC676&lt;=10), _xludf.AND(AC676&gt;=0, AC676&lt;=5)), 16, 0)) + (IF(F676="Madrid", 11, 0))))</f>
        <v>#NAME?</v>
      </c>
      <c r="AG676" s="68"/>
      <c r="AH676" s="71" t="s">
        <v>164</v>
      </c>
    </row>
    <row r="677" spans="1:34" ht="14.4" x14ac:dyDescent="0.3">
      <c r="A677" s="66" t="s">
        <v>1622</v>
      </c>
      <c r="B677" s="66" t="s">
        <v>3739</v>
      </c>
      <c r="C677" s="33">
        <v>675</v>
      </c>
      <c r="D677" s="33" t="s">
        <v>5398</v>
      </c>
      <c r="E677" s="34" t="s">
        <v>5222</v>
      </c>
      <c r="F677" s="34" t="s">
        <v>18</v>
      </c>
      <c r="G677" s="57">
        <v>42189</v>
      </c>
      <c r="H677" s="57">
        <v>42702</v>
      </c>
      <c r="I677" s="34">
        <f t="shared" si="30"/>
        <v>16</v>
      </c>
      <c r="J677" s="34">
        <v>40</v>
      </c>
      <c r="K677" s="36">
        <v>700</v>
      </c>
      <c r="L677" s="34" t="s">
        <v>17</v>
      </c>
      <c r="M677" s="57">
        <v>34197</v>
      </c>
      <c r="N677" s="37">
        <f>(YEAR(TablaMadre[[#This Row],[ALTA]])-YEAR(M677))</f>
        <v>22</v>
      </c>
      <c r="O677" s="34" t="s">
        <v>18</v>
      </c>
      <c r="P677" s="34" t="s">
        <v>19</v>
      </c>
      <c r="Q677" s="34" t="s">
        <v>374</v>
      </c>
      <c r="R677" s="58" t="s">
        <v>30</v>
      </c>
      <c r="S677" s="34" t="s">
        <v>26</v>
      </c>
      <c r="T677" s="34"/>
      <c r="U677" s="34"/>
      <c r="V677" s="34" t="s">
        <v>27</v>
      </c>
      <c r="W677" s="34" t="s">
        <v>47</v>
      </c>
      <c r="X677" s="38" t="s">
        <v>164</v>
      </c>
      <c r="Y677" s="62"/>
      <c r="Z677" s="62" t="e">
        <f t="shared" si="31"/>
        <v>#NUM!</v>
      </c>
      <c r="AA677" s="62"/>
      <c r="AB677" s="34">
        <v>7</v>
      </c>
      <c r="AC677" s="34"/>
      <c r="AD677" s="38"/>
      <c r="AE677" s="59" t="str">
        <f t="shared" si="32"/>
        <v>NO</v>
      </c>
      <c r="AF677" s="38" t="e" cm="1">
        <f t="array" aca="1" ref="AF677" ca="1">MIN(100, MAX(0, (IF(R677="ESTUDIANTE", 31, 0)) + (IF(I677&lt;=3, 30, IF(I677&lt;=6, 20, 0))) +(IF(OR(E677="413 - Control de Costes y Enlace Construcción", E677="480 - Secretaría General del Consejo", E677="132 - Civil y estructuras", E677="136 - Mecánica", E677="412 - Planificación", E677="142 - Compras"), 25, 0)) +(IF(OR(S677="GRADO ING. MECÁNICA", S677="GRADO ING. ELÉCTRICA", S677="GRADO DERECHO", S677="GRADO ECONOMÍA", S677="GRADO ING. TECNOLOGÍAS INDUSTRIALES"), 24, 0)) + (IF(AND(K677&gt;=451, K677&lt;=700), 23, 0)) + (IF(AND(AB677&gt;=5, AB677&lt;=8), 17, 0)) +(IF(_xludf.OR(_xludf.AND(AC677&gt;=8, AC677&lt;=10), _xludf.AND(AC677&gt;=0, AC677&lt;=5)), 16, 0)) + (IF(F677="Madrid", 11, 0))))</f>
        <v>#NAME?</v>
      </c>
      <c r="AG677" s="68"/>
      <c r="AH677" s="71" t="s">
        <v>164</v>
      </c>
    </row>
    <row r="678" spans="1:34" ht="14.4" x14ac:dyDescent="0.3">
      <c r="A678" s="66" t="s">
        <v>1656</v>
      </c>
      <c r="B678" s="66" t="s">
        <v>3773</v>
      </c>
      <c r="C678" s="33">
        <v>677</v>
      </c>
      <c r="D678" s="33" t="s">
        <v>5399</v>
      </c>
      <c r="E678" s="34" t="s">
        <v>5222</v>
      </c>
      <c r="F678" s="34" t="s">
        <v>18</v>
      </c>
      <c r="G678" s="57">
        <v>42189</v>
      </c>
      <c r="H678" s="57">
        <v>42735</v>
      </c>
      <c r="I678" s="34">
        <f t="shared" si="30"/>
        <v>17</v>
      </c>
      <c r="J678" s="34">
        <v>40</v>
      </c>
      <c r="K678" s="36">
        <v>700</v>
      </c>
      <c r="L678" s="34" t="s">
        <v>29</v>
      </c>
      <c r="M678" s="57">
        <v>32950</v>
      </c>
      <c r="N678" s="37">
        <f>(YEAR(TablaMadre[[#This Row],[ALTA]])-YEAR(M678))</f>
        <v>25</v>
      </c>
      <c r="O678" s="34" t="s">
        <v>18</v>
      </c>
      <c r="P678" s="34" t="s">
        <v>19</v>
      </c>
      <c r="Q678" s="34" t="s">
        <v>374</v>
      </c>
      <c r="R678" s="58" t="s">
        <v>30</v>
      </c>
      <c r="S678" s="34" t="s">
        <v>26</v>
      </c>
      <c r="T678" s="34"/>
      <c r="U678" s="34"/>
      <c r="V678" s="34" t="s">
        <v>27</v>
      </c>
      <c r="W678" s="34" t="s">
        <v>28</v>
      </c>
      <c r="X678" s="38" t="s">
        <v>164</v>
      </c>
      <c r="Y678" s="62">
        <v>43585</v>
      </c>
      <c r="Z678" s="38">
        <f t="shared" si="31"/>
        <v>2</v>
      </c>
      <c r="AA678" s="38"/>
      <c r="AB678" s="34">
        <v>6</v>
      </c>
      <c r="AC678" s="34"/>
      <c r="AD678" s="38"/>
      <c r="AE678" s="59" t="str">
        <f t="shared" si="32"/>
        <v>NO</v>
      </c>
      <c r="AF678" s="38" t="e" cm="1">
        <f t="array" aca="1" ref="AF678" ca="1">MIN(100, MAX(0, (IF(R678="ESTUDIANTE", 31, 0)) + (IF(I678&lt;=3, 30, IF(I678&lt;=6, 20, 0))) +(IF(OR(E678="413 - Control de Costes y Enlace Construcción", E678="480 - Secretaría General del Consejo", E678="132 - Civil y estructuras", E678="136 - Mecánica", E678="412 - Planificación", E678="142 - Compras"), 25, 0)) +(IF(OR(S678="GRADO ING. MECÁNICA", S678="GRADO ING. ELÉCTRICA", S678="GRADO DERECHO", S678="GRADO ECONOMÍA", S678="GRADO ING. TECNOLOGÍAS INDUSTRIALES"), 24, 0)) + (IF(AND(K678&gt;=451, K678&lt;=700), 23, 0)) + (IF(AND(AB678&gt;=5, AB678&lt;=8), 17, 0)) +(IF(_xludf.OR(_xludf.AND(AC678&gt;=8, AC678&lt;=10), _xludf.AND(AC678&gt;=0, AC678&lt;=5)), 16, 0)) + (IF(F678="Madrid", 11, 0))))</f>
        <v>#NAME?</v>
      </c>
      <c r="AG678" s="68"/>
      <c r="AH678" s="71" t="s">
        <v>164</v>
      </c>
    </row>
    <row r="679" spans="1:34" ht="14.4" x14ac:dyDescent="0.3">
      <c r="A679" s="66" t="s">
        <v>1657</v>
      </c>
      <c r="B679" s="66" t="s">
        <v>3774</v>
      </c>
      <c r="C679" s="33">
        <v>678</v>
      </c>
      <c r="D679" s="33" t="s">
        <v>5400</v>
      </c>
      <c r="E679" s="34" t="s">
        <v>5268</v>
      </c>
      <c r="F679" s="34" t="s">
        <v>18</v>
      </c>
      <c r="G679" s="57">
        <v>42190</v>
      </c>
      <c r="H679" s="57">
        <v>42526</v>
      </c>
      <c r="I679" s="34">
        <f t="shared" si="30"/>
        <v>11</v>
      </c>
      <c r="J679" s="34">
        <v>40</v>
      </c>
      <c r="K679" s="36">
        <v>750</v>
      </c>
      <c r="L679" s="34" t="s">
        <v>17</v>
      </c>
      <c r="M679" s="57">
        <v>32192</v>
      </c>
      <c r="N679" s="37">
        <f>(YEAR(TablaMadre[[#This Row],[ALTA]])-YEAR(M679))</f>
        <v>27</v>
      </c>
      <c r="O679" s="34" t="s">
        <v>105</v>
      </c>
      <c r="P679" s="34" t="s">
        <v>19</v>
      </c>
      <c r="Q679" s="34" t="s">
        <v>229</v>
      </c>
      <c r="R679" s="34" t="s">
        <v>21</v>
      </c>
      <c r="S679" s="34" t="s">
        <v>229</v>
      </c>
      <c r="T679" s="34"/>
      <c r="U679" s="34"/>
      <c r="V679" s="34" t="s">
        <v>40</v>
      </c>
      <c r="W679" s="34" t="s">
        <v>127</v>
      </c>
      <c r="X679" s="38" t="s">
        <v>173</v>
      </c>
      <c r="Y679" s="62"/>
      <c r="Z679" s="38" t="e">
        <f t="shared" si="31"/>
        <v>#NUM!</v>
      </c>
      <c r="AA679" s="38"/>
      <c r="AB679" s="34">
        <v>9</v>
      </c>
      <c r="AC679" s="34"/>
      <c r="AD679" s="38"/>
      <c r="AE679" s="59" t="str">
        <f t="shared" si="32"/>
        <v>SÍ</v>
      </c>
      <c r="AF679" s="38" t="e" cm="1">
        <f t="array" aca="1" ref="AF679" ca="1">MIN(100, MAX(0, (IF(R679="ESTUDIANTE", 31, 0)) + (IF(I679&lt;=3, 30, IF(I679&lt;=6, 20, 0))) +(IF(OR(E679="413 - Control de Costes y Enlace Construcción", E679="480 - Secretaría General del Consejo", E679="132 - Civil y estructuras", E679="136 - Mecánica", E679="412 - Planificación", E679="142 - Compras"), 25, 0)) +(IF(OR(S679="GRADO ING. MECÁNICA", S679="GRADO ING. ELÉCTRICA", S679="GRADO DERECHO", S679="GRADO ECONOMÍA", S679="GRADO ING. TECNOLOGÍAS INDUSTRIALES"), 24, 0)) + (IF(AND(K679&gt;=451, K679&lt;=700), 23, 0)) + (IF(AND(AB679&gt;=5, AB679&lt;=8), 17, 0)) +(IF(_xludf.OR(_xludf.AND(AC679&gt;=8, AC679&lt;=10), _xludf.AND(AC679&gt;=0, AC679&lt;=5)), 16, 0)) + (IF(F679="Madrid", 11, 0))))</f>
        <v>#NAME?</v>
      </c>
      <c r="AG679" s="68"/>
      <c r="AH679" s="71" t="s">
        <v>164</v>
      </c>
    </row>
    <row r="680" spans="1:34" ht="14.4" x14ac:dyDescent="0.3">
      <c r="A680" s="66" t="s">
        <v>1658</v>
      </c>
      <c r="B680" s="66" t="s">
        <v>3775</v>
      </c>
      <c r="C680" s="33">
        <v>679</v>
      </c>
      <c r="D680" s="33" t="s">
        <v>5401</v>
      </c>
      <c r="E680" s="34" t="s">
        <v>5244</v>
      </c>
      <c r="F680" s="34" t="s">
        <v>18</v>
      </c>
      <c r="G680" s="57">
        <v>42194</v>
      </c>
      <c r="H680" s="57">
        <v>42530</v>
      </c>
      <c r="I680" s="34">
        <f t="shared" si="30"/>
        <v>11</v>
      </c>
      <c r="J680" s="34">
        <v>40</v>
      </c>
      <c r="K680" s="36">
        <v>900</v>
      </c>
      <c r="L680" s="34" t="s">
        <v>17</v>
      </c>
      <c r="M680" s="57">
        <v>33681</v>
      </c>
      <c r="N680" s="37">
        <f>(YEAR(TablaMadre[[#This Row],[ALTA]])-YEAR(M680))</f>
        <v>23</v>
      </c>
      <c r="O680" s="34" t="s">
        <v>211</v>
      </c>
      <c r="P680" s="34" t="s">
        <v>19</v>
      </c>
      <c r="Q680" s="34" t="s">
        <v>20</v>
      </c>
      <c r="R680" s="34" t="s">
        <v>21</v>
      </c>
      <c r="S680" s="34" t="s">
        <v>151</v>
      </c>
      <c r="T680" s="34"/>
      <c r="U680" s="34"/>
      <c r="V680" s="34" t="s">
        <v>142</v>
      </c>
      <c r="W680" s="34" t="s">
        <v>28</v>
      </c>
      <c r="X680" s="38" t="s">
        <v>164</v>
      </c>
      <c r="Y680" s="62">
        <v>44847</v>
      </c>
      <c r="Z680" s="38">
        <f t="shared" si="31"/>
        <v>6</v>
      </c>
      <c r="AA680" s="38"/>
      <c r="AB680" s="34"/>
      <c r="AC680" s="34"/>
      <c r="AD680" s="38"/>
      <c r="AE680" s="59" t="str">
        <f t="shared" si="32"/>
        <v>SÍ</v>
      </c>
      <c r="AF680" s="38" t="e" cm="1">
        <f t="array" aca="1" ref="AF680" ca="1">MIN(100, MAX(0, (IF(R680="ESTUDIANTE", 31, 0)) + (IF(I680&lt;=3, 30, IF(I680&lt;=6, 20, 0))) +(IF(OR(E680="413 - Control de Costes y Enlace Construcción", E680="480 - Secretaría General del Consejo", E680="132 - Civil y estructuras", E680="136 - Mecánica", E680="412 - Planificación", E680="142 - Compras"), 25, 0)) +(IF(OR(S680="GRADO ING. MECÁNICA", S680="GRADO ING. ELÉCTRICA", S680="GRADO DERECHO", S680="GRADO ECONOMÍA", S680="GRADO ING. TECNOLOGÍAS INDUSTRIALES"), 24, 0)) + (IF(AND(K680&gt;=451, K680&lt;=700), 23, 0)) + (IF(AND(AB680&gt;=5, AB680&lt;=8), 17, 0)) +(IF(_xludf.OR(_xludf.AND(AC680&gt;=8, AC680&lt;=10), _xludf.AND(AC680&gt;=0, AC680&lt;=5)), 16, 0)) + (IF(F680="Madrid", 11, 0))))</f>
        <v>#NAME?</v>
      </c>
      <c r="AG680" s="68"/>
      <c r="AH680" s="71" t="s">
        <v>164</v>
      </c>
    </row>
    <row r="681" spans="1:34" ht="14.4" x14ac:dyDescent="0.3">
      <c r="A681" s="66" t="s">
        <v>1659</v>
      </c>
      <c r="B681" s="66" t="s">
        <v>3776</v>
      </c>
      <c r="C681" s="33">
        <v>680</v>
      </c>
      <c r="D681" s="33" t="s">
        <v>5402</v>
      </c>
      <c r="E681" s="34" t="s">
        <v>5244</v>
      </c>
      <c r="F681" s="34" t="s">
        <v>18</v>
      </c>
      <c r="G681" s="57">
        <v>42194</v>
      </c>
      <c r="H681" s="57">
        <v>42889</v>
      </c>
      <c r="I681" s="34">
        <f t="shared" si="30"/>
        <v>22</v>
      </c>
      <c r="J681" s="34">
        <v>40</v>
      </c>
      <c r="K681" s="36">
        <v>825</v>
      </c>
      <c r="L681" s="34" t="s">
        <v>17</v>
      </c>
      <c r="M681" s="57">
        <v>35790</v>
      </c>
      <c r="N681" s="37">
        <f>(YEAR(TablaMadre[[#This Row],[ALTA]])-YEAR(M681))</f>
        <v>18</v>
      </c>
      <c r="O681" s="34" t="s">
        <v>75</v>
      </c>
      <c r="P681" s="34" t="s">
        <v>19</v>
      </c>
      <c r="Q681" s="34" t="s">
        <v>390</v>
      </c>
      <c r="R681" s="34" t="s">
        <v>21</v>
      </c>
      <c r="S681" s="34" t="s">
        <v>206</v>
      </c>
      <c r="T681" s="34"/>
      <c r="U681" s="34"/>
      <c r="V681" s="34" t="s">
        <v>391</v>
      </c>
      <c r="W681" s="34" t="s">
        <v>28</v>
      </c>
      <c r="X681" s="38" t="s">
        <v>173</v>
      </c>
      <c r="Y681" s="62"/>
      <c r="Z681" s="38" t="e">
        <f t="shared" si="31"/>
        <v>#NUM!</v>
      </c>
      <c r="AA681" s="38"/>
      <c r="AB681" s="34">
        <v>7.5</v>
      </c>
      <c r="AC681" s="34">
        <v>8</v>
      </c>
      <c r="AD681" s="38"/>
      <c r="AE681" s="59" t="str">
        <f t="shared" si="32"/>
        <v>SÍ</v>
      </c>
      <c r="AF681" s="38" t="e" cm="1">
        <f t="array" aca="1" ref="AF681" ca="1">MIN(100, MAX(0, (IF(R681="ESTUDIANTE", 31, 0)) + (IF(I681&lt;=3, 30, IF(I681&lt;=6, 20, 0))) +(IF(OR(E681="413 - Control de Costes y Enlace Construcción", E681="480 - Secretaría General del Consejo", E681="132 - Civil y estructuras", E681="136 - Mecánica", E681="412 - Planificación", E681="142 - Compras"), 25, 0)) +(IF(OR(S681="GRADO ING. MECÁNICA", S681="GRADO ING. ELÉCTRICA", S681="GRADO DERECHO", S681="GRADO ECONOMÍA", S681="GRADO ING. TECNOLOGÍAS INDUSTRIALES"), 24, 0)) + (IF(AND(K681&gt;=451, K681&lt;=700), 23, 0)) + (IF(AND(AB681&gt;=5, AB681&lt;=8), 17, 0)) +(IF(_xludf.OR(_xludf.AND(AC681&gt;=8, AC681&lt;=10), _xludf.AND(AC681&gt;=0, AC681&lt;=5)), 16, 0)) + (IF(F681="Madrid", 11, 0))))</f>
        <v>#NAME?</v>
      </c>
      <c r="AG681" s="68"/>
      <c r="AH681" s="71" t="s">
        <v>164</v>
      </c>
    </row>
    <row r="682" spans="1:34" ht="14.4" x14ac:dyDescent="0.3">
      <c r="A682" s="66" t="s">
        <v>1653</v>
      </c>
      <c r="B682" s="66" t="s">
        <v>3770</v>
      </c>
      <c r="C682" s="33">
        <v>681</v>
      </c>
      <c r="D682" s="33" t="s">
        <v>5393</v>
      </c>
      <c r="E682" s="34" t="s">
        <v>5234</v>
      </c>
      <c r="F682" s="34" t="s">
        <v>18</v>
      </c>
      <c r="G682" s="57">
        <v>42198</v>
      </c>
      <c r="H682" s="57">
        <v>42390</v>
      </c>
      <c r="I682" s="34">
        <f t="shared" si="30"/>
        <v>6</v>
      </c>
      <c r="J682" s="34">
        <v>40</v>
      </c>
      <c r="K682" s="36">
        <v>800</v>
      </c>
      <c r="L682" s="34" t="s">
        <v>17</v>
      </c>
      <c r="M682" s="57">
        <v>33101</v>
      </c>
      <c r="N682" s="37">
        <f>(YEAR(TablaMadre[[#This Row],[ALTA]])-YEAR(M682))</f>
        <v>25</v>
      </c>
      <c r="O682" s="34" t="s">
        <v>558</v>
      </c>
      <c r="P682" s="34" t="s">
        <v>19</v>
      </c>
      <c r="Q682" s="34" t="s">
        <v>291</v>
      </c>
      <c r="R682" s="34" t="s">
        <v>21</v>
      </c>
      <c r="S682" s="34" t="s">
        <v>291</v>
      </c>
      <c r="T682" s="34"/>
      <c r="U682" s="34"/>
      <c r="V682" s="34" t="s">
        <v>290</v>
      </c>
      <c r="W682" s="34" t="s">
        <v>23</v>
      </c>
      <c r="X682" s="38" t="s">
        <v>164</v>
      </c>
      <c r="Y682" s="62"/>
      <c r="Z682" s="62" t="e">
        <f t="shared" si="31"/>
        <v>#NUM!</v>
      </c>
      <c r="AA682" s="62"/>
      <c r="AB682" s="34"/>
      <c r="AC682" s="34"/>
      <c r="AD682" s="38"/>
      <c r="AE682" s="59" t="str">
        <f t="shared" si="32"/>
        <v>SÍ</v>
      </c>
      <c r="AF682" s="38" t="e" cm="1">
        <f t="array" aca="1" ref="AF682" ca="1">MIN(100, MAX(0, (IF(R682="ESTUDIANTE", 31, 0)) + (IF(I682&lt;=3, 30, IF(I682&lt;=6, 20, 0))) +(IF(OR(E682="413 - Control de Costes y Enlace Construcción", E682="480 - Secretaría General del Consejo", E682="132 - Civil y estructuras", E682="136 - Mecánica", E682="412 - Planificación", E682="142 - Compras"), 25, 0)) +(IF(OR(S682="GRADO ING. MECÁNICA", S682="GRADO ING. ELÉCTRICA", S682="GRADO DERECHO", S682="GRADO ECONOMÍA", S682="GRADO ING. TECNOLOGÍAS INDUSTRIALES"), 24, 0)) + (IF(AND(K682&gt;=451, K682&lt;=700), 23, 0)) + (IF(AND(AB682&gt;=5, AB682&lt;=8), 17, 0)) +(IF(_xludf.OR(_xludf.AND(AC682&gt;=8, AC682&lt;=10), _xludf.AND(AC682&gt;=0, AC682&lt;=5)), 16, 0)) + (IF(F682="Madrid", 11, 0))))</f>
        <v>#NAME?</v>
      </c>
      <c r="AG682" s="68"/>
      <c r="AH682" s="71" t="s">
        <v>164</v>
      </c>
    </row>
    <row r="683" spans="1:34" ht="14.4" x14ac:dyDescent="0.3">
      <c r="A683" s="66" t="s">
        <v>1661</v>
      </c>
      <c r="B683" s="66" t="s">
        <v>3778</v>
      </c>
      <c r="C683" s="33">
        <v>682</v>
      </c>
      <c r="D683" s="33" t="s">
        <v>5394</v>
      </c>
      <c r="E683" s="34" t="s">
        <v>5265</v>
      </c>
      <c r="F683" s="34" t="s">
        <v>18</v>
      </c>
      <c r="G683" s="57">
        <v>42200</v>
      </c>
      <c r="H683" s="57">
        <v>42460</v>
      </c>
      <c r="I683" s="34">
        <f t="shared" si="30"/>
        <v>8</v>
      </c>
      <c r="J683" s="34">
        <v>40</v>
      </c>
      <c r="K683" s="36">
        <v>800</v>
      </c>
      <c r="L683" s="34" t="s">
        <v>29</v>
      </c>
      <c r="M683" s="57">
        <v>35199</v>
      </c>
      <c r="N683" s="37">
        <f>(YEAR(TablaMadre[[#This Row],[ALTA]])-YEAR(M683))</f>
        <v>19</v>
      </c>
      <c r="O683" s="34" t="s">
        <v>18</v>
      </c>
      <c r="P683" s="34" t="s">
        <v>19</v>
      </c>
      <c r="Q683" s="34" t="s">
        <v>351</v>
      </c>
      <c r="R683" s="34" t="s">
        <v>21</v>
      </c>
      <c r="S683" s="34" t="s">
        <v>274</v>
      </c>
      <c r="T683" s="34"/>
      <c r="U683" s="34"/>
      <c r="V683" s="34" t="s">
        <v>158</v>
      </c>
      <c r="W683" s="34" t="s">
        <v>28</v>
      </c>
      <c r="X683" s="38" t="s">
        <v>164</v>
      </c>
      <c r="Y683" s="62">
        <v>43221</v>
      </c>
      <c r="Z683" s="38">
        <f t="shared" si="31"/>
        <v>2</v>
      </c>
      <c r="AA683" s="38"/>
      <c r="AB683" s="34"/>
      <c r="AC683" s="34"/>
      <c r="AD683" s="38"/>
      <c r="AE683" s="59" t="str">
        <f t="shared" si="32"/>
        <v>NO</v>
      </c>
      <c r="AF683" s="38" t="e" cm="1">
        <f t="array" aca="1" ref="AF683" ca="1">MIN(100, MAX(0, (IF(R683="ESTUDIANTE", 31, 0)) + (IF(I683&lt;=3, 30, IF(I683&lt;=6, 20, 0))) +(IF(OR(E683="413 - Control de Costes y Enlace Construcción", E683="480 - Secretaría General del Consejo", E683="132 - Civil y estructuras", E683="136 - Mecánica", E683="412 - Planificación", E683="142 - Compras"), 25, 0)) +(IF(OR(S683="GRADO ING. MECÁNICA", S683="GRADO ING. ELÉCTRICA", S683="GRADO DERECHO", S683="GRADO ECONOMÍA", S683="GRADO ING. TECNOLOGÍAS INDUSTRIALES"), 24, 0)) + (IF(AND(K683&gt;=451, K683&lt;=700), 23, 0)) + (IF(AND(AB683&gt;=5, AB683&lt;=8), 17, 0)) +(IF(_xludf.OR(_xludf.AND(AC683&gt;=8, AC683&lt;=10), _xludf.AND(AC683&gt;=0, AC683&lt;=5)), 16, 0)) + (IF(F683="Madrid", 11, 0))))</f>
        <v>#NAME?</v>
      </c>
      <c r="AG683" s="68"/>
      <c r="AH683" s="71" t="s">
        <v>164</v>
      </c>
    </row>
    <row r="684" spans="1:34" s="4" customFormat="1" ht="14.4" x14ac:dyDescent="0.3">
      <c r="A684" s="66" t="s">
        <v>1662</v>
      </c>
      <c r="B684" s="66" t="s">
        <v>3779</v>
      </c>
      <c r="C684" s="33">
        <v>683</v>
      </c>
      <c r="D684" s="33" t="s">
        <v>5395</v>
      </c>
      <c r="E684" s="34" t="s">
        <v>5265</v>
      </c>
      <c r="F684" s="34" t="s">
        <v>18</v>
      </c>
      <c r="G684" s="57">
        <v>42200</v>
      </c>
      <c r="H684" s="57">
        <v>42460</v>
      </c>
      <c r="I684" s="34">
        <f t="shared" si="30"/>
        <v>8</v>
      </c>
      <c r="J684" s="34">
        <v>40</v>
      </c>
      <c r="K684" s="36">
        <v>800</v>
      </c>
      <c r="L684" s="34" t="s">
        <v>29</v>
      </c>
      <c r="M684" s="57">
        <v>34074</v>
      </c>
      <c r="N684" s="37">
        <f>(YEAR(TablaMadre[[#This Row],[ALTA]])-YEAR(M684))</f>
        <v>22</v>
      </c>
      <c r="O684" s="34" t="s">
        <v>654</v>
      </c>
      <c r="P684" s="34" t="s">
        <v>19</v>
      </c>
      <c r="Q684" s="34" t="s">
        <v>58</v>
      </c>
      <c r="R684" s="34" t="s">
        <v>21</v>
      </c>
      <c r="S684" s="34" t="s">
        <v>229</v>
      </c>
      <c r="T684" s="34"/>
      <c r="U684" s="34"/>
      <c r="V684" s="34" t="s">
        <v>86</v>
      </c>
      <c r="W684" s="34" t="s">
        <v>28</v>
      </c>
      <c r="X684" s="34" t="s">
        <v>164</v>
      </c>
      <c r="Y684" s="57">
        <v>43538</v>
      </c>
      <c r="Z684" s="34">
        <f t="shared" si="31"/>
        <v>2</v>
      </c>
      <c r="AA684" s="34"/>
      <c r="AB684" s="34"/>
      <c r="AC684" s="34"/>
      <c r="AD684" s="34"/>
      <c r="AE684" s="59" t="str">
        <f t="shared" si="32"/>
        <v>SÍ</v>
      </c>
      <c r="AF684" s="34" t="e" cm="1">
        <f t="array" aca="1" ref="AF684" ca="1">MIN(100, MAX(0, (IF(R684="ESTUDIANTE", 31, 0)) + (IF(I684&lt;=3, 30, IF(I684&lt;=6, 20, 0))) +(IF(OR(E684="413 - Control de Costes y Enlace Construcción", E684="480 - Secretaría General del Consejo", E684="132 - Civil y estructuras", E684="136 - Mecánica", E684="412 - Planificación", E684="142 - Compras"), 25, 0)) +(IF(OR(S684="GRADO ING. MECÁNICA", S684="GRADO ING. ELÉCTRICA", S684="GRADO DERECHO", S684="GRADO ECONOMÍA", S684="GRADO ING. TECNOLOGÍAS INDUSTRIALES"), 24, 0)) + (IF(AND(K684&gt;=451, K684&lt;=700), 23, 0)) + (IF(AND(AB684&gt;=5, AB684&lt;=8), 17, 0)) +(IF(_xludf.OR(_xludf.AND(AC684&gt;=8, AC684&lt;=10), _xludf.AND(AC684&gt;=0, AC684&lt;=5)), 16, 0)) + (IF(F684="Madrid", 11, 0))))</f>
        <v>#NAME?</v>
      </c>
      <c r="AG684" s="69"/>
      <c r="AH684" s="71" t="s">
        <v>164</v>
      </c>
    </row>
    <row r="685" spans="1:34" s="4" customFormat="1" ht="14.4" x14ac:dyDescent="0.3">
      <c r="A685" s="66" t="s">
        <v>1663</v>
      </c>
      <c r="B685" s="66" t="s">
        <v>3780</v>
      </c>
      <c r="C685" s="33">
        <v>684</v>
      </c>
      <c r="D685" s="33" t="s">
        <v>5396</v>
      </c>
      <c r="E685" s="34" t="s">
        <v>5255</v>
      </c>
      <c r="F685" s="34" t="s">
        <v>18</v>
      </c>
      <c r="G685" s="57">
        <v>42205</v>
      </c>
      <c r="H685" s="57">
        <v>42318</v>
      </c>
      <c r="I685" s="34">
        <f t="shared" si="30"/>
        <v>3</v>
      </c>
      <c r="J685" s="34">
        <v>40</v>
      </c>
      <c r="K685" s="36">
        <v>750</v>
      </c>
      <c r="L685" s="34" t="s">
        <v>17</v>
      </c>
      <c r="M685" s="57">
        <v>32040</v>
      </c>
      <c r="N685" s="37">
        <f>(YEAR(TablaMadre[[#This Row],[ALTA]])-YEAR(M685))</f>
        <v>28</v>
      </c>
      <c r="O685" s="34" t="s">
        <v>18</v>
      </c>
      <c r="P685" s="34" t="s">
        <v>19</v>
      </c>
      <c r="Q685" s="34" t="s">
        <v>229</v>
      </c>
      <c r="R685" s="34" t="s">
        <v>21</v>
      </c>
      <c r="S685" s="34" t="s">
        <v>229</v>
      </c>
      <c r="T685" s="34"/>
      <c r="U685" s="34"/>
      <c r="V685" s="34" t="s">
        <v>158</v>
      </c>
      <c r="W685" s="34" t="s">
        <v>28</v>
      </c>
      <c r="X685" s="34" t="s">
        <v>173</v>
      </c>
      <c r="Y685" s="57"/>
      <c r="Z685" s="34" t="e">
        <f t="shared" si="31"/>
        <v>#NUM!</v>
      </c>
      <c r="AA685" s="34"/>
      <c r="AB685" s="34"/>
      <c r="AC685" s="34"/>
      <c r="AD685" s="34"/>
      <c r="AE685" s="59" t="str">
        <f t="shared" si="32"/>
        <v>NO</v>
      </c>
      <c r="AF685" s="34" t="e" cm="1">
        <f t="array" aca="1" ref="AF685" ca="1">MIN(100, MAX(0, (IF(R685="ESTUDIANTE", 31, 0)) + (IF(I685&lt;=3, 30, IF(I685&lt;=6, 20, 0))) +(IF(OR(E685="413 - Control de Costes y Enlace Construcción", E685="480 - Secretaría General del Consejo", E685="132 - Civil y estructuras", E685="136 - Mecánica", E685="412 - Planificación", E685="142 - Compras"), 25, 0)) +(IF(OR(S685="GRADO ING. MECÁNICA", S685="GRADO ING. ELÉCTRICA", S685="GRADO DERECHO", S685="GRADO ECONOMÍA", S685="GRADO ING. TECNOLOGÍAS INDUSTRIALES"), 24, 0)) + (IF(AND(K685&gt;=451, K685&lt;=700), 23, 0)) + (IF(AND(AB685&gt;=5, AB685&lt;=8), 17, 0)) +(IF(_xludf.OR(_xludf.AND(AC685&gt;=8, AC685&lt;=10), _xludf.AND(AC685&gt;=0, AC685&lt;=5)), 16, 0)) + (IF(F685="Madrid", 11, 0))))</f>
        <v>#NAME?</v>
      </c>
      <c r="AG685" s="69"/>
      <c r="AH685" s="71" t="s">
        <v>164</v>
      </c>
    </row>
    <row r="686" spans="1:34" ht="14.4" x14ac:dyDescent="0.3">
      <c r="A686" s="66" t="s">
        <v>1664</v>
      </c>
      <c r="B686" s="66" t="s">
        <v>3781</v>
      </c>
      <c r="C686" s="33">
        <v>685</v>
      </c>
      <c r="D686" s="33" t="s">
        <v>5397</v>
      </c>
      <c r="E686" s="34" t="s">
        <v>5255</v>
      </c>
      <c r="F686" s="34" t="s">
        <v>18</v>
      </c>
      <c r="G686" s="57">
        <v>42205</v>
      </c>
      <c r="H686" s="57">
        <v>42388</v>
      </c>
      <c r="I686" s="34">
        <f t="shared" si="30"/>
        <v>5</v>
      </c>
      <c r="J686" s="34">
        <v>40</v>
      </c>
      <c r="K686" s="36">
        <v>900</v>
      </c>
      <c r="L686" s="34" t="s">
        <v>29</v>
      </c>
      <c r="M686" s="57">
        <v>33907</v>
      </c>
      <c r="N686" s="37">
        <f>(YEAR(TablaMadre[[#This Row],[ALTA]])-YEAR(M686))</f>
        <v>23</v>
      </c>
      <c r="O686" s="34" t="s">
        <v>217</v>
      </c>
      <c r="P686" s="34" t="s">
        <v>19</v>
      </c>
      <c r="Q686" s="34" t="s">
        <v>115</v>
      </c>
      <c r="R686" s="34" t="s">
        <v>21</v>
      </c>
      <c r="S686" s="34" t="s">
        <v>322</v>
      </c>
      <c r="T686" s="34"/>
      <c r="U686" s="34"/>
      <c r="V686" s="34" t="s">
        <v>346</v>
      </c>
      <c r="W686" s="34" t="s">
        <v>28</v>
      </c>
      <c r="X686" s="38" t="s">
        <v>164</v>
      </c>
      <c r="Y686" s="62">
        <v>43823</v>
      </c>
      <c r="Z686" s="38">
        <f t="shared" si="31"/>
        <v>3</v>
      </c>
      <c r="AA686" s="38"/>
      <c r="AB686" s="34"/>
      <c r="AC686" s="34"/>
      <c r="AD686" s="38"/>
      <c r="AE686" s="59" t="str">
        <f t="shared" si="32"/>
        <v>SÍ</v>
      </c>
      <c r="AF686" s="38" t="e" cm="1">
        <f t="array" aca="1" ref="AF686" ca="1">MIN(100, MAX(0, (IF(R686="ESTUDIANTE", 31, 0)) + (IF(I686&lt;=3, 30, IF(I686&lt;=6, 20, 0))) +(IF(OR(E686="413 - Control de Costes y Enlace Construcción", E686="480 - Secretaría General del Consejo", E686="132 - Civil y estructuras", E686="136 - Mecánica", E686="412 - Planificación", E686="142 - Compras"), 25, 0)) +(IF(OR(S686="GRADO ING. MECÁNICA", S686="GRADO ING. ELÉCTRICA", S686="GRADO DERECHO", S686="GRADO ECONOMÍA", S686="GRADO ING. TECNOLOGÍAS INDUSTRIALES"), 24, 0)) + (IF(AND(K686&gt;=451, K686&lt;=700), 23, 0)) + (IF(AND(AB686&gt;=5, AB686&lt;=8), 17, 0)) +(IF(_xludf.OR(_xludf.AND(AC686&gt;=8, AC686&lt;=10), _xludf.AND(AC686&gt;=0, AC686&lt;=5)), 16, 0)) + (IF(F686="Madrid", 11, 0))))</f>
        <v>#NAME?</v>
      </c>
      <c r="AG686" s="68"/>
      <c r="AH686" s="71" t="s">
        <v>164</v>
      </c>
    </row>
    <row r="687" spans="1:34" ht="14.4" x14ac:dyDescent="0.3">
      <c r="A687" s="66" t="s">
        <v>1665</v>
      </c>
      <c r="B687" s="66" t="s">
        <v>3782</v>
      </c>
      <c r="C687" s="33">
        <v>686</v>
      </c>
      <c r="D687" s="33" t="s">
        <v>5398</v>
      </c>
      <c r="E687" s="34" t="s">
        <v>5251</v>
      </c>
      <c r="F687" s="34" t="s">
        <v>18</v>
      </c>
      <c r="G687" s="57">
        <v>42205</v>
      </c>
      <c r="H687" s="57">
        <v>42570</v>
      </c>
      <c r="I687" s="34">
        <f t="shared" si="30"/>
        <v>11</v>
      </c>
      <c r="J687" s="34">
        <v>40</v>
      </c>
      <c r="K687" s="36">
        <v>900</v>
      </c>
      <c r="L687" s="34" t="s">
        <v>17</v>
      </c>
      <c r="M687" s="57">
        <v>34477</v>
      </c>
      <c r="N687" s="37">
        <f>(YEAR(TablaMadre[[#This Row],[ALTA]])-YEAR(M687))</f>
        <v>21</v>
      </c>
      <c r="O687" s="34" t="s">
        <v>18</v>
      </c>
      <c r="P687" s="34" t="s">
        <v>19</v>
      </c>
      <c r="Q687" s="34" t="s">
        <v>327</v>
      </c>
      <c r="R687" s="34" t="s">
        <v>21</v>
      </c>
      <c r="S687" s="34" t="s">
        <v>322</v>
      </c>
      <c r="T687" s="34"/>
      <c r="U687" s="34"/>
      <c r="V687" s="34" t="s">
        <v>137</v>
      </c>
      <c r="W687" s="34" t="s">
        <v>28</v>
      </c>
      <c r="X687" s="38" t="s">
        <v>164</v>
      </c>
      <c r="Y687" s="62">
        <v>45006</v>
      </c>
      <c r="Z687" s="38">
        <f t="shared" si="31"/>
        <v>6</v>
      </c>
      <c r="AA687" s="38"/>
      <c r="AB687" s="34"/>
      <c r="AC687" s="34"/>
      <c r="AD687" s="38"/>
      <c r="AE687" s="59" t="str">
        <f t="shared" si="32"/>
        <v>NO</v>
      </c>
      <c r="AF687" s="38" t="e" cm="1">
        <f t="array" aca="1" ref="AF687" ca="1">MIN(100, MAX(0, (IF(R687="ESTUDIANTE", 31, 0)) + (IF(I687&lt;=3, 30, IF(I687&lt;=6, 20, 0))) +(IF(OR(E687="413 - Control de Costes y Enlace Construcción", E687="480 - Secretaría General del Consejo", E687="132 - Civil y estructuras", E687="136 - Mecánica", E687="412 - Planificación", E687="142 - Compras"), 25, 0)) +(IF(OR(S687="GRADO ING. MECÁNICA", S687="GRADO ING. ELÉCTRICA", S687="GRADO DERECHO", S687="GRADO ECONOMÍA", S687="GRADO ING. TECNOLOGÍAS INDUSTRIALES"), 24, 0)) + (IF(AND(K687&gt;=451, K687&lt;=700), 23, 0)) + (IF(AND(AB687&gt;=5, AB687&lt;=8), 17, 0)) +(IF(_xludf.OR(_xludf.AND(AC687&gt;=8, AC687&lt;=10), _xludf.AND(AC687&gt;=0, AC687&lt;=5)), 16, 0)) + (IF(F687="Madrid", 11, 0))))</f>
        <v>#NAME?</v>
      </c>
      <c r="AG687" s="68"/>
      <c r="AH687" s="71" t="s">
        <v>164</v>
      </c>
    </row>
    <row r="688" spans="1:34" ht="14.4" x14ac:dyDescent="0.3">
      <c r="A688" s="66" t="s">
        <v>1666</v>
      </c>
      <c r="B688" s="66" t="s">
        <v>3783</v>
      </c>
      <c r="C688" s="33">
        <v>687</v>
      </c>
      <c r="D688" s="33" t="s">
        <v>5399</v>
      </c>
      <c r="E688" s="34" t="s">
        <v>5251</v>
      </c>
      <c r="F688" s="34" t="s">
        <v>18</v>
      </c>
      <c r="G688" s="57">
        <v>42212</v>
      </c>
      <c r="H688" s="57">
        <v>42395</v>
      </c>
      <c r="I688" s="34">
        <f t="shared" si="30"/>
        <v>5</v>
      </c>
      <c r="J688" s="34">
        <v>40</v>
      </c>
      <c r="K688" s="36">
        <v>900</v>
      </c>
      <c r="L688" s="34" t="s">
        <v>29</v>
      </c>
      <c r="M688" s="57">
        <v>35176</v>
      </c>
      <c r="N688" s="37">
        <f>(YEAR(TablaMadre[[#This Row],[ALTA]])-YEAR(M688))</f>
        <v>19</v>
      </c>
      <c r="O688" s="34" t="s">
        <v>18</v>
      </c>
      <c r="P688" s="34" t="s">
        <v>19</v>
      </c>
      <c r="Q688" s="34" t="s">
        <v>36</v>
      </c>
      <c r="R688" s="34" t="s">
        <v>21</v>
      </c>
      <c r="S688" s="34" t="s">
        <v>307</v>
      </c>
      <c r="T688" s="34"/>
      <c r="U688" s="34"/>
      <c r="V688" s="34" t="s">
        <v>22</v>
      </c>
      <c r="W688" s="34" t="s">
        <v>28</v>
      </c>
      <c r="X688" s="38" t="s">
        <v>173</v>
      </c>
      <c r="Y688" s="62"/>
      <c r="Z688" s="38" t="e">
        <f t="shared" si="31"/>
        <v>#NUM!</v>
      </c>
      <c r="AA688" s="38"/>
      <c r="AB688" s="34"/>
      <c r="AC688" s="34"/>
      <c r="AD688" s="38"/>
      <c r="AE688" s="59" t="str">
        <f t="shared" si="32"/>
        <v>NO</v>
      </c>
      <c r="AF688" s="38" t="e" cm="1">
        <f t="array" aca="1" ref="AF688" ca="1">MIN(100, MAX(0, (IF(R688="ESTUDIANTE", 31, 0)) + (IF(I688&lt;=3, 30, IF(I688&lt;=6, 20, 0))) +(IF(OR(E688="413 - Control de Costes y Enlace Construcción", E688="480 - Secretaría General del Consejo", E688="132 - Civil y estructuras", E688="136 - Mecánica", E688="412 - Planificación", E688="142 - Compras"), 25, 0)) +(IF(OR(S688="GRADO ING. MECÁNICA", S688="GRADO ING. ELÉCTRICA", S688="GRADO DERECHO", S688="GRADO ECONOMÍA", S688="GRADO ING. TECNOLOGÍAS INDUSTRIALES"), 24, 0)) + (IF(AND(K688&gt;=451, K688&lt;=700), 23, 0)) + (IF(AND(AB688&gt;=5, AB688&lt;=8), 17, 0)) +(IF(_xludf.OR(_xludf.AND(AC688&gt;=8, AC688&lt;=10), _xludf.AND(AC688&gt;=0, AC688&lt;=5)), 16, 0)) + (IF(F688="Madrid", 11, 0))))</f>
        <v>#NAME?</v>
      </c>
      <c r="AG688" s="68"/>
      <c r="AH688" s="71" t="s">
        <v>164</v>
      </c>
    </row>
    <row r="689" spans="1:34" ht="14.4" x14ac:dyDescent="0.3">
      <c r="A689" s="66" t="s">
        <v>1667</v>
      </c>
      <c r="B689" s="66" t="s">
        <v>3784</v>
      </c>
      <c r="C689" s="33">
        <v>688</v>
      </c>
      <c r="D689" s="33" t="s">
        <v>5393</v>
      </c>
      <c r="E689" s="34" t="s">
        <v>5272</v>
      </c>
      <c r="F689" s="34" t="s">
        <v>411</v>
      </c>
      <c r="G689" s="57">
        <v>42212</v>
      </c>
      <c r="H689" s="57">
        <v>42395</v>
      </c>
      <c r="I689" s="34">
        <f t="shared" si="30"/>
        <v>5</v>
      </c>
      <c r="J689" s="34">
        <v>40</v>
      </c>
      <c r="K689" s="36">
        <v>900</v>
      </c>
      <c r="L689" s="34" t="s">
        <v>29</v>
      </c>
      <c r="M689" s="57">
        <v>36061</v>
      </c>
      <c r="N689" s="37">
        <f>(YEAR(TablaMadre[[#This Row],[ALTA]])-YEAR(M689))</f>
        <v>17</v>
      </c>
      <c r="O689" s="34" t="s">
        <v>411</v>
      </c>
      <c r="P689" s="34" t="s">
        <v>19</v>
      </c>
      <c r="Q689" s="34" t="s">
        <v>297</v>
      </c>
      <c r="R689" s="34" t="s">
        <v>21</v>
      </c>
      <c r="S689" s="34" t="s">
        <v>297</v>
      </c>
      <c r="T689" s="34"/>
      <c r="U689" s="34"/>
      <c r="V689" s="34" t="s">
        <v>142</v>
      </c>
      <c r="W689" s="34" t="s">
        <v>28</v>
      </c>
      <c r="X689" s="38" t="s">
        <v>173</v>
      </c>
      <c r="Y689" s="62"/>
      <c r="Z689" s="38" t="e">
        <f t="shared" si="31"/>
        <v>#NUM!</v>
      </c>
      <c r="AA689" s="38"/>
      <c r="AB689" s="34"/>
      <c r="AC689" s="34"/>
      <c r="AD689" s="38"/>
      <c r="AE689" s="59" t="str">
        <f t="shared" si="32"/>
        <v>NO</v>
      </c>
      <c r="AF689" s="38" t="e" cm="1">
        <f t="array" aca="1" ref="AF689" ca="1">MIN(100, MAX(0, (IF(R689="ESTUDIANTE", 31, 0)) + (IF(I689&lt;=3, 30, IF(I689&lt;=6, 20, 0))) +(IF(OR(E689="413 - Control de Costes y Enlace Construcción", E689="480 - Secretaría General del Consejo", E689="132 - Civil y estructuras", E689="136 - Mecánica", E689="412 - Planificación", E689="142 - Compras"), 25, 0)) +(IF(OR(S689="GRADO ING. MECÁNICA", S689="GRADO ING. ELÉCTRICA", S689="GRADO DERECHO", S689="GRADO ECONOMÍA", S689="GRADO ING. TECNOLOGÍAS INDUSTRIALES"), 24, 0)) + (IF(AND(K689&gt;=451, K689&lt;=700), 23, 0)) + (IF(AND(AB689&gt;=5, AB689&lt;=8), 17, 0)) +(IF(_xludf.OR(_xludf.AND(AC689&gt;=8, AC689&lt;=10), _xludf.AND(AC689&gt;=0, AC689&lt;=5)), 16, 0)) + (IF(F689="Madrid", 11, 0))))</f>
        <v>#NAME?</v>
      </c>
      <c r="AG689" s="68"/>
      <c r="AH689" s="71" t="s">
        <v>164</v>
      </c>
    </row>
    <row r="690" spans="1:34" ht="14.4" x14ac:dyDescent="0.3">
      <c r="A690" s="66" t="s">
        <v>1668</v>
      </c>
      <c r="B690" s="66" t="s">
        <v>3785</v>
      </c>
      <c r="C690" s="33">
        <v>689</v>
      </c>
      <c r="D690" s="33" t="s">
        <v>5394</v>
      </c>
      <c r="E690" s="34" t="s">
        <v>5244</v>
      </c>
      <c r="F690" s="34" t="s">
        <v>118</v>
      </c>
      <c r="G690" s="57">
        <v>42212</v>
      </c>
      <c r="H690" s="57">
        <v>42603</v>
      </c>
      <c r="I690" s="34">
        <f t="shared" si="30"/>
        <v>12</v>
      </c>
      <c r="J690" s="34">
        <v>40</v>
      </c>
      <c r="K690" s="36">
        <v>825</v>
      </c>
      <c r="L690" s="34" t="s">
        <v>17</v>
      </c>
      <c r="M690" s="57">
        <v>33708</v>
      </c>
      <c r="N690" s="37">
        <f>(YEAR(TablaMadre[[#This Row],[ALTA]])-YEAR(M690))</f>
        <v>23</v>
      </c>
      <c r="O690" s="34" t="s">
        <v>118</v>
      </c>
      <c r="P690" s="34" t="s">
        <v>19</v>
      </c>
      <c r="Q690" s="34" t="s">
        <v>297</v>
      </c>
      <c r="R690" s="34" t="s">
        <v>21</v>
      </c>
      <c r="S690" s="34" t="s">
        <v>297</v>
      </c>
      <c r="T690" s="34"/>
      <c r="U690" s="34"/>
      <c r="V690" s="34" t="s">
        <v>119</v>
      </c>
      <c r="W690" s="34" t="s">
        <v>97</v>
      </c>
      <c r="X690" s="38" t="s">
        <v>164</v>
      </c>
      <c r="Y690" s="62">
        <v>42829</v>
      </c>
      <c r="Z690" s="38">
        <f t="shared" si="31"/>
        <v>0</v>
      </c>
      <c r="AA690" s="38"/>
      <c r="AB690" s="34">
        <v>9</v>
      </c>
      <c r="AC690" s="34"/>
      <c r="AD690" s="38"/>
      <c r="AE690" s="59" t="str">
        <f t="shared" si="32"/>
        <v>NO</v>
      </c>
      <c r="AF690" s="38" t="e" cm="1">
        <f t="array" aca="1" ref="AF690" ca="1">MIN(100, MAX(0, (IF(R690="ESTUDIANTE", 31, 0)) + (IF(I690&lt;=3, 30, IF(I690&lt;=6, 20, 0))) +(IF(OR(E690="413 - Control de Costes y Enlace Construcción", E690="480 - Secretaría General del Consejo", E690="132 - Civil y estructuras", E690="136 - Mecánica", E690="412 - Planificación", E690="142 - Compras"), 25, 0)) +(IF(OR(S690="GRADO ING. MECÁNICA", S690="GRADO ING. ELÉCTRICA", S690="GRADO DERECHO", S690="GRADO ECONOMÍA", S690="GRADO ING. TECNOLOGÍAS INDUSTRIALES"), 24, 0)) + (IF(AND(K690&gt;=451, K690&lt;=700), 23, 0)) + (IF(AND(AB690&gt;=5, AB690&lt;=8), 17, 0)) +(IF(_xludf.OR(_xludf.AND(AC690&gt;=8, AC690&lt;=10), _xludf.AND(AC690&gt;=0, AC690&lt;=5)), 16, 0)) + (IF(F690="Madrid", 11, 0))))</f>
        <v>#NAME?</v>
      </c>
      <c r="AG690" s="68"/>
      <c r="AH690" s="71" t="s">
        <v>164</v>
      </c>
    </row>
    <row r="691" spans="1:34" ht="14.4" x14ac:dyDescent="0.3">
      <c r="A691" s="66" t="s">
        <v>1669</v>
      </c>
      <c r="B691" s="66" t="s">
        <v>3786</v>
      </c>
      <c r="C691" s="33">
        <v>690</v>
      </c>
      <c r="D691" s="33" t="s">
        <v>5395</v>
      </c>
      <c r="E691" s="34" t="s">
        <v>5244</v>
      </c>
      <c r="F691" s="34" t="s">
        <v>118</v>
      </c>
      <c r="G691" s="57">
        <v>42212</v>
      </c>
      <c r="H691" s="57">
        <v>42761</v>
      </c>
      <c r="I691" s="34">
        <f t="shared" si="30"/>
        <v>17</v>
      </c>
      <c r="J691" s="34">
        <v>40</v>
      </c>
      <c r="K691" s="36">
        <v>825</v>
      </c>
      <c r="L691" s="34" t="s">
        <v>17</v>
      </c>
      <c r="M691" s="57">
        <v>33716</v>
      </c>
      <c r="N691" s="37">
        <f>(YEAR(TablaMadre[[#This Row],[ALTA]])-YEAR(M691))</f>
        <v>23</v>
      </c>
      <c r="O691" s="34" t="s">
        <v>118</v>
      </c>
      <c r="P691" s="34" t="s">
        <v>19</v>
      </c>
      <c r="Q691" s="34" t="s">
        <v>297</v>
      </c>
      <c r="R691" s="34" t="s">
        <v>21</v>
      </c>
      <c r="S691" s="34" t="s">
        <v>297</v>
      </c>
      <c r="T691" s="34"/>
      <c r="U691" s="34"/>
      <c r="V691" s="34" t="s">
        <v>37</v>
      </c>
      <c r="W691" s="34" t="s">
        <v>28</v>
      </c>
      <c r="X691" s="38" t="s">
        <v>164</v>
      </c>
      <c r="Y691" s="62">
        <v>43621</v>
      </c>
      <c r="Z691" s="38">
        <f t="shared" si="31"/>
        <v>2</v>
      </c>
      <c r="AA691" s="38"/>
      <c r="AB691" s="34">
        <v>9.5</v>
      </c>
      <c r="AC691" s="34">
        <v>10</v>
      </c>
      <c r="AD691" s="38"/>
      <c r="AE691" s="59" t="str">
        <f t="shared" si="32"/>
        <v>NO</v>
      </c>
      <c r="AF691" s="38" t="e" cm="1">
        <f t="array" aca="1" ref="AF691" ca="1">MIN(100, MAX(0, (IF(R691="ESTUDIANTE", 31, 0)) + (IF(I691&lt;=3, 30, IF(I691&lt;=6, 20, 0))) +(IF(OR(E691="413 - Control de Costes y Enlace Construcción", E691="480 - Secretaría General del Consejo", E691="132 - Civil y estructuras", E691="136 - Mecánica", E691="412 - Planificación", E691="142 - Compras"), 25, 0)) +(IF(OR(S691="GRADO ING. MECÁNICA", S691="GRADO ING. ELÉCTRICA", S691="GRADO DERECHO", S691="GRADO ECONOMÍA", S691="GRADO ING. TECNOLOGÍAS INDUSTRIALES"), 24, 0)) + (IF(AND(K691&gt;=451, K691&lt;=700), 23, 0)) + (IF(AND(AB691&gt;=5, AB691&lt;=8), 17, 0)) +(IF(_xludf.OR(_xludf.AND(AC691&gt;=8, AC691&lt;=10), _xludf.AND(AC691&gt;=0, AC691&lt;=5)), 16, 0)) + (IF(F691="Madrid", 11, 0))))</f>
        <v>#NAME?</v>
      </c>
      <c r="AG691" s="68"/>
      <c r="AH691" s="71" t="s">
        <v>164</v>
      </c>
    </row>
    <row r="692" spans="1:34" ht="14.4" x14ac:dyDescent="0.3">
      <c r="A692" s="66" t="s">
        <v>1630</v>
      </c>
      <c r="B692" s="66" t="s">
        <v>3747</v>
      </c>
      <c r="C692" s="33">
        <v>691</v>
      </c>
      <c r="D692" s="33" t="s">
        <v>5396</v>
      </c>
      <c r="E692" s="34" t="s">
        <v>5233</v>
      </c>
      <c r="F692" s="34" t="s">
        <v>18</v>
      </c>
      <c r="G692" s="57">
        <v>42222</v>
      </c>
      <c r="H692" s="57">
        <v>42338</v>
      </c>
      <c r="I692" s="34">
        <f t="shared" si="30"/>
        <v>3</v>
      </c>
      <c r="J692" s="34">
        <v>20</v>
      </c>
      <c r="K692" s="36">
        <v>325</v>
      </c>
      <c r="L692" s="34" t="s">
        <v>17</v>
      </c>
      <c r="M692" s="57">
        <v>35052</v>
      </c>
      <c r="N692" s="37">
        <f>(YEAR(TablaMadre[[#This Row],[ALTA]])-YEAR(M692))</f>
        <v>20</v>
      </c>
      <c r="O692" s="34" t="s">
        <v>563</v>
      </c>
      <c r="P692" s="34" t="s">
        <v>19</v>
      </c>
      <c r="Q692" s="34" t="s">
        <v>136</v>
      </c>
      <c r="R692" s="58" t="s">
        <v>30</v>
      </c>
      <c r="S692" s="34" t="s">
        <v>136</v>
      </c>
      <c r="T692" s="34"/>
      <c r="U692" s="34"/>
      <c r="V692" s="34" t="s">
        <v>137</v>
      </c>
      <c r="W692" s="34" t="s">
        <v>23</v>
      </c>
      <c r="X692" s="38" t="s">
        <v>164</v>
      </c>
      <c r="Y692" s="62"/>
      <c r="Z692" s="62" t="e">
        <f t="shared" si="31"/>
        <v>#NUM!</v>
      </c>
      <c r="AA692" s="62"/>
      <c r="AB692" s="34"/>
      <c r="AC692" s="34"/>
      <c r="AD692" s="38"/>
      <c r="AE692" s="59" t="str">
        <f t="shared" si="32"/>
        <v>SÍ</v>
      </c>
      <c r="AF692" s="38" t="e" cm="1">
        <f t="array" aca="1" ref="AF692" ca="1">MIN(100, MAX(0, (IF(R692="ESTUDIANTE", 31, 0)) + (IF(I692&lt;=3, 30, IF(I692&lt;=6, 20, 0))) +(IF(OR(E692="413 - Control de Costes y Enlace Construcción", E692="480 - Secretaría General del Consejo", E692="132 - Civil y estructuras", E692="136 - Mecánica", E692="412 - Planificación", E692="142 - Compras"), 25, 0)) +(IF(OR(S692="GRADO ING. MECÁNICA", S692="GRADO ING. ELÉCTRICA", S692="GRADO DERECHO", S692="GRADO ECONOMÍA", S692="GRADO ING. TECNOLOGÍAS INDUSTRIALES"), 24, 0)) + (IF(AND(K692&gt;=451, K692&lt;=700), 23, 0)) + (IF(AND(AB692&gt;=5, AB692&lt;=8), 17, 0)) +(IF(_xludf.OR(_xludf.AND(AC692&gt;=8, AC692&lt;=10), _xludf.AND(AC692&gt;=0, AC692&lt;=5)), 16, 0)) + (IF(F692="Madrid", 11, 0))))</f>
        <v>#NAME?</v>
      </c>
      <c r="AG692" s="68"/>
      <c r="AH692" s="71" t="s">
        <v>164</v>
      </c>
    </row>
    <row r="693" spans="1:34" ht="14.4" x14ac:dyDescent="0.3">
      <c r="A693" s="66" t="s">
        <v>1649</v>
      </c>
      <c r="B693" s="66" t="s">
        <v>3766</v>
      </c>
      <c r="C693" s="33">
        <v>692</v>
      </c>
      <c r="D693" s="33" t="s">
        <v>5397</v>
      </c>
      <c r="E693" s="34" t="s">
        <v>5248</v>
      </c>
      <c r="F693" s="34" t="s">
        <v>18</v>
      </c>
      <c r="G693" s="57">
        <v>42223</v>
      </c>
      <c r="H693" s="57">
        <v>42247</v>
      </c>
      <c r="I693" s="34">
        <f t="shared" si="30"/>
        <v>0</v>
      </c>
      <c r="J693" s="34">
        <v>40</v>
      </c>
      <c r="K693" s="36">
        <v>650</v>
      </c>
      <c r="L693" s="34" t="s">
        <v>17</v>
      </c>
      <c r="M693" s="57">
        <v>34773</v>
      </c>
      <c r="N693" s="37">
        <f>(YEAR(TablaMadre[[#This Row],[ALTA]])-YEAR(M693))</f>
        <v>20</v>
      </c>
      <c r="O693" s="34" t="s">
        <v>942</v>
      </c>
      <c r="P693" s="34" t="s">
        <v>19</v>
      </c>
      <c r="Q693" s="34" t="s">
        <v>322</v>
      </c>
      <c r="R693" s="58" t="s">
        <v>30</v>
      </c>
      <c r="S693" s="34" t="s">
        <v>322</v>
      </c>
      <c r="T693" s="34"/>
      <c r="U693" s="34"/>
      <c r="V693" s="34" t="s">
        <v>22</v>
      </c>
      <c r="W693" s="34" t="s">
        <v>23</v>
      </c>
      <c r="X693" s="38" t="s">
        <v>164</v>
      </c>
      <c r="Y693" s="62"/>
      <c r="Z693" s="62" t="e">
        <f t="shared" si="31"/>
        <v>#NUM!</v>
      </c>
      <c r="AA693" s="62"/>
      <c r="AB693" s="34">
        <v>9</v>
      </c>
      <c r="AC693" s="34"/>
      <c r="AD693" s="38"/>
      <c r="AE693" s="59" t="str">
        <f t="shared" si="32"/>
        <v>SÍ</v>
      </c>
      <c r="AF693" s="38" t="e" cm="1">
        <f t="array" aca="1" ref="AF693" ca="1">MIN(100, MAX(0, (IF(R693="ESTUDIANTE", 31, 0)) + (IF(I693&lt;=3, 30, IF(I693&lt;=6, 20, 0))) +(IF(OR(E693="413 - Control de Costes y Enlace Construcción", E693="480 - Secretaría General del Consejo", E693="132 - Civil y estructuras", E693="136 - Mecánica", E693="412 - Planificación", E693="142 - Compras"), 25, 0)) +(IF(OR(S693="GRADO ING. MECÁNICA", S693="GRADO ING. ELÉCTRICA", S693="GRADO DERECHO", S693="GRADO ECONOMÍA", S693="GRADO ING. TECNOLOGÍAS INDUSTRIALES"), 24, 0)) + (IF(AND(K693&gt;=451, K693&lt;=700), 23, 0)) + (IF(AND(AB693&gt;=5, AB693&lt;=8), 17, 0)) +(IF(_xludf.OR(_xludf.AND(AC693&gt;=8, AC693&lt;=10), _xludf.AND(AC693&gt;=0, AC693&lt;=5)), 16, 0)) + (IF(F693="Madrid", 11, 0))))</f>
        <v>#NAME?</v>
      </c>
      <c r="AG693" s="68"/>
      <c r="AH693" s="71" t="s">
        <v>164</v>
      </c>
    </row>
    <row r="694" spans="1:34" ht="14.4" x14ac:dyDescent="0.3">
      <c r="A694" s="66" t="s">
        <v>1660</v>
      </c>
      <c r="B694" s="66" t="s">
        <v>3777</v>
      </c>
      <c r="C694" s="33">
        <v>693</v>
      </c>
      <c r="D694" s="33" t="s">
        <v>5393</v>
      </c>
      <c r="E694" s="34" t="s">
        <v>5223</v>
      </c>
      <c r="F694" s="34" t="s">
        <v>18</v>
      </c>
      <c r="G694" s="57">
        <v>42225</v>
      </c>
      <c r="H694" s="57">
        <v>42560</v>
      </c>
      <c r="I694" s="34">
        <f t="shared" si="30"/>
        <v>11</v>
      </c>
      <c r="J694" s="34">
        <v>40</v>
      </c>
      <c r="K694" s="36">
        <v>900</v>
      </c>
      <c r="L694" s="34" t="s">
        <v>17</v>
      </c>
      <c r="M694" s="57">
        <v>33737</v>
      </c>
      <c r="N694" s="37">
        <f>(YEAR(TablaMadre[[#This Row],[ALTA]])-YEAR(M694))</f>
        <v>23</v>
      </c>
      <c r="O694" s="34" t="s">
        <v>654</v>
      </c>
      <c r="P694" s="34" t="s">
        <v>19</v>
      </c>
      <c r="Q694" s="34" t="s">
        <v>363</v>
      </c>
      <c r="R694" s="34" t="s">
        <v>21</v>
      </c>
      <c r="S694" s="34" t="s">
        <v>322</v>
      </c>
      <c r="T694" s="34"/>
      <c r="U694" s="34"/>
      <c r="V694" s="34" t="s">
        <v>51</v>
      </c>
      <c r="W694" s="34" t="s">
        <v>181</v>
      </c>
      <c r="X694" s="38" t="s">
        <v>164</v>
      </c>
      <c r="Y694" s="62"/>
      <c r="Z694" s="62" t="e">
        <f t="shared" si="31"/>
        <v>#NUM!</v>
      </c>
      <c r="AA694" s="62"/>
      <c r="AB694" s="34"/>
      <c r="AC694" s="34"/>
      <c r="AD694" s="38"/>
      <c r="AE694" s="59" t="str">
        <f t="shared" si="32"/>
        <v>SÍ</v>
      </c>
      <c r="AF694" s="38" t="e" cm="1">
        <f t="array" aca="1" ref="AF694" ca="1">MIN(100, MAX(0, (IF(R694="ESTUDIANTE", 31, 0)) + (IF(I694&lt;=3, 30, IF(I694&lt;=6, 20, 0))) +(IF(OR(E694="413 - Control de Costes y Enlace Construcción", E694="480 - Secretaría General del Consejo", E694="132 - Civil y estructuras", E694="136 - Mecánica", E694="412 - Planificación", E694="142 - Compras"), 25, 0)) +(IF(OR(S694="GRADO ING. MECÁNICA", S694="GRADO ING. ELÉCTRICA", S694="GRADO DERECHO", S694="GRADO ECONOMÍA", S694="GRADO ING. TECNOLOGÍAS INDUSTRIALES"), 24, 0)) + (IF(AND(K694&gt;=451, K694&lt;=700), 23, 0)) + (IF(AND(AB694&gt;=5, AB694&lt;=8), 17, 0)) +(IF(_xludf.OR(_xludf.AND(AC694&gt;=8, AC694&lt;=10), _xludf.AND(AC694&gt;=0, AC694&lt;=5)), 16, 0)) + (IF(F694="Madrid", 11, 0))))</f>
        <v>#NAME?</v>
      </c>
      <c r="AG694" s="68"/>
      <c r="AH694" s="71" t="s">
        <v>164</v>
      </c>
    </row>
    <row r="695" spans="1:34" ht="14.4" x14ac:dyDescent="0.3">
      <c r="A695" s="66" t="s">
        <v>1502</v>
      </c>
      <c r="B695" s="66" t="s">
        <v>3619</v>
      </c>
      <c r="C695" s="33">
        <v>694</v>
      </c>
      <c r="D695" s="33" t="s">
        <v>5394</v>
      </c>
      <c r="E695" s="34" t="s">
        <v>5284</v>
      </c>
      <c r="F695" s="34" t="s">
        <v>933</v>
      </c>
      <c r="G695" s="57">
        <v>42240</v>
      </c>
      <c r="H695" s="57">
        <v>42272</v>
      </c>
      <c r="I695" s="34">
        <f t="shared" si="30"/>
        <v>1</v>
      </c>
      <c r="J695" s="34">
        <v>40</v>
      </c>
      <c r="K695" s="36">
        <v>650</v>
      </c>
      <c r="L695" s="34" t="s">
        <v>17</v>
      </c>
      <c r="M695" s="57">
        <v>33349</v>
      </c>
      <c r="N695" s="37">
        <f>(YEAR(TablaMadre[[#This Row],[ALTA]])-YEAR(M695))</f>
        <v>24</v>
      </c>
      <c r="O695" s="34" t="s">
        <v>18</v>
      </c>
      <c r="P695" s="34" t="s">
        <v>19</v>
      </c>
      <c r="Q695" s="34" t="s">
        <v>283</v>
      </c>
      <c r="R695" s="58" t="s">
        <v>30</v>
      </c>
      <c r="S695" s="34" t="s">
        <v>283</v>
      </c>
      <c r="T695" s="34"/>
      <c r="U695" s="34"/>
      <c r="V695" s="34" t="s">
        <v>90</v>
      </c>
      <c r="W695" s="34" t="s">
        <v>23</v>
      </c>
      <c r="X695" s="38" t="s">
        <v>164</v>
      </c>
      <c r="Y695" s="62"/>
      <c r="Z695" s="62" t="e">
        <f t="shared" si="31"/>
        <v>#NUM!</v>
      </c>
      <c r="AA695" s="62"/>
      <c r="AB695" s="34"/>
      <c r="AC695" s="34"/>
      <c r="AD695" s="38"/>
      <c r="AE695" s="59" t="str">
        <f t="shared" si="32"/>
        <v>SÍ</v>
      </c>
      <c r="AF695" s="38" t="e" cm="1">
        <f t="array" aca="1" ref="AF695" ca="1">MIN(100, MAX(0, (IF(R695="ESTUDIANTE", 31, 0)) + (IF(I695&lt;=3, 30, IF(I695&lt;=6, 20, 0))) +(IF(OR(E695="413 - Control de Costes y Enlace Construcción", E695="480 - Secretaría General del Consejo", E695="132 - Civil y estructuras", E695="136 - Mecánica", E695="412 - Planificación", E695="142 - Compras"), 25, 0)) +(IF(OR(S695="GRADO ING. MECÁNICA", S695="GRADO ING. ELÉCTRICA", S695="GRADO DERECHO", S695="GRADO ECONOMÍA", S695="GRADO ING. TECNOLOGÍAS INDUSTRIALES"), 24, 0)) + (IF(AND(K695&gt;=451, K695&lt;=700), 23, 0)) + (IF(AND(AB695&gt;=5, AB695&lt;=8), 17, 0)) +(IF(_xludf.OR(_xludf.AND(AC695&gt;=8, AC695&lt;=10), _xludf.AND(AC695&gt;=0, AC695&lt;=5)), 16, 0)) + (IF(F695="Madrid", 11, 0))))</f>
        <v>#NAME?</v>
      </c>
      <c r="AG695" s="68"/>
      <c r="AH695" s="71" t="s">
        <v>164</v>
      </c>
    </row>
    <row r="696" spans="1:34" ht="14.4" x14ac:dyDescent="0.3">
      <c r="A696" s="66" t="s">
        <v>1587</v>
      </c>
      <c r="B696" s="66" t="s">
        <v>3704</v>
      </c>
      <c r="C696" s="33">
        <v>695</v>
      </c>
      <c r="D696" s="33" t="s">
        <v>5395</v>
      </c>
      <c r="E696" s="34" t="s">
        <v>5242</v>
      </c>
      <c r="F696" s="34" t="s">
        <v>18</v>
      </c>
      <c r="G696" s="57">
        <v>42249</v>
      </c>
      <c r="H696" s="57">
        <v>42587</v>
      </c>
      <c r="I696" s="34">
        <f t="shared" si="30"/>
        <v>11</v>
      </c>
      <c r="J696" s="34">
        <v>40</v>
      </c>
      <c r="K696" s="36">
        <v>900</v>
      </c>
      <c r="L696" s="34" t="s">
        <v>17</v>
      </c>
      <c r="M696" s="57">
        <v>35514</v>
      </c>
      <c r="N696" s="37">
        <f>(YEAR(TablaMadre[[#This Row],[ALTA]])-YEAR(M696))</f>
        <v>18</v>
      </c>
      <c r="O696" s="34" t="s">
        <v>146</v>
      </c>
      <c r="P696" s="34" t="s">
        <v>19</v>
      </c>
      <c r="Q696" s="34" t="s">
        <v>20</v>
      </c>
      <c r="R696" s="34" t="s">
        <v>21</v>
      </c>
      <c r="S696" s="34" t="s">
        <v>151</v>
      </c>
      <c r="T696" s="34"/>
      <c r="U696" s="34"/>
      <c r="V696" s="34" t="s">
        <v>258</v>
      </c>
      <c r="W696" s="34" t="s">
        <v>23</v>
      </c>
      <c r="X696" s="38" t="s">
        <v>164</v>
      </c>
      <c r="Y696" s="62"/>
      <c r="Z696" s="62" t="e">
        <f t="shared" si="31"/>
        <v>#NUM!</v>
      </c>
      <c r="AA696" s="62"/>
      <c r="AB696" s="34"/>
      <c r="AC696" s="34"/>
      <c r="AD696" s="38"/>
      <c r="AE696" s="59" t="str">
        <f t="shared" si="32"/>
        <v>SÍ</v>
      </c>
      <c r="AF696" s="38" t="e" cm="1">
        <f t="array" aca="1" ref="AF696" ca="1">MIN(100, MAX(0, (IF(R696="ESTUDIANTE", 31, 0)) + (IF(I696&lt;=3, 30, IF(I696&lt;=6, 20, 0))) +(IF(OR(E696="413 - Control de Costes y Enlace Construcción", E696="480 - Secretaría General del Consejo", E696="132 - Civil y estructuras", E696="136 - Mecánica", E696="412 - Planificación", E696="142 - Compras"), 25, 0)) +(IF(OR(S696="GRADO ING. MECÁNICA", S696="GRADO ING. ELÉCTRICA", S696="GRADO DERECHO", S696="GRADO ECONOMÍA", S696="GRADO ING. TECNOLOGÍAS INDUSTRIALES"), 24, 0)) + (IF(AND(K696&gt;=451, K696&lt;=700), 23, 0)) + (IF(AND(AB696&gt;=5, AB696&lt;=8), 17, 0)) +(IF(_xludf.OR(_xludf.AND(AC696&gt;=8, AC696&lt;=10), _xludf.AND(AC696&gt;=0, AC696&lt;=5)), 16, 0)) + (IF(F696="Madrid", 11, 0))))</f>
        <v>#NAME?</v>
      </c>
      <c r="AG696" s="68"/>
      <c r="AH696" s="71" t="s">
        <v>164</v>
      </c>
    </row>
    <row r="697" spans="1:34" ht="14.4" x14ac:dyDescent="0.3">
      <c r="A697" s="66" t="s">
        <v>1599</v>
      </c>
      <c r="B697" s="66" t="s">
        <v>3716</v>
      </c>
      <c r="C697" s="33">
        <v>696</v>
      </c>
      <c r="D697" s="33" t="s">
        <v>5396</v>
      </c>
      <c r="E697" s="34" t="s">
        <v>5222</v>
      </c>
      <c r="F697" s="34" t="s">
        <v>18</v>
      </c>
      <c r="G697" s="57">
        <v>42249</v>
      </c>
      <c r="H697" s="57">
        <v>42613</v>
      </c>
      <c r="I697" s="34">
        <f t="shared" si="30"/>
        <v>11</v>
      </c>
      <c r="J697" s="34">
        <v>40</v>
      </c>
      <c r="K697" s="36">
        <v>825</v>
      </c>
      <c r="L697" s="34" t="s">
        <v>17</v>
      </c>
      <c r="M697" s="57">
        <v>33649</v>
      </c>
      <c r="N697" s="37">
        <f>(YEAR(TablaMadre[[#This Row],[ALTA]])-YEAR(M697))</f>
        <v>23</v>
      </c>
      <c r="O697" s="34" t="s">
        <v>323</v>
      </c>
      <c r="P697" s="34" t="s">
        <v>19</v>
      </c>
      <c r="Q697" s="34" t="s">
        <v>324</v>
      </c>
      <c r="R697" s="34" t="s">
        <v>21</v>
      </c>
      <c r="S697" s="34" t="s">
        <v>321</v>
      </c>
      <c r="T697" s="34"/>
      <c r="U697" s="34"/>
      <c r="V697" s="34" t="s">
        <v>67</v>
      </c>
      <c r="W697" s="34" t="s">
        <v>181</v>
      </c>
      <c r="X697" s="38" t="s">
        <v>164</v>
      </c>
      <c r="Y697" s="62"/>
      <c r="Z697" s="62" t="e">
        <f t="shared" si="31"/>
        <v>#NUM!</v>
      </c>
      <c r="AA697" s="62"/>
      <c r="AB697" s="34"/>
      <c r="AC697" s="34"/>
      <c r="AD697" s="38"/>
      <c r="AE697" s="59" t="str">
        <f t="shared" si="32"/>
        <v>SÍ</v>
      </c>
      <c r="AF697" s="38" t="e" cm="1">
        <f t="array" aca="1" ref="AF697" ca="1">MIN(100, MAX(0, (IF(R697="ESTUDIANTE", 31, 0)) + (IF(I697&lt;=3, 30, IF(I697&lt;=6, 20, 0))) +(IF(OR(E697="413 - Control de Costes y Enlace Construcción", E697="480 - Secretaría General del Consejo", E697="132 - Civil y estructuras", E697="136 - Mecánica", E697="412 - Planificación", E697="142 - Compras"), 25, 0)) +(IF(OR(S697="GRADO ING. MECÁNICA", S697="GRADO ING. ELÉCTRICA", S697="GRADO DERECHO", S697="GRADO ECONOMÍA", S697="GRADO ING. TECNOLOGÍAS INDUSTRIALES"), 24, 0)) + (IF(AND(K697&gt;=451, K697&lt;=700), 23, 0)) + (IF(AND(AB697&gt;=5, AB697&lt;=8), 17, 0)) +(IF(_xludf.OR(_xludf.AND(AC697&gt;=8, AC697&lt;=10), _xludf.AND(AC697&gt;=0, AC697&lt;=5)), 16, 0)) + (IF(F697="Madrid", 11, 0))))</f>
        <v>#NAME?</v>
      </c>
      <c r="AG697" s="68"/>
      <c r="AH697" s="71" t="s">
        <v>164</v>
      </c>
    </row>
    <row r="698" spans="1:34" s="4" customFormat="1" ht="14.4" x14ac:dyDescent="0.3">
      <c r="A698" s="66" t="s">
        <v>1601</v>
      </c>
      <c r="B698" s="66" t="s">
        <v>3718</v>
      </c>
      <c r="C698" s="33">
        <v>700</v>
      </c>
      <c r="D698" s="33" t="s">
        <v>5397</v>
      </c>
      <c r="E698" s="34" t="s">
        <v>5292</v>
      </c>
      <c r="F698" s="34" t="s">
        <v>18</v>
      </c>
      <c r="G698" s="57">
        <v>42249</v>
      </c>
      <c r="H698" s="57">
        <v>42590</v>
      </c>
      <c r="I698" s="34">
        <f t="shared" si="30"/>
        <v>11</v>
      </c>
      <c r="J698" s="34">
        <v>20</v>
      </c>
      <c r="K698" s="36">
        <v>415</v>
      </c>
      <c r="L698" s="34" t="s">
        <v>29</v>
      </c>
      <c r="M698" s="57">
        <v>35033</v>
      </c>
      <c r="N698" s="37">
        <f>(YEAR(TablaMadre[[#This Row],[ALTA]])-YEAR(M698))</f>
        <v>20</v>
      </c>
      <c r="O698" s="34" t="s">
        <v>68</v>
      </c>
      <c r="P698" s="34" t="s">
        <v>19</v>
      </c>
      <c r="Q698" s="34" t="s">
        <v>330</v>
      </c>
      <c r="R698" s="58" t="s">
        <v>30</v>
      </c>
      <c r="S698" s="34" t="s">
        <v>307</v>
      </c>
      <c r="T698" s="34"/>
      <c r="U698" s="34"/>
      <c r="V698" s="34" t="s">
        <v>22</v>
      </c>
      <c r="W698" s="34" t="s">
        <v>23</v>
      </c>
      <c r="X698" s="38" t="s">
        <v>164</v>
      </c>
      <c r="Y698" s="62"/>
      <c r="Z698" s="62" t="e">
        <f t="shared" si="31"/>
        <v>#NUM!</v>
      </c>
      <c r="AA698" s="62"/>
      <c r="AB698" s="34"/>
      <c r="AC698" s="34">
        <v>9</v>
      </c>
      <c r="AD698" s="38"/>
      <c r="AE698" s="59" t="str">
        <f t="shared" si="32"/>
        <v>SÍ</v>
      </c>
      <c r="AF698" s="34" t="e" cm="1">
        <f t="array" aca="1" ref="AF698" ca="1">MIN(100, MAX(0, (IF(R698="ESTUDIANTE", 31, 0)) + (IF(I698&lt;=3, 30, IF(I698&lt;=6, 20, 0))) +(IF(OR(E698="413 - Control de Costes y Enlace Construcción", E698="480 - Secretaría General del Consejo", E698="132 - Civil y estructuras", E698="136 - Mecánica", E698="412 - Planificación", E698="142 - Compras"), 25, 0)) +(IF(OR(S698="GRADO ING. MECÁNICA", S698="GRADO ING. ELÉCTRICA", S698="GRADO DERECHO", S698="GRADO ECONOMÍA", S698="GRADO ING. TECNOLOGÍAS INDUSTRIALES"), 24, 0)) + (IF(AND(K698&gt;=451, K698&lt;=700), 23, 0)) + (IF(AND(AB698&gt;=5, AB698&lt;=8), 17, 0)) +(IF(_xludf.OR(_xludf.AND(AC698&gt;=8, AC698&lt;=10), _xludf.AND(AC698&gt;=0, AC698&lt;=5)), 16, 0)) + (IF(F698="Madrid", 11, 0))))</f>
        <v>#NAME?</v>
      </c>
      <c r="AG698" s="69"/>
      <c r="AH698" s="71" t="s">
        <v>164</v>
      </c>
    </row>
    <row r="699" spans="1:34" ht="14.4" x14ac:dyDescent="0.3">
      <c r="A699" s="66" t="s">
        <v>1602</v>
      </c>
      <c r="B699" s="66" t="s">
        <v>3719</v>
      </c>
      <c r="C699" s="33">
        <v>698</v>
      </c>
      <c r="D699" s="33" t="s">
        <v>5398</v>
      </c>
      <c r="E699" s="34" t="s">
        <v>5292</v>
      </c>
      <c r="F699" s="34" t="s">
        <v>18</v>
      </c>
      <c r="G699" s="57">
        <v>42249</v>
      </c>
      <c r="H699" s="57">
        <v>42584</v>
      </c>
      <c r="I699" s="34">
        <f t="shared" si="30"/>
        <v>11</v>
      </c>
      <c r="J699" s="34">
        <v>40</v>
      </c>
      <c r="K699" s="36">
        <v>825</v>
      </c>
      <c r="L699" s="34" t="s">
        <v>29</v>
      </c>
      <c r="M699" s="57">
        <v>35412</v>
      </c>
      <c r="N699" s="37">
        <f>(YEAR(TablaMadre[[#This Row],[ALTA]])-YEAR(M699))</f>
        <v>19</v>
      </c>
      <c r="O699" s="34" t="s">
        <v>525</v>
      </c>
      <c r="P699" s="34" t="s">
        <v>19</v>
      </c>
      <c r="Q699" s="34" t="s">
        <v>306</v>
      </c>
      <c r="R699" s="34" t="s">
        <v>21</v>
      </c>
      <c r="S699" s="34" t="s">
        <v>307</v>
      </c>
      <c r="T699" s="34"/>
      <c r="U699" s="34"/>
      <c r="V699" s="34" t="s">
        <v>22</v>
      </c>
      <c r="W699" s="34" t="s">
        <v>23</v>
      </c>
      <c r="X699" s="38" t="s">
        <v>164</v>
      </c>
      <c r="Y699" s="62"/>
      <c r="Z699" s="62" t="e">
        <f t="shared" si="31"/>
        <v>#NUM!</v>
      </c>
      <c r="AA699" s="62"/>
      <c r="AB699" s="34"/>
      <c r="AC699" s="34"/>
      <c r="AD699" s="38"/>
      <c r="AE699" s="59" t="str">
        <f t="shared" si="32"/>
        <v>SÍ</v>
      </c>
      <c r="AF699" s="38" t="e" cm="1">
        <f t="array" aca="1" ref="AF699" ca="1">MIN(100, MAX(0, (IF(R699="ESTUDIANTE", 31, 0)) + (IF(I699&lt;=3, 30, IF(I699&lt;=6, 20, 0))) +(IF(OR(E699="413 - Control de Costes y Enlace Construcción", E699="480 - Secretaría General del Consejo", E699="132 - Civil y estructuras", E699="136 - Mecánica", E699="412 - Planificación", E699="142 - Compras"), 25, 0)) +(IF(OR(S699="GRADO ING. MECÁNICA", S699="GRADO ING. ELÉCTRICA", S699="GRADO DERECHO", S699="GRADO ECONOMÍA", S699="GRADO ING. TECNOLOGÍAS INDUSTRIALES"), 24, 0)) + (IF(AND(K699&gt;=451, K699&lt;=700), 23, 0)) + (IF(AND(AB699&gt;=5, AB699&lt;=8), 17, 0)) +(IF(_xludf.OR(_xludf.AND(AC699&gt;=8, AC699&lt;=10), _xludf.AND(AC699&gt;=0, AC699&lt;=5)), 16, 0)) + (IF(F699="Madrid", 11, 0))))</f>
        <v>#NAME?</v>
      </c>
      <c r="AG699" s="68"/>
      <c r="AH699" s="71" t="s">
        <v>164</v>
      </c>
    </row>
    <row r="700" spans="1:34" ht="14.4" x14ac:dyDescent="0.3">
      <c r="A700" s="66" t="s">
        <v>1605</v>
      </c>
      <c r="B700" s="66" t="s">
        <v>3722</v>
      </c>
      <c r="C700" s="33">
        <v>697</v>
      </c>
      <c r="D700" s="33" t="s">
        <v>5399</v>
      </c>
      <c r="E700" s="34" t="s">
        <v>5229</v>
      </c>
      <c r="F700" s="34" t="s">
        <v>18</v>
      </c>
      <c r="G700" s="57">
        <v>42249</v>
      </c>
      <c r="H700" s="57">
        <v>42584</v>
      </c>
      <c r="I700" s="34">
        <f t="shared" si="30"/>
        <v>11</v>
      </c>
      <c r="J700" s="34">
        <v>40</v>
      </c>
      <c r="K700" s="36">
        <v>650</v>
      </c>
      <c r="L700" s="34" t="s">
        <v>17</v>
      </c>
      <c r="M700" s="57">
        <v>35199</v>
      </c>
      <c r="N700" s="37">
        <f>(YEAR(TablaMadre[[#This Row],[ALTA]])-YEAR(M700))</f>
        <v>19</v>
      </c>
      <c r="O700" s="34" t="s">
        <v>18</v>
      </c>
      <c r="P700" s="34" t="s">
        <v>19</v>
      </c>
      <c r="Q700" s="34" t="s">
        <v>306</v>
      </c>
      <c r="R700" s="58" t="s">
        <v>30</v>
      </c>
      <c r="S700" s="34" t="s">
        <v>307</v>
      </c>
      <c r="T700" s="34"/>
      <c r="U700" s="34"/>
      <c r="V700" s="34" t="s">
        <v>22</v>
      </c>
      <c r="W700" s="34" t="s">
        <v>23</v>
      </c>
      <c r="X700" s="34" t="s">
        <v>164</v>
      </c>
      <c r="Y700" s="57"/>
      <c r="Z700" s="57" t="e">
        <f t="shared" si="31"/>
        <v>#NUM!</v>
      </c>
      <c r="AA700" s="57"/>
      <c r="AB700" s="34"/>
      <c r="AC700" s="34"/>
      <c r="AD700" s="34"/>
      <c r="AE700" s="59" t="str">
        <f t="shared" si="32"/>
        <v>NO</v>
      </c>
      <c r="AF700" s="38" t="e" cm="1">
        <f t="array" aca="1" ref="AF700" ca="1">MIN(100, MAX(0, (IF(R700="ESTUDIANTE", 31, 0)) + (IF(I700&lt;=3, 30, IF(I700&lt;=6, 20, 0))) +(IF(OR(E700="413 - Control de Costes y Enlace Construcción", E700="480 - Secretaría General del Consejo", E700="132 - Civil y estructuras", E700="136 - Mecánica", E700="412 - Planificación", E700="142 - Compras"), 25, 0)) +(IF(OR(S700="GRADO ING. MECÁNICA", S700="GRADO ING. ELÉCTRICA", S700="GRADO DERECHO", S700="GRADO ECONOMÍA", S700="GRADO ING. TECNOLOGÍAS INDUSTRIALES"), 24, 0)) + (IF(AND(K700&gt;=451, K700&lt;=700), 23, 0)) + (IF(AND(AB700&gt;=5, AB700&lt;=8), 17, 0)) +(IF(_xludf.OR(_xludf.AND(AC700&gt;=8, AC700&lt;=10), _xludf.AND(AC700&gt;=0, AC700&lt;=5)), 16, 0)) + (IF(F700="Madrid", 11, 0))))</f>
        <v>#NAME?</v>
      </c>
      <c r="AG700" s="68"/>
      <c r="AH700" s="71" t="s">
        <v>164</v>
      </c>
    </row>
    <row r="701" spans="1:34" ht="14.4" x14ac:dyDescent="0.3">
      <c r="A701" s="66" t="s">
        <v>1678</v>
      </c>
      <c r="B701" s="66" t="s">
        <v>3795</v>
      </c>
      <c r="C701" s="33">
        <v>699</v>
      </c>
      <c r="D701" s="33" t="s">
        <v>5400</v>
      </c>
      <c r="E701" s="34" t="s">
        <v>5222</v>
      </c>
      <c r="F701" s="34" t="s">
        <v>18</v>
      </c>
      <c r="G701" s="57">
        <v>42249</v>
      </c>
      <c r="H701" s="57">
        <v>42584</v>
      </c>
      <c r="I701" s="34">
        <f t="shared" si="30"/>
        <v>11</v>
      </c>
      <c r="J701" s="34">
        <v>40</v>
      </c>
      <c r="K701" s="36">
        <v>825</v>
      </c>
      <c r="L701" s="34" t="s">
        <v>17</v>
      </c>
      <c r="M701" s="57">
        <v>36113</v>
      </c>
      <c r="N701" s="37">
        <f>(YEAR(TablaMadre[[#This Row],[ALTA]])-YEAR(M701))</f>
        <v>17</v>
      </c>
      <c r="O701" s="34" t="s">
        <v>18</v>
      </c>
      <c r="P701" s="34" t="s">
        <v>19</v>
      </c>
      <c r="Q701" s="34" t="s">
        <v>108</v>
      </c>
      <c r="R701" s="34" t="s">
        <v>21</v>
      </c>
      <c r="S701" s="34" t="s">
        <v>322</v>
      </c>
      <c r="T701" s="34"/>
      <c r="U701" s="34"/>
      <c r="V701" s="34" t="s">
        <v>67</v>
      </c>
      <c r="W701" s="34" t="s">
        <v>28</v>
      </c>
      <c r="X701" s="38" t="s">
        <v>164</v>
      </c>
      <c r="Y701" s="62">
        <v>44243</v>
      </c>
      <c r="Z701" s="38">
        <f t="shared" si="31"/>
        <v>4</v>
      </c>
      <c r="AA701" s="38"/>
      <c r="AB701" s="34"/>
      <c r="AC701" s="34"/>
      <c r="AD701" s="38"/>
      <c r="AE701" s="59" t="str">
        <f t="shared" si="32"/>
        <v>NO</v>
      </c>
      <c r="AF701" s="38" t="e" cm="1">
        <f t="array" aca="1" ref="AF701" ca="1">MIN(100, MAX(0, (IF(R701="ESTUDIANTE", 31, 0)) + (IF(I701&lt;=3, 30, IF(I701&lt;=6, 20, 0))) +(IF(OR(E701="413 - Control de Costes y Enlace Construcción", E701="480 - Secretaría General del Consejo", E701="132 - Civil y estructuras", E701="136 - Mecánica", E701="412 - Planificación", E701="142 - Compras"), 25, 0)) +(IF(OR(S701="GRADO ING. MECÁNICA", S701="GRADO ING. ELÉCTRICA", S701="GRADO DERECHO", S701="GRADO ECONOMÍA", S701="GRADO ING. TECNOLOGÍAS INDUSTRIALES"), 24, 0)) + (IF(AND(K701&gt;=451, K701&lt;=700), 23, 0)) + (IF(AND(AB701&gt;=5, AB701&lt;=8), 17, 0)) +(IF(_xludf.OR(_xludf.AND(AC701&gt;=8, AC701&lt;=10), _xludf.AND(AC701&gt;=0, AC701&lt;=5)), 16, 0)) + (IF(F701="Madrid", 11, 0))))</f>
        <v>#NAME?</v>
      </c>
      <c r="AG701" s="68"/>
      <c r="AH701" s="71" t="s">
        <v>164</v>
      </c>
    </row>
    <row r="702" spans="1:34" ht="14.4" x14ac:dyDescent="0.3">
      <c r="A702" s="66" t="s">
        <v>1388</v>
      </c>
      <c r="B702" s="66" t="s">
        <v>3505</v>
      </c>
      <c r="C702" s="33">
        <v>704</v>
      </c>
      <c r="D702" s="33" t="s">
        <v>5401</v>
      </c>
      <c r="E702" s="34" t="s">
        <v>5218</v>
      </c>
      <c r="F702" s="34" t="s">
        <v>18</v>
      </c>
      <c r="G702" s="57">
        <v>42250</v>
      </c>
      <c r="H702" s="57">
        <v>42443</v>
      </c>
      <c r="I702" s="34">
        <f t="shared" si="30"/>
        <v>6</v>
      </c>
      <c r="J702" s="34">
        <v>40</v>
      </c>
      <c r="K702" s="36">
        <v>900</v>
      </c>
      <c r="L702" s="34" t="s">
        <v>17</v>
      </c>
      <c r="M702" s="57">
        <v>35633</v>
      </c>
      <c r="N702" s="37">
        <f>(YEAR(TablaMadre[[#This Row],[ALTA]])-YEAR(M702))</f>
        <v>18</v>
      </c>
      <c r="O702" s="34" t="s">
        <v>18</v>
      </c>
      <c r="P702" s="34" t="s">
        <v>19</v>
      </c>
      <c r="Q702" s="34" t="s">
        <v>20</v>
      </c>
      <c r="R702" s="34" t="s">
        <v>21</v>
      </c>
      <c r="S702" s="34" t="s">
        <v>151</v>
      </c>
      <c r="T702" s="34"/>
      <c r="U702" s="34"/>
      <c r="V702" s="34" t="s">
        <v>22</v>
      </c>
      <c r="W702" s="34" t="s">
        <v>28</v>
      </c>
      <c r="X702" s="34" t="s">
        <v>173</v>
      </c>
      <c r="Y702" s="57"/>
      <c r="Z702" s="34" t="e">
        <f t="shared" si="31"/>
        <v>#NUM!</v>
      </c>
      <c r="AA702" s="34" t="s">
        <v>173</v>
      </c>
      <c r="AB702" s="34">
        <v>7</v>
      </c>
      <c r="AC702" s="34">
        <v>10</v>
      </c>
      <c r="AD702" s="34"/>
      <c r="AE702" s="59" t="str">
        <f t="shared" si="32"/>
        <v>NO</v>
      </c>
      <c r="AF702" s="38" t="e" cm="1">
        <f t="array" aca="1" ref="AF702" ca="1">MIN(100, MAX(0, (IF(R702="ESTUDIANTE", 31, 0)) + (IF(I702&lt;=3, 30, IF(I702&lt;=6, 20, 0))) +(IF(OR(E702="413 - Control de Costes y Enlace Construcción", E702="480 - Secretaría General del Consejo", E702="132 - Civil y estructuras", E702="136 - Mecánica", E702="412 - Planificación", E702="142 - Compras"), 25, 0)) +(IF(OR(S702="GRADO ING. MECÁNICA", S702="GRADO ING. ELÉCTRICA", S702="GRADO DERECHO", S702="GRADO ECONOMÍA", S702="GRADO ING. TECNOLOGÍAS INDUSTRIALES"), 24, 0)) + (IF(AND(K702&gt;=451, K702&lt;=700), 23, 0)) + (IF(AND(AB702&gt;=5, AB702&lt;=8), 17, 0)) +(IF(_xludf.OR(_xludf.AND(AC702&gt;=8, AC702&lt;=10), _xludf.AND(AC702&gt;=0, AC702&lt;=5)), 16, 0)) + (IF(F702="Madrid", 11, 0))))</f>
        <v>#NAME?</v>
      </c>
      <c r="AG702" s="68"/>
      <c r="AH702" s="71" t="s">
        <v>164</v>
      </c>
    </row>
    <row r="703" spans="1:34" ht="14.4" x14ac:dyDescent="0.3">
      <c r="A703" s="66" t="s">
        <v>2118</v>
      </c>
      <c r="B703" s="66" t="s">
        <v>4235</v>
      </c>
      <c r="C703" s="33">
        <v>701</v>
      </c>
      <c r="D703" s="33" t="s">
        <v>5402</v>
      </c>
      <c r="E703" s="34" t="s">
        <v>5226</v>
      </c>
      <c r="F703" s="34" t="s">
        <v>118</v>
      </c>
      <c r="G703" s="57">
        <v>42250</v>
      </c>
      <c r="H703" s="57">
        <v>42087</v>
      </c>
      <c r="I703" s="34" t="e">
        <f t="shared" si="30"/>
        <v>#NUM!</v>
      </c>
      <c r="J703" s="34">
        <v>20</v>
      </c>
      <c r="K703" s="36">
        <v>0</v>
      </c>
      <c r="L703" s="34" t="s">
        <v>17</v>
      </c>
      <c r="M703" s="57">
        <v>33012</v>
      </c>
      <c r="N703" s="37">
        <f>(YEAR(TablaMadre[[#This Row],[ALTA]])-YEAR(M703))</f>
        <v>25</v>
      </c>
      <c r="O703" s="34" t="s">
        <v>118</v>
      </c>
      <c r="P703" s="34" t="s">
        <v>19</v>
      </c>
      <c r="Q703" s="34" t="s">
        <v>300</v>
      </c>
      <c r="R703" s="34" t="s">
        <v>30</v>
      </c>
      <c r="S703" s="34" t="s">
        <v>301</v>
      </c>
      <c r="T703" s="34"/>
      <c r="U703" s="34"/>
      <c r="V703" s="34" t="s">
        <v>163</v>
      </c>
      <c r="W703" s="34" t="s">
        <v>23</v>
      </c>
      <c r="X703" s="38" t="s">
        <v>173</v>
      </c>
      <c r="Y703" s="62"/>
      <c r="Z703" s="62" t="e">
        <f t="shared" si="31"/>
        <v>#NUM!</v>
      </c>
      <c r="AA703" s="62"/>
      <c r="AB703" s="34"/>
      <c r="AC703" s="34"/>
      <c r="AD703" s="38"/>
      <c r="AE703" s="59" t="str">
        <f t="shared" si="32"/>
        <v>NO</v>
      </c>
      <c r="AF703" s="38" t="e" cm="1">
        <f t="array" aca="1" ref="AF703" ca="1">MIN(100, MAX(0, (IF(R703="ESTUDIANTE", 31, 0)) + (IF(I703&lt;=3, 30, IF(I703&lt;=6, 20, 0))) +(IF(OR(E703="413 - Control de Costes y Enlace Construcción", E703="480 - Secretaría General del Consejo", E703="132 - Civil y estructuras", E703="136 - Mecánica", E703="412 - Planificación", E703="142 - Compras"), 25, 0)) +(IF(OR(S703="GRADO ING. MECÁNICA", S703="GRADO ING. ELÉCTRICA", S703="GRADO DERECHO", S703="GRADO ECONOMÍA", S703="GRADO ING. TECNOLOGÍAS INDUSTRIALES"), 24, 0)) + (IF(AND(K703&gt;=451, K703&lt;=700), 23, 0)) + (IF(AND(AB703&gt;=5, AB703&lt;=8), 17, 0)) +(IF(_xludf.OR(_xludf.AND(AC703&gt;=8, AC703&lt;=10), _xludf.AND(AC703&gt;=0, AC703&lt;=5)), 16, 0)) + (IF(F703="Madrid", 11, 0))))</f>
        <v>#NUM!</v>
      </c>
      <c r="AG703" s="68"/>
      <c r="AH703" s="71" t="s">
        <v>164</v>
      </c>
    </row>
    <row r="704" spans="1:34" ht="14.4" x14ac:dyDescent="0.3">
      <c r="A704" s="66" t="s">
        <v>2526</v>
      </c>
      <c r="B704" s="66" t="s">
        <v>4643</v>
      </c>
      <c r="C704" s="33">
        <v>703</v>
      </c>
      <c r="D704" s="33" t="s">
        <v>5393</v>
      </c>
      <c r="E704" s="34" t="s">
        <v>5226</v>
      </c>
      <c r="F704" s="34" t="s">
        <v>118</v>
      </c>
      <c r="G704" s="57">
        <v>42250</v>
      </c>
      <c r="H704" s="57">
        <v>42087</v>
      </c>
      <c r="I704" s="34" t="e">
        <f t="shared" si="30"/>
        <v>#NUM!</v>
      </c>
      <c r="J704" s="34">
        <v>20</v>
      </c>
      <c r="K704" s="36">
        <v>0</v>
      </c>
      <c r="L704" s="34" t="s">
        <v>29</v>
      </c>
      <c r="M704" s="57">
        <v>33343</v>
      </c>
      <c r="N704" s="37">
        <f>(YEAR(TablaMadre[[#This Row],[ALTA]])-YEAR(M704))</f>
        <v>24</v>
      </c>
      <c r="O704" s="34" t="s">
        <v>118</v>
      </c>
      <c r="P704" s="34" t="s">
        <v>19</v>
      </c>
      <c r="Q704" s="34" t="s">
        <v>300</v>
      </c>
      <c r="R704" s="34" t="s">
        <v>30</v>
      </c>
      <c r="S704" s="34" t="s">
        <v>301</v>
      </c>
      <c r="T704" s="34"/>
      <c r="U704" s="34"/>
      <c r="V704" s="34" t="s">
        <v>163</v>
      </c>
      <c r="W704" s="34" t="s">
        <v>23</v>
      </c>
      <c r="X704" s="38" t="s">
        <v>173</v>
      </c>
      <c r="Y704" s="62"/>
      <c r="Z704" s="62" t="e">
        <f t="shared" si="31"/>
        <v>#NUM!</v>
      </c>
      <c r="AA704" s="62"/>
      <c r="AB704" s="34"/>
      <c r="AC704" s="34"/>
      <c r="AD704" s="38"/>
      <c r="AE704" s="59" t="str">
        <f t="shared" si="32"/>
        <v>NO</v>
      </c>
      <c r="AF704" s="38" t="e" cm="1">
        <f t="array" aca="1" ref="AF704" ca="1">MIN(100, MAX(0, (IF(R704="ESTUDIANTE", 31, 0)) + (IF(I704&lt;=3, 30, IF(I704&lt;=6, 20, 0))) +(IF(OR(E704="413 - Control de Costes y Enlace Construcción", E704="480 - Secretaría General del Consejo", E704="132 - Civil y estructuras", E704="136 - Mecánica", E704="412 - Planificación", E704="142 - Compras"), 25, 0)) +(IF(OR(S704="GRADO ING. MECÁNICA", S704="GRADO ING. ELÉCTRICA", S704="GRADO DERECHO", S704="GRADO ECONOMÍA", S704="GRADO ING. TECNOLOGÍAS INDUSTRIALES"), 24, 0)) + (IF(AND(K704&gt;=451, K704&lt;=700), 23, 0)) + (IF(AND(AB704&gt;=5, AB704&lt;=8), 17, 0)) +(IF(_xludf.OR(_xludf.AND(AC704&gt;=8, AC704&lt;=10), _xludf.AND(AC704&gt;=0, AC704&lt;=5)), 16, 0)) + (IF(F704="Madrid", 11, 0))))</f>
        <v>#NUM!</v>
      </c>
      <c r="AG704" s="68"/>
      <c r="AH704" s="71" t="s">
        <v>164</v>
      </c>
    </row>
    <row r="705" spans="1:34" s="4" customFormat="1" ht="14.4" x14ac:dyDescent="0.3">
      <c r="A705" s="66" t="s">
        <v>2962</v>
      </c>
      <c r="B705" s="66" t="s">
        <v>5079</v>
      </c>
      <c r="C705" s="33">
        <v>702</v>
      </c>
      <c r="D705" s="33" t="s">
        <v>5394</v>
      </c>
      <c r="E705" s="34" t="s">
        <v>5226</v>
      </c>
      <c r="F705" s="34" t="s">
        <v>118</v>
      </c>
      <c r="G705" s="57">
        <v>42250</v>
      </c>
      <c r="H705" s="57">
        <v>42087</v>
      </c>
      <c r="I705" s="34" t="e">
        <f t="shared" si="30"/>
        <v>#NUM!</v>
      </c>
      <c r="J705" s="34">
        <v>20</v>
      </c>
      <c r="K705" s="36">
        <v>0</v>
      </c>
      <c r="L705" s="34" t="s">
        <v>29</v>
      </c>
      <c r="M705" s="57">
        <v>35176</v>
      </c>
      <c r="N705" s="37">
        <f>(YEAR(TablaMadre[[#This Row],[ALTA]])-YEAR(M705))</f>
        <v>19</v>
      </c>
      <c r="O705" s="34" t="s">
        <v>118</v>
      </c>
      <c r="P705" s="34" t="s">
        <v>19</v>
      </c>
      <c r="Q705" s="34" t="s">
        <v>300</v>
      </c>
      <c r="R705" s="34" t="s">
        <v>30</v>
      </c>
      <c r="S705" s="34" t="s">
        <v>301</v>
      </c>
      <c r="T705" s="34"/>
      <c r="U705" s="34"/>
      <c r="V705" s="34" t="s">
        <v>163</v>
      </c>
      <c r="W705" s="34" t="s">
        <v>23</v>
      </c>
      <c r="X705" s="38" t="s">
        <v>164</v>
      </c>
      <c r="Y705" s="62"/>
      <c r="Z705" s="62" t="e">
        <f t="shared" si="31"/>
        <v>#NUM!</v>
      </c>
      <c r="AA705" s="62"/>
      <c r="AB705" s="34"/>
      <c r="AC705" s="34"/>
      <c r="AD705" s="38"/>
      <c r="AE705" s="59" t="str">
        <f t="shared" si="32"/>
        <v>NO</v>
      </c>
      <c r="AF705" s="34" t="e" cm="1">
        <f t="array" aca="1" ref="AF705" ca="1">MIN(100, MAX(0, (IF(R705="ESTUDIANTE", 31, 0)) + (IF(I705&lt;=3, 30, IF(I705&lt;=6, 20, 0))) +(IF(OR(E705="413 - Control de Costes y Enlace Construcción", E705="480 - Secretaría General del Consejo", E705="132 - Civil y estructuras", E705="136 - Mecánica", E705="412 - Planificación", E705="142 - Compras"), 25, 0)) +(IF(OR(S705="GRADO ING. MECÁNICA", S705="GRADO ING. ELÉCTRICA", S705="GRADO DERECHO", S705="GRADO ECONOMÍA", S705="GRADO ING. TECNOLOGÍAS INDUSTRIALES"), 24, 0)) + (IF(AND(K705&gt;=451, K705&lt;=700), 23, 0)) + (IF(AND(AB705&gt;=5, AB705&lt;=8), 17, 0)) +(IF(_xludf.OR(_xludf.AND(AC705&gt;=8, AC705&lt;=10), _xludf.AND(AC705&gt;=0, AC705&lt;=5)), 16, 0)) + (IF(F705="Madrid", 11, 0))))</f>
        <v>#NUM!</v>
      </c>
      <c r="AG705" s="69"/>
      <c r="AH705" s="71" t="s">
        <v>164</v>
      </c>
    </row>
    <row r="706" spans="1:34" ht="14.4" x14ac:dyDescent="0.3">
      <c r="A706" s="66" t="s">
        <v>1684</v>
      </c>
      <c r="B706" s="66" t="s">
        <v>3801</v>
      </c>
      <c r="C706" s="33">
        <v>705</v>
      </c>
      <c r="D706" s="33" t="s">
        <v>5395</v>
      </c>
      <c r="E706" s="34" t="s">
        <v>5273</v>
      </c>
      <c r="F706" s="34" t="s">
        <v>18</v>
      </c>
      <c r="G706" s="57">
        <v>42259</v>
      </c>
      <c r="H706" s="57">
        <v>42594</v>
      </c>
      <c r="I706" s="34">
        <f t="shared" ref="I706:I769" si="33">DATEDIF(G706, H706, "M")</f>
        <v>11</v>
      </c>
      <c r="J706" s="34">
        <v>40</v>
      </c>
      <c r="K706" s="36">
        <v>825</v>
      </c>
      <c r="L706" s="34" t="s">
        <v>17</v>
      </c>
      <c r="M706" s="57">
        <v>34109</v>
      </c>
      <c r="N706" s="37">
        <f>(YEAR(TablaMadre[[#This Row],[ALTA]])-YEAR(M706))</f>
        <v>22</v>
      </c>
      <c r="O706" s="34" t="s">
        <v>18</v>
      </c>
      <c r="P706" s="34" t="s">
        <v>19</v>
      </c>
      <c r="Q706" s="34" t="s">
        <v>136</v>
      </c>
      <c r="R706" s="34" t="s">
        <v>21</v>
      </c>
      <c r="S706" s="34" t="s">
        <v>136</v>
      </c>
      <c r="T706" s="34"/>
      <c r="U706" s="34"/>
      <c r="V706" s="34" t="s">
        <v>22</v>
      </c>
      <c r="W706" s="34" t="s">
        <v>28</v>
      </c>
      <c r="X706" s="38" t="s">
        <v>164</v>
      </c>
      <c r="Y706" s="62">
        <v>45043</v>
      </c>
      <c r="Z706" s="38">
        <f t="shared" ref="Z706:Z769" si="34">DATEDIF(H706, Y706, "y")</f>
        <v>6</v>
      </c>
      <c r="AA706" s="38"/>
      <c r="AB706" s="34">
        <v>8.5</v>
      </c>
      <c r="AC706" s="34">
        <v>7</v>
      </c>
      <c r="AD706" s="38"/>
      <c r="AE706" s="59" t="str">
        <f t="shared" si="32"/>
        <v>NO</v>
      </c>
      <c r="AF706" s="38" t="e" cm="1">
        <f t="array" aca="1" ref="AF706" ca="1">MIN(100, MAX(0, (IF(R706="ESTUDIANTE", 31, 0)) + (IF(I706&lt;=3, 30, IF(I706&lt;=6, 20, 0))) +(IF(OR(E706="413 - Control de Costes y Enlace Construcción", E706="480 - Secretaría General del Consejo", E706="132 - Civil y estructuras", E706="136 - Mecánica", E706="412 - Planificación", E706="142 - Compras"), 25, 0)) +(IF(OR(S706="GRADO ING. MECÁNICA", S706="GRADO ING. ELÉCTRICA", S706="GRADO DERECHO", S706="GRADO ECONOMÍA", S706="GRADO ING. TECNOLOGÍAS INDUSTRIALES"), 24, 0)) + (IF(AND(K706&gt;=451, K706&lt;=700), 23, 0)) + (IF(AND(AB706&gt;=5, AB706&lt;=8), 17, 0)) +(IF(_xludf.OR(_xludf.AND(AC706&gt;=8, AC706&lt;=10), _xludf.AND(AC706&gt;=0, AC706&lt;=5)), 16, 0)) + (IF(F706="Madrid", 11, 0))))</f>
        <v>#NAME?</v>
      </c>
      <c r="AG706" s="68"/>
      <c r="AH706" s="71" t="s">
        <v>164</v>
      </c>
    </row>
    <row r="707" spans="1:34" ht="14.4" x14ac:dyDescent="0.3">
      <c r="A707" s="66" t="s">
        <v>1685</v>
      </c>
      <c r="B707" s="66" t="s">
        <v>3802</v>
      </c>
      <c r="C707" s="33">
        <v>706</v>
      </c>
      <c r="D707" s="33" t="s">
        <v>5396</v>
      </c>
      <c r="E707" s="34" t="s">
        <v>5218</v>
      </c>
      <c r="F707" s="34" t="s">
        <v>18</v>
      </c>
      <c r="G707" s="57">
        <v>42259</v>
      </c>
      <c r="H707" s="57">
        <v>42953</v>
      </c>
      <c r="I707" s="34">
        <f t="shared" si="33"/>
        <v>22</v>
      </c>
      <c r="J707" s="34">
        <v>40</v>
      </c>
      <c r="K707" s="36">
        <v>900</v>
      </c>
      <c r="L707" s="34" t="s">
        <v>29</v>
      </c>
      <c r="M707" s="57">
        <v>34927</v>
      </c>
      <c r="N707" s="37">
        <f>(YEAR(TablaMadre[[#This Row],[ALTA]])-YEAR(M707))</f>
        <v>20</v>
      </c>
      <c r="O707" s="34" t="s">
        <v>941</v>
      </c>
      <c r="P707" s="34" t="s">
        <v>19</v>
      </c>
      <c r="Q707" s="34" t="s">
        <v>20</v>
      </c>
      <c r="R707" s="34" t="s">
        <v>21</v>
      </c>
      <c r="S707" s="34" t="s">
        <v>151</v>
      </c>
      <c r="T707" s="34"/>
      <c r="U707" s="34"/>
      <c r="V707" s="34" t="s">
        <v>107</v>
      </c>
      <c r="W707" s="34" t="s">
        <v>28</v>
      </c>
      <c r="X707" s="38" t="s">
        <v>164</v>
      </c>
      <c r="Y707" s="62">
        <v>42962</v>
      </c>
      <c r="Z707" s="38">
        <f t="shared" si="34"/>
        <v>0</v>
      </c>
      <c r="AA707" s="38"/>
      <c r="AB707" s="34">
        <v>7</v>
      </c>
      <c r="AC707" s="34">
        <v>10</v>
      </c>
      <c r="AD707" s="38"/>
      <c r="AE707" s="59" t="str">
        <f t="shared" ref="AE707:AE770" si="35">IF(F707=O707, "NO", "SÍ")</f>
        <v>SÍ</v>
      </c>
      <c r="AF707" s="38" t="e" cm="1">
        <f t="array" aca="1" ref="AF707" ca="1">MIN(100, MAX(0, (IF(R707="ESTUDIANTE", 31, 0)) + (IF(I707&lt;=3, 30, IF(I707&lt;=6, 20, 0))) +(IF(OR(E707="413 - Control de Costes y Enlace Construcción", E707="480 - Secretaría General del Consejo", E707="132 - Civil y estructuras", E707="136 - Mecánica", E707="412 - Planificación", E707="142 - Compras"), 25, 0)) +(IF(OR(S707="GRADO ING. MECÁNICA", S707="GRADO ING. ELÉCTRICA", S707="GRADO DERECHO", S707="GRADO ECONOMÍA", S707="GRADO ING. TECNOLOGÍAS INDUSTRIALES"), 24, 0)) + (IF(AND(K707&gt;=451, K707&lt;=700), 23, 0)) + (IF(AND(AB707&gt;=5, AB707&lt;=8), 17, 0)) +(IF(_xludf.OR(_xludf.AND(AC707&gt;=8, AC707&lt;=10), _xludf.AND(AC707&gt;=0, AC707&lt;=5)), 16, 0)) + (IF(F707="Madrid", 11, 0))))</f>
        <v>#NAME?</v>
      </c>
      <c r="AG707" s="68"/>
      <c r="AH707" s="71" t="s">
        <v>164</v>
      </c>
    </row>
    <row r="708" spans="1:34" ht="14.4" x14ac:dyDescent="0.3">
      <c r="A708" s="66" t="s">
        <v>1670</v>
      </c>
      <c r="B708" s="66" t="s">
        <v>3787</v>
      </c>
      <c r="C708" s="33">
        <v>707</v>
      </c>
      <c r="D708" s="33" t="s">
        <v>5397</v>
      </c>
      <c r="E708" s="34" t="s">
        <v>5233</v>
      </c>
      <c r="F708" s="34" t="s">
        <v>18</v>
      </c>
      <c r="G708" s="57">
        <v>42268</v>
      </c>
      <c r="H708" s="57">
        <v>42426</v>
      </c>
      <c r="I708" s="34">
        <f t="shared" si="33"/>
        <v>5</v>
      </c>
      <c r="J708" s="34">
        <v>40</v>
      </c>
      <c r="K708" s="36">
        <v>900</v>
      </c>
      <c r="L708" s="34" t="s">
        <v>17</v>
      </c>
      <c r="M708" s="57">
        <v>33960</v>
      </c>
      <c r="N708" s="37">
        <f>(YEAR(TablaMadre[[#This Row],[ALTA]])-YEAR(M708))</f>
        <v>23</v>
      </c>
      <c r="O708" s="34" t="s">
        <v>18</v>
      </c>
      <c r="P708" s="34" t="s">
        <v>19</v>
      </c>
      <c r="Q708" s="34" t="s">
        <v>85</v>
      </c>
      <c r="R708" s="34" t="s">
        <v>21</v>
      </c>
      <c r="S708" s="34" t="s">
        <v>322</v>
      </c>
      <c r="T708" s="34"/>
      <c r="U708" s="34"/>
      <c r="V708" s="34" t="s">
        <v>22</v>
      </c>
      <c r="W708" s="34" t="s">
        <v>181</v>
      </c>
      <c r="X708" s="38" t="s">
        <v>164</v>
      </c>
      <c r="Y708" s="62"/>
      <c r="Z708" s="62" t="e">
        <f t="shared" si="34"/>
        <v>#NUM!</v>
      </c>
      <c r="AA708" s="62"/>
      <c r="AB708" s="34"/>
      <c r="AC708" s="34"/>
      <c r="AD708" s="38"/>
      <c r="AE708" s="59" t="str">
        <f t="shared" si="35"/>
        <v>NO</v>
      </c>
      <c r="AF708" s="38" t="e" cm="1">
        <f t="array" aca="1" ref="AF708" ca="1">MIN(100, MAX(0, (IF(R708="ESTUDIANTE", 31, 0)) + (IF(I708&lt;=3, 30, IF(I708&lt;=6, 20, 0))) +(IF(OR(E708="413 - Control de Costes y Enlace Construcción", E708="480 - Secretaría General del Consejo", E708="132 - Civil y estructuras", E708="136 - Mecánica", E708="412 - Planificación", E708="142 - Compras"), 25, 0)) +(IF(OR(S708="GRADO ING. MECÁNICA", S708="GRADO ING. ELÉCTRICA", S708="GRADO DERECHO", S708="GRADO ECONOMÍA", S708="GRADO ING. TECNOLOGÍAS INDUSTRIALES"), 24, 0)) + (IF(AND(K708&gt;=451, K708&lt;=700), 23, 0)) + (IF(AND(AB708&gt;=5, AB708&lt;=8), 17, 0)) +(IF(_xludf.OR(_xludf.AND(AC708&gt;=8, AC708&lt;=10), _xludf.AND(AC708&gt;=0, AC708&lt;=5)), 16, 0)) + (IF(F708="Madrid", 11, 0))))</f>
        <v>#NAME?</v>
      </c>
      <c r="AG708" s="68"/>
      <c r="AH708" s="71" t="s">
        <v>164</v>
      </c>
    </row>
    <row r="709" spans="1:34" ht="14.4" x14ac:dyDescent="0.3">
      <c r="A709" s="66" t="s">
        <v>1671</v>
      </c>
      <c r="B709" s="66" t="s">
        <v>3788</v>
      </c>
      <c r="C709" s="33">
        <v>708</v>
      </c>
      <c r="D709" s="33" t="s">
        <v>5398</v>
      </c>
      <c r="E709" s="34" t="s">
        <v>5222</v>
      </c>
      <c r="F709" s="34" t="s">
        <v>18</v>
      </c>
      <c r="G709" s="57">
        <v>42269</v>
      </c>
      <c r="H709" s="57">
        <v>42454</v>
      </c>
      <c r="I709" s="34">
        <f t="shared" si="33"/>
        <v>6</v>
      </c>
      <c r="J709" s="34">
        <v>35</v>
      </c>
      <c r="K709" s="36">
        <v>570</v>
      </c>
      <c r="L709" s="34" t="s">
        <v>17</v>
      </c>
      <c r="M709" s="57">
        <v>34144</v>
      </c>
      <c r="N709" s="37">
        <f>(YEAR(TablaMadre[[#This Row],[ALTA]])-YEAR(M709))</f>
        <v>22</v>
      </c>
      <c r="O709" s="34" t="s">
        <v>105</v>
      </c>
      <c r="P709" s="34" t="s">
        <v>19</v>
      </c>
      <c r="Q709" s="34" t="s">
        <v>136</v>
      </c>
      <c r="R709" s="58" t="s">
        <v>30</v>
      </c>
      <c r="S709" s="34" t="s">
        <v>136</v>
      </c>
      <c r="T709" s="34"/>
      <c r="U709" s="34"/>
      <c r="V709" s="34" t="s">
        <v>90</v>
      </c>
      <c r="W709" s="34" t="s">
        <v>23</v>
      </c>
      <c r="X709" s="38" t="s">
        <v>164</v>
      </c>
      <c r="Y709" s="62"/>
      <c r="Z709" s="62" t="e">
        <f t="shared" si="34"/>
        <v>#NUM!</v>
      </c>
      <c r="AA709" s="62"/>
      <c r="AB709" s="34"/>
      <c r="AC709" s="34"/>
      <c r="AD709" s="38"/>
      <c r="AE709" s="59" t="str">
        <f t="shared" si="35"/>
        <v>SÍ</v>
      </c>
      <c r="AF709" s="38" t="e" cm="1">
        <f t="array" aca="1" ref="AF709" ca="1">MIN(100, MAX(0, (IF(R709="ESTUDIANTE", 31, 0)) + (IF(I709&lt;=3, 30, IF(I709&lt;=6, 20, 0))) +(IF(OR(E709="413 - Control de Costes y Enlace Construcción", E709="480 - Secretaría General del Consejo", E709="132 - Civil y estructuras", E709="136 - Mecánica", E709="412 - Planificación", E709="142 - Compras"), 25, 0)) +(IF(OR(S709="GRADO ING. MECÁNICA", S709="GRADO ING. ELÉCTRICA", S709="GRADO DERECHO", S709="GRADO ECONOMÍA", S709="GRADO ING. TECNOLOGÍAS INDUSTRIALES"), 24, 0)) + (IF(AND(K709&gt;=451, K709&lt;=700), 23, 0)) + (IF(AND(AB709&gt;=5, AB709&lt;=8), 17, 0)) +(IF(_xludf.OR(_xludf.AND(AC709&gt;=8, AC709&lt;=10), _xludf.AND(AC709&gt;=0, AC709&lt;=5)), 16, 0)) + (IF(F709="Madrid", 11, 0))))</f>
        <v>#NAME?</v>
      </c>
      <c r="AG709" s="68"/>
      <c r="AH709" s="71" t="s">
        <v>164</v>
      </c>
    </row>
    <row r="710" spans="1:34" ht="14.4" x14ac:dyDescent="0.3">
      <c r="A710" s="66" t="s">
        <v>1688</v>
      </c>
      <c r="B710" s="66" t="s">
        <v>3805</v>
      </c>
      <c r="C710" s="33">
        <v>709</v>
      </c>
      <c r="D710" s="33" t="s">
        <v>5399</v>
      </c>
      <c r="E710" s="34" t="s">
        <v>5233</v>
      </c>
      <c r="F710" s="34" t="s">
        <v>18</v>
      </c>
      <c r="G710" s="57">
        <v>42290</v>
      </c>
      <c r="H710" s="57">
        <v>42479</v>
      </c>
      <c r="I710" s="34">
        <f t="shared" si="33"/>
        <v>6</v>
      </c>
      <c r="J710" s="34">
        <v>40</v>
      </c>
      <c r="K710" s="36">
        <v>900</v>
      </c>
      <c r="L710" s="34" t="s">
        <v>17</v>
      </c>
      <c r="M710" s="57">
        <v>34529</v>
      </c>
      <c r="N710" s="37">
        <f>(YEAR(TablaMadre[[#This Row],[ALTA]])-YEAR(M710))</f>
        <v>21</v>
      </c>
      <c r="O710" s="34" t="s">
        <v>18</v>
      </c>
      <c r="P710" s="34" t="s">
        <v>19</v>
      </c>
      <c r="Q710" s="34" t="s">
        <v>353</v>
      </c>
      <c r="R710" s="34" t="s">
        <v>21</v>
      </c>
      <c r="S710" s="34" t="s">
        <v>322</v>
      </c>
      <c r="T710" s="34"/>
      <c r="U710" s="34"/>
      <c r="V710" s="34" t="s">
        <v>22</v>
      </c>
      <c r="W710" s="34" t="s">
        <v>28</v>
      </c>
      <c r="X710" s="38" t="s">
        <v>164</v>
      </c>
      <c r="Y710" s="62">
        <v>44884</v>
      </c>
      <c r="Z710" s="38">
        <f t="shared" si="34"/>
        <v>6</v>
      </c>
      <c r="AA710" s="38"/>
      <c r="AB710" s="34">
        <v>10</v>
      </c>
      <c r="AC710" s="34"/>
      <c r="AD710" s="38"/>
      <c r="AE710" s="59" t="str">
        <f t="shared" si="35"/>
        <v>NO</v>
      </c>
      <c r="AF710" s="38" t="e" cm="1">
        <f t="array" aca="1" ref="AF710" ca="1">MIN(100, MAX(0, (IF(R710="ESTUDIANTE", 31, 0)) + (IF(I710&lt;=3, 30, IF(I710&lt;=6, 20, 0))) +(IF(OR(E710="413 - Control de Costes y Enlace Construcción", E710="480 - Secretaría General del Consejo", E710="132 - Civil y estructuras", E710="136 - Mecánica", E710="412 - Planificación", E710="142 - Compras"), 25, 0)) +(IF(OR(S710="GRADO ING. MECÁNICA", S710="GRADO ING. ELÉCTRICA", S710="GRADO DERECHO", S710="GRADO ECONOMÍA", S710="GRADO ING. TECNOLOGÍAS INDUSTRIALES"), 24, 0)) + (IF(AND(K710&gt;=451, K710&lt;=700), 23, 0)) + (IF(AND(AB710&gt;=5, AB710&lt;=8), 17, 0)) +(IF(_xludf.OR(_xludf.AND(AC710&gt;=8, AC710&lt;=10), _xludf.AND(AC710&gt;=0, AC710&lt;=5)), 16, 0)) + (IF(F710="Madrid", 11, 0))))</f>
        <v>#NAME?</v>
      </c>
      <c r="AG710" s="68"/>
      <c r="AH710" s="71" t="s">
        <v>164</v>
      </c>
    </row>
    <row r="711" spans="1:34" ht="14.4" x14ac:dyDescent="0.3">
      <c r="A711" s="66" t="s">
        <v>1689</v>
      </c>
      <c r="B711" s="66" t="s">
        <v>3806</v>
      </c>
      <c r="C711" s="33">
        <v>710</v>
      </c>
      <c r="D711" s="33" t="s">
        <v>5393</v>
      </c>
      <c r="E711" s="34" t="s">
        <v>5244</v>
      </c>
      <c r="F711" s="34" t="s">
        <v>18</v>
      </c>
      <c r="G711" s="57">
        <v>42291</v>
      </c>
      <c r="H711" s="57">
        <v>42816</v>
      </c>
      <c r="I711" s="34">
        <f t="shared" si="33"/>
        <v>17</v>
      </c>
      <c r="J711" s="34">
        <v>40</v>
      </c>
      <c r="K711" s="36">
        <v>900</v>
      </c>
      <c r="L711" s="34" t="s">
        <v>29</v>
      </c>
      <c r="M711" s="57">
        <v>34334</v>
      </c>
      <c r="N711" s="37">
        <f>(YEAR(TablaMadre[[#This Row],[ALTA]])-YEAR(M711))</f>
        <v>22</v>
      </c>
      <c r="O711" s="34" t="s">
        <v>64</v>
      </c>
      <c r="P711" s="34" t="s">
        <v>19</v>
      </c>
      <c r="Q711" s="34" t="s">
        <v>61</v>
      </c>
      <c r="R711" s="34" t="s">
        <v>21</v>
      </c>
      <c r="S711" s="34" t="s">
        <v>322</v>
      </c>
      <c r="T711" s="34"/>
      <c r="U711" s="34"/>
      <c r="V711" s="34" t="s">
        <v>67</v>
      </c>
      <c r="W711" s="34" t="s">
        <v>28</v>
      </c>
      <c r="X711" s="38" t="s">
        <v>164</v>
      </c>
      <c r="Y711" s="62">
        <v>44075</v>
      </c>
      <c r="Z711" s="38">
        <f t="shared" si="34"/>
        <v>3</v>
      </c>
      <c r="AA711" s="38"/>
      <c r="AB711" s="34">
        <v>7</v>
      </c>
      <c r="AC711" s="34">
        <v>8</v>
      </c>
      <c r="AD711" s="38"/>
      <c r="AE711" s="59" t="str">
        <f t="shared" si="35"/>
        <v>SÍ</v>
      </c>
      <c r="AF711" s="38" t="e" cm="1">
        <f t="array" aca="1" ref="AF711" ca="1">MIN(100, MAX(0, (IF(R711="ESTUDIANTE", 31, 0)) + (IF(I711&lt;=3, 30, IF(I711&lt;=6, 20, 0))) +(IF(OR(E711="413 - Control de Costes y Enlace Construcción", E711="480 - Secretaría General del Consejo", E711="132 - Civil y estructuras", E711="136 - Mecánica", E711="412 - Planificación", E711="142 - Compras"), 25, 0)) +(IF(OR(S711="GRADO ING. MECÁNICA", S711="GRADO ING. ELÉCTRICA", S711="GRADO DERECHO", S711="GRADO ECONOMÍA", S711="GRADO ING. TECNOLOGÍAS INDUSTRIALES"), 24, 0)) + (IF(AND(K711&gt;=451, K711&lt;=700), 23, 0)) + (IF(AND(AB711&gt;=5, AB711&lt;=8), 17, 0)) +(IF(_xludf.OR(_xludf.AND(AC711&gt;=8, AC711&lt;=10), _xludf.AND(AC711&gt;=0, AC711&lt;=5)), 16, 0)) + (IF(F711="Madrid", 11, 0))))</f>
        <v>#NAME?</v>
      </c>
      <c r="AG711" s="68"/>
      <c r="AH711" s="71" t="s">
        <v>164</v>
      </c>
    </row>
    <row r="712" spans="1:34" ht="14.4" x14ac:dyDescent="0.3">
      <c r="A712" s="66" t="s">
        <v>1690</v>
      </c>
      <c r="B712" s="66" t="s">
        <v>3807</v>
      </c>
      <c r="C712" s="33">
        <v>711</v>
      </c>
      <c r="D712" s="33" t="s">
        <v>5394</v>
      </c>
      <c r="E712" s="34" t="s">
        <v>5235</v>
      </c>
      <c r="F712" s="34" t="s">
        <v>18</v>
      </c>
      <c r="G712" s="57">
        <v>42296</v>
      </c>
      <c r="H712" s="57">
        <v>42663</v>
      </c>
      <c r="I712" s="34">
        <f t="shared" si="33"/>
        <v>12</v>
      </c>
      <c r="J712" s="34">
        <v>40</v>
      </c>
      <c r="K712" s="36">
        <v>825</v>
      </c>
      <c r="L712" s="34" t="s">
        <v>29</v>
      </c>
      <c r="M712" s="57">
        <v>34318</v>
      </c>
      <c r="N712" s="37">
        <f>(YEAR(TablaMadre[[#This Row],[ALTA]])-YEAR(M712))</f>
        <v>22</v>
      </c>
      <c r="O712" s="34" t="s">
        <v>70</v>
      </c>
      <c r="P712" s="34" t="s">
        <v>19</v>
      </c>
      <c r="Q712" s="34" t="s">
        <v>326</v>
      </c>
      <c r="R712" s="34" t="s">
        <v>21</v>
      </c>
      <c r="S712" s="34" t="s">
        <v>151</v>
      </c>
      <c r="T712" s="34"/>
      <c r="U712" s="34"/>
      <c r="V712" s="34" t="s">
        <v>86</v>
      </c>
      <c r="W712" s="34" t="s">
        <v>28</v>
      </c>
      <c r="X712" s="38" t="s">
        <v>164</v>
      </c>
      <c r="Y712" s="62">
        <v>43157</v>
      </c>
      <c r="Z712" s="38">
        <f t="shared" si="34"/>
        <v>1</v>
      </c>
      <c r="AA712" s="38"/>
      <c r="AB712" s="34">
        <v>9</v>
      </c>
      <c r="AC712" s="34"/>
      <c r="AD712" s="38"/>
      <c r="AE712" s="59" t="str">
        <f t="shared" si="35"/>
        <v>SÍ</v>
      </c>
      <c r="AF712" s="38" t="e" cm="1">
        <f t="array" aca="1" ref="AF712" ca="1">MIN(100, MAX(0, (IF(R712="ESTUDIANTE", 31, 0)) + (IF(I712&lt;=3, 30, IF(I712&lt;=6, 20, 0))) +(IF(OR(E712="413 - Control de Costes y Enlace Construcción", E712="480 - Secretaría General del Consejo", E712="132 - Civil y estructuras", E712="136 - Mecánica", E712="412 - Planificación", E712="142 - Compras"), 25, 0)) +(IF(OR(S712="GRADO ING. MECÁNICA", S712="GRADO ING. ELÉCTRICA", S712="GRADO DERECHO", S712="GRADO ECONOMÍA", S712="GRADO ING. TECNOLOGÍAS INDUSTRIALES"), 24, 0)) + (IF(AND(K712&gt;=451, K712&lt;=700), 23, 0)) + (IF(AND(AB712&gt;=5, AB712&lt;=8), 17, 0)) +(IF(_xludf.OR(_xludf.AND(AC712&gt;=8, AC712&lt;=10), _xludf.AND(AC712&gt;=0, AC712&lt;=5)), 16, 0)) + (IF(F712="Madrid", 11, 0))))</f>
        <v>#NAME?</v>
      </c>
      <c r="AG712" s="68"/>
      <c r="AH712" s="71" t="s">
        <v>164</v>
      </c>
    </row>
    <row r="713" spans="1:34" ht="14.4" x14ac:dyDescent="0.3">
      <c r="A713" s="66" t="s">
        <v>1691</v>
      </c>
      <c r="B713" s="66" t="s">
        <v>3808</v>
      </c>
      <c r="C713" s="33">
        <v>712</v>
      </c>
      <c r="D713" s="33" t="s">
        <v>5395</v>
      </c>
      <c r="E713" s="34" t="s">
        <v>5295</v>
      </c>
      <c r="F713" s="34" t="s">
        <v>18</v>
      </c>
      <c r="G713" s="57">
        <v>42296</v>
      </c>
      <c r="H713" s="57">
        <v>42794</v>
      </c>
      <c r="I713" s="34">
        <f t="shared" si="33"/>
        <v>16</v>
      </c>
      <c r="J713" s="34">
        <v>40</v>
      </c>
      <c r="K713" s="36">
        <v>900</v>
      </c>
      <c r="L713" s="34" t="s">
        <v>29</v>
      </c>
      <c r="M713" s="57">
        <v>34654</v>
      </c>
      <c r="N713" s="37">
        <f>(YEAR(TablaMadre[[#This Row],[ALTA]])-YEAR(M713))</f>
        <v>21</v>
      </c>
      <c r="O713" s="34" t="s">
        <v>18</v>
      </c>
      <c r="P713" s="34" t="s">
        <v>19</v>
      </c>
      <c r="Q713" s="34" t="s">
        <v>39</v>
      </c>
      <c r="R713" s="34" t="s">
        <v>21</v>
      </c>
      <c r="S713" s="34" t="s">
        <v>960</v>
      </c>
      <c r="T713" s="34"/>
      <c r="U713" s="34"/>
      <c r="V713" s="34" t="s">
        <v>67</v>
      </c>
      <c r="W713" s="34" t="s">
        <v>28</v>
      </c>
      <c r="X713" s="38" t="s">
        <v>173</v>
      </c>
      <c r="Y713" s="62"/>
      <c r="Z713" s="38" t="e">
        <f t="shared" si="34"/>
        <v>#NUM!</v>
      </c>
      <c r="AA713" s="38"/>
      <c r="AB713" s="34">
        <v>10</v>
      </c>
      <c r="AC713" s="34">
        <v>8.1999999999999993</v>
      </c>
      <c r="AD713" s="38"/>
      <c r="AE713" s="59" t="str">
        <f t="shared" si="35"/>
        <v>NO</v>
      </c>
      <c r="AF713" s="38" t="e" cm="1">
        <f t="array" aca="1" ref="AF713" ca="1">MIN(100, MAX(0, (IF(R713="ESTUDIANTE", 31, 0)) + (IF(I713&lt;=3, 30, IF(I713&lt;=6, 20, 0))) +(IF(OR(E713="413 - Control de Costes y Enlace Construcción", E713="480 - Secretaría General del Consejo", E713="132 - Civil y estructuras", E713="136 - Mecánica", E713="412 - Planificación", E713="142 - Compras"), 25, 0)) +(IF(OR(S713="GRADO ING. MECÁNICA", S713="GRADO ING. ELÉCTRICA", S713="GRADO DERECHO", S713="GRADO ECONOMÍA", S713="GRADO ING. TECNOLOGÍAS INDUSTRIALES"), 24, 0)) + (IF(AND(K713&gt;=451, K713&lt;=700), 23, 0)) + (IF(AND(AB713&gt;=5, AB713&lt;=8), 17, 0)) +(IF(_xludf.OR(_xludf.AND(AC713&gt;=8, AC713&lt;=10), _xludf.AND(AC713&gt;=0, AC713&lt;=5)), 16, 0)) + (IF(F713="Madrid", 11, 0))))</f>
        <v>#NAME?</v>
      </c>
      <c r="AG713" s="68"/>
      <c r="AH713" s="71" t="s">
        <v>164</v>
      </c>
    </row>
    <row r="714" spans="1:34" ht="14.4" x14ac:dyDescent="0.3">
      <c r="A714" s="66" t="s">
        <v>1692</v>
      </c>
      <c r="B714" s="66" t="s">
        <v>3809</v>
      </c>
      <c r="C714" s="33">
        <v>713</v>
      </c>
      <c r="D714" s="33" t="s">
        <v>5396</v>
      </c>
      <c r="E714" s="34" t="s">
        <v>5244</v>
      </c>
      <c r="F714" s="34" t="s">
        <v>18</v>
      </c>
      <c r="G714" s="57">
        <v>42298</v>
      </c>
      <c r="H714" s="57">
        <v>42845</v>
      </c>
      <c r="I714" s="34">
        <f t="shared" si="33"/>
        <v>17</v>
      </c>
      <c r="J714" s="34">
        <v>40</v>
      </c>
      <c r="K714" s="36">
        <v>825</v>
      </c>
      <c r="L714" s="34" t="s">
        <v>17</v>
      </c>
      <c r="M714" s="57">
        <v>34504</v>
      </c>
      <c r="N714" s="37">
        <f>(YEAR(TablaMadre[[#This Row],[ALTA]])-YEAR(M714))</f>
        <v>21</v>
      </c>
      <c r="O714" s="34" t="s">
        <v>176</v>
      </c>
      <c r="P714" s="34" t="s">
        <v>19</v>
      </c>
      <c r="Q714" s="34" t="s">
        <v>136</v>
      </c>
      <c r="R714" s="34" t="s">
        <v>21</v>
      </c>
      <c r="S714" s="34" t="s">
        <v>136</v>
      </c>
      <c r="T714" s="34"/>
      <c r="U714" s="34"/>
      <c r="V714" s="34" t="s">
        <v>163</v>
      </c>
      <c r="W714" s="34" t="s">
        <v>28</v>
      </c>
      <c r="X714" s="38" t="s">
        <v>173</v>
      </c>
      <c r="Y714" s="62"/>
      <c r="Z714" s="38" t="e">
        <f t="shared" si="34"/>
        <v>#NUM!</v>
      </c>
      <c r="AA714" s="38"/>
      <c r="AB714" s="34">
        <v>9</v>
      </c>
      <c r="AC714" s="34">
        <v>8</v>
      </c>
      <c r="AD714" s="38"/>
      <c r="AE714" s="59" t="str">
        <f t="shared" si="35"/>
        <v>SÍ</v>
      </c>
      <c r="AF714" s="38" t="e" cm="1">
        <f t="array" aca="1" ref="AF714" ca="1">MIN(100, MAX(0, (IF(R714="ESTUDIANTE", 31, 0)) + (IF(I714&lt;=3, 30, IF(I714&lt;=6, 20, 0))) +(IF(OR(E714="413 - Control de Costes y Enlace Construcción", E714="480 - Secretaría General del Consejo", E714="132 - Civil y estructuras", E714="136 - Mecánica", E714="412 - Planificación", E714="142 - Compras"), 25, 0)) +(IF(OR(S714="GRADO ING. MECÁNICA", S714="GRADO ING. ELÉCTRICA", S714="GRADO DERECHO", S714="GRADO ECONOMÍA", S714="GRADO ING. TECNOLOGÍAS INDUSTRIALES"), 24, 0)) + (IF(AND(K714&gt;=451, K714&lt;=700), 23, 0)) + (IF(AND(AB714&gt;=5, AB714&lt;=8), 17, 0)) +(IF(_xludf.OR(_xludf.AND(AC714&gt;=8, AC714&lt;=10), _xludf.AND(AC714&gt;=0, AC714&lt;=5)), 16, 0)) + (IF(F714="Madrid", 11, 0))))</f>
        <v>#NAME?</v>
      </c>
      <c r="AG714" s="68"/>
      <c r="AH714" s="71" t="s">
        <v>164</v>
      </c>
    </row>
    <row r="715" spans="1:34" ht="14.4" x14ac:dyDescent="0.3">
      <c r="A715" s="66" t="s">
        <v>1693</v>
      </c>
      <c r="B715" s="66" t="s">
        <v>3810</v>
      </c>
      <c r="C715" s="33">
        <v>714</v>
      </c>
      <c r="D715" s="33" t="s">
        <v>5397</v>
      </c>
      <c r="E715" s="34" t="s">
        <v>5241</v>
      </c>
      <c r="F715" s="34" t="s">
        <v>18</v>
      </c>
      <c r="G715" s="57">
        <v>42299</v>
      </c>
      <c r="H715" s="57">
        <v>42846</v>
      </c>
      <c r="I715" s="34">
        <f t="shared" si="33"/>
        <v>17</v>
      </c>
      <c r="J715" s="34">
        <v>40</v>
      </c>
      <c r="K715" s="36">
        <v>825</v>
      </c>
      <c r="L715" s="34" t="s">
        <v>17</v>
      </c>
      <c r="M715" s="57">
        <v>34422</v>
      </c>
      <c r="N715" s="37">
        <f>(YEAR(TablaMadre[[#This Row],[ALTA]])-YEAR(M715))</f>
        <v>21</v>
      </c>
      <c r="O715" s="34" t="s">
        <v>18</v>
      </c>
      <c r="P715" s="34" t="s">
        <v>19</v>
      </c>
      <c r="Q715" s="34" t="s">
        <v>297</v>
      </c>
      <c r="R715" s="34" t="s">
        <v>21</v>
      </c>
      <c r="S715" s="34" t="s">
        <v>297</v>
      </c>
      <c r="T715" s="34"/>
      <c r="U715" s="34"/>
      <c r="V715" s="34" t="s">
        <v>40</v>
      </c>
      <c r="W715" s="34" t="s">
        <v>28</v>
      </c>
      <c r="X715" s="38" t="s">
        <v>173</v>
      </c>
      <c r="Y715" s="62"/>
      <c r="Z715" s="38" t="e">
        <f t="shared" si="34"/>
        <v>#NUM!</v>
      </c>
      <c r="AA715" s="38"/>
      <c r="AB715" s="34">
        <v>10</v>
      </c>
      <c r="AC715" s="34"/>
      <c r="AD715" s="38"/>
      <c r="AE715" s="59" t="str">
        <f t="shared" si="35"/>
        <v>NO</v>
      </c>
      <c r="AF715" s="38" t="e" cm="1">
        <f t="array" aca="1" ref="AF715" ca="1">MIN(100, MAX(0, (IF(R715="ESTUDIANTE", 31, 0)) + (IF(I715&lt;=3, 30, IF(I715&lt;=6, 20, 0))) +(IF(OR(E715="413 - Control de Costes y Enlace Construcción", E715="480 - Secretaría General del Consejo", E715="132 - Civil y estructuras", E715="136 - Mecánica", E715="412 - Planificación", E715="142 - Compras"), 25, 0)) +(IF(OR(S715="GRADO ING. MECÁNICA", S715="GRADO ING. ELÉCTRICA", S715="GRADO DERECHO", S715="GRADO ECONOMÍA", S715="GRADO ING. TECNOLOGÍAS INDUSTRIALES"), 24, 0)) + (IF(AND(K715&gt;=451, K715&lt;=700), 23, 0)) + (IF(AND(AB715&gt;=5, AB715&lt;=8), 17, 0)) +(IF(_xludf.OR(_xludf.AND(AC715&gt;=8, AC715&lt;=10), _xludf.AND(AC715&gt;=0, AC715&lt;=5)), 16, 0)) + (IF(F715="Madrid", 11, 0))))</f>
        <v>#NAME?</v>
      </c>
      <c r="AG715" s="68"/>
      <c r="AH715" s="71" t="s">
        <v>164</v>
      </c>
    </row>
    <row r="716" spans="1:34" ht="14.4" x14ac:dyDescent="0.3">
      <c r="A716" s="66" t="s">
        <v>1694</v>
      </c>
      <c r="B716" s="66" t="s">
        <v>3811</v>
      </c>
      <c r="C716" s="33">
        <v>715</v>
      </c>
      <c r="D716" s="33" t="s">
        <v>5398</v>
      </c>
      <c r="E716" s="34" t="s">
        <v>5241</v>
      </c>
      <c r="F716" s="34" t="s">
        <v>18</v>
      </c>
      <c r="G716" s="57">
        <v>42299</v>
      </c>
      <c r="H716" s="57">
        <v>42846</v>
      </c>
      <c r="I716" s="34">
        <f t="shared" si="33"/>
        <v>17</v>
      </c>
      <c r="J716" s="34">
        <v>40</v>
      </c>
      <c r="K716" s="36">
        <v>900</v>
      </c>
      <c r="L716" s="34" t="s">
        <v>17</v>
      </c>
      <c r="M716" s="57">
        <v>33227</v>
      </c>
      <c r="N716" s="37">
        <f>(YEAR(TablaMadre[[#This Row],[ALTA]])-YEAR(M716))</f>
        <v>25</v>
      </c>
      <c r="O716" s="34" t="s">
        <v>18</v>
      </c>
      <c r="P716" s="34" t="s">
        <v>19</v>
      </c>
      <c r="Q716" s="34" t="s">
        <v>49</v>
      </c>
      <c r="R716" s="34" t="s">
        <v>21</v>
      </c>
      <c r="S716" s="34" t="s">
        <v>297</v>
      </c>
      <c r="T716" s="34"/>
      <c r="U716" s="34"/>
      <c r="V716" s="34" t="s">
        <v>40</v>
      </c>
      <c r="W716" s="34" t="s">
        <v>28</v>
      </c>
      <c r="X716" s="38" t="s">
        <v>164</v>
      </c>
      <c r="Y716" s="62">
        <v>44287</v>
      </c>
      <c r="Z716" s="38">
        <f t="shared" si="34"/>
        <v>3</v>
      </c>
      <c r="AA716" s="38"/>
      <c r="AB716" s="34">
        <v>10</v>
      </c>
      <c r="AC716" s="34">
        <v>10</v>
      </c>
      <c r="AD716" s="38"/>
      <c r="AE716" s="59" t="str">
        <f t="shared" si="35"/>
        <v>NO</v>
      </c>
      <c r="AF716" s="38" t="e" cm="1">
        <f t="array" aca="1" ref="AF716" ca="1">MIN(100, MAX(0, (IF(R716="ESTUDIANTE", 31, 0)) + (IF(I716&lt;=3, 30, IF(I716&lt;=6, 20, 0))) +(IF(OR(E716="413 - Control de Costes y Enlace Construcción", E716="480 - Secretaría General del Consejo", E716="132 - Civil y estructuras", E716="136 - Mecánica", E716="412 - Planificación", E716="142 - Compras"), 25, 0)) +(IF(OR(S716="GRADO ING. MECÁNICA", S716="GRADO ING. ELÉCTRICA", S716="GRADO DERECHO", S716="GRADO ECONOMÍA", S716="GRADO ING. TECNOLOGÍAS INDUSTRIALES"), 24, 0)) + (IF(AND(K716&gt;=451, K716&lt;=700), 23, 0)) + (IF(AND(AB716&gt;=5, AB716&lt;=8), 17, 0)) +(IF(_xludf.OR(_xludf.AND(AC716&gt;=8, AC716&lt;=10), _xludf.AND(AC716&gt;=0, AC716&lt;=5)), 16, 0)) + (IF(F716="Madrid", 11, 0))))</f>
        <v>#NAME?</v>
      </c>
      <c r="AG716" s="68"/>
      <c r="AH716" s="71" t="s">
        <v>164</v>
      </c>
    </row>
    <row r="717" spans="1:34" ht="14.4" x14ac:dyDescent="0.3">
      <c r="A717" s="66" t="s">
        <v>1695</v>
      </c>
      <c r="B717" s="66" t="s">
        <v>3812</v>
      </c>
      <c r="C717" s="33">
        <v>716</v>
      </c>
      <c r="D717" s="33" t="s">
        <v>5399</v>
      </c>
      <c r="E717" s="34" t="s">
        <v>5231</v>
      </c>
      <c r="F717" s="34" t="s">
        <v>18</v>
      </c>
      <c r="G717" s="57">
        <v>42303</v>
      </c>
      <c r="H717" s="57">
        <v>42855</v>
      </c>
      <c r="I717" s="34">
        <f t="shared" si="33"/>
        <v>18</v>
      </c>
      <c r="J717" s="34">
        <v>40</v>
      </c>
      <c r="K717" s="36">
        <v>825</v>
      </c>
      <c r="L717" s="34" t="s">
        <v>17</v>
      </c>
      <c r="M717" s="57">
        <v>34199</v>
      </c>
      <c r="N717" s="37">
        <f>(YEAR(TablaMadre[[#This Row],[ALTA]])-YEAR(M717))</f>
        <v>22</v>
      </c>
      <c r="O717" s="34" t="s">
        <v>118</v>
      </c>
      <c r="P717" s="34" t="s">
        <v>19</v>
      </c>
      <c r="Q717" s="34" t="s">
        <v>297</v>
      </c>
      <c r="R717" s="34" t="s">
        <v>21</v>
      </c>
      <c r="S717" s="34" t="s">
        <v>297</v>
      </c>
      <c r="T717" s="34"/>
      <c r="U717" s="34"/>
      <c r="V717" s="34" t="s">
        <v>37</v>
      </c>
      <c r="W717" s="34" t="s">
        <v>28</v>
      </c>
      <c r="X717" s="38" t="s">
        <v>164</v>
      </c>
      <c r="Y717" s="62">
        <v>43162</v>
      </c>
      <c r="Z717" s="38">
        <f t="shared" si="34"/>
        <v>0</v>
      </c>
      <c r="AA717" s="38"/>
      <c r="AB717" s="34">
        <v>9</v>
      </c>
      <c r="AC717" s="34">
        <v>10</v>
      </c>
      <c r="AD717" s="38"/>
      <c r="AE717" s="59" t="str">
        <f t="shared" si="35"/>
        <v>SÍ</v>
      </c>
      <c r="AF717" s="38" t="e" cm="1">
        <f t="array" aca="1" ref="AF717" ca="1">MIN(100, MAX(0, (IF(R717="ESTUDIANTE", 31, 0)) + (IF(I717&lt;=3, 30, IF(I717&lt;=6, 20, 0))) +(IF(OR(E717="413 - Control de Costes y Enlace Construcción", E717="480 - Secretaría General del Consejo", E717="132 - Civil y estructuras", E717="136 - Mecánica", E717="412 - Planificación", E717="142 - Compras"), 25, 0)) +(IF(OR(S717="GRADO ING. MECÁNICA", S717="GRADO ING. ELÉCTRICA", S717="GRADO DERECHO", S717="GRADO ECONOMÍA", S717="GRADO ING. TECNOLOGÍAS INDUSTRIALES"), 24, 0)) + (IF(AND(K717&gt;=451, K717&lt;=700), 23, 0)) + (IF(AND(AB717&gt;=5, AB717&lt;=8), 17, 0)) +(IF(_xludf.OR(_xludf.AND(AC717&gt;=8, AC717&lt;=10), _xludf.AND(AC717&gt;=0, AC717&lt;=5)), 16, 0)) + (IF(F717="Madrid", 11, 0))))</f>
        <v>#NAME?</v>
      </c>
      <c r="AG717" s="68"/>
      <c r="AH717" s="71" t="s">
        <v>164</v>
      </c>
    </row>
    <row r="718" spans="1:34" s="4" customFormat="1" ht="14.4" x14ac:dyDescent="0.3">
      <c r="A718" s="66" t="s">
        <v>1696</v>
      </c>
      <c r="B718" s="66" t="s">
        <v>3813</v>
      </c>
      <c r="C718" s="33">
        <v>717</v>
      </c>
      <c r="D718" s="33" t="s">
        <v>5400</v>
      </c>
      <c r="E718" s="34" t="s">
        <v>5231</v>
      </c>
      <c r="F718" s="34" t="s">
        <v>931</v>
      </c>
      <c r="G718" s="57">
        <v>42324</v>
      </c>
      <c r="H718" s="57">
        <v>42349</v>
      </c>
      <c r="I718" s="34">
        <f t="shared" si="33"/>
        <v>0</v>
      </c>
      <c r="J718" s="34">
        <v>40</v>
      </c>
      <c r="K718" s="36">
        <v>1000</v>
      </c>
      <c r="L718" s="34" t="s">
        <v>17</v>
      </c>
      <c r="M718" s="57">
        <v>32711</v>
      </c>
      <c r="N718" s="37">
        <f>(YEAR(TablaMadre[[#This Row],[ALTA]])-YEAR(M718))</f>
        <v>26</v>
      </c>
      <c r="O718" s="34" t="s">
        <v>95</v>
      </c>
      <c r="P718" s="34" t="s">
        <v>95</v>
      </c>
      <c r="Q718" s="34"/>
      <c r="R718" s="34" t="s">
        <v>21</v>
      </c>
      <c r="S718" s="34"/>
      <c r="T718" s="34"/>
      <c r="U718" s="34"/>
      <c r="V718" s="34" t="s">
        <v>16</v>
      </c>
      <c r="W718" s="34" t="s">
        <v>97</v>
      </c>
      <c r="X718" s="34" t="s">
        <v>164</v>
      </c>
      <c r="Y718" s="57">
        <v>42413</v>
      </c>
      <c r="Z718" s="34">
        <f t="shared" si="34"/>
        <v>0</v>
      </c>
      <c r="AA718" s="34"/>
      <c r="AB718" s="34"/>
      <c r="AC718" s="34"/>
      <c r="AD718" s="34"/>
      <c r="AE718" s="59" t="str">
        <f t="shared" si="35"/>
        <v>SÍ</v>
      </c>
      <c r="AF718" s="34" t="e" cm="1">
        <f t="array" aca="1" ref="AF718" ca="1">MIN(100, MAX(0, (IF(R718="ESTUDIANTE", 31, 0)) + (IF(I718&lt;=3, 30, IF(I718&lt;=6, 20, 0))) +(IF(OR(E718="413 - Control de Costes y Enlace Construcción", E718="480 - Secretaría General del Consejo", E718="132 - Civil y estructuras", E718="136 - Mecánica", E718="412 - Planificación", E718="142 - Compras"), 25, 0)) +(IF(OR(S718="GRADO ING. MECÁNICA", S718="GRADO ING. ELÉCTRICA", S718="GRADO DERECHO", S718="GRADO ECONOMÍA", S718="GRADO ING. TECNOLOGÍAS INDUSTRIALES"), 24, 0)) + (IF(AND(K718&gt;=451, K718&lt;=700), 23, 0)) + (IF(AND(AB718&gt;=5, AB718&lt;=8), 17, 0)) +(IF(_xludf.OR(_xludf.AND(AC718&gt;=8, AC718&lt;=10), _xludf.AND(AC718&gt;=0, AC718&lt;=5)), 16, 0)) + (IF(F718="Madrid", 11, 0))))</f>
        <v>#NAME?</v>
      </c>
      <c r="AG718" s="69"/>
      <c r="AH718" s="71" t="s">
        <v>164</v>
      </c>
    </row>
    <row r="719" spans="1:34" ht="14.4" x14ac:dyDescent="0.3">
      <c r="A719" s="66" t="s">
        <v>1697</v>
      </c>
      <c r="B719" s="66" t="s">
        <v>3814</v>
      </c>
      <c r="C719" s="33">
        <v>718</v>
      </c>
      <c r="D719" s="33" t="s">
        <v>5401</v>
      </c>
      <c r="E719" s="34" t="s">
        <v>5252</v>
      </c>
      <c r="F719" s="34" t="s">
        <v>931</v>
      </c>
      <c r="G719" s="57">
        <v>42324</v>
      </c>
      <c r="H719" s="57">
        <v>42404</v>
      </c>
      <c r="I719" s="34">
        <f t="shared" si="33"/>
        <v>2</v>
      </c>
      <c r="J719" s="34">
        <v>40</v>
      </c>
      <c r="K719" s="36">
        <v>1000</v>
      </c>
      <c r="L719" s="34" t="s">
        <v>17</v>
      </c>
      <c r="M719" s="57">
        <v>33652</v>
      </c>
      <c r="N719" s="37">
        <f>(YEAR(TablaMadre[[#This Row],[ALTA]])-YEAR(M719))</f>
        <v>23</v>
      </c>
      <c r="O719" s="34" t="s">
        <v>95</v>
      </c>
      <c r="P719" s="34" t="s">
        <v>95</v>
      </c>
      <c r="Q719" s="34"/>
      <c r="R719" s="34" t="s">
        <v>21</v>
      </c>
      <c r="S719" s="34"/>
      <c r="T719" s="34"/>
      <c r="U719" s="34"/>
      <c r="V719" s="34" t="s">
        <v>16</v>
      </c>
      <c r="W719" s="34" t="s">
        <v>97</v>
      </c>
      <c r="X719" s="38" t="s">
        <v>164</v>
      </c>
      <c r="Y719" s="62">
        <v>42461</v>
      </c>
      <c r="Z719" s="38">
        <f t="shared" si="34"/>
        <v>0</v>
      </c>
      <c r="AA719" s="38"/>
      <c r="AB719" s="34"/>
      <c r="AC719" s="34"/>
      <c r="AD719" s="38"/>
      <c r="AE719" s="59" t="str">
        <f t="shared" si="35"/>
        <v>SÍ</v>
      </c>
      <c r="AF719" s="38" t="e" cm="1">
        <f t="array" aca="1" ref="AF719" ca="1">MIN(100, MAX(0, (IF(R719="ESTUDIANTE", 31, 0)) + (IF(I719&lt;=3, 30, IF(I719&lt;=6, 20, 0))) +(IF(OR(E719="413 - Control de Costes y Enlace Construcción", E719="480 - Secretaría General del Consejo", E719="132 - Civil y estructuras", E719="136 - Mecánica", E719="412 - Planificación", E719="142 - Compras"), 25, 0)) +(IF(OR(S719="GRADO ING. MECÁNICA", S719="GRADO ING. ELÉCTRICA", S719="GRADO DERECHO", S719="GRADO ECONOMÍA", S719="GRADO ING. TECNOLOGÍAS INDUSTRIALES"), 24, 0)) + (IF(AND(K719&gt;=451, K719&lt;=700), 23, 0)) + (IF(AND(AB719&gt;=5, AB719&lt;=8), 17, 0)) +(IF(_xludf.OR(_xludf.AND(AC719&gt;=8, AC719&lt;=10), _xludf.AND(AC719&gt;=0, AC719&lt;=5)), 16, 0)) + (IF(F719="Madrid", 11, 0))))</f>
        <v>#NAME?</v>
      </c>
      <c r="AG719" s="68"/>
      <c r="AH719" s="71" t="s">
        <v>164</v>
      </c>
    </row>
    <row r="720" spans="1:34" ht="14.4" x14ac:dyDescent="0.3">
      <c r="A720" s="66" t="s">
        <v>1698</v>
      </c>
      <c r="B720" s="66" t="s">
        <v>3815</v>
      </c>
      <c r="C720" s="33">
        <v>719</v>
      </c>
      <c r="D720" s="33" t="s">
        <v>5402</v>
      </c>
      <c r="E720" s="34" t="s">
        <v>5252</v>
      </c>
      <c r="F720" s="34" t="s">
        <v>931</v>
      </c>
      <c r="G720" s="57">
        <v>42324</v>
      </c>
      <c r="H720" s="57">
        <v>42411</v>
      </c>
      <c r="I720" s="34">
        <f t="shared" si="33"/>
        <v>2</v>
      </c>
      <c r="J720" s="34">
        <v>40</v>
      </c>
      <c r="K720" s="36">
        <v>1000</v>
      </c>
      <c r="L720" s="34" t="s">
        <v>17</v>
      </c>
      <c r="M720" s="57">
        <v>31972</v>
      </c>
      <c r="N720" s="37">
        <f>(YEAR(TablaMadre[[#This Row],[ALTA]])-YEAR(M720))</f>
        <v>28</v>
      </c>
      <c r="O720" s="34" t="s">
        <v>95</v>
      </c>
      <c r="P720" s="34" t="s">
        <v>95</v>
      </c>
      <c r="Q720" s="34"/>
      <c r="R720" s="34" t="s">
        <v>21</v>
      </c>
      <c r="S720" s="34"/>
      <c r="T720" s="34"/>
      <c r="U720" s="34"/>
      <c r="V720" s="34" t="s">
        <v>16</v>
      </c>
      <c r="W720" s="34" t="s">
        <v>97</v>
      </c>
      <c r="X720" s="38" t="s">
        <v>164</v>
      </c>
      <c r="Y720" s="62">
        <v>42461</v>
      </c>
      <c r="Z720" s="38">
        <f t="shared" si="34"/>
        <v>0</v>
      </c>
      <c r="AA720" s="38"/>
      <c r="AB720" s="34"/>
      <c r="AC720" s="34"/>
      <c r="AD720" s="38"/>
      <c r="AE720" s="59" t="str">
        <f t="shared" si="35"/>
        <v>SÍ</v>
      </c>
      <c r="AF720" s="38" t="e" cm="1">
        <f t="array" aca="1" ref="AF720" ca="1">MIN(100, MAX(0, (IF(R720="ESTUDIANTE", 31, 0)) + (IF(I720&lt;=3, 30, IF(I720&lt;=6, 20, 0))) +(IF(OR(E720="413 - Control de Costes y Enlace Construcción", E720="480 - Secretaría General del Consejo", E720="132 - Civil y estructuras", E720="136 - Mecánica", E720="412 - Planificación", E720="142 - Compras"), 25, 0)) +(IF(OR(S720="GRADO ING. MECÁNICA", S720="GRADO ING. ELÉCTRICA", S720="GRADO DERECHO", S720="GRADO ECONOMÍA", S720="GRADO ING. TECNOLOGÍAS INDUSTRIALES"), 24, 0)) + (IF(AND(K720&gt;=451, K720&lt;=700), 23, 0)) + (IF(AND(AB720&gt;=5, AB720&lt;=8), 17, 0)) +(IF(_xludf.OR(_xludf.AND(AC720&gt;=8, AC720&lt;=10), _xludf.AND(AC720&gt;=0, AC720&lt;=5)), 16, 0)) + (IF(F720="Madrid", 11, 0))))</f>
        <v>#NAME?</v>
      </c>
      <c r="AG720" s="68"/>
      <c r="AH720" s="71" t="s">
        <v>164</v>
      </c>
    </row>
    <row r="721" spans="1:34" ht="14.4" x14ac:dyDescent="0.3">
      <c r="A721" s="66" t="s">
        <v>1699</v>
      </c>
      <c r="B721" s="66" t="s">
        <v>3816</v>
      </c>
      <c r="C721" s="33">
        <v>720</v>
      </c>
      <c r="D721" s="33" t="s">
        <v>5393</v>
      </c>
      <c r="E721" s="34" t="s">
        <v>5233</v>
      </c>
      <c r="F721" s="34" t="s">
        <v>931</v>
      </c>
      <c r="G721" s="57">
        <v>42324</v>
      </c>
      <c r="H721" s="57">
        <v>42423</v>
      </c>
      <c r="I721" s="34">
        <f t="shared" si="33"/>
        <v>3</v>
      </c>
      <c r="J721" s="34">
        <v>40</v>
      </c>
      <c r="K721" s="36">
        <v>1000</v>
      </c>
      <c r="L721" s="34" t="s">
        <v>17</v>
      </c>
      <c r="M721" s="57">
        <v>34683</v>
      </c>
      <c r="N721" s="37">
        <f>(YEAR(TablaMadre[[#This Row],[ALTA]])-YEAR(M721))</f>
        <v>21</v>
      </c>
      <c r="O721" s="34" t="s">
        <v>95</v>
      </c>
      <c r="P721" s="34" t="s">
        <v>95</v>
      </c>
      <c r="Q721" s="34"/>
      <c r="R721" s="34" t="s">
        <v>21</v>
      </c>
      <c r="S721" s="34"/>
      <c r="T721" s="34"/>
      <c r="U721" s="34"/>
      <c r="V721" s="34" t="s">
        <v>16</v>
      </c>
      <c r="W721" s="34" t="s">
        <v>97</v>
      </c>
      <c r="X721" s="38" t="s">
        <v>164</v>
      </c>
      <c r="Y721" s="62">
        <v>42424</v>
      </c>
      <c r="Z721" s="38">
        <f t="shared" si="34"/>
        <v>0</v>
      </c>
      <c r="AA721" s="38"/>
      <c r="AB721" s="34"/>
      <c r="AC721" s="34"/>
      <c r="AD721" s="38"/>
      <c r="AE721" s="59" t="str">
        <f t="shared" si="35"/>
        <v>SÍ</v>
      </c>
      <c r="AF721" s="38" t="e" cm="1">
        <f t="array" aca="1" ref="AF721" ca="1">MIN(100, MAX(0, (IF(R721="ESTUDIANTE", 31, 0)) + (IF(I721&lt;=3, 30, IF(I721&lt;=6, 20, 0))) +(IF(OR(E721="413 - Control de Costes y Enlace Construcción", E721="480 - Secretaría General del Consejo", E721="132 - Civil y estructuras", E721="136 - Mecánica", E721="412 - Planificación", E721="142 - Compras"), 25, 0)) +(IF(OR(S721="GRADO ING. MECÁNICA", S721="GRADO ING. ELÉCTRICA", S721="GRADO DERECHO", S721="GRADO ECONOMÍA", S721="GRADO ING. TECNOLOGÍAS INDUSTRIALES"), 24, 0)) + (IF(AND(K721&gt;=451, K721&lt;=700), 23, 0)) + (IF(AND(AB721&gt;=5, AB721&lt;=8), 17, 0)) +(IF(_xludf.OR(_xludf.AND(AC721&gt;=8, AC721&lt;=10), _xludf.AND(AC721&gt;=0, AC721&lt;=5)), 16, 0)) + (IF(F721="Madrid", 11, 0))))</f>
        <v>#NAME?</v>
      </c>
      <c r="AG721" s="68"/>
      <c r="AH721" s="71" t="s">
        <v>164</v>
      </c>
    </row>
    <row r="722" spans="1:34" ht="14.4" x14ac:dyDescent="0.3">
      <c r="A722" s="66" t="s">
        <v>1700</v>
      </c>
      <c r="B722" s="66" t="s">
        <v>3817</v>
      </c>
      <c r="C722" s="33">
        <v>721</v>
      </c>
      <c r="D722" s="33" t="s">
        <v>5394</v>
      </c>
      <c r="E722" s="34" t="s">
        <v>5216</v>
      </c>
      <c r="F722" s="34" t="s">
        <v>931</v>
      </c>
      <c r="G722" s="57">
        <v>42324</v>
      </c>
      <c r="H722" s="57">
        <v>42429</v>
      </c>
      <c r="I722" s="34">
        <f t="shared" si="33"/>
        <v>3</v>
      </c>
      <c r="J722" s="34">
        <v>40</v>
      </c>
      <c r="K722" s="36">
        <v>1000</v>
      </c>
      <c r="L722" s="34" t="s">
        <v>17</v>
      </c>
      <c r="M722" s="57">
        <v>33081</v>
      </c>
      <c r="N722" s="37">
        <f>(YEAR(TablaMadre[[#This Row],[ALTA]])-YEAR(M722))</f>
        <v>25</v>
      </c>
      <c r="O722" s="34" t="s">
        <v>95</v>
      </c>
      <c r="P722" s="34" t="s">
        <v>95</v>
      </c>
      <c r="Q722" s="34"/>
      <c r="R722" s="34" t="s">
        <v>21</v>
      </c>
      <c r="S722" s="34"/>
      <c r="T722" s="34"/>
      <c r="U722" s="34"/>
      <c r="V722" s="34" t="s">
        <v>16</v>
      </c>
      <c r="W722" s="34" t="s">
        <v>97</v>
      </c>
      <c r="X722" s="38" t="s">
        <v>164</v>
      </c>
      <c r="Y722" s="62">
        <v>42430</v>
      </c>
      <c r="Z722" s="38">
        <f t="shared" si="34"/>
        <v>0</v>
      </c>
      <c r="AA722" s="38"/>
      <c r="AB722" s="34"/>
      <c r="AC722" s="34"/>
      <c r="AD722" s="38"/>
      <c r="AE722" s="59" t="str">
        <f t="shared" si="35"/>
        <v>SÍ</v>
      </c>
      <c r="AF722" s="38" t="e" cm="1">
        <f t="array" aca="1" ref="AF722" ca="1">MIN(100, MAX(0, (IF(R722="ESTUDIANTE", 31, 0)) + (IF(I722&lt;=3, 30, IF(I722&lt;=6, 20, 0))) +(IF(OR(E722="413 - Control de Costes y Enlace Construcción", E722="480 - Secretaría General del Consejo", E722="132 - Civil y estructuras", E722="136 - Mecánica", E722="412 - Planificación", E722="142 - Compras"), 25, 0)) +(IF(OR(S722="GRADO ING. MECÁNICA", S722="GRADO ING. ELÉCTRICA", S722="GRADO DERECHO", S722="GRADO ECONOMÍA", S722="GRADO ING. TECNOLOGÍAS INDUSTRIALES"), 24, 0)) + (IF(AND(K722&gt;=451, K722&lt;=700), 23, 0)) + (IF(AND(AB722&gt;=5, AB722&lt;=8), 17, 0)) +(IF(_xludf.OR(_xludf.AND(AC722&gt;=8, AC722&lt;=10), _xludf.AND(AC722&gt;=0, AC722&lt;=5)), 16, 0)) + (IF(F722="Madrid", 11, 0))))</f>
        <v>#NAME?</v>
      </c>
      <c r="AG722" s="68"/>
      <c r="AH722" s="71" t="s">
        <v>164</v>
      </c>
    </row>
    <row r="723" spans="1:34" ht="14.4" x14ac:dyDescent="0.3">
      <c r="A723" s="66" t="s">
        <v>1701</v>
      </c>
      <c r="B723" s="66" t="s">
        <v>3818</v>
      </c>
      <c r="C723" s="33">
        <v>722</v>
      </c>
      <c r="D723" s="33" t="s">
        <v>5395</v>
      </c>
      <c r="E723" s="34" t="s">
        <v>5246</v>
      </c>
      <c r="F723" s="34" t="s">
        <v>931</v>
      </c>
      <c r="G723" s="57">
        <v>42324</v>
      </c>
      <c r="H723" s="57">
        <v>42429</v>
      </c>
      <c r="I723" s="34">
        <f t="shared" si="33"/>
        <v>3</v>
      </c>
      <c r="J723" s="34">
        <v>40</v>
      </c>
      <c r="K723" s="36">
        <v>1000</v>
      </c>
      <c r="L723" s="34" t="s">
        <v>17</v>
      </c>
      <c r="M723" s="57">
        <v>34911</v>
      </c>
      <c r="N723" s="37">
        <f>(YEAR(TablaMadre[[#This Row],[ALTA]])-YEAR(M723))</f>
        <v>20</v>
      </c>
      <c r="O723" s="34" t="s">
        <v>95</v>
      </c>
      <c r="P723" s="34" t="s">
        <v>95</v>
      </c>
      <c r="Q723" s="34"/>
      <c r="R723" s="34" t="s">
        <v>21</v>
      </c>
      <c r="S723" s="34"/>
      <c r="T723" s="34"/>
      <c r="U723" s="34"/>
      <c r="V723" s="34" t="s">
        <v>16</v>
      </c>
      <c r="W723" s="34" t="s">
        <v>97</v>
      </c>
      <c r="X723" s="38" t="s">
        <v>164</v>
      </c>
      <c r="Y723" s="62">
        <v>42430</v>
      </c>
      <c r="Z723" s="38">
        <f t="shared" si="34"/>
        <v>0</v>
      </c>
      <c r="AA723" s="38"/>
      <c r="AB723" s="34"/>
      <c r="AC723" s="34"/>
      <c r="AD723" s="38"/>
      <c r="AE723" s="59" t="str">
        <f t="shared" si="35"/>
        <v>SÍ</v>
      </c>
      <c r="AF723" s="38" t="e" cm="1">
        <f t="array" aca="1" ref="AF723" ca="1">MIN(100, MAX(0, (IF(R723="ESTUDIANTE", 31, 0)) + (IF(I723&lt;=3, 30, IF(I723&lt;=6, 20, 0))) +(IF(OR(E723="413 - Control de Costes y Enlace Construcción", E723="480 - Secretaría General del Consejo", E723="132 - Civil y estructuras", E723="136 - Mecánica", E723="412 - Planificación", E723="142 - Compras"), 25, 0)) +(IF(OR(S723="GRADO ING. MECÁNICA", S723="GRADO ING. ELÉCTRICA", S723="GRADO DERECHO", S723="GRADO ECONOMÍA", S723="GRADO ING. TECNOLOGÍAS INDUSTRIALES"), 24, 0)) + (IF(AND(K723&gt;=451, K723&lt;=700), 23, 0)) + (IF(AND(AB723&gt;=5, AB723&lt;=8), 17, 0)) +(IF(_xludf.OR(_xludf.AND(AC723&gt;=8, AC723&lt;=10), _xludf.AND(AC723&gt;=0, AC723&lt;=5)), 16, 0)) + (IF(F723="Madrid", 11, 0))))</f>
        <v>#NAME?</v>
      </c>
      <c r="AG723" s="68"/>
      <c r="AH723" s="71" t="s">
        <v>164</v>
      </c>
    </row>
    <row r="724" spans="1:34" ht="14.4" x14ac:dyDescent="0.3">
      <c r="A724" s="66" t="s">
        <v>1702</v>
      </c>
      <c r="B724" s="66" t="s">
        <v>3819</v>
      </c>
      <c r="C724" s="33">
        <v>723</v>
      </c>
      <c r="D724" s="33" t="s">
        <v>5396</v>
      </c>
      <c r="E724" s="34" t="s">
        <v>5252</v>
      </c>
      <c r="F724" s="34" t="s">
        <v>931</v>
      </c>
      <c r="G724" s="57">
        <v>42324</v>
      </c>
      <c r="H724" s="57">
        <v>42429</v>
      </c>
      <c r="I724" s="34">
        <f t="shared" si="33"/>
        <v>3</v>
      </c>
      <c r="J724" s="34">
        <v>40</v>
      </c>
      <c r="K724" s="36">
        <v>1000</v>
      </c>
      <c r="L724" s="34" t="s">
        <v>17</v>
      </c>
      <c r="M724" s="57">
        <v>33411</v>
      </c>
      <c r="N724" s="37">
        <f>(YEAR(TablaMadre[[#This Row],[ALTA]])-YEAR(M724))</f>
        <v>24</v>
      </c>
      <c r="O724" s="34" t="s">
        <v>95</v>
      </c>
      <c r="P724" s="34" t="s">
        <v>95</v>
      </c>
      <c r="Q724" s="34"/>
      <c r="R724" s="34" t="s">
        <v>21</v>
      </c>
      <c r="S724" s="34"/>
      <c r="T724" s="34"/>
      <c r="U724" s="34"/>
      <c r="V724" s="34" t="s">
        <v>16</v>
      </c>
      <c r="W724" s="34" t="s">
        <v>97</v>
      </c>
      <c r="X724" s="38" t="s">
        <v>164</v>
      </c>
      <c r="Y724" s="62">
        <v>42430</v>
      </c>
      <c r="Z724" s="38">
        <f t="shared" si="34"/>
        <v>0</v>
      </c>
      <c r="AA724" s="38"/>
      <c r="AB724" s="34"/>
      <c r="AC724" s="34"/>
      <c r="AD724" s="38"/>
      <c r="AE724" s="59" t="str">
        <f t="shared" si="35"/>
        <v>SÍ</v>
      </c>
      <c r="AF724" s="38" t="e" cm="1">
        <f t="array" aca="1" ref="AF724" ca="1">MIN(100, MAX(0, (IF(R724="ESTUDIANTE", 31, 0)) + (IF(I724&lt;=3, 30, IF(I724&lt;=6, 20, 0))) +(IF(OR(E724="413 - Control de Costes y Enlace Construcción", E724="480 - Secretaría General del Consejo", E724="132 - Civil y estructuras", E724="136 - Mecánica", E724="412 - Planificación", E724="142 - Compras"), 25, 0)) +(IF(OR(S724="GRADO ING. MECÁNICA", S724="GRADO ING. ELÉCTRICA", S724="GRADO DERECHO", S724="GRADO ECONOMÍA", S724="GRADO ING. TECNOLOGÍAS INDUSTRIALES"), 24, 0)) + (IF(AND(K724&gt;=451, K724&lt;=700), 23, 0)) + (IF(AND(AB724&gt;=5, AB724&lt;=8), 17, 0)) +(IF(_xludf.OR(_xludf.AND(AC724&gt;=8, AC724&lt;=10), _xludf.AND(AC724&gt;=0, AC724&lt;=5)), 16, 0)) + (IF(F724="Madrid", 11, 0))))</f>
        <v>#NAME?</v>
      </c>
      <c r="AG724" s="68"/>
      <c r="AH724" s="71" t="s">
        <v>164</v>
      </c>
    </row>
    <row r="725" spans="1:34" ht="14.4" x14ac:dyDescent="0.3">
      <c r="A725" s="66" t="s">
        <v>1703</v>
      </c>
      <c r="B725" s="66" t="s">
        <v>3820</v>
      </c>
      <c r="C725" s="33">
        <v>724</v>
      </c>
      <c r="D725" s="33" t="s">
        <v>5397</v>
      </c>
      <c r="E725" s="34" t="s">
        <v>5252</v>
      </c>
      <c r="F725" s="34" t="s">
        <v>931</v>
      </c>
      <c r="G725" s="57">
        <v>42324</v>
      </c>
      <c r="H725" s="57">
        <v>42429</v>
      </c>
      <c r="I725" s="34">
        <f t="shared" si="33"/>
        <v>3</v>
      </c>
      <c r="J725" s="34">
        <v>40</v>
      </c>
      <c r="K725" s="36">
        <v>1000</v>
      </c>
      <c r="L725" s="34" t="s">
        <v>17</v>
      </c>
      <c r="M725" s="57">
        <v>32643</v>
      </c>
      <c r="N725" s="37">
        <f>(YEAR(TablaMadre[[#This Row],[ALTA]])-YEAR(M725))</f>
        <v>26</v>
      </c>
      <c r="O725" s="34" t="s">
        <v>95</v>
      </c>
      <c r="P725" s="34" t="s">
        <v>95</v>
      </c>
      <c r="Q725" s="34"/>
      <c r="R725" s="34" t="s">
        <v>21</v>
      </c>
      <c r="S725" s="34"/>
      <c r="T725" s="34"/>
      <c r="U725" s="34"/>
      <c r="V725" s="34" t="s">
        <v>16</v>
      </c>
      <c r="W725" s="34" t="s">
        <v>97</v>
      </c>
      <c r="X725" s="38" t="s">
        <v>164</v>
      </c>
      <c r="Y725" s="62">
        <v>42491</v>
      </c>
      <c r="Z725" s="38">
        <f t="shared" si="34"/>
        <v>0</v>
      </c>
      <c r="AA725" s="38"/>
      <c r="AB725" s="34"/>
      <c r="AC725" s="34"/>
      <c r="AD725" s="38"/>
      <c r="AE725" s="59" t="str">
        <f t="shared" si="35"/>
        <v>SÍ</v>
      </c>
      <c r="AF725" s="38" t="e" cm="1">
        <f t="array" aca="1" ref="AF725" ca="1">MIN(100, MAX(0, (IF(R725="ESTUDIANTE", 31, 0)) + (IF(I725&lt;=3, 30, IF(I725&lt;=6, 20, 0))) +(IF(OR(E725="413 - Control de Costes y Enlace Construcción", E725="480 - Secretaría General del Consejo", E725="132 - Civil y estructuras", E725="136 - Mecánica", E725="412 - Planificación", E725="142 - Compras"), 25, 0)) +(IF(OR(S725="GRADO ING. MECÁNICA", S725="GRADO ING. ELÉCTRICA", S725="GRADO DERECHO", S725="GRADO ECONOMÍA", S725="GRADO ING. TECNOLOGÍAS INDUSTRIALES"), 24, 0)) + (IF(AND(K725&gt;=451, K725&lt;=700), 23, 0)) + (IF(AND(AB725&gt;=5, AB725&lt;=8), 17, 0)) +(IF(_xludf.OR(_xludf.AND(AC725&gt;=8, AC725&lt;=10), _xludf.AND(AC725&gt;=0, AC725&lt;=5)), 16, 0)) + (IF(F725="Madrid", 11, 0))))</f>
        <v>#NAME?</v>
      </c>
      <c r="AG725" s="68"/>
      <c r="AH725" s="71" t="s">
        <v>164</v>
      </c>
    </row>
    <row r="726" spans="1:34" ht="14.4" x14ac:dyDescent="0.3">
      <c r="A726" s="66" t="s">
        <v>1704</v>
      </c>
      <c r="B726" s="66" t="s">
        <v>3821</v>
      </c>
      <c r="C726" s="33">
        <v>725</v>
      </c>
      <c r="D726" s="33" t="s">
        <v>5398</v>
      </c>
      <c r="E726" s="34" t="s">
        <v>5233</v>
      </c>
      <c r="F726" s="34" t="s">
        <v>931</v>
      </c>
      <c r="G726" s="57">
        <v>42324</v>
      </c>
      <c r="H726" s="57">
        <v>42544</v>
      </c>
      <c r="I726" s="34">
        <f t="shared" si="33"/>
        <v>7</v>
      </c>
      <c r="J726" s="34">
        <v>40</v>
      </c>
      <c r="K726" s="36">
        <v>1000</v>
      </c>
      <c r="L726" s="34" t="s">
        <v>17</v>
      </c>
      <c r="M726" s="57">
        <v>33470</v>
      </c>
      <c r="N726" s="37">
        <f>(YEAR(TablaMadre[[#This Row],[ALTA]])-YEAR(M726))</f>
        <v>24</v>
      </c>
      <c r="O726" s="34" t="s">
        <v>95</v>
      </c>
      <c r="P726" s="34" t="s">
        <v>95</v>
      </c>
      <c r="Q726" s="34"/>
      <c r="R726" s="34" t="s">
        <v>21</v>
      </c>
      <c r="S726" s="34"/>
      <c r="T726" s="34"/>
      <c r="U726" s="34"/>
      <c r="V726" s="34" t="s">
        <v>16</v>
      </c>
      <c r="W726" s="34" t="s">
        <v>97</v>
      </c>
      <c r="X726" s="38" t="s">
        <v>164</v>
      </c>
      <c r="Y726" s="62">
        <v>42545</v>
      </c>
      <c r="Z726" s="38">
        <f t="shared" si="34"/>
        <v>0</v>
      </c>
      <c r="AA726" s="38"/>
      <c r="AB726" s="34"/>
      <c r="AC726" s="34"/>
      <c r="AD726" s="38"/>
      <c r="AE726" s="59" t="str">
        <f t="shared" si="35"/>
        <v>SÍ</v>
      </c>
      <c r="AF726" s="38" t="e" cm="1">
        <f t="array" aca="1" ref="AF726" ca="1">MIN(100, MAX(0, (IF(R726="ESTUDIANTE", 31, 0)) + (IF(I726&lt;=3, 30, IF(I726&lt;=6, 20, 0))) +(IF(OR(E726="413 - Control de Costes y Enlace Construcción", E726="480 - Secretaría General del Consejo", E726="132 - Civil y estructuras", E726="136 - Mecánica", E726="412 - Planificación", E726="142 - Compras"), 25, 0)) +(IF(OR(S726="GRADO ING. MECÁNICA", S726="GRADO ING. ELÉCTRICA", S726="GRADO DERECHO", S726="GRADO ECONOMÍA", S726="GRADO ING. TECNOLOGÍAS INDUSTRIALES"), 24, 0)) + (IF(AND(K726&gt;=451, K726&lt;=700), 23, 0)) + (IF(AND(AB726&gt;=5, AB726&lt;=8), 17, 0)) +(IF(_xludf.OR(_xludf.AND(AC726&gt;=8, AC726&lt;=10), _xludf.AND(AC726&gt;=0, AC726&lt;=5)), 16, 0)) + (IF(F726="Madrid", 11, 0))))</f>
        <v>#NAME?</v>
      </c>
      <c r="AG726" s="68"/>
      <c r="AH726" s="71" t="s">
        <v>164</v>
      </c>
    </row>
    <row r="727" spans="1:34" ht="14.4" x14ac:dyDescent="0.3">
      <c r="A727" s="66" t="s">
        <v>1705</v>
      </c>
      <c r="B727" s="66" t="s">
        <v>3822</v>
      </c>
      <c r="C727" s="33">
        <v>726</v>
      </c>
      <c r="D727" s="33" t="s">
        <v>5399</v>
      </c>
      <c r="E727" s="34" t="s">
        <v>5285</v>
      </c>
      <c r="F727" s="34" t="s">
        <v>931</v>
      </c>
      <c r="G727" s="57">
        <v>42324</v>
      </c>
      <c r="H727" s="57">
        <v>42657</v>
      </c>
      <c r="I727" s="34">
        <f t="shared" si="33"/>
        <v>10</v>
      </c>
      <c r="J727" s="34">
        <v>40</v>
      </c>
      <c r="K727" s="36">
        <v>1000</v>
      </c>
      <c r="L727" s="34" t="s">
        <v>17</v>
      </c>
      <c r="M727" s="57">
        <v>31731</v>
      </c>
      <c r="N727" s="37">
        <f>(YEAR(TablaMadre[[#This Row],[ALTA]])-YEAR(M727))</f>
        <v>29</v>
      </c>
      <c r="O727" s="34" t="s">
        <v>95</v>
      </c>
      <c r="P727" s="34" t="s">
        <v>95</v>
      </c>
      <c r="Q727" s="34"/>
      <c r="R727" s="34" t="s">
        <v>21</v>
      </c>
      <c r="S727" s="34"/>
      <c r="T727" s="34"/>
      <c r="U727" s="34"/>
      <c r="V727" s="34" t="s">
        <v>16</v>
      </c>
      <c r="W727" s="34" t="s">
        <v>97</v>
      </c>
      <c r="X727" s="38" t="s">
        <v>164</v>
      </c>
      <c r="Y727" s="62">
        <v>42658</v>
      </c>
      <c r="Z727" s="38">
        <f t="shared" si="34"/>
        <v>0</v>
      </c>
      <c r="AA727" s="38"/>
      <c r="AB727" s="34"/>
      <c r="AC727" s="34"/>
      <c r="AD727" s="38"/>
      <c r="AE727" s="59" t="str">
        <f t="shared" si="35"/>
        <v>SÍ</v>
      </c>
      <c r="AF727" s="38" t="e" cm="1">
        <f t="array" aca="1" ref="AF727" ca="1">MIN(100, MAX(0, (IF(R727="ESTUDIANTE", 31, 0)) + (IF(I727&lt;=3, 30, IF(I727&lt;=6, 20, 0))) +(IF(OR(E727="413 - Control de Costes y Enlace Construcción", E727="480 - Secretaría General del Consejo", E727="132 - Civil y estructuras", E727="136 - Mecánica", E727="412 - Planificación", E727="142 - Compras"), 25, 0)) +(IF(OR(S727="GRADO ING. MECÁNICA", S727="GRADO ING. ELÉCTRICA", S727="GRADO DERECHO", S727="GRADO ECONOMÍA", S727="GRADO ING. TECNOLOGÍAS INDUSTRIALES"), 24, 0)) + (IF(AND(K727&gt;=451, K727&lt;=700), 23, 0)) + (IF(AND(AB727&gt;=5, AB727&lt;=8), 17, 0)) +(IF(_xludf.OR(_xludf.AND(AC727&gt;=8, AC727&lt;=10), _xludf.AND(AC727&gt;=0, AC727&lt;=5)), 16, 0)) + (IF(F727="Madrid", 11, 0))))</f>
        <v>#NAME?</v>
      </c>
      <c r="AG727" s="68"/>
      <c r="AH727" s="71" t="s">
        <v>164</v>
      </c>
    </row>
    <row r="728" spans="1:34" ht="14.4" x14ac:dyDescent="0.3">
      <c r="A728" s="66" t="s">
        <v>1706</v>
      </c>
      <c r="B728" s="66" t="s">
        <v>3823</v>
      </c>
      <c r="C728" s="33">
        <v>727</v>
      </c>
      <c r="D728" s="33" t="s">
        <v>5393</v>
      </c>
      <c r="E728" s="34" t="s">
        <v>5291</v>
      </c>
      <c r="F728" s="34" t="s">
        <v>118</v>
      </c>
      <c r="G728" s="57">
        <v>42324</v>
      </c>
      <c r="H728" s="57">
        <v>42766</v>
      </c>
      <c r="I728" s="34">
        <f t="shared" si="33"/>
        <v>14</v>
      </c>
      <c r="J728" s="34">
        <v>40</v>
      </c>
      <c r="K728" s="36">
        <v>900</v>
      </c>
      <c r="L728" s="34" t="s">
        <v>17</v>
      </c>
      <c r="M728" s="57">
        <v>34959</v>
      </c>
      <c r="N728" s="37">
        <f>(YEAR(TablaMadre[[#This Row],[ALTA]])-YEAR(M728))</f>
        <v>20</v>
      </c>
      <c r="O728" s="34" t="s">
        <v>65</v>
      </c>
      <c r="P728" s="34" t="s">
        <v>19</v>
      </c>
      <c r="Q728" s="34" t="s">
        <v>381</v>
      </c>
      <c r="R728" s="34" t="s">
        <v>21</v>
      </c>
      <c r="S728" s="34" t="s">
        <v>322</v>
      </c>
      <c r="T728" s="34"/>
      <c r="U728" s="34"/>
      <c r="V728" s="34" t="s">
        <v>37</v>
      </c>
      <c r="W728" s="34" t="s">
        <v>28</v>
      </c>
      <c r="X728" s="38" t="s">
        <v>164</v>
      </c>
      <c r="Y728" s="62">
        <v>44228</v>
      </c>
      <c r="Z728" s="38">
        <f t="shared" si="34"/>
        <v>4</v>
      </c>
      <c r="AA728" s="38"/>
      <c r="AB728" s="34">
        <v>10</v>
      </c>
      <c r="AC728" s="34">
        <v>8</v>
      </c>
      <c r="AD728" s="38"/>
      <c r="AE728" s="59" t="str">
        <f t="shared" si="35"/>
        <v>SÍ</v>
      </c>
      <c r="AF728" s="38" t="e" cm="1">
        <f t="array" aca="1" ref="AF728" ca="1">MIN(100, MAX(0, (IF(R728="ESTUDIANTE", 31, 0)) + (IF(I728&lt;=3, 30, IF(I728&lt;=6, 20, 0))) +(IF(OR(E728="413 - Control de Costes y Enlace Construcción", E728="480 - Secretaría General del Consejo", E728="132 - Civil y estructuras", E728="136 - Mecánica", E728="412 - Planificación", E728="142 - Compras"), 25, 0)) +(IF(OR(S728="GRADO ING. MECÁNICA", S728="GRADO ING. ELÉCTRICA", S728="GRADO DERECHO", S728="GRADO ECONOMÍA", S728="GRADO ING. TECNOLOGÍAS INDUSTRIALES"), 24, 0)) + (IF(AND(K728&gt;=451, K728&lt;=700), 23, 0)) + (IF(AND(AB728&gt;=5, AB728&lt;=8), 17, 0)) +(IF(_xludf.OR(_xludf.AND(AC728&gt;=8, AC728&lt;=10), _xludf.AND(AC728&gt;=0, AC728&lt;=5)), 16, 0)) + (IF(F728="Madrid", 11, 0))))</f>
        <v>#NAME?</v>
      </c>
      <c r="AG728" s="68"/>
      <c r="AH728" s="71" t="s">
        <v>164</v>
      </c>
    </row>
    <row r="729" spans="1:34" ht="14.4" x14ac:dyDescent="0.3">
      <c r="A729" s="66" t="s">
        <v>1707</v>
      </c>
      <c r="B729" s="66" t="s">
        <v>3824</v>
      </c>
      <c r="C729" s="33">
        <v>728</v>
      </c>
      <c r="D729" s="33" t="s">
        <v>5394</v>
      </c>
      <c r="E729" s="34" t="s">
        <v>5255</v>
      </c>
      <c r="F729" s="34" t="s">
        <v>18</v>
      </c>
      <c r="G729" s="57">
        <v>42324</v>
      </c>
      <c r="H729" s="57">
        <v>42870</v>
      </c>
      <c r="I729" s="34">
        <f t="shared" si="33"/>
        <v>17</v>
      </c>
      <c r="J729" s="34">
        <v>40</v>
      </c>
      <c r="K729" s="36">
        <v>900</v>
      </c>
      <c r="L729" s="34" t="s">
        <v>29</v>
      </c>
      <c r="M729" s="57">
        <v>33738</v>
      </c>
      <c r="N729" s="37">
        <f>(YEAR(TablaMadre[[#This Row],[ALTA]])-YEAR(M729))</f>
        <v>23</v>
      </c>
      <c r="O729" s="34" t="s">
        <v>18</v>
      </c>
      <c r="P729" s="34" t="s">
        <v>19</v>
      </c>
      <c r="Q729" s="34" t="s">
        <v>20</v>
      </c>
      <c r="R729" s="34" t="s">
        <v>21</v>
      </c>
      <c r="S729" s="34" t="s">
        <v>151</v>
      </c>
      <c r="T729" s="34"/>
      <c r="U729" s="34"/>
      <c r="V729" s="34" t="s">
        <v>69</v>
      </c>
      <c r="W729" s="34" t="s">
        <v>28</v>
      </c>
      <c r="X729" s="38" t="s">
        <v>173</v>
      </c>
      <c r="Y729" s="62"/>
      <c r="Z729" s="38" t="e">
        <f t="shared" si="34"/>
        <v>#NUM!</v>
      </c>
      <c r="AA729" s="38"/>
      <c r="AB729" s="34">
        <v>9</v>
      </c>
      <c r="AC729" s="34">
        <v>10</v>
      </c>
      <c r="AD729" s="38"/>
      <c r="AE729" s="59" t="str">
        <f t="shared" si="35"/>
        <v>NO</v>
      </c>
      <c r="AF729" s="38" t="e" cm="1">
        <f t="array" aca="1" ref="AF729" ca="1">MIN(100, MAX(0, (IF(R729="ESTUDIANTE", 31, 0)) + (IF(I729&lt;=3, 30, IF(I729&lt;=6, 20, 0))) +(IF(OR(E729="413 - Control de Costes y Enlace Construcción", E729="480 - Secretaría General del Consejo", E729="132 - Civil y estructuras", E729="136 - Mecánica", E729="412 - Planificación", E729="142 - Compras"), 25, 0)) +(IF(OR(S729="GRADO ING. MECÁNICA", S729="GRADO ING. ELÉCTRICA", S729="GRADO DERECHO", S729="GRADO ECONOMÍA", S729="GRADO ING. TECNOLOGÍAS INDUSTRIALES"), 24, 0)) + (IF(AND(K729&gt;=451, K729&lt;=700), 23, 0)) + (IF(AND(AB729&gt;=5, AB729&lt;=8), 17, 0)) +(IF(_xludf.OR(_xludf.AND(AC729&gt;=8, AC729&lt;=10), _xludf.AND(AC729&gt;=0, AC729&lt;=5)), 16, 0)) + (IF(F729="Madrid", 11, 0))))</f>
        <v>#NAME?</v>
      </c>
      <c r="AG729" s="68"/>
      <c r="AH729" s="71" t="s">
        <v>164</v>
      </c>
    </row>
    <row r="730" spans="1:34" ht="14.4" x14ac:dyDescent="0.3">
      <c r="A730" s="66" t="s">
        <v>1676</v>
      </c>
      <c r="B730" s="66" t="s">
        <v>3793</v>
      </c>
      <c r="C730" s="33">
        <v>733</v>
      </c>
      <c r="D730" s="33" t="s">
        <v>5395</v>
      </c>
      <c r="E730" s="34" t="s">
        <v>5241</v>
      </c>
      <c r="F730" s="34" t="s">
        <v>931</v>
      </c>
      <c r="G730" s="57">
        <v>42331</v>
      </c>
      <c r="H730" s="57">
        <v>42781</v>
      </c>
      <c r="I730" s="34">
        <f t="shared" si="33"/>
        <v>14</v>
      </c>
      <c r="J730" s="34">
        <v>40</v>
      </c>
      <c r="K730" s="36">
        <v>3500</v>
      </c>
      <c r="L730" s="34" t="s">
        <v>17</v>
      </c>
      <c r="M730" s="57">
        <v>33446</v>
      </c>
      <c r="N730" s="37">
        <f>(YEAR(TablaMadre[[#This Row],[ALTA]])-YEAR(M730))</f>
        <v>24</v>
      </c>
      <c r="O730" s="34" t="s">
        <v>95</v>
      </c>
      <c r="P730" s="34" t="s">
        <v>95</v>
      </c>
      <c r="Q730" s="34" t="s">
        <v>382</v>
      </c>
      <c r="R730" s="34" t="s">
        <v>21</v>
      </c>
      <c r="S730" s="34" t="s">
        <v>382</v>
      </c>
      <c r="T730" s="34"/>
      <c r="U730" s="34"/>
      <c r="V730" s="34" t="s">
        <v>163</v>
      </c>
      <c r="W730" s="34" t="s">
        <v>23</v>
      </c>
      <c r="X730" s="38" t="s">
        <v>164</v>
      </c>
      <c r="Y730" s="62"/>
      <c r="Z730" s="62" t="e">
        <f t="shared" si="34"/>
        <v>#NUM!</v>
      </c>
      <c r="AA730" s="62"/>
      <c r="AB730" s="34">
        <v>9</v>
      </c>
      <c r="AC730" s="34"/>
      <c r="AD730" s="38"/>
      <c r="AE730" s="59" t="str">
        <f t="shared" si="35"/>
        <v>SÍ</v>
      </c>
      <c r="AF730" s="38" t="e" cm="1">
        <f t="array" aca="1" ref="AF730" ca="1">MIN(100, MAX(0, (IF(R730="ESTUDIANTE", 31, 0)) + (IF(I730&lt;=3, 30, IF(I730&lt;=6, 20, 0))) +(IF(OR(E730="413 - Control de Costes y Enlace Construcción", E730="480 - Secretaría General del Consejo", E730="132 - Civil y estructuras", E730="136 - Mecánica", E730="412 - Planificación", E730="142 - Compras"), 25, 0)) +(IF(OR(S730="GRADO ING. MECÁNICA", S730="GRADO ING. ELÉCTRICA", S730="GRADO DERECHO", S730="GRADO ECONOMÍA", S730="GRADO ING. TECNOLOGÍAS INDUSTRIALES"), 24, 0)) + (IF(AND(K730&gt;=451, K730&lt;=700), 23, 0)) + (IF(AND(AB730&gt;=5, AB730&lt;=8), 17, 0)) +(IF(_xludf.OR(_xludf.AND(AC730&gt;=8, AC730&lt;=10), _xludf.AND(AC730&gt;=0, AC730&lt;=5)), 16, 0)) + (IF(F730="Madrid", 11, 0))))</f>
        <v>#NAME?</v>
      </c>
      <c r="AG730" s="68"/>
      <c r="AH730" s="71" t="s">
        <v>164</v>
      </c>
    </row>
    <row r="731" spans="1:34" ht="14.4" x14ac:dyDescent="0.3">
      <c r="A731" s="66" t="s">
        <v>1677</v>
      </c>
      <c r="B731" s="66" t="s">
        <v>3794</v>
      </c>
      <c r="C731" s="33">
        <v>732</v>
      </c>
      <c r="D731" s="33" t="s">
        <v>5396</v>
      </c>
      <c r="E731" s="34" t="s">
        <v>5241</v>
      </c>
      <c r="F731" s="34" t="s">
        <v>931</v>
      </c>
      <c r="G731" s="57">
        <v>42331</v>
      </c>
      <c r="H731" s="57">
        <v>42781</v>
      </c>
      <c r="I731" s="34">
        <f t="shared" si="33"/>
        <v>14</v>
      </c>
      <c r="J731" s="34">
        <v>40</v>
      </c>
      <c r="K731" s="36">
        <v>3500</v>
      </c>
      <c r="L731" s="34" t="s">
        <v>17</v>
      </c>
      <c r="M731" s="57">
        <v>33555</v>
      </c>
      <c r="N731" s="37">
        <f>(YEAR(TablaMadre[[#This Row],[ALTA]])-YEAR(M731))</f>
        <v>24</v>
      </c>
      <c r="O731" s="34" t="s">
        <v>95</v>
      </c>
      <c r="P731" s="34" t="s">
        <v>95</v>
      </c>
      <c r="Q731" s="34" t="s">
        <v>229</v>
      </c>
      <c r="R731" s="34" t="s">
        <v>21</v>
      </c>
      <c r="S731" s="34" t="s">
        <v>229</v>
      </c>
      <c r="T731" s="34"/>
      <c r="U731" s="34"/>
      <c r="V731" s="34" t="s">
        <v>163</v>
      </c>
      <c r="W731" s="34" t="s">
        <v>23</v>
      </c>
      <c r="X731" s="38" t="s">
        <v>164</v>
      </c>
      <c r="Y731" s="62"/>
      <c r="Z731" s="62" t="e">
        <f t="shared" si="34"/>
        <v>#NUM!</v>
      </c>
      <c r="AA731" s="62"/>
      <c r="AB731" s="34" t="s">
        <v>376</v>
      </c>
      <c r="AC731" s="34"/>
      <c r="AD731" s="38"/>
      <c r="AE731" s="59" t="str">
        <f t="shared" si="35"/>
        <v>SÍ</v>
      </c>
      <c r="AF731" s="38" t="e" cm="1">
        <f t="array" aca="1" ref="AF731" ca="1">MIN(100, MAX(0, (IF(R731="ESTUDIANTE", 31, 0)) + (IF(I731&lt;=3, 30, IF(I731&lt;=6, 20, 0))) +(IF(OR(E731="413 - Control de Costes y Enlace Construcción", E731="480 - Secretaría General del Consejo", E731="132 - Civil y estructuras", E731="136 - Mecánica", E731="412 - Planificación", E731="142 - Compras"), 25, 0)) +(IF(OR(S731="GRADO ING. MECÁNICA", S731="GRADO ING. ELÉCTRICA", S731="GRADO DERECHO", S731="GRADO ECONOMÍA", S731="GRADO ING. TECNOLOGÍAS INDUSTRIALES"), 24, 0)) + (IF(AND(K731&gt;=451, K731&lt;=700), 23, 0)) + (IF(AND(AB731&gt;=5, AB731&lt;=8), 17, 0)) +(IF(_xludf.OR(_xludf.AND(AC731&gt;=8, AC731&lt;=10), _xludf.AND(AC731&gt;=0, AC731&lt;=5)), 16, 0)) + (IF(F731="Madrid", 11, 0))))</f>
        <v>#NAME?</v>
      </c>
      <c r="AG731" s="68"/>
      <c r="AH731" s="71" t="s">
        <v>164</v>
      </c>
    </row>
    <row r="732" spans="1:34" ht="14.4" x14ac:dyDescent="0.3">
      <c r="A732" s="66" t="s">
        <v>1708</v>
      </c>
      <c r="B732" s="66" t="s">
        <v>3825</v>
      </c>
      <c r="C732" s="33">
        <v>729</v>
      </c>
      <c r="D732" s="33" t="s">
        <v>5397</v>
      </c>
      <c r="E732" s="34" t="s">
        <v>5245</v>
      </c>
      <c r="F732" s="34" t="s">
        <v>18</v>
      </c>
      <c r="G732" s="57">
        <v>42331</v>
      </c>
      <c r="H732" s="57">
        <v>42696</v>
      </c>
      <c r="I732" s="34">
        <f t="shared" si="33"/>
        <v>11</v>
      </c>
      <c r="J732" s="34">
        <v>40</v>
      </c>
      <c r="K732" s="36">
        <v>900</v>
      </c>
      <c r="L732" s="34" t="s">
        <v>29</v>
      </c>
      <c r="M732" s="57">
        <v>34563</v>
      </c>
      <c r="N732" s="37">
        <f>(YEAR(TablaMadre[[#This Row],[ALTA]])-YEAR(M732))</f>
        <v>21</v>
      </c>
      <c r="O732" s="34" t="s">
        <v>18</v>
      </c>
      <c r="P732" s="34" t="s">
        <v>19</v>
      </c>
      <c r="Q732" s="34" t="s">
        <v>254</v>
      </c>
      <c r="R732" s="34" t="s">
        <v>21</v>
      </c>
      <c r="S732" s="34" t="s">
        <v>322</v>
      </c>
      <c r="T732" s="34"/>
      <c r="U732" s="34"/>
      <c r="V732" s="34" t="s">
        <v>22</v>
      </c>
      <c r="W732" s="34" t="s">
        <v>28</v>
      </c>
      <c r="X732" s="38" t="s">
        <v>173</v>
      </c>
      <c r="Y732" s="62"/>
      <c r="Z732" s="38" t="e">
        <f t="shared" si="34"/>
        <v>#NUM!</v>
      </c>
      <c r="AA732" s="38"/>
      <c r="AB732" s="34"/>
      <c r="AC732" s="34"/>
      <c r="AD732" s="38"/>
      <c r="AE732" s="59" t="str">
        <f t="shared" si="35"/>
        <v>NO</v>
      </c>
      <c r="AF732" s="38" t="e" cm="1">
        <f t="array" aca="1" ref="AF732" ca="1">MIN(100, MAX(0, (IF(R732="ESTUDIANTE", 31, 0)) + (IF(I732&lt;=3, 30, IF(I732&lt;=6, 20, 0))) +(IF(OR(E732="413 - Control de Costes y Enlace Construcción", E732="480 - Secretaría General del Consejo", E732="132 - Civil y estructuras", E732="136 - Mecánica", E732="412 - Planificación", E732="142 - Compras"), 25, 0)) +(IF(OR(S732="GRADO ING. MECÁNICA", S732="GRADO ING. ELÉCTRICA", S732="GRADO DERECHO", S732="GRADO ECONOMÍA", S732="GRADO ING. TECNOLOGÍAS INDUSTRIALES"), 24, 0)) + (IF(AND(K732&gt;=451, K732&lt;=700), 23, 0)) + (IF(AND(AB732&gt;=5, AB732&lt;=8), 17, 0)) +(IF(_xludf.OR(_xludf.AND(AC732&gt;=8, AC732&lt;=10), _xludf.AND(AC732&gt;=0, AC732&lt;=5)), 16, 0)) + (IF(F732="Madrid", 11, 0))))</f>
        <v>#NAME?</v>
      </c>
      <c r="AG732" s="68"/>
      <c r="AH732" s="71" t="s">
        <v>164</v>
      </c>
    </row>
    <row r="733" spans="1:34" ht="14.4" x14ac:dyDescent="0.3">
      <c r="A733" s="66" t="s">
        <v>1709</v>
      </c>
      <c r="B733" s="66" t="s">
        <v>3826</v>
      </c>
      <c r="C733" s="33">
        <v>730</v>
      </c>
      <c r="D733" s="33" t="s">
        <v>5393</v>
      </c>
      <c r="E733" s="34" t="s">
        <v>5245</v>
      </c>
      <c r="F733" s="34" t="s">
        <v>18</v>
      </c>
      <c r="G733" s="57">
        <v>42331</v>
      </c>
      <c r="H733" s="57">
        <v>42696</v>
      </c>
      <c r="I733" s="34">
        <f t="shared" si="33"/>
        <v>11</v>
      </c>
      <c r="J733" s="34">
        <v>40</v>
      </c>
      <c r="K733" s="36">
        <v>750</v>
      </c>
      <c r="L733" s="34" t="s">
        <v>29</v>
      </c>
      <c r="M733" s="57">
        <v>34535</v>
      </c>
      <c r="N733" s="37">
        <f>(YEAR(TablaMadre[[#This Row],[ALTA]])-YEAR(M733))</f>
        <v>21</v>
      </c>
      <c r="O733" s="34" t="s">
        <v>18</v>
      </c>
      <c r="P733" s="34" t="s">
        <v>19</v>
      </c>
      <c r="Q733" s="34" t="s">
        <v>229</v>
      </c>
      <c r="R733" s="34" t="s">
        <v>21</v>
      </c>
      <c r="S733" s="34" t="s">
        <v>229</v>
      </c>
      <c r="T733" s="34"/>
      <c r="U733" s="34"/>
      <c r="V733" s="34" t="s">
        <v>56</v>
      </c>
      <c r="W733" s="34" t="s">
        <v>28</v>
      </c>
      <c r="X733" s="38" t="s">
        <v>164</v>
      </c>
      <c r="Y733" s="62">
        <v>42697</v>
      </c>
      <c r="Z733" s="38">
        <f t="shared" si="34"/>
        <v>0</v>
      </c>
      <c r="AA733" s="38"/>
      <c r="AB733" s="34"/>
      <c r="AC733" s="34"/>
      <c r="AD733" s="38"/>
      <c r="AE733" s="59" t="str">
        <f t="shared" si="35"/>
        <v>NO</v>
      </c>
      <c r="AF733" s="38" t="e" cm="1">
        <f t="array" aca="1" ref="AF733" ca="1">MIN(100, MAX(0, (IF(R733="ESTUDIANTE", 31, 0)) + (IF(I733&lt;=3, 30, IF(I733&lt;=6, 20, 0))) +(IF(OR(E733="413 - Control de Costes y Enlace Construcción", E733="480 - Secretaría General del Consejo", E733="132 - Civil y estructuras", E733="136 - Mecánica", E733="412 - Planificación", E733="142 - Compras"), 25, 0)) +(IF(OR(S733="GRADO ING. MECÁNICA", S733="GRADO ING. ELÉCTRICA", S733="GRADO DERECHO", S733="GRADO ECONOMÍA", S733="GRADO ING. TECNOLOGÍAS INDUSTRIALES"), 24, 0)) + (IF(AND(K733&gt;=451, K733&lt;=700), 23, 0)) + (IF(AND(AB733&gt;=5, AB733&lt;=8), 17, 0)) +(IF(_xludf.OR(_xludf.AND(AC733&gt;=8, AC733&lt;=10), _xludf.AND(AC733&gt;=0, AC733&lt;=5)), 16, 0)) + (IF(F733="Madrid", 11, 0))))</f>
        <v>#NAME?</v>
      </c>
      <c r="AG733" s="68"/>
      <c r="AH733" s="71" t="s">
        <v>164</v>
      </c>
    </row>
    <row r="734" spans="1:34" ht="14.4" x14ac:dyDescent="0.3">
      <c r="A734" s="66" t="s">
        <v>1710</v>
      </c>
      <c r="B734" s="66" t="s">
        <v>3827</v>
      </c>
      <c r="C734" s="33">
        <v>731</v>
      </c>
      <c r="D734" s="33" t="s">
        <v>5394</v>
      </c>
      <c r="E734" s="34" t="s">
        <v>5291</v>
      </c>
      <c r="F734" s="34" t="s">
        <v>118</v>
      </c>
      <c r="G734" s="57">
        <v>42331</v>
      </c>
      <c r="H734" s="57">
        <v>42766</v>
      </c>
      <c r="I734" s="34">
        <f t="shared" si="33"/>
        <v>14</v>
      </c>
      <c r="J734" s="34">
        <v>40</v>
      </c>
      <c r="K734" s="36">
        <v>900</v>
      </c>
      <c r="L734" s="34" t="s">
        <v>29</v>
      </c>
      <c r="M734" s="57">
        <v>33563</v>
      </c>
      <c r="N734" s="37">
        <f>(YEAR(TablaMadre[[#This Row],[ALTA]])-YEAR(M734))</f>
        <v>24</v>
      </c>
      <c r="O734" s="34" t="s">
        <v>118</v>
      </c>
      <c r="P734" s="34" t="s">
        <v>19</v>
      </c>
      <c r="Q734" s="34" t="s">
        <v>327</v>
      </c>
      <c r="R734" s="34" t="s">
        <v>21</v>
      </c>
      <c r="S734" s="34" t="s">
        <v>322</v>
      </c>
      <c r="T734" s="34"/>
      <c r="U734" s="34"/>
      <c r="V734" s="34" t="s">
        <v>37</v>
      </c>
      <c r="W734" s="34" t="s">
        <v>28</v>
      </c>
      <c r="X734" s="38" t="s">
        <v>173</v>
      </c>
      <c r="Y734" s="62"/>
      <c r="Z734" s="38" t="e">
        <f t="shared" si="34"/>
        <v>#NUM!</v>
      </c>
      <c r="AA734" s="38"/>
      <c r="AB734" s="34">
        <v>8</v>
      </c>
      <c r="AC734" s="34">
        <v>8</v>
      </c>
      <c r="AD734" s="38"/>
      <c r="AE734" s="59" t="str">
        <f t="shared" si="35"/>
        <v>NO</v>
      </c>
      <c r="AF734" s="38" t="e" cm="1">
        <f t="array" aca="1" ref="AF734" ca="1">MIN(100, MAX(0, (IF(R734="ESTUDIANTE", 31, 0)) + (IF(I734&lt;=3, 30, IF(I734&lt;=6, 20, 0))) +(IF(OR(E734="413 - Control de Costes y Enlace Construcción", E734="480 - Secretaría General del Consejo", E734="132 - Civil y estructuras", E734="136 - Mecánica", E734="412 - Planificación", E734="142 - Compras"), 25, 0)) +(IF(OR(S734="GRADO ING. MECÁNICA", S734="GRADO ING. ELÉCTRICA", S734="GRADO DERECHO", S734="GRADO ECONOMÍA", S734="GRADO ING. TECNOLOGÍAS INDUSTRIALES"), 24, 0)) + (IF(AND(K734&gt;=451, K734&lt;=700), 23, 0)) + (IF(AND(AB734&gt;=5, AB734&lt;=8), 17, 0)) +(IF(_xludf.OR(_xludf.AND(AC734&gt;=8, AC734&lt;=10), _xludf.AND(AC734&gt;=0, AC734&lt;=5)), 16, 0)) + (IF(F734="Madrid", 11, 0))))</f>
        <v>#NAME?</v>
      </c>
      <c r="AG734" s="68"/>
      <c r="AH734" s="71" t="s">
        <v>164</v>
      </c>
    </row>
    <row r="735" spans="1:34" ht="14.4" x14ac:dyDescent="0.3">
      <c r="A735" s="66" t="s">
        <v>1713</v>
      </c>
      <c r="B735" s="66" t="s">
        <v>3830</v>
      </c>
      <c r="C735" s="33">
        <v>734</v>
      </c>
      <c r="D735" s="33" t="s">
        <v>5395</v>
      </c>
      <c r="E735" s="34" t="s">
        <v>5281</v>
      </c>
      <c r="F735" s="34" t="s">
        <v>18</v>
      </c>
      <c r="G735" s="57">
        <v>42333</v>
      </c>
      <c r="H735" s="57">
        <v>42698</v>
      </c>
      <c r="I735" s="34">
        <f t="shared" si="33"/>
        <v>11</v>
      </c>
      <c r="J735" s="34">
        <v>40</v>
      </c>
      <c r="K735" s="36">
        <v>900</v>
      </c>
      <c r="L735" s="34" t="s">
        <v>17</v>
      </c>
      <c r="M735" s="57">
        <v>35062</v>
      </c>
      <c r="N735" s="37">
        <f>(YEAR(TablaMadre[[#This Row],[ALTA]])-YEAR(M735))</f>
        <v>20</v>
      </c>
      <c r="O735" s="34" t="s">
        <v>18</v>
      </c>
      <c r="P735" s="34" t="s">
        <v>19</v>
      </c>
      <c r="Q735" s="34" t="s">
        <v>145</v>
      </c>
      <c r="R735" s="34" t="s">
        <v>21</v>
      </c>
      <c r="S735" s="34" t="s">
        <v>354</v>
      </c>
      <c r="T735" s="34"/>
      <c r="U735" s="34"/>
      <c r="V735" s="34" t="s">
        <v>56</v>
      </c>
      <c r="W735" s="34" t="s">
        <v>28</v>
      </c>
      <c r="X735" s="38" t="s">
        <v>164</v>
      </c>
      <c r="Y735" s="62">
        <v>44146</v>
      </c>
      <c r="Z735" s="38">
        <f t="shared" si="34"/>
        <v>3</v>
      </c>
      <c r="AA735" s="38"/>
      <c r="AB735" s="34">
        <v>8.5</v>
      </c>
      <c r="AC735" s="34"/>
      <c r="AD735" s="38"/>
      <c r="AE735" s="59" t="str">
        <f t="shared" si="35"/>
        <v>NO</v>
      </c>
      <c r="AF735" s="38" t="e" cm="1">
        <f t="array" aca="1" ref="AF735" ca="1">MIN(100, MAX(0, (IF(R735="ESTUDIANTE", 31, 0)) + (IF(I735&lt;=3, 30, IF(I735&lt;=6, 20, 0))) +(IF(OR(E735="413 - Control de Costes y Enlace Construcción", E735="480 - Secretaría General del Consejo", E735="132 - Civil y estructuras", E735="136 - Mecánica", E735="412 - Planificación", E735="142 - Compras"), 25, 0)) +(IF(OR(S735="GRADO ING. MECÁNICA", S735="GRADO ING. ELÉCTRICA", S735="GRADO DERECHO", S735="GRADO ECONOMÍA", S735="GRADO ING. TECNOLOGÍAS INDUSTRIALES"), 24, 0)) + (IF(AND(K735&gt;=451, K735&lt;=700), 23, 0)) + (IF(AND(AB735&gt;=5, AB735&lt;=8), 17, 0)) +(IF(_xludf.OR(_xludf.AND(AC735&gt;=8, AC735&lt;=10), _xludf.AND(AC735&gt;=0, AC735&lt;=5)), 16, 0)) + (IF(F735="Madrid", 11, 0))))</f>
        <v>#NAME?</v>
      </c>
      <c r="AG735" s="68"/>
      <c r="AH735" s="71" t="s">
        <v>164</v>
      </c>
    </row>
    <row r="736" spans="1:34" ht="14.4" x14ac:dyDescent="0.3">
      <c r="A736" s="66" t="s">
        <v>1583</v>
      </c>
      <c r="B736" s="66" t="s">
        <v>3700</v>
      </c>
      <c r="C736" s="33">
        <v>737</v>
      </c>
      <c r="D736" s="33" t="s">
        <v>5396</v>
      </c>
      <c r="E736" s="34" t="s">
        <v>5222</v>
      </c>
      <c r="F736" s="34" t="s">
        <v>931</v>
      </c>
      <c r="G736" s="57">
        <v>42339</v>
      </c>
      <c r="H736" s="57">
        <v>42675</v>
      </c>
      <c r="I736" s="34">
        <f t="shared" si="33"/>
        <v>11</v>
      </c>
      <c r="J736" s="34">
        <v>40</v>
      </c>
      <c r="K736" s="36">
        <v>1200</v>
      </c>
      <c r="L736" s="34" t="s">
        <v>17</v>
      </c>
      <c r="M736" s="57">
        <v>31733</v>
      </c>
      <c r="N736" s="37">
        <f>(YEAR(TablaMadre[[#This Row],[ALTA]])-YEAR(M736))</f>
        <v>29</v>
      </c>
      <c r="O736" s="34" t="s">
        <v>95</v>
      </c>
      <c r="P736" s="34" t="s">
        <v>95</v>
      </c>
      <c r="Q736" s="34" t="s">
        <v>187</v>
      </c>
      <c r="R736" s="34" t="s">
        <v>21</v>
      </c>
      <c r="S736" s="34" t="s">
        <v>322</v>
      </c>
      <c r="T736" s="34"/>
      <c r="U736" s="34"/>
      <c r="V736" s="34" t="s">
        <v>90</v>
      </c>
      <c r="W736" s="34" t="s">
        <v>23</v>
      </c>
      <c r="X736" s="38" t="s">
        <v>164</v>
      </c>
      <c r="Y736" s="62"/>
      <c r="Z736" s="62" t="e">
        <f t="shared" si="34"/>
        <v>#NUM!</v>
      </c>
      <c r="AA736" s="62"/>
      <c r="AB736" s="34"/>
      <c r="AC736" s="34"/>
      <c r="AD736" s="38"/>
      <c r="AE736" s="59" t="str">
        <f t="shared" si="35"/>
        <v>SÍ</v>
      </c>
      <c r="AF736" s="38" t="e" cm="1">
        <f t="array" aca="1" ref="AF736" ca="1">MIN(100, MAX(0, (IF(R736="ESTUDIANTE", 31, 0)) + (IF(I736&lt;=3, 30, IF(I736&lt;=6, 20, 0))) +(IF(OR(E736="413 - Control de Costes y Enlace Construcción", E736="480 - Secretaría General del Consejo", E736="132 - Civil y estructuras", E736="136 - Mecánica", E736="412 - Planificación", E736="142 - Compras"), 25, 0)) +(IF(OR(S736="GRADO ING. MECÁNICA", S736="GRADO ING. ELÉCTRICA", S736="GRADO DERECHO", S736="GRADO ECONOMÍA", S736="GRADO ING. TECNOLOGÍAS INDUSTRIALES"), 24, 0)) + (IF(AND(K736&gt;=451, K736&lt;=700), 23, 0)) + (IF(AND(AB736&gt;=5, AB736&lt;=8), 17, 0)) +(IF(_xludf.OR(_xludf.AND(AC736&gt;=8, AC736&lt;=10), _xludf.AND(AC736&gt;=0, AC736&lt;=5)), 16, 0)) + (IF(F736="Madrid", 11, 0))))</f>
        <v>#NAME?</v>
      </c>
      <c r="AG736" s="68"/>
      <c r="AH736" s="71" t="s">
        <v>164</v>
      </c>
    </row>
    <row r="737" spans="1:34" ht="14.4" x14ac:dyDescent="0.3">
      <c r="A737" s="66" t="s">
        <v>1714</v>
      </c>
      <c r="B737" s="66" t="s">
        <v>3831</v>
      </c>
      <c r="C737" s="33">
        <v>735</v>
      </c>
      <c r="D737" s="33" t="s">
        <v>5397</v>
      </c>
      <c r="E737" s="34" t="s">
        <v>5248</v>
      </c>
      <c r="F737" s="34" t="s">
        <v>18</v>
      </c>
      <c r="G737" s="57">
        <v>42339</v>
      </c>
      <c r="H737" s="57">
        <v>42442</v>
      </c>
      <c r="I737" s="34">
        <f t="shared" si="33"/>
        <v>3</v>
      </c>
      <c r="J737" s="34">
        <v>40</v>
      </c>
      <c r="K737" s="36">
        <v>900</v>
      </c>
      <c r="L737" s="34" t="s">
        <v>17</v>
      </c>
      <c r="M737" s="57">
        <v>34817</v>
      </c>
      <c r="N737" s="37">
        <f>(YEAR(TablaMadre[[#This Row],[ALTA]])-YEAR(M737))</f>
        <v>20</v>
      </c>
      <c r="O737" s="34" t="s">
        <v>302</v>
      </c>
      <c r="P737" s="34" t="s">
        <v>302</v>
      </c>
      <c r="Q737" s="34" t="s">
        <v>145</v>
      </c>
      <c r="R737" s="34" t="s">
        <v>21</v>
      </c>
      <c r="S737" s="34" t="s">
        <v>354</v>
      </c>
      <c r="T737" s="34"/>
      <c r="U737" s="34"/>
      <c r="V737" s="34" t="s">
        <v>90</v>
      </c>
      <c r="W737" s="34" t="s">
        <v>28</v>
      </c>
      <c r="X737" s="38" t="s">
        <v>164</v>
      </c>
      <c r="Y737" s="62">
        <v>42443</v>
      </c>
      <c r="Z737" s="38">
        <f t="shared" si="34"/>
        <v>0</v>
      </c>
      <c r="AA737" s="38"/>
      <c r="AB737" s="34"/>
      <c r="AC737" s="34"/>
      <c r="AD737" s="38"/>
      <c r="AE737" s="59" t="str">
        <f t="shared" si="35"/>
        <v>SÍ</v>
      </c>
      <c r="AF737" s="38" t="e" cm="1">
        <f t="array" aca="1" ref="AF737" ca="1">MIN(100, MAX(0, (IF(R737="ESTUDIANTE", 31, 0)) + (IF(I737&lt;=3, 30, IF(I737&lt;=6, 20, 0))) +(IF(OR(E737="413 - Control de Costes y Enlace Construcción", E737="480 - Secretaría General del Consejo", E737="132 - Civil y estructuras", E737="136 - Mecánica", E737="412 - Planificación", E737="142 - Compras"), 25, 0)) +(IF(OR(S737="GRADO ING. MECÁNICA", S737="GRADO ING. ELÉCTRICA", S737="GRADO DERECHO", S737="GRADO ECONOMÍA", S737="GRADO ING. TECNOLOGÍAS INDUSTRIALES"), 24, 0)) + (IF(AND(K737&gt;=451, K737&lt;=700), 23, 0)) + (IF(AND(AB737&gt;=5, AB737&lt;=8), 17, 0)) +(IF(_xludf.OR(_xludf.AND(AC737&gt;=8, AC737&lt;=10), _xludf.AND(AC737&gt;=0, AC737&lt;=5)), 16, 0)) + (IF(F737="Madrid", 11, 0))))</f>
        <v>#NAME?</v>
      </c>
      <c r="AG737" s="68"/>
      <c r="AH737" s="71" t="s">
        <v>164</v>
      </c>
    </row>
    <row r="738" spans="1:34" ht="14.4" x14ac:dyDescent="0.3">
      <c r="A738" s="66" t="s">
        <v>1715</v>
      </c>
      <c r="B738" s="66" t="s">
        <v>3832</v>
      </c>
      <c r="C738" s="33">
        <v>736</v>
      </c>
      <c r="D738" s="33" t="s">
        <v>5398</v>
      </c>
      <c r="E738" s="34" t="s">
        <v>5216</v>
      </c>
      <c r="F738" s="34" t="s">
        <v>18</v>
      </c>
      <c r="G738" s="57">
        <v>42339</v>
      </c>
      <c r="H738" s="57">
        <v>42472</v>
      </c>
      <c r="I738" s="34">
        <f t="shared" si="33"/>
        <v>4</v>
      </c>
      <c r="J738" s="34">
        <v>40</v>
      </c>
      <c r="K738" s="36">
        <v>900</v>
      </c>
      <c r="L738" s="34" t="s">
        <v>29</v>
      </c>
      <c r="M738" s="57">
        <v>33694</v>
      </c>
      <c r="N738" s="37">
        <f>(YEAR(TablaMadre[[#This Row],[ALTA]])-YEAR(M738))</f>
        <v>23</v>
      </c>
      <c r="O738" s="34" t="s">
        <v>191</v>
      </c>
      <c r="P738" s="34" t="s">
        <v>104</v>
      </c>
      <c r="Q738" s="34" t="s">
        <v>49</v>
      </c>
      <c r="R738" s="34" t="s">
        <v>21</v>
      </c>
      <c r="S738" s="34" t="s">
        <v>297</v>
      </c>
      <c r="T738" s="34"/>
      <c r="U738" s="34"/>
      <c r="V738" s="34" t="s">
        <v>40</v>
      </c>
      <c r="W738" s="34" t="s">
        <v>127</v>
      </c>
      <c r="X738" s="38" t="s">
        <v>164</v>
      </c>
      <c r="Y738" s="62">
        <v>43070</v>
      </c>
      <c r="Z738" s="38">
        <f t="shared" si="34"/>
        <v>1</v>
      </c>
      <c r="AA738" s="38"/>
      <c r="AB738" s="34">
        <v>9</v>
      </c>
      <c r="AC738" s="34">
        <v>9</v>
      </c>
      <c r="AD738" s="38"/>
      <c r="AE738" s="59" t="str">
        <f t="shared" si="35"/>
        <v>SÍ</v>
      </c>
      <c r="AF738" s="38" t="e" cm="1">
        <f t="array" aca="1" ref="AF738" ca="1">MIN(100, MAX(0, (IF(R738="ESTUDIANTE", 31, 0)) + (IF(I738&lt;=3, 30, IF(I738&lt;=6, 20, 0))) +(IF(OR(E738="413 - Control de Costes y Enlace Construcción", E738="480 - Secretaría General del Consejo", E738="132 - Civil y estructuras", E738="136 - Mecánica", E738="412 - Planificación", E738="142 - Compras"), 25, 0)) +(IF(OR(S738="GRADO ING. MECÁNICA", S738="GRADO ING. ELÉCTRICA", S738="GRADO DERECHO", S738="GRADO ECONOMÍA", S738="GRADO ING. TECNOLOGÍAS INDUSTRIALES"), 24, 0)) + (IF(AND(K738&gt;=451, K738&lt;=700), 23, 0)) + (IF(AND(AB738&gt;=5, AB738&lt;=8), 17, 0)) +(IF(_xludf.OR(_xludf.AND(AC738&gt;=8, AC738&lt;=10), _xludf.AND(AC738&gt;=0, AC738&lt;=5)), 16, 0)) + (IF(F738="Madrid", 11, 0))))</f>
        <v>#NAME?</v>
      </c>
      <c r="AG738" s="68"/>
      <c r="AH738" s="71" t="s">
        <v>164</v>
      </c>
    </row>
    <row r="739" spans="1:34" ht="14.4" x14ac:dyDescent="0.3">
      <c r="A739" s="66" t="s">
        <v>1717</v>
      </c>
      <c r="B739" s="66" t="s">
        <v>3834</v>
      </c>
      <c r="C739" s="33">
        <v>738</v>
      </c>
      <c r="D739" s="33" t="s">
        <v>5399</v>
      </c>
      <c r="E739" s="34" t="s">
        <v>5255</v>
      </c>
      <c r="F739" s="34" t="s">
        <v>18</v>
      </c>
      <c r="G739" s="57">
        <v>42355</v>
      </c>
      <c r="H739" s="57">
        <v>42551</v>
      </c>
      <c r="I739" s="34">
        <f t="shared" si="33"/>
        <v>6</v>
      </c>
      <c r="J739" s="34">
        <v>40</v>
      </c>
      <c r="K739" s="36">
        <v>900</v>
      </c>
      <c r="L739" s="34" t="s">
        <v>17</v>
      </c>
      <c r="M739" s="57">
        <v>34957</v>
      </c>
      <c r="N739" s="37">
        <f>(YEAR(TablaMadre[[#This Row],[ALTA]])-YEAR(M739))</f>
        <v>20</v>
      </c>
      <c r="O739" s="34" t="s">
        <v>65</v>
      </c>
      <c r="P739" s="34" t="s">
        <v>19</v>
      </c>
      <c r="Q739" s="34" t="s">
        <v>362</v>
      </c>
      <c r="R739" s="34" t="s">
        <v>21</v>
      </c>
      <c r="S739" s="34" t="s">
        <v>322</v>
      </c>
      <c r="T739" s="34"/>
      <c r="U739" s="34"/>
      <c r="V739" s="34" t="s">
        <v>59</v>
      </c>
      <c r="W739" s="34" t="s">
        <v>127</v>
      </c>
      <c r="X739" s="38" t="s">
        <v>164</v>
      </c>
      <c r="Y739" s="62">
        <v>43160</v>
      </c>
      <c r="Z739" s="38">
        <f t="shared" si="34"/>
        <v>1</v>
      </c>
      <c r="AA739" s="38"/>
      <c r="AB739" s="34"/>
      <c r="AC739" s="34"/>
      <c r="AD739" s="38"/>
      <c r="AE739" s="59" t="str">
        <f t="shared" si="35"/>
        <v>SÍ</v>
      </c>
      <c r="AF739" s="38" t="e" cm="1">
        <f t="array" aca="1" ref="AF739" ca="1">MIN(100, MAX(0, (IF(R739="ESTUDIANTE", 31, 0)) + (IF(I739&lt;=3, 30, IF(I739&lt;=6, 20, 0))) +(IF(OR(E739="413 - Control de Costes y Enlace Construcción", E739="480 - Secretaría General del Consejo", E739="132 - Civil y estructuras", E739="136 - Mecánica", E739="412 - Planificación", E739="142 - Compras"), 25, 0)) +(IF(OR(S739="GRADO ING. MECÁNICA", S739="GRADO ING. ELÉCTRICA", S739="GRADO DERECHO", S739="GRADO ECONOMÍA", S739="GRADO ING. TECNOLOGÍAS INDUSTRIALES"), 24, 0)) + (IF(AND(K739&gt;=451, K739&lt;=700), 23, 0)) + (IF(AND(AB739&gt;=5, AB739&lt;=8), 17, 0)) +(IF(_xludf.OR(_xludf.AND(AC739&gt;=8, AC739&lt;=10), _xludf.AND(AC739&gt;=0, AC739&lt;=5)), 16, 0)) + (IF(F739="Madrid", 11, 0))))</f>
        <v>#NAME?</v>
      </c>
      <c r="AG739" s="68"/>
      <c r="AH739" s="71" t="s">
        <v>164</v>
      </c>
    </row>
    <row r="740" spans="1:34" ht="14.4" x14ac:dyDescent="0.3">
      <c r="A740" s="66" t="s">
        <v>1682</v>
      </c>
      <c r="B740" s="66" t="s">
        <v>3799</v>
      </c>
      <c r="C740" s="33">
        <v>739</v>
      </c>
      <c r="D740" s="33" t="s">
        <v>5400</v>
      </c>
      <c r="E740" s="34" t="s">
        <v>5255</v>
      </c>
      <c r="F740" s="34" t="s">
        <v>18</v>
      </c>
      <c r="G740" s="57">
        <v>42359</v>
      </c>
      <c r="H740" s="57">
        <v>42692</v>
      </c>
      <c r="I740" s="34">
        <f t="shared" si="33"/>
        <v>10</v>
      </c>
      <c r="J740" s="34">
        <v>40</v>
      </c>
      <c r="K740" s="36">
        <v>800</v>
      </c>
      <c r="L740" s="34" t="s">
        <v>17</v>
      </c>
      <c r="M740" s="57">
        <v>34665</v>
      </c>
      <c r="N740" s="37">
        <f>(YEAR(TablaMadre[[#This Row],[ALTA]])-YEAR(M740))</f>
        <v>21</v>
      </c>
      <c r="O740" s="34" t="s">
        <v>205</v>
      </c>
      <c r="P740" s="34" t="s">
        <v>19</v>
      </c>
      <c r="Q740" s="34" t="s">
        <v>372</v>
      </c>
      <c r="R740" s="34" t="s">
        <v>21</v>
      </c>
      <c r="S740" s="34" t="s">
        <v>372</v>
      </c>
      <c r="T740" s="34"/>
      <c r="U740" s="34"/>
      <c r="V740" s="34" t="s">
        <v>51</v>
      </c>
      <c r="W740" s="34" t="s">
        <v>47</v>
      </c>
      <c r="X740" s="38" t="s">
        <v>164</v>
      </c>
      <c r="Y740" s="62"/>
      <c r="Z740" s="62" t="e">
        <f t="shared" si="34"/>
        <v>#NUM!</v>
      </c>
      <c r="AA740" s="62"/>
      <c r="AB740" s="34"/>
      <c r="AC740" s="34"/>
      <c r="AD740" s="38"/>
      <c r="AE740" s="59" t="str">
        <f t="shared" si="35"/>
        <v>SÍ</v>
      </c>
      <c r="AF740" s="38" t="e" cm="1">
        <f t="array" aca="1" ref="AF740" ca="1">MIN(100, MAX(0, (IF(R740="ESTUDIANTE", 31, 0)) + (IF(I740&lt;=3, 30, IF(I740&lt;=6, 20, 0))) +(IF(OR(E740="413 - Control de Costes y Enlace Construcción", E740="480 - Secretaría General del Consejo", E740="132 - Civil y estructuras", E740="136 - Mecánica", E740="412 - Planificación", E740="142 - Compras"), 25, 0)) +(IF(OR(S740="GRADO ING. MECÁNICA", S740="GRADO ING. ELÉCTRICA", S740="GRADO DERECHO", S740="GRADO ECONOMÍA", S740="GRADO ING. TECNOLOGÍAS INDUSTRIALES"), 24, 0)) + (IF(AND(K740&gt;=451, K740&lt;=700), 23, 0)) + (IF(AND(AB740&gt;=5, AB740&lt;=8), 17, 0)) +(IF(_xludf.OR(_xludf.AND(AC740&gt;=8, AC740&lt;=10), _xludf.AND(AC740&gt;=0, AC740&lt;=5)), 16, 0)) + (IF(F740="Madrid", 11, 0))))</f>
        <v>#NAME?</v>
      </c>
      <c r="AG740" s="68"/>
      <c r="AH740" s="71" t="s">
        <v>164</v>
      </c>
    </row>
    <row r="741" spans="1:34" ht="14.4" x14ac:dyDescent="0.3">
      <c r="A741" s="66" t="s">
        <v>1712</v>
      </c>
      <c r="B741" s="66" t="s">
        <v>3829</v>
      </c>
      <c r="C741" s="33">
        <v>740</v>
      </c>
      <c r="D741" s="33" t="s">
        <v>5401</v>
      </c>
      <c r="E741" s="34" t="s">
        <v>5268</v>
      </c>
      <c r="F741" s="34" t="s">
        <v>18</v>
      </c>
      <c r="G741" s="57">
        <v>42371</v>
      </c>
      <c r="H741" s="57">
        <v>42671</v>
      </c>
      <c r="I741" s="34">
        <f t="shared" si="33"/>
        <v>9</v>
      </c>
      <c r="J741" s="34">
        <v>40</v>
      </c>
      <c r="K741" s="36">
        <v>900</v>
      </c>
      <c r="L741" s="34" t="s">
        <v>29</v>
      </c>
      <c r="M741" s="57">
        <v>32987</v>
      </c>
      <c r="N741" s="37">
        <f>(YEAR(TablaMadre[[#This Row],[ALTA]])-YEAR(M741))</f>
        <v>26</v>
      </c>
      <c r="O741" s="34" t="s">
        <v>205</v>
      </c>
      <c r="P741" s="34" t="s">
        <v>19</v>
      </c>
      <c r="Q741" s="34" t="s">
        <v>117</v>
      </c>
      <c r="R741" s="34" t="s">
        <v>21</v>
      </c>
      <c r="S741" s="34" t="s">
        <v>117</v>
      </c>
      <c r="T741" s="34"/>
      <c r="U741" s="34"/>
      <c r="V741" s="34" t="s">
        <v>22</v>
      </c>
      <c r="W741" s="34" t="s">
        <v>183</v>
      </c>
      <c r="X741" s="38" t="s">
        <v>164</v>
      </c>
      <c r="Y741" s="62"/>
      <c r="Z741" s="62" t="e">
        <f t="shared" si="34"/>
        <v>#NUM!</v>
      </c>
      <c r="AA741" s="62"/>
      <c r="AB741" s="34"/>
      <c r="AC741" s="34"/>
      <c r="AD741" s="38"/>
      <c r="AE741" s="59" t="str">
        <f t="shared" si="35"/>
        <v>SÍ</v>
      </c>
      <c r="AF741" s="38" t="e" cm="1">
        <f t="array" aca="1" ref="AF741" ca="1">MIN(100, MAX(0, (IF(R741="ESTUDIANTE", 31, 0)) + (IF(I741&lt;=3, 30, IF(I741&lt;=6, 20, 0))) +(IF(OR(E741="413 - Control de Costes y Enlace Construcción", E741="480 - Secretaría General del Consejo", E741="132 - Civil y estructuras", E741="136 - Mecánica", E741="412 - Planificación", E741="142 - Compras"), 25, 0)) +(IF(OR(S741="GRADO ING. MECÁNICA", S741="GRADO ING. ELÉCTRICA", S741="GRADO DERECHO", S741="GRADO ECONOMÍA", S741="GRADO ING. TECNOLOGÍAS INDUSTRIALES"), 24, 0)) + (IF(AND(K741&gt;=451, K741&lt;=700), 23, 0)) + (IF(AND(AB741&gt;=5, AB741&lt;=8), 17, 0)) +(IF(_xludf.OR(_xludf.AND(AC741&gt;=8, AC741&lt;=10), _xludf.AND(AC741&gt;=0, AC741&lt;=5)), 16, 0)) + (IF(F741="Madrid", 11, 0))))</f>
        <v>#NAME?</v>
      </c>
      <c r="AG741" s="68"/>
      <c r="AH741" s="71" t="s">
        <v>164</v>
      </c>
    </row>
    <row r="742" spans="1:34" ht="14.4" x14ac:dyDescent="0.3">
      <c r="A742" s="66" t="s">
        <v>1720</v>
      </c>
      <c r="B742" s="66" t="s">
        <v>3837</v>
      </c>
      <c r="C742" s="33">
        <v>741</v>
      </c>
      <c r="D742" s="33" t="s">
        <v>5402</v>
      </c>
      <c r="E742" s="34" t="s">
        <v>5244</v>
      </c>
      <c r="F742" s="34" t="s">
        <v>18</v>
      </c>
      <c r="G742" s="57">
        <v>42371</v>
      </c>
      <c r="H742" s="57">
        <v>42766</v>
      </c>
      <c r="I742" s="34">
        <f t="shared" si="33"/>
        <v>12</v>
      </c>
      <c r="J742" s="34">
        <v>40</v>
      </c>
      <c r="K742" s="36">
        <v>900</v>
      </c>
      <c r="L742" s="34" t="s">
        <v>29</v>
      </c>
      <c r="M742" s="57">
        <v>34815</v>
      </c>
      <c r="N742" s="37">
        <f>(YEAR(TablaMadre[[#This Row],[ALTA]])-YEAR(M742))</f>
        <v>21</v>
      </c>
      <c r="O742" s="34" t="s">
        <v>62</v>
      </c>
      <c r="P742" s="34" t="s">
        <v>19</v>
      </c>
      <c r="Q742" s="34" t="s">
        <v>49</v>
      </c>
      <c r="R742" s="34" t="s">
        <v>21</v>
      </c>
      <c r="S742" s="34" t="s">
        <v>297</v>
      </c>
      <c r="T742" s="34"/>
      <c r="U742" s="34"/>
      <c r="V742" s="34" t="s">
        <v>142</v>
      </c>
      <c r="W742" s="34" t="s">
        <v>28</v>
      </c>
      <c r="X742" s="38" t="s">
        <v>173</v>
      </c>
      <c r="Y742" s="62"/>
      <c r="Z742" s="38" t="e">
        <f t="shared" si="34"/>
        <v>#NUM!</v>
      </c>
      <c r="AA742" s="38"/>
      <c r="AB742" s="34">
        <v>8</v>
      </c>
      <c r="AC742" s="34">
        <v>9</v>
      </c>
      <c r="AD742" s="38"/>
      <c r="AE742" s="59" t="str">
        <f t="shared" si="35"/>
        <v>SÍ</v>
      </c>
      <c r="AF742" s="38" t="e" cm="1">
        <f t="array" aca="1" ref="AF742" ca="1">MIN(100, MAX(0, (IF(R742="ESTUDIANTE", 31, 0)) + (IF(I742&lt;=3, 30, IF(I742&lt;=6, 20, 0))) +(IF(OR(E742="413 - Control de Costes y Enlace Construcción", E742="480 - Secretaría General del Consejo", E742="132 - Civil y estructuras", E742="136 - Mecánica", E742="412 - Planificación", E742="142 - Compras"), 25, 0)) +(IF(OR(S742="GRADO ING. MECÁNICA", S742="GRADO ING. ELÉCTRICA", S742="GRADO DERECHO", S742="GRADO ECONOMÍA", S742="GRADO ING. TECNOLOGÍAS INDUSTRIALES"), 24, 0)) + (IF(AND(K742&gt;=451, K742&lt;=700), 23, 0)) + (IF(AND(AB742&gt;=5, AB742&lt;=8), 17, 0)) +(IF(_xludf.OR(_xludf.AND(AC742&gt;=8, AC742&lt;=10), _xludf.AND(AC742&gt;=0, AC742&lt;=5)), 16, 0)) + (IF(F742="Madrid", 11, 0))))</f>
        <v>#NAME?</v>
      </c>
      <c r="AG742" s="68"/>
      <c r="AH742" s="71" t="s">
        <v>164</v>
      </c>
    </row>
    <row r="743" spans="1:34" ht="14.4" x14ac:dyDescent="0.3">
      <c r="A743" s="66" t="s">
        <v>1721</v>
      </c>
      <c r="B743" s="66" t="s">
        <v>3838</v>
      </c>
      <c r="C743" s="33">
        <v>742</v>
      </c>
      <c r="D743" s="33" t="s">
        <v>5393</v>
      </c>
      <c r="E743" s="34" t="s">
        <v>5273</v>
      </c>
      <c r="F743" s="34" t="s">
        <v>18</v>
      </c>
      <c r="G743" s="57">
        <v>42371</v>
      </c>
      <c r="H743" s="57">
        <v>42947</v>
      </c>
      <c r="I743" s="34">
        <f t="shared" si="33"/>
        <v>18</v>
      </c>
      <c r="J743" s="34">
        <v>35</v>
      </c>
      <c r="K743" s="36">
        <v>825</v>
      </c>
      <c r="L743" s="34" t="s">
        <v>17</v>
      </c>
      <c r="M743" s="57">
        <v>36602</v>
      </c>
      <c r="N743" s="37">
        <f>(YEAR(TablaMadre[[#This Row],[ALTA]])-YEAR(M743))</f>
        <v>16</v>
      </c>
      <c r="O743" s="34" t="s">
        <v>226</v>
      </c>
      <c r="P743" s="34" t="s">
        <v>19</v>
      </c>
      <c r="Q743" s="34" t="s">
        <v>306</v>
      </c>
      <c r="R743" s="34" t="s">
        <v>21</v>
      </c>
      <c r="S743" s="34" t="s">
        <v>307</v>
      </c>
      <c r="T743" s="34"/>
      <c r="U743" s="34"/>
      <c r="V743" s="34" t="s">
        <v>22</v>
      </c>
      <c r="W743" s="34" t="s">
        <v>28</v>
      </c>
      <c r="X743" s="38" t="s">
        <v>173</v>
      </c>
      <c r="Y743" s="62"/>
      <c r="Z743" s="38" t="e">
        <f t="shared" si="34"/>
        <v>#NUM!</v>
      </c>
      <c r="AA743" s="38"/>
      <c r="AB743" s="34">
        <v>8</v>
      </c>
      <c r="AC743" s="34">
        <v>8</v>
      </c>
      <c r="AD743" s="38"/>
      <c r="AE743" s="59" t="str">
        <f t="shared" si="35"/>
        <v>SÍ</v>
      </c>
      <c r="AF743" s="38" t="e" cm="1">
        <f t="array" aca="1" ref="AF743" ca="1">MIN(100, MAX(0, (IF(R743="ESTUDIANTE", 31, 0)) + (IF(I743&lt;=3, 30, IF(I743&lt;=6, 20, 0))) +(IF(OR(E743="413 - Control de Costes y Enlace Construcción", E743="480 - Secretaría General del Consejo", E743="132 - Civil y estructuras", E743="136 - Mecánica", E743="412 - Planificación", E743="142 - Compras"), 25, 0)) +(IF(OR(S743="GRADO ING. MECÁNICA", S743="GRADO ING. ELÉCTRICA", S743="GRADO DERECHO", S743="GRADO ECONOMÍA", S743="GRADO ING. TECNOLOGÍAS INDUSTRIALES"), 24, 0)) + (IF(AND(K743&gt;=451, K743&lt;=700), 23, 0)) + (IF(AND(AB743&gt;=5, AB743&lt;=8), 17, 0)) +(IF(_xludf.OR(_xludf.AND(AC743&gt;=8, AC743&lt;=10), _xludf.AND(AC743&gt;=0, AC743&lt;=5)), 16, 0)) + (IF(F743="Madrid", 11, 0))))</f>
        <v>#NAME?</v>
      </c>
      <c r="AG743" s="68"/>
      <c r="AH743" s="71" t="s">
        <v>164</v>
      </c>
    </row>
    <row r="744" spans="1:34" ht="14.4" x14ac:dyDescent="0.3">
      <c r="A744" s="66" t="s">
        <v>1722</v>
      </c>
      <c r="B744" s="66" t="s">
        <v>3839</v>
      </c>
      <c r="C744" s="33">
        <v>743</v>
      </c>
      <c r="D744" s="33" t="s">
        <v>5394</v>
      </c>
      <c r="E744" s="34" t="s">
        <v>5216</v>
      </c>
      <c r="F744" s="34" t="s">
        <v>18</v>
      </c>
      <c r="G744" s="57">
        <v>42372</v>
      </c>
      <c r="H744" s="57">
        <v>42794</v>
      </c>
      <c r="I744" s="34">
        <f t="shared" si="33"/>
        <v>13</v>
      </c>
      <c r="J744" s="34">
        <v>40</v>
      </c>
      <c r="K744" s="36">
        <v>900</v>
      </c>
      <c r="L744" s="34" t="s">
        <v>29</v>
      </c>
      <c r="M744" s="57">
        <v>34744</v>
      </c>
      <c r="N744" s="37">
        <f>(YEAR(TablaMadre[[#This Row],[ALTA]])-YEAR(M744))</f>
        <v>21</v>
      </c>
      <c r="O744" s="34" t="s">
        <v>18</v>
      </c>
      <c r="P744" s="34" t="s">
        <v>19</v>
      </c>
      <c r="Q744" s="34" t="s">
        <v>375</v>
      </c>
      <c r="R744" s="34" t="s">
        <v>21</v>
      </c>
      <c r="S744" s="34" t="s">
        <v>297</v>
      </c>
      <c r="T744" s="34"/>
      <c r="U744" s="34"/>
      <c r="V744" s="34" t="s">
        <v>56</v>
      </c>
      <c r="W744" s="34" t="s">
        <v>28</v>
      </c>
      <c r="X744" s="38" t="s">
        <v>173</v>
      </c>
      <c r="Y744" s="62"/>
      <c r="Z744" s="38" t="e">
        <f t="shared" si="34"/>
        <v>#NUM!</v>
      </c>
      <c r="AA744" s="38"/>
      <c r="AB744" s="34">
        <v>10</v>
      </c>
      <c r="AC744" s="34">
        <v>8</v>
      </c>
      <c r="AD744" s="38"/>
      <c r="AE744" s="59" t="str">
        <f t="shared" si="35"/>
        <v>NO</v>
      </c>
      <c r="AF744" s="38" t="e" cm="1">
        <f t="array" aca="1" ref="AF744" ca="1">MIN(100, MAX(0, (IF(R744="ESTUDIANTE", 31, 0)) + (IF(I744&lt;=3, 30, IF(I744&lt;=6, 20, 0))) +(IF(OR(E744="413 - Control de Costes y Enlace Construcción", E744="480 - Secretaría General del Consejo", E744="132 - Civil y estructuras", E744="136 - Mecánica", E744="412 - Planificación", E744="142 - Compras"), 25, 0)) +(IF(OR(S744="GRADO ING. MECÁNICA", S744="GRADO ING. ELÉCTRICA", S744="GRADO DERECHO", S744="GRADO ECONOMÍA", S744="GRADO ING. TECNOLOGÍAS INDUSTRIALES"), 24, 0)) + (IF(AND(K744&gt;=451, K744&lt;=700), 23, 0)) + (IF(AND(AB744&gt;=5, AB744&lt;=8), 17, 0)) +(IF(_xludf.OR(_xludf.AND(AC744&gt;=8, AC744&lt;=10), _xludf.AND(AC744&gt;=0, AC744&lt;=5)), 16, 0)) + (IF(F744="Madrid", 11, 0))))</f>
        <v>#NAME?</v>
      </c>
      <c r="AG744" s="68"/>
      <c r="AH744" s="71" t="s">
        <v>164</v>
      </c>
    </row>
    <row r="745" spans="1:34" ht="14.4" x14ac:dyDescent="0.3">
      <c r="A745" s="66" t="s">
        <v>1752</v>
      </c>
      <c r="B745" s="66" t="s">
        <v>3869</v>
      </c>
      <c r="C745" s="33">
        <v>745</v>
      </c>
      <c r="D745" s="33" t="s">
        <v>5395</v>
      </c>
      <c r="E745" s="34" t="s">
        <v>5252</v>
      </c>
      <c r="F745" s="34" t="s">
        <v>18</v>
      </c>
      <c r="G745" s="57">
        <v>42375</v>
      </c>
      <c r="H745" s="57">
        <v>42613</v>
      </c>
      <c r="I745" s="34">
        <f t="shared" si="33"/>
        <v>7</v>
      </c>
      <c r="J745" s="34">
        <v>40</v>
      </c>
      <c r="K745" s="36">
        <v>650</v>
      </c>
      <c r="L745" s="34" t="s">
        <v>17</v>
      </c>
      <c r="M745" s="57">
        <v>34907</v>
      </c>
      <c r="N745" s="37">
        <f>(YEAR(TablaMadre[[#This Row],[ALTA]])-YEAR(M745))</f>
        <v>21</v>
      </c>
      <c r="O745" s="34" t="s">
        <v>18</v>
      </c>
      <c r="P745" s="34" t="s">
        <v>19</v>
      </c>
      <c r="Q745" s="34" t="s">
        <v>297</v>
      </c>
      <c r="R745" s="58" t="s">
        <v>30</v>
      </c>
      <c r="S745" s="34" t="s">
        <v>297</v>
      </c>
      <c r="T745" s="34"/>
      <c r="U745" s="34"/>
      <c r="V745" s="34" t="s">
        <v>84</v>
      </c>
      <c r="W745" s="34" t="s">
        <v>23</v>
      </c>
      <c r="X745" s="38" t="s">
        <v>164</v>
      </c>
      <c r="Y745" s="62"/>
      <c r="Z745" s="62" t="e">
        <f t="shared" si="34"/>
        <v>#NUM!</v>
      </c>
      <c r="AA745" s="62"/>
      <c r="AB745" s="34">
        <v>9</v>
      </c>
      <c r="AC745" s="34"/>
      <c r="AD745" s="38"/>
      <c r="AE745" s="59" t="str">
        <f t="shared" si="35"/>
        <v>NO</v>
      </c>
      <c r="AF745" s="38" t="e" cm="1">
        <f t="array" aca="1" ref="AF745" ca="1">MIN(100, MAX(0, (IF(R745="ESTUDIANTE", 31, 0)) + (IF(I745&lt;=3, 30, IF(I745&lt;=6, 20, 0))) +(IF(OR(E745="413 - Control de Costes y Enlace Construcción", E745="480 - Secretaría General del Consejo", E745="132 - Civil y estructuras", E745="136 - Mecánica", E745="412 - Planificación", E745="142 - Compras"), 25, 0)) +(IF(OR(S745="GRADO ING. MECÁNICA", S745="GRADO ING. ELÉCTRICA", S745="GRADO DERECHO", S745="GRADO ECONOMÍA", S745="GRADO ING. TECNOLOGÍAS INDUSTRIALES"), 24, 0)) + (IF(AND(K745&gt;=451, K745&lt;=700), 23, 0)) + (IF(AND(AB745&gt;=5, AB745&lt;=8), 17, 0)) +(IF(_xludf.OR(_xludf.AND(AC745&gt;=8, AC745&lt;=10), _xludf.AND(AC745&gt;=0, AC745&lt;=5)), 16, 0)) + (IF(F745="Madrid", 11, 0))))</f>
        <v>#NAME?</v>
      </c>
      <c r="AG745" s="68"/>
      <c r="AH745" s="71" t="s">
        <v>164</v>
      </c>
    </row>
    <row r="746" spans="1:34" ht="14.4" x14ac:dyDescent="0.3">
      <c r="A746" s="66" t="s">
        <v>1755</v>
      </c>
      <c r="B746" s="66" t="s">
        <v>3872</v>
      </c>
      <c r="C746" s="33">
        <v>744</v>
      </c>
      <c r="D746" s="33" t="s">
        <v>5396</v>
      </c>
      <c r="E746" s="34" t="s">
        <v>5232</v>
      </c>
      <c r="F746" s="34" t="s">
        <v>18</v>
      </c>
      <c r="G746" s="57">
        <v>42375</v>
      </c>
      <c r="H746" s="57">
        <v>42613</v>
      </c>
      <c r="I746" s="34">
        <f t="shared" si="33"/>
        <v>7</v>
      </c>
      <c r="J746" s="34">
        <v>40</v>
      </c>
      <c r="K746" s="36">
        <v>825</v>
      </c>
      <c r="L746" s="34" t="s">
        <v>29</v>
      </c>
      <c r="M746" s="57">
        <v>34814</v>
      </c>
      <c r="N746" s="37">
        <f>(YEAR(TablaMadre[[#This Row],[ALTA]])-YEAR(M746))</f>
        <v>21</v>
      </c>
      <c r="O746" s="34" t="s">
        <v>511</v>
      </c>
      <c r="P746" s="34" t="s">
        <v>19</v>
      </c>
      <c r="Q746" s="34" t="s">
        <v>367</v>
      </c>
      <c r="R746" s="34" t="s">
        <v>21</v>
      </c>
      <c r="S746" s="34" t="s">
        <v>321</v>
      </c>
      <c r="T746" s="34"/>
      <c r="U746" s="34"/>
      <c r="V746" s="34" t="s">
        <v>137</v>
      </c>
      <c r="W746" s="34" t="s">
        <v>23</v>
      </c>
      <c r="X746" s="38" t="s">
        <v>164</v>
      </c>
      <c r="Y746" s="62"/>
      <c r="Z746" s="62" t="e">
        <f t="shared" si="34"/>
        <v>#NUM!</v>
      </c>
      <c r="AA746" s="62"/>
      <c r="AB746" s="34">
        <v>6</v>
      </c>
      <c r="AC746" s="34"/>
      <c r="AD746" s="38"/>
      <c r="AE746" s="59" t="str">
        <f t="shared" si="35"/>
        <v>SÍ</v>
      </c>
      <c r="AF746" s="38" t="e" cm="1">
        <f t="array" aca="1" ref="AF746" ca="1">MIN(100, MAX(0, (IF(R746="ESTUDIANTE", 31, 0)) + (IF(I746&lt;=3, 30, IF(I746&lt;=6, 20, 0))) +(IF(OR(E746="413 - Control de Costes y Enlace Construcción", E746="480 - Secretaría General del Consejo", E746="132 - Civil y estructuras", E746="136 - Mecánica", E746="412 - Planificación", E746="142 - Compras"), 25, 0)) +(IF(OR(S746="GRADO ING. MECÁNICA", S746="GRADO ING. ELÉCTRICA", S746="GRADO DERECHO", S746="GRADO ECONOMÍA", S746="GRADO ING. TECNOLOGÍAS INDUSTRIALES"), 24, 0)) + (IF(AND(K746&gt;=451, K746&lt;=700), 23, 0)) + (IF(AND(AB746&gt;=5, AB746&lt;=8), 17, 0)) +(IF(_xludf.OR(_xludf.AND(AC746&gt;=8, AC746&lt;=10), _xludf.AND(AC746&gt;=0, AC746&lt;=5)), 16, 0)) + (IF(F746="Madrid", 11, 0))))</f>
        <v>#NAME?</v>
      </c>
      <c r="AG746" s="68"/>
      <c r="AH746" s="71" t="s">
        <v>164</v>
      </c>
    </row>
    <row r="747" spans="1:34" ht="14.4" x14ac:dyDescent="0.3">
      <c r="A747" s="66" t="s">
        <v>1759</v>
      </c>
      <c r="B747" s="66" t="s">
        <v>3876</v>
      </c>
      <c r="C747" s="33">
        <v>746</v>
      </c>
      <c r="D747" s="33" t="s">
        <v>5397</v>
      </c>
      <c r="E747" s="34" t="s">
        <v>5234</v>
      </c>
      <c r="F747" s="34" t="s">
        <v>931</v>
      </c>
      <c r="G747" s="57">
        <v>42376</v>
      </c>
      <c r="H747" s="57">
        <v>42613</v>
      </c>
      <c r="I747" s="34">
        <f t="shared" si="33"/>
        <v>7</v>
      </c>
      <c r="J747" s="34">
        <v>40</v>
      </c>
      <c r="K747" s="36">
        <v>650</v>
      </c>
      <c r="L747" s="34" t="s">
        <v>17</v>
      </c>
      <c r="M747" s="57">
        <v>34532</v>
      </c>
      <c r="N747" s="37">
        <f>(YEAR(TablaMadre[[#This Row],[ALTA]])-YEAR(M747))</f>
        <v>22</v>
      </c>
      <c r="O747" s="34"/>
      <c r="P747" s="34" t="s">
        <v>19</v>
      </c>
      <c r="Q747" s="34" t="s">
        <v>368</v>
      </c>
      <c r="R747" s="58" t="s">
        <v>30</v>
      </c>
      <c r="S747" s="34" t="s">
        <v>690</v>
      </c>
      <c r="T747" s="34"/>
      <c r="U747" s="34"/>
      <c r="V747" s="34" t="s">
        <v>33</v>
      </c>
      <c r="W747" s="34" t="s">
        <v>23</v>
      </c>
      <c r="X747" s="38" t="s">
        <v>164</v>
      </c>
      <c r="Y747" s="62"/>
      <c r="Z747" s="62" t="e">
        <f t="shared" si="34"/>
        <v>#NUM!</v>
      </c>
      <c r="AA747" s="62"/>
      <c r="AB747" s="34"/>
      <c r="AC747" s="34"/>
      <c r="AD747" s="38"/>
      <c r="AE747" s="59" t="str">
        <f t="shared" si="35"/>
        <v>SÍ</v>
      </c>
      <c r="AF747" s="38" t="e" cm="1">
        <f t="array" aca="1" ref="AF747" ca="1">MIN(100, MAX(0, (IF(R747="ESTUDIANTE", 31, 0)) + (IF(I747&lt;=3, 30, IF(I747&lt;=6, 20, 0))) +(IF(OR(E747="413 - Control de Costes y Enlace Construcción", E747="480 - Secretaría General del Consejo", E747="132 - Civil y estructuras", E747="136 - Mecánica", E747="412 - Planificación", E747="142 - Compras"), 25, 0)) +(IF(OR(S747="GRADO ING. MECÁNICA", S747="GRADO ING. ELÉCTRICA", S747="GRADO DERECHO", S747="GRADO ECONOMÍA", S747="GRADO ING. TECNOLOGÍAS INDUSTRIALES"), 24, 0)) + (IF(AND(K747&gt;=451, K747&lt;=700), 23, 0)) + (IF(AND(AB747&gt;=5, AB747&lt;=8), 17, 0)) +(IF(_xludf.OR(_xludf.AND(AC747&gt;=8, AC747&lt;=10), _xludf.AND(AC747&gt;=0, AC747&lt;=5)), 16, 0)) + (IF(F747="Madrid", 11, 0))))</f>
        <v>#NAME?</v>
      </c>
      <c r="AG747" s="68"/>
      <c r="AH747" s="71" t="s">
        <v>164</v>
      </c>
    </row>
    <row r="748" spans="1:34" ht="14.4" x14ac:dyDescent="0.3">
      <c r="A748" s="66" t="s">
        <v>1760</v>
      </c>
      <c r="B748" s="66" t="s">
        <v>3877</v>
      </c>
      <c r="C748" s="33">
        <v>747</v>
      </c>
      <c r="D748" s="33" t="s">
        <v>5398</v>
      </c>
      <c r="E748" s="34" t="s">
        <v>5292</v>
      </c>
      <c r="F748" s="34" t="s">
        <v>18</v>
      </c>
      <c r="G748" s="57">
        <v>42376</v>
      </c>
      <c r="H748" s="57">
        <v>43345</v>
      </c>
      <c r="I748" s="34">
        <f t="shared" si="33"/>
        <v>31</v>
      </c>
      <c r="J748" s="34">
        <v>20</v>
      </c>
      <c r="K748" s="36">
        <v>370</v>
      </c>
      <c r="L748" s="34" t="s">
        <v>17</v>
      </c>
      <c r="M748" s="57">
        <v>34317</v>
      </c>
      <c r="N748" s="37">
        <f>(YEAR(TablaMadre[[#This Row],[ALTA]])-YEAR(M748))</f>
        <v>23</v>
      </c>
      <c r="O748" s="34" t="s">
        <v>105</v>
      </c>
      <c r="P748" s="34" t="s">
        <v>19</v>
      </c>
      <c r="Q748" s="34" t="s">
        <v>306</v>
      </c>
      <c r="R748" s="58" t="s">
        <v>30</v>
      </c>
      <c r="S748" s="34" t="s">
        <v>307</v>
      </c>
      <c r="T748" s="34"/>
      <c r="U748" s="34"/>
      <c r="V748" s="34" t="s">
        <v>40</v>
      </c>
      <c r="W748" s="34" t="s">
        <v>91</v>
      </c>
      <c r="X748" s="38" t="s">
        <v>164</v>
      </c>
      <c r="Y748" s="62"/>
      <c r="Z748" s="62" t="e">
        <f t="shared" si="34"/>
        <v>#NUM!</v>
      </c>
      <c r="AA748" s="62"/>
      <c r="AB748" s="34">
        <v>10</v>
      </c>
      <c r="AC748" s="34"/>
      <c r="AD748" s="38"/>
      <c r="AE748" s="59" t="str">
        <f t="shared" si="35"/>
        <v>SÍ</v>
      </c>
      <c r="AF748" s="38" t="e" cm="1">
        <f t="array" aca="1" ref="AF748" ca="1">MIN(100, MAX(0, (IF(R748="ESTUDIANTE", 31, 0)) + (IF(I748&lt;=3, 30, IF(I748&lt;=6, 20, 0))) +(IF(OR(E748="413 - Control de Costes y Enlace Construcción", E748="480 - Secretaría General del Consejo", E748="132 - Civil y estructuras", E748="136 - Mecánica", E748="412 - Planificación", E748="142 - Compras"), 25, 0)) +(IF(OR(S748="GRADO ING. MECÁNICA", S748="GRADO ING. ELÉCTRICA", S748="GRADO DERECHO", S748="GRADO ECONOMÍA", S748="GRADO ING. TECNOLOGÍAS INDUSTRIALES"), 24, 0)) + (IF(AND(K748&gt;=451, K748&lt;=700), 23, 0)) + (IF(AND(AB748&gt;=5, AB748&lt;=8), 17, 0)) +(IF(_xludf.OR(_xludf.AND(AC748&gt;=8, AC748&lt;=10), _xludf.AND(AC748&gt;=0, AC748&lt;=5)), 16, 0)) + (IF(F748="Madrid", 11, 0))))</f>
        <v>#NAME?</v>
      </c>
      <c r="AG748" s="68"/>
      <c r="AH748" s="71" t="s">
        <v>164</v>
      </c>
    </row>
    <row r="749" spans="1:34" ht="14.4" x14ac:dyDescent="0.3">
      <c r="A749" s="66" t="s">
        <v>1727</v>
      </c>
      <c r="B749" s="66" t="s">
        <v>3844</v>
      </c>
      <c r="C749" s="33">
        <v>748</v>
      </c>
      <c r="D749" s="33" t="s">
        <v>5399</v>
      </c>
      <c r="E749" s="34" t="s">
        <v>5296</v>
      </c>
      <c r="F749" s="34" t="s">
        <v>70</v>
      </c>
      <c r="G749" s="57">
        <v>42378</v>
      </c>
      <c r="H749" s="57">
        <v>43159</v>
      </c>
      <c r="I749" s="34">
        <f t="shared" si="33"/>
        <v>25</v>
      </c>
      <c r="J749" s="34">
        <v>35</v>
      </c>
      <c r="K749" s="36">
        <v>900</v>
      </c>
      <c r="L749" s="34" t="s">
        <v>29</v>
      </c>
      <c r="M749" s="57">
        <v>36144</v>
      </c>
      <c r="N749" s="37">
        <f>(YEAR(TablaMadre[[#This Row],[ALTA]])-YEAR(M749))</f>
        <v>18</v>
      </c>
      <c r="O749" s="34" t="s">
        <v>70</v>
      </c>
      <c r="P749" s="34" t="s">
        <v>19</v>
      </c>
      <c r="Q749" s="34" t="s">
        <v>297</v>
      </c>
      <c r="R749" s="34" t="s">
        <v>21</v>
      </c>
      <c r="S749" s="34" t="s">
        <v>297</v>
      </c>
      <c r="T749" s="34"/>
      <c r="U749" s="34"/>
      <c r="V749" s="34" t="s">
        <v>86</v>
      </c>
      <c r="W749" s="34" t="s">
        <v>28</v>
      </c>
      <c r="X749" s="38" t="s">
        <v>164</v>
      </c>
      <c r="Y749" s="62">
        <v>43770</v>
      </c>
      <c r="Z749" s="38">
        <f t="shared" si="34"/>
        <v>1</v>
      </c>
      <c r="AA749" s="38"/>
      <c r="AB749" s="34">
        <v>7</v>
      </c>
      <c r="AC749" s="34">
        <v>10</v>
      </c>
      <c r="AD749" s="38"/>
      <c r="AE749" s="59" t="str">
        <f t="shared" si="35"/>
        <v>NO</v>
      </c>
      <c r="AF749" s="38" t="e" cm="1">
        <f t="array" aca="1" ref="AF749" ca="1">MIN(100, MAX(0, (IF(R749="ESTUDIANTE", 31, 0)) + (IF(I749&lt;=3, 30, IF(I749&lt;=6, 20, 0))) +(IF(OR(E749="413 - Control de Costes y Enlace Construcción", E749="480 - Secretaría General del Consejo", E749="132 - Civil y estructuras", E749="136 - Mecánica", E749="412 - Planificación", E749="142 - Compras"), 25, 0)) +(IF(OR(S749="GRADO ING. MECÁNICA", S749="GRADO ING. ELÉCTRICA", S749="GRADO DERECHO", S749="GRADO ECONOMÍA", S749="GRADO ING. TECNOLOGÍAS INDUSTRIALES"), 24, 0)) + (IF(AND(K749&gt;=451, K749&lt;=700), 23, 0)) + (IF(AND(AB749&gt;=5, AB749&lt;=8), 17, 0)) +(IF(_xludf.OR(_xludf.AND(AC749&gt;=8, AC749&lt;=10), _xludf.AND(AC749&gt;=0, AC749&lt;=5)), 16, 0)) + (IF(F749="Madrid", 11, 0))))</f>
        <v>#NAME?</v>
      </c>
      <c r="AG749" s="68"/>
      <c r="AH749" s="71" t="s">
        <v>164</v>
      </c>
    </row>
    <row r="750" spans="1:34" ht="14.4" x14ac:dyDescent="0.3">
      <c r="A750" s="66" t="s">
        <v>1728</v>
      </c>
      <c r="B750" s="66" t="s">
        <v>3845</v>
      </c>
      <c r="C750" s="33">
        <v>749</v>
      </c>
      <c r="D750" s="33" t="s">
        <v>5400</v>
      </c>
      <c r="E750" s="34" t="s">
        <v>5244</v>
      </c>
      <c r="F750" s="34" t="s">
        <v>18</v>
      </c>
      <c r="G750" s="57">
        <v>42387</v>
      </c>
      <c r="H750" s="57">
        <v>42752</v>
      </c>
      <c r="I750" s="34">
        <f t="shared" si="33"/>
        <v>11</v>
      </c>
      <c r="J750" s="34">
        <v>40</v>
      </c>
      <c r="K750" s="36">
        <v>900</v>
      </c>
      <c r="L750" s="34" t="s">
        <v>29</v>
      </c>
      <c r="M750" s="57">
        <v>34050</v>
      </c>
      <c r="N750" s="37">
        <f>(YEAR(TablaMadre[[#This Row],[ALTA]])-YEAR(M750))</f>
        <v>23</v>
      </c>
      <c r="O750" s="34" t="s">
        <v>18</v>
      </c>
      <c r="P750" s="34" t="s">
        <v>19</v>
      </c>
      <c r="Q750" s="34" t="s">
        <v>49</v>
      </c>
      <c r="R750" s="34" t="s">
        <v>21</v>
      </c>
      <c r="S750" s="34" t="s">
        <v>297</v>
      </c>
      <c r="T750" s="34"/>
      <c r="U750" s="34"/>
      <c r="V750" s="34" t="s">
        <v>22</v>
      </c>
      <c r="W750" s="34" t="s">
        <v>28</v>
      </c>
      <c r="X750" s="38" t="s">
        <v>164</v>
      </c>
      <c r="Y750" s="62">
        <v>45628</v>
      </c>
      <c r="Z750" s="38">
        <f t="shared" si="34"/>
        <v>7</v>
      </c>
      <c r="AA750" s="38"/>
      <c r="AB750" s="34">
        <v>9</v>
      </c>
      <c r="AC750" s="34">
        <v>8</v>
      </c>
      <c r="AD750" s="38"/>
      <c r="AE750" s="59" t="str">
        <f t="shared" si="35"/>
        <v>NO</v>
      </c>
      <c r="AF750" s="38" t="e" cm="1">
        <f t="array" aca="1" ref="AF750" ca="1">MIN(100, MAX(0, (IF(R750="ESTUDIANTE", 31, 0)) + (IF(I750&lt;=3, 30, IF(I750&lt;=6, 20, 0))) +(IF(OR(E750="413 - Control de Costes y Enlace Construcción", E750="480 - Secretaría General del Consejo", E750="132 - Civil y estructuras", E750="136 - Mecánica", E750="412 - Planificación", E750="142 - Compras"), 25, 0)) +(IF(OR(S750="GRADO ING. MECÁNICA", S750="GRADO ING. ELÉCTRICA", S750="GRADO DERECHO", S750="GRADO ECONOMÍA", S750="GRADO ING. TECNOLOGÍAS INDUSTRIALES"), 24, 0)) + (IF(AND(K750&gt;=451, K750&lt;=700), 23, 0)) + (IF(AND(AB750&gt;=5, AB750&lt;=8), 17, 0)) +(IF(_xludf.OR(_xludf.AND(AC750&gt;=8, AC750&lt;=10), _xludf.AND(AC750&gt;=0, AC750&lt;=5)), 16, 0)) + (IF(F750="Madrid", 11, 0))))</f>
        <v>#NAME?</v>
      </c>
      <c r="AG750" s="68"/>
      <c r="AH750" s="71" t="s">
        <v>164</v>
      </c>
    </row>
    <row r="751" spans="1:34" ht="14.4" x14ac:dyDescent="0.3">
      <c r="A751" s="66" t="s">
        <v>1729</v>
      </c>
      <c r="B751" s="66" t="s">
        <v>3846</v>
      </c>
      <c r="C751" s="33">
        <v>750</v>
      </c>
      <c r="D751" s="33" t="s">
        <v>5401</v>
      </c>
      <c r="E751" s="34" t="s">
        <v>5244</v>
      </c>
      <c r="F751" s="34" t="s">
        <v>18</v>
      </c>
      <c r="G751" s="57">
        <v>42387</v>
      </c>
      <c r="H751" s="57">
        <v>42752</v>
      </c>
      <c r="I751" s="34">
        <f t="shared" si="33"/>
        <v>11</v>
      </c>
      <c r="J751" s="34">
        <v>40</v>
      </c>
      <c r="K751" s="36">
        <v>900</v>
      </c>
      <c r="L751" s="34" t="s">
        <v>17</v>
      </c>
      <c r="M751" s="57">
        <v>34113</v>
      </c>
      <c r="N751" s="37">
        <f>(YEAR(TablaMadre[[#This Row],[ALTA]])-YEAR(M751))</f>
        <v>23</v>
      </c>
      <c r="O751" s="34" t="s">
        <v>64</v>
      </c>
      <c r="P751" s="34" t="s">
        <v>19</v>
      </c>
      <c r="Q751" s="34" t="s">
        <v>49</v>
      </c>
      <c r="R751" s="34" t="s">
        <v>21</v>
      </c>
      <c r="S751" s="34" t="s">
        <v>297</v>
      </c>
      <c r="T751" s="34"/>
      <c r="U751" s="34"/>
      <c r="V751" s="34" t="s">
        <v>22</v>
      </c>
      <c r="W751" s="34" t="s">
        <v>28</v>
      </c>
      <c r="X751" s="38" t="s">
        <v>173</v>
      </c>
      <c r="Y751" s="62"/>
      <c r="Z751" s="38" t="e">
        <f t="shared" si="34"/>
        <v>#NUM!</v>
      </c>
      <c r="AA751" s="38"/>
      <c r="AB751" s="34">
        <v>8</v>
      </c>
      <c r="AC751" s="34">
        <v>8</v>
      </c>
      <c r="AD751" s="38"/>
      <c r="AE751" s="59" t="str">
        <f t="shared" si="35"/>
        <v>SÍ</v>
      </c>
      <c r="AF751" s="38" t="e" cm="1">
        <f t="array" aca="1" ref="AF751" ca="1">MIN(100, MAX(0, (IF(R751="ESTUDIANTE", 31, 0)) + (IF(I751&lt;=3, 30, IF(I751&lt;=6, 20, 0))) +(IF(OR(E751="413 - Control de Costes y Enlace Construcción", E751="480 - Secretaría General del Consejo", E751="132 - Civil y estructuras", E751="136 - Mecánica", E751="412 - Planificación", E751="142 - Compras"), 25, 0)) +(IF(OR(S751="GRADO ING. MECÁNICA", S751="GRADO ING. ELÉCTRICA", S751="GRADO DERECHO", S751="GRADO ECONOMÍA", S751="GRADO ING. TECNOLOGÍAS INDUSTRIALES"), 24, 0)) + (IF(AND(K751&gt;=451, K751&lt;=700), 23, 0)) + (IF(AND(AB751&gt;=5, AB751&lt;=8), 17, 0)) +(IF(_xludf.OR(_xludf.AND(AC751&gt;=8, AC751&lt;=10), _xludf.AND(AC751&gt;=0, AC751&lt;=5)), 16, 0)) + (IF(F751="Madrid", 11, 0))))</f>
        <v>#NAME?</v>
      </c>
      <c r="AG751" s="68"/>
      <c r="AH751" s="71" t="s">
        <v>164</v>
      </c>
    </row>
    <row r="752" spans="1:34" ht="14.4" x14ac:dyDescent="0.3">
      <c r="A752" s="66" t="s">
        <v>1730</v>
      </c>
      <c r="B752" s="66" t="s">
        <v>3847</v>
      </c>
      <c r="C752" s="33">
        <v>751</v>
      </c>
      <c r="D752" s="33" t="s">
        <v>5402</v>
      </c>
      <c r="E752" s="34" t="s">
        <v>5245</v>
      </c>
      <c r="F752" s="34" t="s">
        <v>18</v>
      </c>
      <c r="G752" s="57">
        <v>42387</v>
      </c>
      <c r="H752" s="57">
        <v>42933</v>
      </c>
      <c r="I752" s="34">
        <f t="shared" si="33"/>
        <v>17</v>
      </c>
      <c r="J752" s="34">
        <v>35</v>
      </c>
      <c r="K752" s="36">
        <v>900</v>
      </c>
      <c r="L752" s="34" t="s">
        <v>17</v>
      </c>
      <c r="M752" s="57">
        <v>32826</v>
      </c>
      <c r="N752" s="37">
        <f>(YEAR(TablaMadre[[#This Row],[ALTA]])-YEAR(M752))</f>
        <v>27</v>
      </c>
      <c r="O752" s="34" t="s">
        <v>233</v>
      </c>
      <c r="P752" s="34" t="s">
        <v>19</v>
      </c>
      <c r="Q752" s="34" t="s">
        <v>61</v>
      </c>
      <c r="R752" s="34" t="s">
        <v>21</v>
      </c>
      <c r="S752" s="34" t="s">
        <v>322</v>
      </c>
      <c r="T752" s="34"/>
      <c r="U752" s="34"/>
      <c r="V752" s="34" t="s">
        <v>207</v>
      </c>
      <c r="W752" s="34" t="s">
        <v>28</v>
      </c>
      <c r="X752" s="38" t="s">
        <v>164</v>
      </c>
      <c r="Y752" s="62">
        <v>43036</v>
      </c>
      <c r="Z752" s="38">
        <f t="shared" si="34"/>
        <v>0</v>
      </c>
      <c r="AA752" s="38"/>
      <c r="AB752" s="34">
        <v>7</v>
      </c>
      <c r="AC752" s="34"/>
      <c r="AD752" s="38"/>
      <c r="AE752" s="59" t="str">
        <f t="shared" si="35"/>
        <v>SÍ</v>
      </c>
      <c r="AF752" s="38" t="e" cm="1">
        <f t="array" aca="1" ref="AF752" ca="1">MIN(100, MAX(0, (IF(R752="ESTUDIANTE", 31, 0)) + (IF(I752&lt;=3, 30, IF(I752&lt;=6, 20, 0))) +(IF(OR(E752="413 - Control de Costes y Enlace Construcción", E752="480 - Secretaría General del Consejo", E752="132 - Civil y estructuras", E752="136 - Mecánica", E752="412 - Planificación", E752="142 - Compras"), 25, 0)) +(IF(OR(S752="GRADO ING. MECÁNICA", S752="GRADO ING. ELÉCTRICA", S752="GRADO DERECHO", S752="GRADO ECONOMÍA", S752="GRADO ING. TECNOLOGÍAS INDUSTRIALES"), 24, 0)) + (IF(AND(K752&gt;=451, K752&lt;=700), 23, 0)) + (IF(AND(AB752&gt;=5, AB752&lt;=8), 17, 0)) +(IF(_xludf.OR(_xludf.AND(AC752&gt;=8, AC752&lt;=10), _xludf.AND(AC752&gt;=0, AC752&lt;=5)), 16, 0)) + (IF(F752="Madrid", 11, 0))))</f>
        <v>#NAME?</v>
      </c>
      <c r="AG752" s="68"/>
      <c r="AH752" s="71" t="s">
        <v>164</v>
      </c>
    </row>
    <row r="753" spans="1:34" ht="14.4" x14ac:dyDescent="0.3">
      <c r="A753" s="66" t="s">
        <v>1687</v>
      </c>
      <c r="B753" s="66" t="s">
        <v>3804</v>
      </c>
      <c r="C753" s="33">
        <v>752</v>
      </c>
      <c r="D753" s="33" t="s">
        <v>5393</v>
      </c>
      <c r="E753" s="34" t="s">
        <v>5273</v>
      </c>
      <c r="F753" s="34" t="s">
        <v>18</v>
      </c>
      <c r="G753" s="57">
        <v>42390</v>
      </c>
      <c r="H753" s="57">
        <v>42606</v>
      </c>
      <c r="I753" s="34">
        <f t="shared" si="33"/>
        <v>7</v>
      </c>
      <c r="J753" s="34">
        <v>40</v>
      </c>
      <c r="K753" s="36">
        <v>900</v>
      </c>
      <c r="L753" s="34" t="s">
        <v>17</v>
      </c>
      <c r="M753" s="57">
        <v>34077</v>
      </c>
      <c r="N753" s="37">
        <f>(YEAR(TablaMadre[[#This Row],[ALTA]])-YEAR(M753))</f>
        <v>23</v>
      </c>
      <c r="O753" s="34" t="s">
        <v>247</v>
      </c>
      <c r="P753" s="34" t="s">
        <v>19</v>
      </c>
      <c r="Q753" s="34" t="s">
        <v>254</v>
      </c>
      <c r="R753" s="34" t="s">
        <v>21</v>
      </c>
      <c r="S753" s="34" t="s">
        <v>322</v>
      </c>
      <c r="T753" s="34"/>
      <c r="U753" s="34"/>
      <c r="V753" s="34" t="s">
        <v>86</v>
      </c>
      <c r="W753" s="34" t="s">
        <v>47</v>
      </c>
      <c r="X753" s="38" t="s">
        <v>164</v>
      </c>
      <c r="Y753" s="62"/>
      <c r="Z753" s="62" t="e">
        <f t="shared" si="34"/>
        <v>#NUM!</v>
      </c>
      <c r="AA753" s="62"/>
      <c r="AB753" s="34">
        <v>6</v>
      </c>
      <c r="AC753" s="34"/>
      <c r="AD753" s="38"/>
      <c r="AE753" s="59" t="str">
        <f t="shared" si="35"/>
        <v>SÍ</v>
      </c>
      <c r="AF753" s="38" t="e" cm="1">
        <f t="array" aca="1" ref="AF753" ca="1">MIN(100, MAX(0, (IF(R753="ESTUDIANTE", 31, 0)) + (IF(I753&lt;=3, 30, IF(I753&lt;=6, 20, 0))) +(IF(OR(E753="413 - Control de Costes y Enlace Construcción", E753="480 - Secretaría General del Consejo", E753="132 - Civil y estructuras", E753="136 - Mecánica", E753="412 - Planificación", E753="142 - Compras"), 25, 0)) +(IF(OR(S753="GRADO ING. MECÁNICA", S753="GRADO ING. ELÉCTRICA", S753="GRADO DERECHO", S753="GRADO ECONOMÍA", S753="GRADO ING. TECNOLOGÍAS INDUSTRIALES"), 24, 0)) + (IF(AND(K753&gt;=451, K753&lt;=700), 23, 0)) + (IF(AND(AB753&gt;=5, AB753&lt;=8), 17, 0)) +(IF(_xludf.OR(_xludf.AND(AC753&gt;=8, AC753&lt;=10), _xludf.AND(AC753&gt;=0, AC753&lt;=5)), 16, 0)) + (IF(F753="Madrid", 11, 0))))</f>
        <v>#NAME?</v>
      </c>
      <c r="AG753" s="68"/>
      <c r="AH753" s="71" t="s">
        <v>164</v>
      </c>
    </row>
    <row r="754" spans="1:34" ht="14.4" x14ac:dyDescent="0.3">
      <c r="A754" s="66" t="s">
        <v>1732</v>
      </c>
      <c r="B754" s="66" t="s">
        <v>3849</v>
      </c>
      <c r="C754" s="33">
        <v>753</v>
      </c>
      <c r="D754" s="33" t="s">
        <v>5394</v>
      </c>
      <c r="E754" s="34" t="s">
        <v>5273</v>
      </c>
      <c r="F754" s="34" t="s">
        <v>18</v>
      </c>
      <c r="G754" s="57">
        <v>42390</v>
      </c>
      <c r="H754" s="57">
        <v>42925</v>
      </c>
      <c r="I754" s="34">
        <f t="shared" si="33"/>
        <v>17</v>
      </c>
      <c r="J754" s="34">
        <v>35</v>
      </c>
      <c r="K754" s="36">
        <v>825</v>
      </c>
      <c r="L754" s="34" t="s">
        <v>17</v>
      </c>
      <c r="M754" s="57">
        <v>33235</v>
      </c>
      <c r="N754" s="37">
        <f>(YEAR(TablaMadre[[#This Row],[ALTA]])-YEAR(M754))</f>
        <v>26</v>
      </c>
      <c r="O754" s="34" t="s">
        <v>18</v>
      </c>
      <c r="P754" s="34" t="s">
        <v>19</v>
      </c>
      <c r="Q754" s="34" t="s">
        <v>136</v>
      </c>
      <c r="R754" s="34" t="s">
        <v>21</v>
      </c>
      <c r="S754" s="34" t="s">
        <v>136</v>
      </c>
      <c r="T754" s="34"/>
      <c r="U754" s="34"/>
      <c r="V754" s="34" t="s">
        <v>67</v>
      </c>
      <c r="W754" s="34" t="s">
        <v>28</v>
      </c>
      <c r="X754" s="38" t="s">
        <v>164</v>
      </c>
      <c r="Y754" s="62">
        <v>44106</v>
      </c>
      <c r="Z754" s="38">
        <f t="shared" si="34"/>
        <v>3</v>
      </c>
      <c r="AA754" s="38"/>
      <c r="AB754" s="34">
        <v>9</v>
      </c>
      <c r="AC754" s="34"/>
      <c r="AD754" s="38"/>
      <c r="AE754" s="59" t="str">
        <f t="shared" si="35"/>
        <v>NO</v>
      </c>
      <c r="AF754" s="38" t="e" cm="1">
        <f t="array" aca="1" ref="AF754" ca="1">MIN(100, MAX(0, (IF(R754="ESTUDIANTE", 31, 0)) + (IF(I754&lt;=3, 30, IF(I754&lt;=6, 20, 0))) +(IF(OR(E754="413 - Control de Costes y Enlace Construcción", E754="480 - Secretaría General del Consejo", E754="132 - Civil y estructuras", E754="136 - Mecánica", E754="412 - Planificación", E754="142 - Compras"), 25, 0)) +(IF(OR(S754="GRADO ING. MECÁNICA", S754="GRADO ING. ELÉCTRICA", S754="GRADO DERECHO", S754="GRADO ECONOMÍA", S754="GRADO ING. TECNOLOGÍAS INDUSTRIALES"), 24, 0)) + (IF(AND(K754&gt;=451, K754&lt;=700), 23, 0)) + (IF(AND(AB754&gt;=5, AB754&lt;=8), 17, 0)) +(IF(_xludf.OR(_xludf.AND(AC754&gt;=8, AC754&lt;=10), _xludf.AND(AC754&gt;=0, AC754&lt;=5)), 16, 0)) + (IF(F754="Madrid", 11, 0))))</f>
        <v>#NAME?</v>
      </c>
      <c r="AG754" s="68"/>
      <c r="AH754" s="71" t="s">
        <v>164</v>
      </c>
    </row>
    <row r="755" spans="1:34" ht="14.4" x14ac:dyDescent="0.3">
      <c r="A755" s="66" t="s">
        <v>1733</v>
      </c>
      <c r="B755" s="66" t="s">
        <v>3850</v>
      </c>
      <c r="C755" s="33">
        <v>754</v>
      </c>
      <c r="D755" s="33" t="s">
        <v>5395</v>
      </c>
      <c r="E755" s="34" t="s">
        <v>5252</v>
      </c>
      <c r="F755" s="34" t="s">
        <v>931</v>
      </c>
      <c r="G755" s="57">
        <v>42395</v>
      </c>
      <c r="H755" s="57">
        <v>42810</v>
      </c>
      <c r="I755" s="34">
        <f t="shared" si="33"/>
        <v>13</v>
      </c>
      <c r="J755" s="34">
        <v>40</v>
      </c>
      <c r="K755" s="36">
        <v>1000</v>
      </c>
      <c r="L755" s="34" t="s">
        <v>17</v>
      </c>
      <c r="M755" s="57">
        <v>31464</v>
      </c>
      <c r="N755" s="37">
        <f>(YEAR(TablaMadre[[#This Row],[ALTA]])-YEAR(M755))</f>
        <v>30</v>
      </c>
      <c r="O755" s="34" t="s">
        <v>95</v>
      </c>
      <c r="P755" s="34" t="s">
        <v>95</v>
      </c>
      <c r="Q755" s="34" t="s">
        <v>136</v>
      </c>
      <c r="R755" s="34" t="s">
        <v>21</v>
      </c>
      <c r="S755" s="34" t="s">
        <v>136</v>
      </c>
      <c r="T755" s="34"/>
      <c r="U755" s="34"/>
      <c r="V755" s="34" t="s">
        <v>90</v>
      </c>
      <c r="W755" s="34" t="s">
        <v>97</v>
      </c>
      <c r="X755" s="38" t="s">
        <v>164</v>
      </c>
      <c r="Y755" s="62">
        <v>42811</v>
      </c>
      <c r="Z755" s="38">
        <f t="shared" si="34"/>
        <v>0</v>
      </c>
      <c r="AA755" s="38"/>
      <c r="AB755" s="34">
        <v>9.5</v>
      </c>
      <c r="AC755" s="34">
        <v>7</v>
      </c>
      <c r="AD755" s="38"/>
      <c r="AE755" s="59" t="str">
        <f t="shared" si="35"/>
        <v>SÍ</v>
      </c>
      <c r="AF755" s="38" t="e" cm="1">
        <f t="array" aca="1" ref="AF755" ca="1">MIN(100, MAX(0, (IF(R755="ESTUDIANTE", 31, 0)) + (IF(I755&lt;=3, 30, IF(I755&lt;=6, 20, 0))) +(IF(OR(E755="413 - Control de Costes y Enlace Construcción", E755="480 - Secretaría General del Consejo", E755="132 - Civil y estructuras", E755="136 - Mecánica", E755="412 - Planificación", E755="142 - Compras"), 25, 0)) +(IF(OR(S755="GRADO ING. MECÁNICA", S755="GRADO ING. ELÉCTRICA", S755="GRADO DERECHO", S755="GRADO ECONOMÍA", S755="GRADO ING. TECNOLOGÍAS INDUSTRIALES"), 24, 0)) + (IF(AND(K755&gt;=451, K755&lt;=700), 23, 0)) + (IF(AND(AB755&gt;=5, AB755&lt;=8), 17, 0)) +(IF(_xludf.OR(_xludf.AND(AC755&gt;=8, AC755&lt;=10), _xludf.AND(AC755&gt;=0, AC755&lt;=5)), 16, 0)) + (IF(F755="Madrid", 11, 0))))</f>
        <v>#NAME?</v>
      </c>
      <c r="AG755" s="68"/>
      <c r="AH755" s="71" t="s">
        <v>164</v>
      </c>
    </row>
    <row r="756" spans="1:34" ht="14.4" x14ac:dyDescent="0.3">
      <c r="A756" s="66" t="s">
        <v>1734</v>
      </c>
      <c r="B756" s="66" t="s">
        <v>3851</v>
      </c>
      <c r="C756" s="33">
        <v>755</v>
      </c>
      <c r="D756" s="33" t="s">
        <v>5396</v>
      </c>
      <c r="E756" s="34" t="s">
        <v>5216</v>
      </c>
      <c r="F756" s="34" t="s">
        <v>931</v>
      </c>
      <c r="G756" s="57">
        <v>42395</v>
      </c>
      <c r="H756" s="57">
        <v>42825</v>
      </c>
      <c r="I756" s="34">
        <f t="shared" si="33"/>
        <v>14</v>
      </c>
      <c r="J756" s="34">
        <v>40</v>
      </c>
      <c r="K756" s="36">
        <v>1000</v>
      </c>
      <c r="L756" s="34" t="s">
        <v>17</v>
      </c>
      <c r="M756" s="57">
        <v>35261</v>
      </c>
      <c r="N756" s="37">
        <f>(YEAR(TablaMadre[[#This Row],[ALTA]])-YEAR(M756))</f>
        <v>20</v>
      </c>
      <c r="O756" s="34" t="s">
        <v>95</v>
      </c>
      <c r="P756" s="34" t="s">
        <v>95</v>
      </c>
      <c r="Q756" s="34" t="s">
        <v>297</v>
      </c>
      <c r="R756" s="34" t="s">
        <v>21</v>
      </c>
      <c r="S756" s="34" t="s">
        <v>297</v>
      </c>
      <c r="T756" s="34"/>
      <c r="U756" s="34"/>
      <c r="V756" s="34" t="s">
        <v>90</v>
      </c>
      <c r="W756" s="34" t="s">
        <v>97</v>
      </c>
      <c r="X756" s="38" t="s">
        <v>164</v>
      </c>
      <c r="Y756" s="62"/>
      <c r="Z756" s="38" t="e">
        <f t="shared" si="34"/>
        <v>#NUM!</v>
      </c>
      <c r="AA756" s="38"/>
      <c r="AB756" s="34">
        <v>10</v>
      </c>
      <c r="AC756" s="34">
        <v>7</v>
      </c>
      <c r="AD756" s="38"/>
      <c r="AE756" s="59" t="str">
        <f t="shared" si="35"/>
        <v>SÍ</v>
      </c>
      <c r="AF756" s="38" t="e" cm="1">
        <f t="array" aca="1" ref="AF756" ca="1">MIN(100, MAX(0, (IF(R756="ESTUDIANTE", 31, 0)) + (IF(I756&lt;=3, 30, IF(I756&lt;=6, 20, 0))) +(IF(OR(E756="413 - Control de Costes y Enlace Construcción", E756="480 - Secretaría General del Consejo", E756="132 - Civil y estructuras", E756="136 - Mecánica", E756="412 - Planificación", E756="142 - Compras"), 25, 0)) +(IF(OR(S756="GRADO ING. MECÁNICA", S756="GRADO ING. ELÉCTRICA", S756="GRADO DERECHO", S756="GRADO ECONOMÍA", S756="GRADO ING. TECNOLOGÍAS INDUSTRIALES"), 24, 0)) + (IF(AND(K756&gt;=451, K756&lt;=700), 23, 0)) + (IF(AND(AB756&gt;=5, AB756&lt;=8), 17, 0)) +(IF(_xludf.OR(_xludf.AND(AC756&gt;=8, AC756&lt;=10), _xludf.AND(AC756&gt;=0, AC756&lt;=5)), 16, 0)) + (IF(F756="Madrid", 11, 0))))</f>
        <v>#NAME?</v>
      </c>
      <c r="AG756" s="68"/>
      <c r="AH756" s="71" t="s">
        <v>164</v>
      </c>
    </row>
    <row r="757" spans="1:34" ht="14.4" x14ac:dyDescent="0.3">
      <c r="A757" s="66" t="s">
        <v>1735</v>
      </c>
      <c r="B757" s="66" t="s">
        <v>3852</v>
      </c>
      <c r="C757" s="33">
        <v>756</v>
      </c>
      <c r="D757" s="33" t="s">
        <v>5397</v>
      </c>
      <c r="E757" s="34" t="s">
        <v>5252</v>
      </c>
      <c r="F757" s="34" t="s">
        <v>931</v>
      </c>
      <c r="G757" s="57">
        <v>42395</v>
      </c>
      <c r="H757" s="57">
        <v>42825</v>
      </c>
      <c r="I757" s="34">
        <f t="shared" si="33"/>
        <v>14</v>
      </c>
      <c r="J757" s="34">
        <v>40</v>
      </c>
      <c r="K757" s="36">
        <v>1000</v>
      </c>
      <c r="L757" s="34" t="s">
        <v>17</v>
      </c>
      <c r="M757" s="57">
        <v>34811</v>
      </c>
      <c r="N757" s="37">
        <f>(YEAR(TablaMadre[[#This Row],[ALTA]])-YEAR(M757))</f>
        <v>21</v>
      </c>
      <c r="O757" s="34" t="s">
        <v>95</v>
      </c>
      <c r="P757" s="34" t="s">
        <v>95</v>
      </c>
      <c r="Q757" s="34" t="s">
        <v>136</v>
      </c>
      <c r="R757" s="34" t="s">
        <v>21</v>
      </c>
      <c r="S757" s="34" t="s">
        <v>136</v>
      </c>
      <c r="T757" s="34"/>
      <c r="U757" s="34"/>
      <c r="V757" s="34" t="s">
        <v>90</v>
      </c>
      <c r="W757" s="34" t="s">
        <v>97</v>
      </c>
      <c r="X757" s="38" t="s">
        <v>164</v>
      </c>
      <c r="Y757" s="62"/>
      <c r="Z757" s="38" t="e">
        <f t="shared" si="34"/>
        <v>#NUM!</v>
      </c>
      <c r="AA757" s="38"/>
      <c r="AB757" s="34">
        <v>9</v>
      </c>
      <c r="AC757" s="34">
        <v>7</v>
      </c>
      <c r="AD757" s="38"/>
      <c r="AE757" s="59" t="str">
        <f t="shared" si="35"/>
        <v>SÍ</v>
      </c>
      <c r="AF757" s="38" t="e" cm="1">
        <f t="array" aca="1" ref="AF757" ca="1">MIN(100, MAX(0, (IF(R757="ESTUDIANTE", 31, 0)) + (IF(I757&lt;=3, 30, IF(I757&lt;=6, 20, 0))) +(IF(OR(E757="413 - Control de Costes y Enlace Construcción", E757="480 - Secretaría General del Consejo", E757="132 - Civil y estructuras", E757="136 - Mecánica", E757="412 - Planificación", E757="142 - Compras"), 25, 0)) +(IF(OR(S757="GRADO ING. MECÁNICA", S757="GRADO ING. ELÉCTRICA", S757="GRADO DERECHO", S757="GRADO ECONOMÍA", S757="GRADO ING. TECNOLOGÍAS INDUSTRIALES"), 24, 0)) + (IF(AND(K757&gt;=451, K757&lt;=700), 23, 0)) + (IF(AND(AB757&gt;=5, AB757&lt;=8), 17, 0)) +(IF(_xludf.OR(_xludf.AND(AC757&gt;=8, AC757&lt;=10), _xludf.AND(AC757&gt;=0, AC757&lt;=5)), 16, 0)) + (IF(F757="Madrid", 11, 0))))</f>
        <v>#NAME?</v>
      </c>
      <c r="AG757" s="68"/>
      <c r="AH757" s="71" t="s">
        <v>164</v>
      </c>
    </row>
    <row r="758" spans="1:34" ht="14.4" x14ac:dyDescent="0.3">
      <c r="A758" s="66" t="s">
        <v>1736</v>
      </c>
      <c r="B758" s="66" t="s">
        <v>3853</v>
      </c>
      <c r="C758" s="33">
        <v>757</v>
      </c>
      <c r="D758" s="33" t="s">
        <v>5398</v>
      </c>
      <c r="E758" s="34" t="s">
        <v>5231</v>
      </c>
      <c r="F758" s="34" t="s">
        <v>931</v>
      </c>
      <c r="G758" s="57">
        <v>42395</v>
      </c>
      <c r="H758" s="57">
        <v>42853</v>
      </c>
      <c r="I758" s="34">
        <f t="shared" si="33"/>
        <v>15</v>
      </c>
      <c r="J758" s="34">
        <v>40</v>
      </c>
      <c r="K758" s="36">
        <v>1000</v>
      </c>
      <c r="L758" s="34" t="s">
        <v>17</v>
      </c>
      <c r="M758" s="57">
        <v>34570</v>
      </c>
      <c r="N758" s="37">
        <f>(YEAR(TablaMadre[[#This Row],[ALTA]])-YEAR(M758))</f>
        <v>22</v>
      </c>
      <c r="O758" s="34" t="s">
        <v>95</v>
      </c>
      <c r="P758" s="34" t="s">
        <v>95</v>
      </c>
      <c r="Q758" s="34" t="s">
        <v>136</v>
      </c>
      <c r="R758" s="34" t="s">
        <v>21</v>
      </c>
      <c r="S758" s="34" t="s">
        <v>136</v>
      </c>
      <c r="T758" s="34"/>
      <c r="U758" s="34"/>
      <c r="V758" s="34" t="s">
        <v>90</v>
      </c>
      <c r="W758" s="34" t="s">
        <v>97</v>
      </c>
      <c r="X758" s="38" t="s">
        <v>164</v>
      </c>
      <c r="Y758" s="62"/>
      <c r="Z758" s="38" t="e">
        <f t="shared" si="34"/>
        <v>#NUM!</v>
      </c>
      <c r="AA758" s="38"/>
      <c r="AB758" s="34">
        <v>10</v>
      </c>
      <c r="AC758" s="34">
        <v>8</v>
      </c>
      <c r="AD758" s="38"/>
      <c r="AE758" s="59" t="str">
        <f t="shared" si="35"/>
        <v>SÍ</v>
      </c>
      <c r="AF758" s="38" t="e" cm="1">
        <f t="array" aca="1" ref="AF758" ca="1">MIN(100, MAX(0, (IF(R758="ESTUDIANTE", 31, 0)) + (IF(I758&lt;=3, 30, IF(I758&lt;=6, 20, 0))) +(IF(OR(E758="413 - Control de Costes y Enlace Construcción", E758="480 - Secretaría General del Consejo", E758="132 - Civil y estructuras", E758="136 - Mecánica", E758="412 - Planificación", E758="142 - Compras"), 25, 0)) +(IF(OR(S758="GRADO ING. MECÁNICA", S758="GRADO ING. ELÉCTRICA", S758="GRADO DERECHO", S758="GRADO ECONOMÍA", S758="GRADO ING. TECNOLOGÍAS INDUSTRIALES"), 24, 0)) + (IF(AND(K758&gt;=451, K758&lt;=700), 23, 0)) + (IF(AND(AB758&gt;=5, AB758&lt;=8), 17, 0)) +(IF(_xludf.OR(_xludf.AND(AC758&gt;=8, AC758&lt;=10), _xludf.AND(AC758&gt;=0, AC758&lt;=5)), 16, 0)) + (IF(F758="Madrid", 11, 0))))</f>
        <v>#NAME?</v>
      </c>
      <c r="AG758" s="68"/>
      <c r="AH758" s="71" t="s">
        <v>164</v>
      </c>
    </row>
    <row r="759" spans="1:34" ht="14.4" x14ac:dyDescent="0.3">
      <c r="A759" s="66" t="s">
        <v>1737</v>
      </c>
      <c r="B759" s="66" t="s">
        <v>3854</v>
      </c>
      <c r="C759" s="33">
        <v>758</v>
      </c>
      <c r="D759" s="33" t="s">
        <v>5399</v>
      </c>
      <c r="E759" s="34" t="s">
        <v>5246</v>
      </c>
      <c r="F759" s="34" t="s">
        <v>931</v>
      </c>
      <c r="G759" s="57">
        <v>42395</v>
      </c>
      <c r="H759" s="57">
        <v>42866</v>
      </c>
      <c r="I759" s="34">
        <f t="shared" si="33"/>
        <v>15</v>
      </c>
      <c r="J759" s="34">
        <v>40</v>
      </c>
      <c r="K759" s="36">
        <v>1000</v>
      </c>
      <c r="L759" s="34" t="s">
        <v>17</v>
      </c>
      <c r="M759" s="57">
        <v>34682</v>
      </c>
      <c r="N759" s="37">
        <f>(YEAR(TablaMadre[[#This Row],[ALTA]])-YEAR(M759))</f>
        <v>22</v>
      </c>
      <c r="O759" s="34" t="s">
        <v>95</v>
      </c>
      <c r="P759" s="34" t="s">
        <v>95</v>
      </c>
      <c r="Q759" s="34" t="s">
        <v>277</v>
      </c>
      <c r="R759" s="34" t="s">
        <v>21</v>
      </c>
      <c r="S759" s="34" t="s">
        <v>277</v>
      </c>
      <c r="T759" s="34"/>
      <c r="U759" s="34"/>
      <c r="V759" s="34" t="s">
        <v>90</v>
      </c>
      <c r="W759" s="34" t="s">
        <v>97</v>
      </c>
      <c r="X759" s="38" t="s">
        <v>164</v>
      </c>
      <c r="Y759" s="62"/>
      <c r="Z759" s="38" t="e">
        <f t="shared" si="34"/>
        <v>#NUM!</v>
      </c>
      <c r="AA759" s="38"/>
      <c r="AB759" s="34">
        <v>8</v>
      </c>
      <c r="AC759" s="34" t="s">
        <v>373</v>
      </c>
      <c r="AD759" s="38"/>
      <c r="AE759" s="59" t="str">
        <f t="shared" si="35"/>
        <v>SÍ</v>
      </c>
      <c r="AF759" s="38" t="e" cm="1">
        <f t="array" aca="1" ref="AF759" ca="1">MIN(100, MAX(0, (IF(R759="ESTUDIANTE", 31, 0)) + (IF(I759&lt;=3, 30, IF(I759&lt;=6, 20, 0))) +(IF(OR(E759="413 - Control de Costes y Enlace Construcción", E759="480 - Secretaría General del Consejo", E759="132 - Civil y estructuras", E759="136 - Mecánica", E759="412 - Planificación", E759="142 - Compras"), 25, 0)) +(IF(OR(S759="GRADO ING. MECÁNICA", S759="GRADO ING. ELÉCTRICA", S759="GRADO DERECHO", S759="GRADO ECONOMÍA", S759="GRADO ING. TECNOLOGÍAS INDUSTRIALES"), 24, 0)) + (IF(AND(K759&gt;=451, K759&lt;=700), 23, 0)) + (IF(AND(AB759&gt;=5, AB759&lt;=8), 17, 0)) +(IF(_xludf.OR(_xludf.AND(AC759&gt;=8, AC759&lt;=10), _xludf.AND(AC759&gt;=0, AC759&lt;=5)), 16, 0)) + (IF(F759="Madrid", 11, 0))))</f>
        <v>#NAME?</v>
      </c>
      <c r="AG759" s="68"/>
      <c r="AH759" s="71" t="s">
        <v>164</v>
      </c>
    </row>
    <row r="760" spans="1:34" ht="14.4" x14ac:dyDescent="0.3">
      <c r="A760" s="66" t="s">
        <v>1738</v>
      </c>
      <c r="B760" s="66" t="s">
        <v>3855</v>
      </c>
      <c r="C760" s="33">
        <v>759</v>
      </c>
      <c r="D760" s="33" t="s">
        <v>5393</v>
      </c>
      <c r="E760" s="34" t="s">
        <v>5222</v>
      </c>
      <c r="F760" s="34" t="s">
        <v>931</v>
      </c>
      <c r="G760" s="57">
        <v>42395</v>
      </c>
      <c r="H760" s="57">
        <v>42889</v>
      </c>
      <c r="I760" s="34">
        <f t="shared" si="33"/>
        <v>16</v>
      </c>
      <c r="J760" s="34">
        <v>40</v>
      </c>
      <c r="K760" s="36">
        <v>900</v>
      </c>
      <c r="L760" s="34" t="s">
        <v>17</v>
      </c>
      <c r="M760" s="57">
        <v>33808</v>
      </c>
      <c r="N760" s="37">
        <f>(YEAR(TablaMadre[[#This Row],[ALTA]])-YEAR(M760))</f>
        <v>24</v>
      </c>
      <c r="O760" s="34" t="s">
        <v>95</v>
      </c>
      <c r="P760" s="34" t="s">
        <v>95</v>
      </c>
      <c r="Q760" s="34" t="s">
        <v>321</v>
      </c>
      <c r="R760" s="34" t="s">
        <v>21</v>
      </c>
      <c r="S760" s="34" t="s">
        <v>321</v>
      </c>
      <c r="T760" s="34"/>
      <c r="U760" s="34"/>
      <c r="V760" s="34" t="s">
        <v>90</v>
      </c>
      <c r="W760" s="34" t="s">
        <v>97</v>
      </c>
      <c r="X760" s="38" t="s">
        <v>164</v>
      </c>
      <c r="Y760" s="62"/>
      <c r="Z760" s="38" t="e">
        <f t="shared" si="34"/>
        <v>#NUM!</v>
      </c>
      <c r="AA760" s="38"/>
      <c r="AB760" s="34">
        <v>8.5</v>
      </c>
      <c r="AC760" s="34">
        <v>8</v>
      </c>
      <c r="AD760" s="38"/>
      <c r="AE760" s="59" t="str">
        <f t="shared" si="35"/>
        <v>SÍ</v>
      </c>
      <c r="AF760" s="38" t="e" cm="1">
        <f t="array" aca="1" ref="AF760" ca="1">MIN(100, MAX(0, (IF(R760="ESTUDIANTE", 31, 0)) + (IF(I760&lt;=3, 30, IF(I760&lt;=6, 20, 0))) +(IF(OR(E760="413 - Control de Costes y Enlace Construcción", E760="480 - Secretaría General del Consejo", E760="132 - Civil y estructuras", E760="136 - Mecánica", E760="412 - Planificación", E760="142 - Compras"), 25, 0)) +(IF(OR(S760="GRADO ING. MECÁNICA", S760="GRADO ING. ELÉCTRICA", S760="GRADO DERECHO", S760="GRADO ECONOMÍA", S760="GRADO ING. TECNOLOGÍAS INDUSTRIALES"), 24, 0)) + (IF(AND(K760&gt;=451, K760&lt;=700), 23, 0)) + (IF(AND(AB760&gt;=5, AB760&lt;=8), 17, 0)) +(IF(_xludf.OR(_xludf.AND(AC760&gt;=8, AC760&lt;=10), _xludf.AND(AC760&gt;=0, AC760&lt;=5)), 16, 0)) + (IF(F760="Madrid", 11, 0))))</f>
        <v>#NAME?</v>
      </c>
      <c r="AG760" s="68"/>
      <c r="AH760" s="71" t="s">
        <v>164</v>
      </c>
    </row>
    <row r="761" spans="1:34" ht="14.4" x14ac:dyDescent="0.3">
      <c r="A761" s="66" t="s">
        <v>1739</v>
      </c>
      <c r="B761" s="66" t="s">
        <v>3856</v>
      </c>
      <c r="C761" s="33">
        <v>760</v>
      </c>
      <c r="D761" s="33" t="s">
        <v>5394</v>
      </c>
      <c r="E761" s="34" t="s">
        <v>5222</v>
      </c>
      <c r="F761" s="34" t="s">
        <v>931</v>
      </c>
      <c r="G761" s="57">
        <v>42395</v>
      </c>
      <c r="H761" s="57">
        <v>42978</v>
      </c>
      <c r="I761" s="34">
        <f t="shared" si="33"/>
        <v>19</v>
      </c>
      <c r="J761" s="34">
        <v>40</v>
      </c>
      <c r="K761" s="36">
        <v>900</v>
      </c>
      <c r="L761" s="34" t="s">
        <v>17</v>
      </c>
      <c r="M761" s="57">
        <v>35272</v>
      </c>
      <c r="N761" s="37">
        <f>(YEAR(TablaMadre[[#This Row],[ALTA]])-YEAR(M761))</f>
        <v>20</v>
      </c>
      <c r="O761" s="34" t="s">
        <v>95</v>
      </c>
      <c r="P761" s="34" t="s">
        <v>95</v>
      </c>
      <c r="Q761" s="34" t="s">
        <v>321</v>
      </c>
      <c r="R761" s="34" t="s">
        <v>21</v>
      </c>
      <c r="S761" s="34" t="s">
        <v>321</v>
      </c>
      <c r="T761" s="34"/>
      <c r="U761" s="34"/>
      <c r="V761" s="34" t="s">
        <v>90</v>
      </c>
      <c r="W761" s="34" t="s">
        <v>97</v>
      </c>
      <c r="X761" s="38" t="s">
        <v>164</v>
      </c>
      <c r="Y761" s="62"/>
      <c r="Z761" s="38" t="e">
        <f t="shared" si="34"/>
        <v>#NUM!</v>
      </c>
      <c r="AA761" s="38"/>
      <c r="AB761" s="34">
        <v>9</v>
      </c>
      <c r="AC761" s="34">
        <v>8</v>
      </c>
      <c r="AD761" s="38"/>
      <c r="AE761" s="59" t="str">
        <f t="shared" si="35"/>
        <v>SÍ</v>
      </c>
      <c r="AF761" s="38" t="e" cm="1">
        <f t="array" aca="1" ref="AF761" ca="1">MIN(100, MAX(0, (IF(R761="ESTUDIANTE", 31, 0)) + (IF(I761&lt;=3, 30, IF(I761&lt;=6, 20, 0))) +(IF(OR(E761="413 - Control de Costes y Enlace Construcción", E761="480 - Secretaría General del Consejo", E761="132 - Civil y estructuras", E761="136 - Mecánica", E761="412 - Planificación", E761="142 - Compras"), 25, 0)) +(IF(OR(S761="GRADO ING. MECÁNICA", S761="GRADO ING. ELÉCTRICA", S761="GRADO DERECHO", S761="GRADO ECONOMÍA", S761="GRADO ING. TECNOLOGÍAS INDUSTRIALES"), 24, 0)) + (IF(AND(K761&gt;=451, K761&lt;=700), 23, 0)) + (IF(AND(AB761&gt;=5, AB761&lt;=8), 17, 0)) +(IF(_xludf.OR(_xludf.AND(AC761&gt;=8, AC761&lt;=10), _xludf.AND(AC761&gt;=0, AC761&lt;=5)), 16, 0)) + (IF(F761="Madrid", 11, 0))))</f>
        <v>#NAME?</v>
      </c>
      <c r="AG761" s="68"/>
      <c r="AH761" s="71" t="s">
        <v>164</v>
      </c>
    </row>
    <row r="762" spans="1:34" s="4" customFormat="1" ht="14.4" x14ac:dyDescent="0.3">
      <c r="A762" s="66" t="s">
        <v>1711</v>
      </c>
      <c r="B762" s="66" t="s">
        <v>3828</v>
      </c>
      <c r="C762" s="33">
        <v>761</v>
      </c>
      <c r="D762" s="33" t="s">
        <v>5395</v>
      </c>
      <c r="E762" s="34" t="s">
        <v>5297</v>
      </c>
      <c r="F762" s="34" t="s">
        <v>18</v>
      </c>
      <c r="G762" s="57">
        <v>42396</v>
      </c>
      <c r="H762" s="57">
        <v>42735</v>
      </c>
      <c r="I762" s="34">
        <f t="shared" si="33"/>
        <v>11</v>
      </c>
      <c r="J762" s="34">
        <v>40</v>
      </c>
      <c r="K762" s="36">
        <v>650</v>
      </c>
      <c r="L762" s="34" t="s">
        <v>29</v>
      </c>
      <c r="M762" s="57">
        <v>34833</v>
      </c>
      <c r="N762" s="37">
        <f>(YEAR(TablaMadre[[#This Row],[ALTA]])-YEAR(M762))</f>
        <v>21</v>
      </c>
      <c r="O762" s="34" t="s">
        <v>18</v>
      </c>
      <c r="P762" s="34" t="s">
        <v>19</v>
      </c>
      <c r="Q762" s="34" t="s">
        <v>377</v>
      </c>
      <c r="R762" s="58" t="s">
        <v>30</v>
      </c>
      <c r="S762" s="34" t="s">
        <v>26</v>
      </c>
      <c r="T762" s="34"/>
      <c r="U762" s="34"/>
      <c r="V762" s="34" t="s">
        <v>27</v>
      </c>
      <c r="W762" s="34" t="s">
        <v>181</v>
      </c>
      <c r="X762" s="34" t="s">
        <v>164</v>
      </c>
      <c r="Y762" s="57"/>
      <c r="Z762" s="57" t="e">
        <f t="shared" si="34"/>
        <v>#NUM!</v>
      </c>
      <c r="AA762" s="57"/>
      <c r="AB762" s="34" t="s">
        <v>376</v>
      </c>
      <c r="AC762" s="34">
        <v>8</v>
      </c>
      <c r="AD762" s="34"/>
      <c r="AE762" s="59" t="str">
        <f t="shared" si="35"/>
        <v>NO</v>
      </c>
      <c r="AF762" s="34" t="e" cm="1">
        <f t="array" aca="1" ref="AF762" ca="1">MIN(100, MAX(0, (IF(R762="ESTUDIANTE", 31, 0)) + (IF(I762&lt;=3, 30, IF(I762&lt;=6, 20, 0))) +(IF(OR(E762="413 - Control de Costes y Enlace Construcción", E762="480 - Secretaría General del Consejo", E762="132 - Civil y estructuras", E762="136 - Mecánica", E762="412 - Planificación", E762="142 - Compras"), 25, 0)) +(IF(OR(S762="GRADO ING. MECÁNICA", S762="GRADO ING. ELÉCTRICA", S762="GRADO DERECHO", S762="GRADO ECONOMÍA", S762="GRADO ING. TECNOLOGÍAS INDUSTRIALES"), 24, 0)) + (IF(AND(K762&gt;=451, K762&lt;=700), 23, 0)) + (IF(AND(AB762&gt;=5, AB762&lt;=8), 17, 0)) +(IF(_xludf.OR(_xludf.AND(AC762&gt;=8, AC762&lt;=10), _xludf.AND(AC762&gt;=0, AC762&lt;=5)), 16, 0)) + (IF(F762="Madrid", 11, 0))))</f>
        <v>#NAME?</v>
      </c>
      <c r="AG762" s="69"/>
      <c r="AH762" s="71" t="s">
        <v>164</v>
      </c>
    </row>
    <row r="763" spans="1:34" ht="14.4" x14ac:dyDescent="0.3">
      <c r="A763" s="66" t="s">
        <v>1741</v>
      </c>
      <c r="B763" s="66" t="s">
        <v>3858</v>
      </c>
      <c r="C763" s="33">
        <v>762</v>
      </c>
      <c r="D763" s="33" t="s">
        <v>5396</v>
      </c>
      <c r="E763" s="34" t="s">
        <v>5249</v>
      </c>
      <c r="F763" s="34" t="s">
        <v>18</v>
      </c>
      <c r="G763" s="57">
        <v>42411</v>
      </c>
      <c r="H763" s="57">
        <v>43039</v>
      </c>
      <c r="I763" s="34">
        <f t="shared" si="33"/>
        <v>20</v>
      </c>
      <c r="J763" s="34">
        <v>35</v>
      </c>
      <c r="K763" s="36">
        <v>900</v>
      </c>
      <c r="L763" s="34" t="s">
        <v>29</v>
      </c>
      <c r="M763" s="57">
        <v>34298</v>
      </c>
      <c r="N763" s="37">
        <f>(YEAR(TablaMadre[[#This Row],[ALTA]])-YEAR(M763))</f>
        <v>23</v>
      </c>
      <c r="O763" s="34" t="s">
        <v>18</v>
      </c>
      <c r="P763" s="34" t="s">
        <v>19</v>
      </c>
      <c r="Q763" s="34" t="s">
        <v>403</v>
      </c>
      <c r="R763" s="34" t="s">
        <v>21</v>
      </c>
      <c r="S763" s="34" t="s">
        <v>307</v>
      </c>
      <c r="T763" s="34"/>
      <c r="U763" s="34"/>
      <c r="V763" s="34" t="s">
        <v>40</v>
      </c>
      <c r="W763" s="34" t="s">
        <v>28</v>
      </c>
      <c r="X763" s="38" t="s">
        <v>164</v>
      </c>
      <c r="Y763" s="62">
        <v>44074</v>
      </c>
      <c r="Z763" s="38">
        <f t="shared" si="34"/>
        <v>2</v>
      </c>
      <c r="AA763" s="38"/>
      <c r="AB763" s="34">
        <v>10</v>
      </c>
      <c r="AC763" s="34">
        <v>8</v>
      </c>
      <c r="AD763" s="38"/>
      <c r="AE763" s="59" t="str">
        <f t="shared" si="35"/>
        <v>NO</v>
      </c>
      <c r="AF763" s="38" t="e" cm="1">
        <f t="array" aca="1" ref="AF763" ca="1">MIN(100, MAX(0, (IF(R763="ESTUDIANTE", 31, 0)) + (IF(I763&lt;=3, 30, IF(I763&lt;=6, 20, 0))) +(IF(OR(E763="413 - Control de Costes y Enlace Construcción", E763="480 - Secretaría General del Consejo", E763="132 - Civil y estructuras", E763="136 - Mecánica", E763="412 - Planificación", E763="142 - Compras"), 25, 0)) +(IF(OR(S763="GRADO ING. MECÁNICA", S763="GRADO ING. ELÉCTRICA", S763="GRADO DERECHO", S763="GRADO ECONOMÍA", S763="GRADO ING. TECNOLOGÍAS INDUSTRIALES"), 24, 0)) + (IF(AND(K763&gt;=451, K763&lt;=700), 23, 0)) + (IF(AND(AB763&gt;=5, AB763&lt;=8), 17, 0)) +(IF(_xludf.OR(_xludf.AND(AC763&gt;=8, AC763&lt;=10), _xludf.AND(AC763&gt;=0, AC763&lt;=5)), 16, 0)) + (IF(F763="Madrid", 11, 0))))</f>
        <v>#NAME?</v>
      </c>
      <c r="AG763" s="68"/>
      <c r="AH763" s="71" t="s">
        <v>164</v>
      </c>
    </row>
    <row r="764" spans="1:34" ht="14.4" x14ac:dyDescent="0.3">
      <c r="A764" s="66" t="s">
        <v>1716</v>
      </c>
      <c r="B764" s="66" t="s">
        <v>3833</v>
      </c>
      <c r="C764" s="33">
        <v>763</v>
      </c>
      <c r="D764" s="33" t="s">
        <v>5397</v>
      </c>
      <c r="E764" s="34" t="s">
        <v>5233</v>
      </c>
      <c r="F764" s="34" t="s">
        <v>18</v>
      </c>
      <c r="G764" s="57">
        <v>42415</v>
      </c>
      <c r="H764" s="57">
        <v>42551</v>
      </c>
      <c r="I764" s="34">
        <f t="shared" si="33"/>
        <v>4</v>
      </c>
      <c r="J764" s="34">
        <v>35</v>
      </c>
      <c r="K764" s="36">
        <v>570</v>
      </c>
      <c r="L764" s="34" t="s">
        <v>17</v>
      </c>
      <c r="M764" s="57">
        <v>34571</v>
      </c>
      <c r="N764" s="37">
        <f>(YEAR(TablaMadre[[#This Row],[ALTA]])-YEAR(M764))</f>
        <v>22</v>
      </c>
      <c r="O764" s="34" t="s">
        <v>153</v>
      </c>
      <c r="P764" s="34" t="s">
        <v>19</v>
      </c>
      <c r="Q764" s="34" t="s">
        <v>85</v>
      </c>
      <c r="R764" s="58" t="s">
        <v>30</v>
      </c>
      <c r="S764" s="34" t="s">
        <v>322</v>
      </c>
      <c r="T764" s="34"/>
      <c r="U764" s="34"/>
      <c r="V764" s="34" t="s">
        <v>90</v>
      </c>
      <c r="W764" s="34" t="s">
        <v>23</v>
      </c>
      <c r="X764" s="38" t="s">
        <v>164</v>
      </c>
      <c r="Y764" s="62"/>
      <c r="Z764" s="62" t="e">
        <f t="shared" si="34"/>
        <v>#NUM!</v>
      </c>
      <c r="AA764" s="62"/>
      <c r="AB764" s="34">
        <v>9</v>
      </c>
      <c r="AC764" s="34"/>
      <c r="AD764" s="38"/>
      <c r="AE764" s="59" t="str">
        <f t="shared" si="35"/>
        <v>SÍ</v>
      </c>
      <c r="AF764" s="38" t="e" cm="1">
        <f t="array" aca="1" ref="AF764" ca="1">MIN(100, MAX(0, (IF(R764="ESTUDIANTE", 31, 0)) + (IF(I764&lt;=3, 30, IF(I764&lt;=6, 20, 0))) +(IF(OR(E764="413 - Control de Costes y Enlace Construcción", E764="480 - Secretaría General del Consejo", E764="132 - Civil y estructuras", E764="136 - Mecánica", E764="412 - Planificación", E764="142 - Compras"), 25, 0)) +(IF(OR(S764="GRADO ING. MECÁNICA", S764="GRADO ING. ELÉCTRICA", S764="GRADO DERECHO", S764="GRADO ECONOMÍA", S764="GRADO ING. TECNOLOGÍAS INDUSTRIALES"), 24, 0)) + (IF(AND(K764&gt;=451, K764&lt;=700), 23, 0)) + (IF(AND(AB764&gt;=5, AB764&lt;=8), 17, 0)) +(IF(_xludf.OR(_xludf.AND(AC764&gt;=8, AC764&lt;=10), _xludf.AND(AC764&gt;=0, AC764&lt;=5)), 16, 0)) + (IF(F764="Madrid", 11, 0))))</f>
        <v>#NAME?</v>
      </c>
      <c r="AG764" s="68"/>
      <c r="AH764" s="71" t="s">
        <v>164</v>
      </c>
    </row>
    <row r="765" spans="1:34" ht="14.4" x14ac:dyDescent="0.3">
      <c r="A765" s="66" t="s">
        <v>1718</v>
      </c>
      <c r="B765" s="66" t="s">
        <v>3835</v>
      </c>
      <c r="C765" s="33">
        <v>765</v>
      </c>
      <c r="D765" s="33" t="s">
        <v>5398</v>
      </c>
      <c r="E765" s="34" t="s">
        <v>5296</v>
      </c>
      <c r="F765" s="34" t="s">
        <v>70</v>
      </c>
      <c r="G765" s="57">
        <v>42415</v>
      </c>
      <c r="H765" s="57">
        <v>42961</v>
      </c>
      <c r="I765" s="34">
        <f t="shared" si="33"/>
        <v>17</v>
      </c>
      <c r="J765" s="34">
        <v>35</v>
      </c>
      <c r="K765" s="36">
        <v>825</v>
      </c>
      <c r="L765" s="34" t="s">
        <v>29</v>
      </c>
      <c r="M765" s="57">
        <v>34082</v>
      </c>
      <c r="N765" s="37">
        <f>(YEAR(TablaMadre[[#This Row],[ALTA]])-YEAR(M765))</f>
        <v>23</v>
      </c>
      <c r="O765" s="34" t="s">
        <v>70</v>
      </c>
      <c r="P765" s="34" t="s">
        <v>19</v>
      </c>
      <c r="Q765" s="34" t="s">
        <v>395</v>
      </c>
      <c r="R765" s="34" t="s">
        <v>21</v>
      </c>
      <c r="S765" s="34" t="s">
        <v>395</v>
      </c>
      <c r="T765" s="34"/>
      <c r="U765" s="34"/>
      <c r="V765" s="34" t="s">
        <v>86</v>
      </c>
      <c r="W765" s="34" t="s">
        <v>23</v>
      </c>
      <c r="X765" s="38" t="s">
        <v>164</v>
      </c>
      <c r="Y765" s="62"/>
      <c r="Z765" s="62" t="e">
        <f t="shared" si="34"/>
        <v>#NUM!</v>
      </c>
      <c r="AA765" s="62"/>
      <c r="AB765" s="34">
        <v>8</v>
      </c>
      <c r="AC765" s="34">
        <v>10</v>
      </c>
      <c r="AD765" s="38"/>
      <c r="AE765" s="59" t="str">
        <f t="shared" si="35"/>
        <v>NO</v>
      </c>
      <c r="AF765" s="38" t="e" cm="1">
        <f t="array" aca="1" ref="AF765" ca="1">MIN(100, MAX(0, (IF(R765="ESTUDIANTE", 31, 0)) + (IF(I765&lt;=3, 30, IF(I765&lt;=6, 20, 0))) +(IF(OR(E765="413 - Control de Costes y Enlace Construcción", E765="480 - Secretaría General del Consejo", E765="132 - Civil y estructuras", E765="136 - Mecánica", E765="412 - Planificación", E765="142 - Compras"), 25, 0)) +(IF(OR(S765="GRADO ING. MECÁNICA", S765="GRADO ING. ELÉCTRICA", S765="GRADO DERECHO", S765="GRADO ECONOMÍA", S765="GRADO ING. TECNOLOGÍAS INDUSTRIALES"), 24, 0)) + (IF(AND(K765&gt;=451, K765&lt;=700), 23, 0)) + (IF(AND(AB765&gt;=5, AB765&lt;=8), 17, 0)) +(IF(_xludf.OR(_xludf.AND(AC765&gt;=8, AC765&lt;=10), _xludf.AND(AC765&gt;=0, AC765&lt;=5)), 16, 0)) + (IF(F765="Madrid", 11, 0))))</f>
        <v>#NAME?</v>
      </c>
      <c r="AG765" s="68"/>
      <c r="AH765" s="71" t="s">
        <v>164</v>
      </c>
    </row>
    <row r="766" spans="1:34" ht="14.4" x14ac:dyDescent="0.3">
      <c r="A766" s="66" t="s">
        <v>1719</v>
      </c>
      <c r="B766" s="66" t="s">
        <v>3836</v>
      </c>
      <c r="C766" s="33">
        <v>764</v>
      </c>
      <c r="D766" s="33" t="s">
        <v>5399</v>
      </c>
      <c r="E766" s="34" t="s">
        <v>5296</v>
      </c>
      <c r="F766" s="34" t="s">
        <v>70</v>
      </c>
      <c r="G766" s="57">
        <v>42415</v>
      </c>
      <c r="H766" s="57">
        <v>42596</v>
      </c>
      <c r="I766" s="34">
        <f t="shared" si="33"/>
        <v>5</v>
      </c>
      <c r="J766" s="34">
        <v>40</v>
      </c>
      <c r="K766" s="36">
        <v>900</v>
      </c>
      <c r="L766" s="34" t="s">
        <v>17</v>
      </c>
      <c r="M766" s="57">
        <v>33772</v>
      </c>
      <c r="N766" s="37">
        <f>(YEAR(TablaMadre[[#This Row],[ALTA]])-YEAR(M766))</f>
        <v>24</v>
      </c>
      <c r="O766" s="34" t="s">
        <v>146</v>
      </c>
      <c r="P766" s="34" t="s">
        <v>19</v>
      </c>
      <c r="Q766" s="34" t="s">
        <v>365</v>
      </c>
      <c r="R766" s="34" t="s">
        <v>21</v>
      </c>
      <c r="S766" s="34" t="s">
        <v>395</v>
      </c>
      <c r="T766" s="34"/>
      <c r="U766" s="34"/>
      <c r="V766" s="34" t="s">
        <v>86</v>
      </c>
      <c r="W766" s="34" t="s">
        <v>181</v>
      </c>
      <c r="X766" s="38" t="s">
        <v>164</v>
      </c>
      <c r="Y766" s="62"/>
      <c r="Z766" s="62" t="e">
        <f t="shared" si="34"/>
        <v>#NUM!</v>
      </c>
      <c r="AA766" s="62"/>
      <c r="AB766" s="34"/>
      <c r="AC766" s="34"/>
      <c r="AD766" s="38"/>
      <c r="AE766" s="59" t="str">
        <f t="shared" si="35"/>
        <v>SÍ</v>
      </c>
      <c r="AF766" s="38" t="e" cm="1">
        <f t="array" aca="1" ref="AF766" ca="1">MIN(100, MAX(0, (IF(R766="ESTUDIANTE", 31, 0)) + (IF(I766&lt;=3, 30, IF(I766&lt;=6, 20, 0))) +(IF(OR(E766="413 - Control de Costes y Enlace Construcción", E766="480 - Secretaría General del Consejo", E766="132 - Civil y estructuras", E766="136 - Mecánica", E766="412 - Planificación", E766="142 - Compras"), 25, 0)) +(IF(OR(S766="GRADO ING. MECÁNICA", S766="GRADO ING. ELÉCTRICA", S766="GRADO DERECHO", S766="GRADO ECONOMÍA", S766="GRADO ING. TECNOLOGÍAS INDUSTRIALES"), 24, 0)) + (IF(AND(K766&gt;=451, K766&lt;=700), 23, 0)) + (IF(AND(AB766&gt;=5, AB766&lt;=8), 17, 0)) +(IF(_xludf.OR(_xludf.AND(AC766&gt;=8, AC766&lt;=10), _xludf.AND(AC766&gt;=0, AC766&lt;=5)), 16, 0)) + (IF(F766="Madrid", 11, 0))))</f>
        <v>#NAME?</v>
      </c>
      <c r="AG766" s="68"/>
      <c r="AH766" s="71" t="s">
        <v>164</v>
      </c>
    </row>
    <row r="767" spans="1:34" ht="14.4" x14ac:dyDescent="0.3">
      <c r="A767" s="66" t="s">
        <v>1745</v>
      </c>
      <c r="B767" s="66" t="s">
        <v>3862</v>
      </c>
      <c r="C767" s="33">
        <v>766</v>
      </c>
      <c r="D767" s="33" t="s">
        <v>5400</v>
      </c>
      <c r="E767" s="34" t="s">
        <v>5244</v>
      </c>
      <c r="F767" s="34" t="s">
        <v>18</v>
      </c>
      <c r="G767" s="57">
        <v>42417</v>
      </c>
      <c r="H767" s="57">
        <v>42814</v>
      </c>
      <c r="I767" s="34">
        <f t="shared" si="33"/>
        <v>13</v>
      </c>
      <c r="J767" s="34">
        <v>40</v>
      </c>
      <c r="K767" s="36">
        <v>750</v>
      </c>
      <c r="L767" s="34" t="s">
        <v>17</v>
      </c>
      <c r="M767" s="57">
        <v>35790</v>
      </c>
      <c r="N767" s="37">
        <f>(YEAR(TablaMadre[[#This Row],[ALTA]])-YEAR(M767))</f>
        <v>19</v>
      </c>
      <c r="O767" s="34" t="s">
        <v>939</v>
      </c>
      <c r="P767" s="34" t="s">
        <v>19</v>
      </c>
      <c r="Q767" s="34" t="s">
        <v>378</v>
      </c>
      <c r="R767" s="34" t="s">
        <v>21</v>
      </c>
      <c r="S767" s="34" t="s">
        <v>322</v>
      </c>
      <c r="T767" s="34"/>
      <c r="U767" s="34"/>
      <c r="V767" s="34" t="s">
        <v>310</v>
      </c>
      <c r="W767" s="34" t="s">
        <v>97</v>
      </c>
      <c r="X767" s="38" t="s">
        <v>164</v>
      </c>
      <c r="Y767" s="62">
        <v>42826</v>
      </c>
      <c r="Z767" s="38">
        <f t="shared" si="34"/>
        <v>0</v>
      </c>
      <c r="AA767" s="38"/>
      <c r="AB767" s="34">
        <v>9</v>
      </c>
      <c r="AC767" s="34"/>
      <c r="AD767" s="38"/>
      <c r="AE767" s="59" t="str">
        <f t="shared" si="35"/>
        <v>SÍ</v>
      </c>
      <c r="AF767" s="38" t="e" cm="1">
        <f t="array" aca="1" ref="AF767" ca="1">MIN(100, MAX(0, (IF(R767="ESTUDIANTE", 31, 0)) + (IF(I767&lt;=3, 30, IF(I767&lt;=6, 20, 0))) +(IF(OR(E767="413 - Control de Costes y Enlace Construcción", E767="480 - Secretaría General del Consejo", E767="132 - Civil y estructuras", E767="136 - Mecánica", E767="412 - Planificación", E767="142 - Compras"), 25, 0)) +(IF(OR(S767="GRADO ING. MECÁNICA", S767="GRADO ING. ELÉCTRICA", S767="GRADO DERECHO", S767="GRADO ECONOMÍA", S767="GRADO ING. TECNOLOGÍAS INDUSTRIALES"), 24, 0)) + (IF(AND(K767&gt;=451, K767&lt;=700), 23, 0)) + (IF(AND(AB767&gt;=5, AB767&lt;=8), 17, 0)) +(IF(_xludf.OR(_xludf.AND(AC767&gt;=8, AC767&lt;=10), _xludf.AND(AC767&gt;=0, AC767&lt;=5)), 16, 0)) + (IF(F767="Madrid", 11, 0))))</f>
        <v>#NAME?</v>
      </c>
      <c r="AG767" s="68"/>
      <c r="AH767" s="71" t="s">
        <v>164</v>
      </c>
    </row>
    <row r="768" spans="1:34" ht="14.4" x14ac:dyDescent="0.3">
      <c r="A768" s="66" t="s">
        <v>1746</v>
      </c>
      <c r="B768" s="66" t="s">
        <v>3863</v>
      </c>
      <c r="C768" s="33">
        <v>767</v>
      </c>
      <c r="D768" s="33" t="s">
        <v>5401</v>
      </c>
      <c r="E768" s="34" t="s">
        <v>5233</v>
      </c>
      <c r="F768" s="34" t="s">
        <v>931</v>
      </c>
      <c r="G768" s="57">
        <v>42423</v>
      </c>
      <c r="H768" s="57">
        <v>42853</v>
      </c>
      <c r="I768" s="34">
        <f t="shared" si="33"/>
        <v>14</v>
      </c>
      <c r="J768" s="34">
        <v>40</v>
      </c>
      <c r="K768" s="36">
        <v>1000</v>
      </c>
      <c r="L768" s="34" t="s">
        <v>17</v>
      </c>
      <c r="M768" s="57">
        <v>34786</v>
      </c>
      <c r="N768" s="37">
        <f>(YEAR(TablaMadre[[#This Row],[ALTA]])-YEAR(M768))</f>
        <v>21</v>
      </c>
      <c r="O768" s="34" t="s">
        <v>95</v>
      </c>
      <c r="P768" s="34" t="s">
        <v>95</v>
      </c>
      <c r="Q768" s="34" t="s">
        <v>136</v>
      </c>
      <c r="R768" s="34" t="s">
        <v>21</v>
      </c>
      <c r="S768" s="34" t="s">
        <v>136</v>
      </c>
      <c r="T768" s="34"/>
      <c r="U768" s="34"/>
      <c r="V768" s="34" t="s">
        <v>90</v>
      </c>
      <c r="W768" s="34" t="s">
        <v>97</v>
      </c>
      <c r="X768" s="38" t="s">
        <v>164</v>
      </c>
      <c r="Y768" s="62"/>
      <c r="Z768" s="38" t="e">
        <f t="shared" si="34"/>
        <v>#NUM!</v>
      </c>
      <c r="AA768" s="38"/>
      <c r="AB768" s="34">
        <v>10</v>
      </c>
      <c r="AC768" s="34">
        <v>8</v>
      </c>
      <c r="AD768" s="38"/>
      <c r="AE768" s="59" t="str">
        <f t="shared" si="35"/>
        <v>SÍ</v>
      </c>
      <c r="AF768" s="38" t="e" cm="1">
        <f t="array" aca="1" ref="AF768" ca="1">MIN(100, MAX(0, (IF(R768="ESTUDIANTE", 31, 0)) + (IF(I768&lt;=3, 30, IF(I768&lt;=6, 20, 0))) +(IF(OR(E768="413 - Control de Costes y Enlace Construcción", E768="480 - Secretaría General del Consejo", E768="132 - Civil y estructuras", E768="136 - Mecánica", E768="412 - Planificación", E768="142 - Compras"), 25, 0)) +(IF(OR(S768="GRADO ING. MECÁNICA", S768="GRADO ING. ELÉCTRICA", S768="GRADO DERECHO", S768="GRADO ECONOMÍA", S768="GRADO ING. TECNOLOGÍAS INDUSTRIALES"), 24, 0)) + (IF(AND(K768&gt;=451, K768&lt;=700), 23, 0)) + (IF(AND(AB768&gt;=5, AB768&lt;=8), 17, 0)) +(IF(_xludf.OR(_xludf.AND(AC768&gt;=8, AC768&lt;=10), _xludf.AND(AC768&gt;=0, AC768&lt;=5)), 16, 0)) + (IF(F768="Madrid", 11, 0))))</f>
        <v>#NAME?</v>
      </c>
      <c r="AG768" s="68"/>
      <c r="AH768" s="71" t="s">
        <v>164</v>
      </c>
    </row>
    <row r="769" spans="1:34" ht="14.4" x14ac:dyDescent="0.3">
      <c r="A769" s="66" t="s">
        <v>1723</v>
      </c>
      <c r="B769" s="66" t="s">
        <v>3840</v>
      </c>
      <c r="C769" s="33">
        <v>768</v>
      </c>
      <c r="D769" s="33" t="s">
        <v>5402</v>
      </c>
      <c r="E769" s="34" t="s">
        <v>5244</v>
      </c>
      <c r="F769" s="34" t="s">
        <v>18</v>
      </c>
      <c r="G769" s="57">
        <v>42424</v>
      </c>
      <c r="H769" s="57">
        <v>42706</v>
      </c>
      <c r="I769" s="34">
        <f t="shared" si="33"/>
        <v>9</v>
      </c>
      <c r="J769" s="34">
        <v>40</v>
      </c>
      <c r="K769" s="36">
        <v>900</v>
      </c>
      <c r="L769" s="34" t="s">
        <v>17</v>
      </c>
      <c r="M769" s="57">
        <v>34418</v>
      </c>
      <c r="N769" s="37">
        <f>(YEAR(TablaMadre[[#This Row],[ALTA]])-YEAR(M769))</f>
        <v>22</v>
      </c>
      <c r="O769" s="34" t="s">
        <v>955</v>
      </c>
      <c r="P769" s="34" t="s">
        <v>19</v>
      </c>
      <c r="Q769" s="34" t="s">
        <v>375</v>
      </c>
      <c r="R769" s="34" t="s">
        <v>21</v>
      </c>
      <c r="S769" s="34" t="s">
        <v>297</v>
      </c>
      <c r="T769" s="34"/>
      <c r="U769" s="34"/>
      <c r="V769" s="34" t="s">
        <v>84</v>
      </c>
      <c r="W769" s="34" t="s">
        <v>183</v>
      </c>
      <c r="X769" s="38" t="s">
        <v>164</v>
      </c>
      <c r="Y769" s="62"/>
      <c r="Z769" s="62" t="e">
        <f t="shared" si="34"/>
        <v>#NUM!</v>
      </c>
      <c r="AA769" s="62"/>
      <c r="AB769" s="34">
        <v>7</v>
      </c>
      <c r="AC769" s="34"/>
      <c r="AD769" s="38"/>
      <c r="AE769" s="59" t="str">
        <f t="shared" si="35"/>
        <v>SÍ</v>
      </c>
      <c r="AF769" s="38" t="e" cm="1">
        <f t="array" aca="1" ref="AF769" ca="1">MIN(100, MAX(0, (IF(R769="ESTUDIANTE", 31, 0)) + (IF(I769&lt;=3, 30, IF(I769&lt;=6, 20, 0))) +(IF(OR(E769="413 - Control de Costes y Enlace Construcción", E769="480 - Secretaría General del Consejo", E769="132 - Civil y estructuras", E769="136 - Mecánica", E769="412 - Planificación", E769="142 - Compras"), 25, 0)) +(IF(OR(S769="GRADO ING. MECÁNICA", S769="GRADO ING. ELÉCTRICA", S769="GRADO DERECHO", S769="GRADO ECONOMÍA", S769="GRADO ING. TECNOLOGÍAS INDUSTRIALES"), 24, 0)) + (IF(AND(K769&gt;=451, K769&lt;=700), 23, 0)) + (IF(AND(AB769&gt;=5, AB769&lt;=8), 17, 0)) +(IF(_xludf.OR(_xludf.AND(AC769&gt;=8, AC769&lt;=10), _xludf.AND(AC769&gt;=0, AC769&lt;=5)), 16, 0)) + (IF(F769="Madrid", 11, 0))))</f>
        <v>#NAME?</v>
      </c>
      <c r="AG769" s="68"/>
      <c r="AH769" s="71" t="s">
        <v>164</v>
      </c>
    </row>
    <row r="770" spans="1:34" ht="14.4" x14ac:dyDescent="0.3">
      <c r="A770" s="66" t="s">
        <v>1724</v>
      </c>
      <c r="B770" s="66" t="s">
        <v>3841</v>
      </c>
      <c r="C770" s="33">
        <v>769</v>
      </c>
      <c r="D770" s="33" t="s">
        <v>5393</v>
      </c>
      <c r="E770" s="34" t="s">
        <v>5254</v>
      </c>
      <c r="F770" s="34" t="s">
        <v>18</v>
      </c>
      <c r="G770" s="57">
        <v>42432</v>
      </c>
      <c r="H770" s="57">
        <v>42505</v>
      </c>
      <c r="I770" s="34">
        <f t="shared" ref="I770:I833" si="36">DATEDIF(G770, H770, "M")</f>
        <v>2</v>
      </c>
      <c r="J770" s="34">
        <v>35</v>
      </c>
      <c r="K770" s="36">
        <v>395</v>
      </c>
      <c r="L770" s="34" t="s">
        <v>29</v>
      </c>
      <c r="M770" s="57">
        <v>34383</v>
      </c>
      <c r="N770" s="37">
        <f>(YEAR(TablaMadre[[#This Row],[ALTA]])-YEAR(M770))</f>
        <v>22</v>
      </c>
      <c r="O770" s="34" t="s">
        <v>558</v>
      </c>
      <c r="P770" s="34" t="s">
        <v>19</v>
      </c>
      <c r="Q770" s="34" t="s">
        <v>355</v>
      </c>
      <c r="R770" s="58" t="s">
        <v>30</v>
      </c>
      <c r="S770" s="34" t="s">
        <v>26</v>
      </c>
      <c r="T770" s="34"/>
      <c r="U770" s="34"/>
      <c r="V770" s="34" t="s">
        <v>27</v>
      </c>
      <c r="W770" s="34" t="s">
        <v>23</v>
      </c>
      <c r="X770" s="38" t="s">
        <v>164</v>
      </c>
      <c r="Y770" s="62"/>
      <c r="Z770" s="62" t="e">
        <f t="shared" ref="Z770:Z833" si="37">DATEDIF(H770, Y770, "y")</f>
        <v>#NUM!</v>
      </c>
      <c r="AA770" s="62"/>
      <c r="AB770" s="34"/>
      <c r="AC770" s="34"/>
      <c r="AD770" s="38"/>
      <c r="AE770" s="59" t="str">
        <f t="shared" si="35"/>
        <v>SÍ</v>
      </c>
      <c r="AF770" s="38" t="e" cm="1">
        <f t="array" aca="1" ref="AF770" ca="1">MIN(100, MAX(0, (IF(R770="ESTUDIANTE", 31, 0)) + (IF(I770&lt;=3, 30, IF(I770&lt;=6, 20, 0))) +(IF(OR(E770="413 - Control de Costes y Enlace Construcción", E770="480 - Secretaría General del Consejo", E770="132 - Civil y estructuras", E770="136 - Mecánica", E770="412 - Planificación", E770="142 - Compras"), 25, 0)) +(IF(OR(S770="GRADO ING. MECÁNICA", S770="GRADO ING. ELÉCTRICA", S770="GRADO DERECHO", S770="GRADO ECONOMÍA", S770="GRADO ING. TECNOLOGÍAS INDUSTRIALES"), 24, 0)) + (IF(AND(K770&gt;=451, K770&lt;=700), 23, 0)) + (IF(AND(AB770&gt;=5, AB770&lt;=8), 17, 0)) +(IF(_xludf.OR(_xludf.AND(AC770&gt;=8, AC770&lt;=10), _xludf.AND(AC770&gt;=0, AC770&lt;=5)), 16, 0)) + (IF(F770="Madrid", 11, 0))))</f>
        <v>#NAME?</v>
      </c>
      <c r="AG770" s="68"/>
      <c r="AH770" s="71" t="s">
        <v>164</v>
      </c>
    </row>
    <row r="771" spans="1:34" ht="14.4" x14ac:dyDescent="0.3">
      <c r="A771" s="66" t="s">
        <v>1749</v>
      </c>
      <c r="B771" s="66" t="s">
        <v>3866</v>
      </c>
      <c r="C771" s="33">
        <v>770</v>
      </c>
      <c r="D771" s="33" t="s">
        <v>5394</v>
      </c>
      <c r="E771" s="34" t="s">
        <v>5238</v>
      </c>
      <c r="F771" s="34" t="s">
        <v>18</v>
      </c>
      <c r="G771" s="57">
        <v>42434</v>
      </c>
      <c r="H771" s="57">
        <v>42855</v>
      </c>
      <c r="I771" s="34">
        <f t="shared" si="36"/>
        <v>13</v>
      </c>
      <c r="J771" s="34">
        <v>35</v>
      </c>
      <c r="K771" s="36">
        <v>570</v>
      </c>
      <c r="L771" s="34" t="s">
        <v>17</v>
      </c>
      <c r="M771" s="57">
        <v>34302</v>
      </c>
      <c r="N771" s="37">
        <f>(YEAR(TablaMadre[[#This Row],[ALTA]])-YEAR(M771))</f>
        <v>23</v>
      </c>
      <c r="O771" s="34" t="s">
        <v>18</v>
      </c>
      <c r="P771" s="34" t="s">
        <v>19</v>
      </c>
      <c r="Q771" s="34" t="s">
        <v>354</v>
      </c>
      <c r="R771" s="58" t="s">
        <v>30</v>
      </c>
      <c r="S771" s="34" t="s">
        <v>354</v>
      </c>
      <c r="T771" s="34"/>
      <c r="U771" s="34"/>
      <c r="V771" s="34" t="s">
        <v>158</v>
      </c>
      <c r="W771" s="34" t="s">
        <v>23</v>
      </c>
      <c r="X771" s="38" t="s">
        <v>164</v>
      </c>
      <c r="Y771" s="62"/>
      <c r="Z771" s="62" t="e">
        <f t="shared" si="37"/>
        <v>#NUM!</v>
      </c>
      <c r="AA771" s="62"/>
      <c r="AB771" s="34">
        <v>9.5</v>
      </c>
      <c r="AC771" s="34"/>
      <c r="AD771" s="38"/>
      <c r="AE771" s="59" t="str">
        <f t="shared" ref="AE771:AE834" si="38">IF(F771=O771, "NO", "SÍ")</f>
        <v>NO</v>
      </c>
      <c r="AF771" s="38" t="e" cm="1">
        <f t="array" aca="1" ref="AF771" ca="1">MIN(100, MAX(0, (IF(R771="ESTUDIANTE", 31, 0)) + (IF(I771&lt;=3, 30, IF(I771&lt;=6, 20, 0))) +(IF(OR(E771="413 - Control de Costes y Enlace Construcción", E771="480 - Secretaría General del Consejo", E771="132 - Civil y estructuras", E771="136 - Mecánica", E771="412 - Planificación", E771="142 - Compras"), 25, 0)) +(IF(OR(S771="GRADO ING. MECÁNICA", S771="GRADO ING. ELÉCTRICA", S771="GRADO DERECHO", S771="GRADO ECONOMÍA", S771="GRADO ING. TECNOLOGÍAS INDUSTRIALES"), 24, 0)) + (IF(AND(K771&gt;=451, K771&lt;=700), 23, 0)) + (IF(AND(AB771&gt;=5, AB771&lt;=8), 17, 0)) +(IF(_xludf.OR(_xludf.AND(AC771&gt;=8, AC771&lt;=10), _xludf.AND(AC771&gt;=0, AC771&lt;=5)), 16, 0)) + (IF(F771="Madrid", 11, 0))))</f>
        <v>#NAME?</v>
      </c>
      <c r="AG771" s="68"/>
      <c r="AH771" s="71" t="s">
        <v>164</v>
      </c>
    </row>
    <row r="772" spans="1:34" s="4" customFormat="1" ht="14.4" x14ac:dyDescent="0.3">
      <c r="A772" s="66" t="s">
        <v>1750</v>
      </c>
      <c r="B772" s="66" t="s">
        <v>3867</v>
      </c>
      <c r="C772" s="33">
        <v>771</v>
      </c>
      <c r="D772" s="33" t="s">
        <v>5395</v>
      </c>
      <c r="E772" s="34" t="s">
        <v>5244</v>
      </c>
      <c r="F772" s="34" t="s">
        <v>18</v>
      </c>
      <c r="G772" s="57">
        <v>42434</v>
      </c>
      <c r="H772" s="57">
        <v>43071</v>
      </c>
      <c r="I772" s="34">
        <f t="shared" si="36"/>
        <v>20</v>
      </c>
      <c r="J772" s="34">
        <v>40</v>
      </c>
      <c r="K772" s="36">
        <v>900</v>
      </c>
      <c r="L772" s="34" t="s">
        <v>17</v>
      </c>
      <c r="M772" s="57">
        <v>34868</v>
      </c>
      <c r="N772" s="37">
        <f>(YEAR(TablaMadre[[#This Row],[ALTA]])-YEAR(M772))</f>
        <v>21</v>
      </c>
      <c r="O772" s="34" t="s">
        <v>304</v>
      </c>
      <c r="P772" s="34" t="s">
        <v>19</v>
      </c>
      <c r="Q772" s="34" t="s">
        <v>285</v>
      </c>
      <c r="R772" s="34" t="s">
        <v>21</v>
      </c>
      <c r="S772" s="34" t="s">
        <v>322</v>
      </c>
      <c r="T772" s="34"/>
      <c r="U772" s="34"/>
      <c r="V772" s="34" t="s">
        <v>207</v>
      </c>
      <c r="W772" s="34" t="s">
        <v>28</v>
      </c>
      <c r="X772" s="34" t="s">
        <v>164</v>
      </c>
      <c r="Y772" s="57">
        <v>43172</v>
      </c>
      <c r="Z772" s="34">
        <f t="shared" si="37"/>
        <v>0</v>
      </c>
      <c r="AA772" s="34"/>
      <c r="AB772" s="34">
        <v>8</v>
      </c>
      <c r="AC772" s="34"/>
      <c r="AD772" s="34"/>
      <c r="AE772" s="59" t="str">
        <f t="shared" si="38"/>
        <v>SÍ</v>
      </c>
      <c r="AF772" s="34" t="e" cm="1">
        <f t="array" aca="1" ref="AF772" ca="1">MIN(100, MAX(0, (IF(R772="ESTUDIANTE", 31, 0)) + (IF(I772&lt;=3, 30, IF(I772&lt;=6, 20, 0))) +(IF(OR(E772="413 - Control de Costes y Enlace Construcción", E772="480 - Secretaría General del Consejo", E772="132 - Civil y estructuras", E772="136 - Mecánica", E772="412 - Planificación", E772="142 - Compras"), 25, 0)) +(IF(OR(S772="GRADO ING. MECÁNICA", S772="GRADO ING. ELÉCTRICA", S772="GRADO DERECHO", S772="GRADO ECONOMÍA", S772="GRADO ING. TECNOLOGÍAS INDUSTRIALES"), 24, 0)) + (IF(AND(K772&gt;=451, K772&lt;=700), 23, 0)) + (IF(AND(AB772&gt;=5, AB772&lt;=8), 17, 0)) +(IF(_xludf.OR(_xludf.AND(AC772&gt;=8, AC772&lt;=10), _xludf.AND(AC772&gt;=0, AC772&lt;=5)), 16, 0)) + (IF(F772="Madrid", 11, 0))))</f>
        <v>#NAME?</v>
      </c>
      <c r="AG772" s="69"/>
      <c r="AH772" s="71" t="s">
        <v>164</v>
      </c>
    </row>
    <row r="773" spans="1:34" ht="14.4" x14ac:dyDescent="0.3">
      <c r="A773" s="66" t="s">
        <v>1765</v>
      </c>
      <c r="B773" s="66" t="s">
        <v>3882</v>
      </c>
      <c r="C773" s="33">
        <v>772</v>
      </c>
      <c r="D773" s="33" t="s">
        <v>5396</v>
      </c>
      <c r="E773" s="34" t="s">
        <v>5217</v>
      </c>
      <c r="F773" s="34" t="s">
        <v>18</v>
      </c>
      <c r="G773" s="57">
        <v>42439</v>
      </c>
      <c r="H773" s="57">
        <v>42916</v>
      </c>
      <c r="I773" s="34">
        <f t="shared" si="36"/>
        <v>15</v>
      </c>
      <c r="J773" s="34">
        <v>40</v>
      </c>
      <c r="K773" s="36">
        <v>2000</v>
      </c>
      <c r="L773" s="34" t="s">
        <v>29</v>
      </c>
      <c r="M773" s="57">
        <v>35020</v>
      </c>
      <c r="N773" s="37">
        <f>(YEAR(TablaMadre[[#This Row],[ALTA]])-YEAR(M773))</f>
        <v>21</v>
      </c>
      <c r="O773" s="34" t="s">
        <v>102</v>
      </c>
      <c r="P773" s="34" t="s">
        <v>103</v>
      </c>
      <c r="Q773" s="34" t="s">
        <v>393</v>
      </c>
      <c r="R773" s="34" t="s">
        <v>21</v>
      </c>
      <c r="S773" s="34" t="s">
        <v>322</v>
      </c>
      <c r="T773" s="34"/>
      <c r="U773" s="34"/>
      <c r="V773" s="34" t="s">
        <v>90</v>
      </c>
      <c r="W773" s="34" t="s">
        <v>380</v>
      </c>
      <c r="X773" s="38" t="s">
        <v>164</v>
      </c>
      <c r="Y773" s="62"/>
      <c r="Z773" s="62" t="e">
        <f t="shared" si="37"/>
        <v>#NUM!</v>
      </c>
      <c r="AA773" s="62"/>
      <c r="AB773" s="34">
        <v>6</v>
      </c>
      <c r="AC773" s="34">
        <v>8.5</v>
      </c>
      <c r="AD773" s="38"/>
      <c r="AE773" s="59" t="str">
        <f t="shared" si="38"/>
        <v>SÍ</v>
      </c>
      <c r="AF773" s="38" t="e" cm="1">
        <f t="array" aca="1" ref="AF773" ca="1">MIN(100, MAX(0, (IF(R773="ESTUDIANTE", 31, 0)) + (IF(I773&lt;=3, 30, IF(I773&lt;=6, 20, 0))) +(IF(OR(E773="413 - Control de Costes y Enlace Construcción", E773="480 - Secretaría General del Consejo", E773="132 - Civil y estructuras", E773="136 - Mecánica", E773="412 - Planificación", E773="142 - Compras"), 25, 0)) +(IF(OR(S773="GRADO ING. MECÁNICA", S773="GRADO ING. ELÉCTRICA", S773="GRADO DERECHO", S773="GRADO ECONOMÍA", S773="GRADO ING. TECNOLOGÍAS INDUSTRIALES"), 24, 0)) + (IF(AND(K773&gt;=451, K773&lt;=700), 23, 0)) + (IF(AND(AB773&gt;=5, AB773&lt;=8), 17, 0)) +(IF(_xludf.OR(_xludf.AND(AC773&gt;=8, AC773&lt;=10), _xludf.AND(AC773&gt;=0, AC773&lt;=5)), 16, 0)) + (IF(F773="Madrid", 11, 0))))</f>
        <v>#NAME?</v>
      </c>
      <c r="AG773" s="68"/>
      <c r="AH773" s="71" t="s">
        <v>164</v>
      </c>
    </row>
    <row r="774" spans="1:34" ht="14.4" x14ac:dyDescent="0.3">
      <c r="A774" s="66" t="s">
        <v>1725</v>
      </c>
      <c r="B774" s="66" t="s">
        <v>3842</v>
      </c>
      <c r="C774" s="33">
        <v>773</v>
      </c>
      <c r="D774" s="33" t="s">
        <v>5397</v>
      </c>
      <c r="E774" s="34" t="s">
        <v>5244</v>
      </c>
      <c r="F774" s="34" t="s">
        <v>18</v>
      </c>
      <c r="G774" s="57">
        <v>42443</v>
      </c>
      <c r="H774" s="57">
        <v>42626</v>
      </c>
      <c r="I774" s="34">
        <f t="shared" si="36"/>
        <v>5</v>
      </c>
      <c r="J774" s="34">
        <v>40</v>
      </c>
      <c r="K774" s="36">
        <v>900</v>
      </c>
      <c r="L774" s="34" t="s">
        <v>29</v>
      </c>
      <c r="M774" s="57">
        <v>32590</v>
      </c>
      <c r="N774" s="37">
        <f>(YEAR(TablaMadre[[#This Row],[ALTA]])-YEAR(M774))</f>
        <v>27</v>
      </c>
      <c r="O774" s="34" t="s">
        <v>153</v>
      </c>
      <c r="P774" s="34" t="s">
        <v>273</v>
      </c>
      <c r="Q774" s="34" t="s">
        <v>369</v>
      </c>
      <c r="R774" s="34" t="s">
        <v>21</v>
      </c>
      <c r="S774" s="34" t="s">
        <v>369</v>
      </c>
      <c r="T774" s="34"/>
      <c r="U774" s="34"/>
      <c r="V774" s="34" t="s">
        <v>90</v>
      </c>
      <c r="W774" s="34" t="s">
        <v>181</v>
      </c>
      <c r="X774" s="38" t="s">
        <v>164</v>
      </c>
      <c r="Y774" s="62"/>
      <c r="Z774" s="62" t="e">
        <f t="shared" si="37"/>
        <v>#NUM!</v>
      </c>
      <c r="AA774" s="62"/>
      <c r="AB774" s="34"/>
      <c r="AC774" s="34"/>
      <c r="AD774" s="38"/>
      <c r="AE774" s="59" t="str">
        <f t="shared" si="38"/>
        <v>SÍ</v>
      </c>
      <c r="AF774" s="38" t="e" cm="1">
        <f t="array" aca="1" ref="AF774" ca="1">MIN(100, MAX(0, (IF(R774="ESTUDIANTE", 31, 0)) + (IF(I774&lt;=3, 30, IF(I774&lt;=6, 20, 0))) +(IF(OR(E774="413 - Control de Costes y Enlace Construcción", E774="480 - Secretaría General del Consejo", E774="132 - Civil y estructuras", E774="136 - Mecánica", E774="412 - Planificación", E774="142 - Compras"), 25, 0)) +(IF(OR(S774="GRADO ING. MECÁNICA", S774="GRADO ING. ELÉCTRICA", S774="GRADO DERECHO", S774="GRADO ECONOMÍA", S774="GRADO ING. TECNOLOGÍAS INDUSTRIALES"), 24, 0)) + (IF(AND(K774&gt;=451, K774&lt;=700), 23, 0)) + (IF(AND(AB774&gt;=5, AB774&lt;=8), 17, 0)) +(IF(_xludf.OR(_xludf.AND(AC774&gt;=8, AC774&lt;=10), _xludf.AND(AC774&gt;=0, AC774&lt;=5)), 16, 0)) + (IF(F774="Madrid", 11, 0))))</f>
        <v>#NAME?</v>
      </c>
      <c r="AG774" s="68"/>
      <c r="AH774" s="71" t="s">
        <v>164</v>
      </c>
    </row>
    <row r="775" spans="1:34" ht="14.4" x14ac:dyDescent="0.3">
      <c r="A775" s="66" t="s">
        <v>1753</v>
      </c>
      <c r="B775" s="66" t="s">
        <v>3870</v>
      </c>
      <c r="C775" s="33">
        <v>774</v>
      </c>
      <c r="D775" s="33" t="s">
        <v>5398</v>
      </c>
      <c r="E775" s="34" t="s">
        <v>5273</v>
      </c>
      <c r="F775" s="34" t="s">
        <v>18</v>
      </c>
      <c r="G775" s="57">
        <v>42443</v>
      </c>
      <c r="H775" s="57">
        <v>42807</v>
      </c>
      <c r="I775" s="34">
        <f t="shared" si="36"/>
        <v>11</v>
      </c>
      <c r="J775" s="34">
        <v>40</v>
      </c>
      <c r="K775" s="36">
        <v>825</v>
      </c>
      <c r="L775" s="34" t="s">
        <v>17</v>
      </c>
      <c r="M775" s="57">
        <v>35423</v>
      </c>
      <c r="N775" s="37">
        <f>(YEAR(TablaMadre[[#This Row],[ALTA]])-YEAR(M775))</f>
        <v>20</v>
      </c>
      <c r="O775" s="34" t="s">
        <v>411</v>
      </c>
      <c r="P775" s="34" t="s">
        <v>19</v>
      </c>
      <c r="Q775" s="34" t="s">
        <v>383</v>
      </c>
      <c r="R775" s="34" t="s">
        <v>21</v>
      </c>
      <c r="S775" s="34" t="s">
        <v>322</v>
      </c>
      <c r="T775" s="34"/>
      <c r="U775" s="34"/>
      <c r="V775" s="34" t="s">
        <v>142</v>
      </c>
      <c r="W775" s="34" t="s">
        <v>28</v>
      </c>
      <c r="X775" s="38" t="s">
        <v>164</v>
      </c>
      <c r="Y775" s="62">
        <v>44112</v>
      </c>
      <c r="Z775" s="38">
        <f t="shared" si="37"/>
        <v>3</v>
      </c>
      <c r="AA775" s="38"/>
      <c r="AB775" s="34">
        <v>10</v>
      </c>
      <c r="AC775" s="34">
        <v>8</v>
      </c>
      <c r="AD775" s="38"/>
      <c r="AE775" s="59" t="str">
        <f t="shared" si="38"/>
        <v>SÍ</v>
      </c>
      <c r="AF775" s="38" t="e" cm="1">
        <f t="array" aca="1" ref="AF775" ca="1">MIN(100, MAX(0, (IF(R775="ESTUDIANTE", 31, 0)) + (IF(I775&lt;=3, 30, IF(I775&lt;=6, 20, 0))) +(IF(OR(E775="413 - Control de Costes y Enlace Construcción", E775="480 - Secretaría General del Consejo", E775="132 - Civil y estructuras", E775="136 - Mecánica", E775="412 - Planificación", E775="142 - Compras"), 25, 0)) +(IF(OR(S775="GRADO ING. MECÁNICA", S775="GRADO ING. ELÉCTRICA", S775="GRADO DERECHO", S775="GRADO ECONOMÍA", S775="GRADO ING. TECNOLOGÍAS INDUSTRIALES"), 24, 0)) + (IF(AND(K775&gt;=451, K775&lt;=700), 23, 0)) + (IF(AND(AB775&gt;=5, AB775&lt;=8), 17, 0)) +(IF(_xludf.OR(_xludf.AND(AC775&gt;=8, AC775&lt;=10), _xludf.AND(AC775&gt;=0, AC775&lt;=5)), 16, 0)) + (IF(F775="Madrid", 11, 0))))</f>
        <v>#NAME?</v>
      </c>
      <c r="AG775" s="68"/>
      <c r="AH775" s="71" t="s">
        <v>164</v>
      </c>
    </row>
    <row r="776" spans="1:34" ht="14.4" x14ac:dyDescent="0.3">
      <c r="A776" s="66" t="s">
        <v>1754</v>
      </c>
      <c r="B776" s="66" t="s">
        <v>3871</v>
      </c>
      <c r="C776" s="33">
        <v>775</v>
      </c>
      <c r="D776" s="33" t="s">
        <v>5399</v>
      </c>
      <c r="E776" s="34" t="s">
        <v>5296</v>
      </c>
      <c r="F776" s="34" t="s">
        <v>18</v>
      </c>
      <c r="G776" s="57">
        <v>42443</v>
      </c>
      <c r="H776" s="57">
        <v>43008</v>
      </c>
      <c r="I776" s="34">
        <f t="shared" si="36"/>
        <v>18</v>
      </c>
      <c r="J776" s="34">
        <v>35</v>
      </c>
      <c r="K776" s="36">
        <v>900</v>
      </c>
      <c r="L776" s="34" t="s">
        <v>29</v>
      </c>
      <c r="M776" s="57">
        <v>34530</v>
      </c>
      <c r="N776" s="37">
        <f>(YEAR(TablaMadre[[#This Row],[ALTA]])-YEAR(M776))</f>
        <v>22</v>
      </c>
      <c r="O776" s="34" t="s">
        <v>138</v>
      </c>
      <c r="P776" s="34" t="s">
        <v>138</v>
      </c>
      <c r="Q776" s="34" t="s">
        <v>375</v>
      </c>
      <c r="R776" s="34" t="s">
        <v>21</v>
      </c>
      <c r="S776" s="34" t="s">
        <v>297</v>
      </c>
      <c r="T776" s="34"/>
      <c r="U776" s="34"/>
      <c r="V776" s="34" t="s">
        <v>22</v>
      </c>
      <c r="W776" s="34" t="s">
        <v>28</v>
      </c>
      <c r="X776" s="38" t="s">
        <v>164</v>
      </c>
      <c r="Y776" s="62">
        <v>44805</v>
      </c>
      <c r="Z776" s="38">
        <f t="shared" si="37"/>
        <v>4</v>
      </c>
      <c r="AA776" s="38"/>
      <c r="AB776" s="34">
        <v>9</v>
      </c>
      <c r="AC776" s="34">
        <v>10</v>
      </c>
      <c r="AD776" s="38"/>
      <c r="AE776" s="59" t="str">
        <f t="shared" si="38"/>
        <v>SÍ</v>
      </c>
      <c r="AF776" s="38" t="e" cm="1">
        <f t="array" aca="1" ref="AF776" ca="1">MIN(100, MAX(0, (IF(R776="ESTUDIANTE", 31, 0)) + (IF(I776&lt;=3, 30, IF(I776&lt;=6, 20, 0))) +(IF(OR(E776="413 - Control de Costes y Enlace Construcción", E776="480 - Secretaría General del Consejo", E776="132 - Civil y estructuras", E776="136 - Mecánica", E776="412 - Planificación", E776="142 - Compras"), 25, 0)) +(IF(OR(S776="GRADO ING. MECÁNICA", S776="GRADO ING. ELÉCTRICA", S776="GRADO DERECHO", S776="GRADO ECONOMÍA", S776="GRADO ING. TECNOLOGÍAS INDUSTRIALES"), 24, 0)) + (IF(AND(K776&gt;=451, K776&lt;=700), 23, 0)) + (IF(AND(AB776&gt;=5, AB776&lt;=8), 17, 0)) +(IF(_xludf.OR(_xludf.AND(AC776&gt;=8, AC776&lt;=10), _xludf.AND(AC776&gt;=0, AC776&lt;=5)), 16, 0)) + (IF(F776="Madrid", 11, 0))))</f>
        <v>#NAME?</v>
      </c>
      <c r="AG776" s="68"/>
      <c r="AH776" s="71" t="s">
        <v>164</v>
      </c>
    </row>
    <row r="777" spans="1:34" ht="14.4" x14ac:dyDescent="0.3">
      <c r="A777" s="66" t="s">
        <v>1726</v>
      </c>
      <c r="B777" s="66" t="s">
        <v>3843</v>
      </c>
      <c r="C777" s="33">
        <v>777</v>
      </c>
      <c r="D777" s="33" t="s">
        <v>5393</v>
      </c>
      <c r="E777" s="34" t="s">
        <v>5252</v>
      </c>
      <c r="F777" s="34" t="s">
        <v>18</v>
      </c>
      <c r="G777" s="57">
        <v>42459</v>
      </c>
      <c r="H777" s="57">
        <v>42527</v>
      </c>
      <c r="I777" s="34">
        <f t="shared" si="36"/>
        <v>2</v>
      </c>
      <c r="J777" s="34">
        <v>40</v>
      </c>
      <c r="K777" s="36">
        <v>450</v>
      </c>
      <c r="L777" s="34" t="s">
        <v>29</v>
      </c>
      <c r="M777" s="57">
        <v>34544</v>
      </c>
      <c r="N777" s="37">
        <f>(YEAR(TablaMadre[[#This Row],[ALTA]])-YEAR(M777))</f>
        <v>22</v>
      </c>
      <c r="O777" s="34" t="s">
        <v>185</v>
      </c>
      <c r="P777" s="34" t="s">
        <v>19</v>
      </c>
      <c r="Q777" s="34" t="s">
        <v>359</v>
      </c>
      <c r="R777" s="58" t="s">
        <v>30</v>
      </c>
      <c r="S777" s="34" t="s">
        <v>26</v>
      </c>
      <c r="T777" s="34"/>
      <c r="U777" s="34"/>
      <c r="V777" s="34" t="s">
        <v>27</v>
      </c>
      <c r="W777" s="34" t="s">
        <v>23</v>
      </c>
      <c r="X777" s="38" t="s">
        <v>164</v>
      </c>
      <c r="Y777" s="62"/>
      <c r="Z777" s="62" t="e">
        <f t="shared" si="37"/>
        <v>#NUM!</v>
      </c>
      <c r="AA777" s="62"/>
      <c r="AB777" s="34"/>
      <c r="AC777" s="34"/>
      <c r="AD777" s="38"/>
      <c r="AE777" s="59" t="str">
        <f t="shared" si="38"/>
        <v>SÍ</v>
      </c>
      <c r="AF777" s="38" t="e" cm="1">
        <f t="array" aca="1" ref="AF777" ca="1">MIN(100, MAX(0, (IF(R777="ESTUDIANTE", 31, 0)) + (IF(I777&lt;=3, 30, IF(I777&lt;=6, 20, 0))) +(IF(OR(E777="413 - Control de Costes y Enlace Construcción", E777="480 - Secretaría General del Consejo", E777="132 - Civil y estructuras", E777="136 - Mecánica", E777="412 - Planificación", E777="142 - Compras"), 25, 0)) +(IF(OR(S777="GRADO ING. MECÁNICA", S777="GRADO ING. ELÉCTRICA", S777="GRADO DERECHO", S777="GRADO ECONOMÍA", S777="GRADO ING. TECNOLOGÍAS INDUSTRIALES"), 24, 0)) + (IF(AND(K777&gt;=451, K777&lt;=700), 23, 0)) + (IF(AND(AB777&gt;=5, AB777&lt;=8), 17, 0)) +(IF(_xludf.OR(_xludf.AND(AC777&gt;=8, AC777&lt;=10), _xludf.AND(AC777&gt;=0, AC777&lt;=5)), 16, 0)) + (IF(F777="Madrid", 11, 0))))</f>
        <v>#NAME?</v>
      </c>
      <c r="AG777" s="68"/>
      <c r="AH777" s="71" t="s">
        <v>164</v>
      </c>
    </row>
    <row r="778" spans="1:34" ht="14.4" x14ac:dyDescent="0.3">
      <c r="A778" s="66" t="s">
        <v>1731</v>
      </c>
      <c r="B778" s="66" t="s">
        <v>3848</v>
      </c>
      <c r="C778" s="33">
        <v>776</v>
      </c>
      <c r="D778" s="33" t="s">
        <v>5394</v>
      </c>
      <c r="E778" s="34" t="s">
        <v>5252</v>
      </c>
      <c r="F778" s="34" t="s">
        <v>18</v>
      </c>
      <c r="G778" s="57">
        <v>42459</v>
      </c>
      <c r="H778" s="57">
        <v>42527</v>
      </c>
      <c r="I778" s="34">
        <f t="shared" si="36"/>
        <v>2</v>
      </c>
      <c r="J778" s="34">
        <v>40</v>
      </c>
      <c r="K778" s="36">
        <v>450</v>
      </c>
      <c r="L778" s="34" t="s">
        <v>17</v>
      </c>
      <c r="M778" s="57">
        <v>35060</v>
      </c>
      <c r="N778" s="37">
        <f>(YEAR(TablaMadre[[#This Row],[ALTA]])-YEAR(M778))</f>
        <v>21</v>
      </c>
      <c r="O778" s="34" t="s">
        <v>18</v>
      </c>
      <c r="P778" s="34" t="s">
        <v>19</v>
      </c>
      <c r="Q778" s="34" t="s">
        <v>359</v>
      </c>
      <c r="R778" s="58" t="s">
        <v>30</v>
      </c>
      <c r="S778" s="34" t="s">
        <v>26</v>
      </c>
      <c r="T778" s="34"/>
      <c r="U778" s="34"/>
      <c r="V778" s="34" t="s">
        <v>27</v>
      </c>
      <c r="W778" s="34" t="s">
        <v>23</v>
      </c>
      <c r="X778" s="38" t="s">
        <v>164</v>
      </c>
      <c r="Y778" s="62"/>
      <c r="Z778" s="62" t="e">
        <f t="shared" si="37"/>
        <v>#NUM!</v>
      </c>
      <c r="AA778" s="62"/>
      <c r="AB778" s="34"/>
      <c r="AC778" s="34"/>
      <c r="AD778" s="38"/>
      <c r="AE778" s="59" t="str">
        <f t="shared" si="38"/>
        <v>NO</v>
      </c>
      <c r="AF778" s="38" t="e" cm="1">
        <f t="array" aca="1" ref="AF778" ca="1">MIN(100, MAX(0, (IF(R778="ESTUDIANTE", 31, 0)) + (IF(I778&lt;=3, 30, IF(I778&lt;=6, 20, 0))) +(IF(OR(E778="413 - Control de Costes y Enlace Construcción", E778="480 - Secretaría General del Consejo", E778="132 - Civil y estructuras", E778="136 - Mecánica", E778="412 - Planificación", E778="142 - Compras"), 25, 0)) +(IF(OR(S778="GRADO ING. MECÁNICA", S778="GRADO ING. ELÉCTRICA", S778="GRADO DERECHO", S778="GRADO ECONOMÍA", S778="GRADO ING. TECNOLOGÍAS INDUSTRIALES"), 24, 0)) + (IF(AND(K778&gt;=451, K778&lt;=700), 23, 0)) + (IF(AND(AB778&gt;=5, AB778&lt;=8), 17, 0)) +(IF(_xludf.OR(_xludf.AND(AC778&gt;=8, AC778&lt;=10), _xludf.AND(AC778&gt;=0, AC778&lt;=5)), 16, 0)) + (IF(F778="Madrid", 11, 0))))</f>
        <v>#NAME?</v>
      </c>
      <c r="AG778" s="68"/>
      <c r="AH778" s="71" t="s">
        <v>164</v>
      </c>
    </row>
    <row r="779" spans="1:34" ht="14.4" x14ac:dyDescent="0.3">
      <c r="A779" s="66" t="s">
        <v>1686</v>
      </c>
      <c r="B779" s="66" t="s">
        <v>3803</v>
      </c>
      <c r="C779" s="33">
        <v>779</v>
      </c>
      <c r="D779" s="33" t="s">
        <v>5395</v>
      </c>
      <c r="E779" s="34" t="s">
        <v>5215</v>
      </c>
      <c r="F779" s="34" t="s">
        <v>118</v>
      </c>
      <c r="G779" s="57">
        <v>42461</v>
      </c>
      <c r="H779" s="57">
        <v>42916</v>
      </c>
      <c r="I779" s="34">
        <f t="shared" si="36"/>
        <v>14</v>
      </c>
      <c r="J779" s="34">
        <v>35</v>
      </c>
      <c r="K779" s="36">
        <v>900</v>
      </c>
      <c r="L779" s="34" t="s">
        <v>29</v>
      </c>
      <c r="M779" s="57">
        <v>35970</v>
      </c>
      <c r="N779" s="37">
        <f>(YEAR(TablaMadre[[#This Row],[ALTA]])-YEAR(M779))</f>
        <v>18</v>
      </c>
      <c r="O779" s="34" t="s">
        <v>255</v>
      </c>
      <c r="P779" s="34" t="s">
        <v>19</v>
      </c>
      <c r="Q779" s="34" t="s">
        <v>20</v>
      </c>
      <c r="R779" s="34" t="s">
        <v>21</v>
      </c>
      <c r="S779" s="34" t="s">
        <v>151</v>
      </c>
      <c r="T779" s="34"/>
      <c r="U779" s="34"/>
      <c r="V779" s="34" t="s">
        <v>81</v>
      </c>
      <c r="W779" s="34" t="s">
        <v>23</v>
      </c>
      <c r="X779" s="38" t="s">
        <v>164</v>
      </c>
      <c r="Y779" s="62"/>
      <c r="Z779" s="62" t="e">
        <f t="shared" si="37"/>
        <v>#NUM!</v>
      </c>
      <c r="AA779" s="62"/>
      <c r="AB779" s="34">
        <v>10</v>
      </c>
      <c r="AC779" s="34">
        <v>8.4</v>
      </c>
      <c r="AD779" s="38"/>
      <c r="AE779" s="59" t="str">
        <f t="shared" si="38"/>
        <v>SÍ</v>
      </c>
      <c r="AF779" s="38" t="e" cm="1">
        <f t="array" aca="1" ref="AF779" ca="1">MIN(100, MAX(0, (IF(R779="ESTUDIANTE", 31, 0)) + (IF(I779&lt;=3, 30, IF(I779&lt;=6, 20, 0))) +(IF(OR(E779="413 - Control de Costes y Enlace Construcción", E779="480 - Secretaría General del Consejo", E779="132 - Civil y estructuras", E779="136 - Mecánica", E779="412 - Planificación", E779="142 - Compras"), 25, 0)) +(IF(OR(S779="GRADO ING. MECÁNICA", S779="GRADO ING. ELÉCTRICA", S779="GRADO DERECHO", S779="GRADO ECONOMÍA", S779="GRADO ING. TECNOLOGÍAS INDUSTRIALES"), 24, 0)) + (IF(AND(K779&gt;=451, K779&lt;=700), 23, 0)) + (IF(AND(AB779&gt;=5, AB779&lt;=8), 17, 0)) +(IF(_xludf.OR(_xludf.AND(AC779&gt;=8, AC779&lt;=10), _xludf.AND(AC779&gt;=0, AC779&lt;=5)), 16, 0)) + (IF(F779="Madrid", 11, 0))))</f>
        <v>#NAME?</v>
      </c>
      <c r="AG779" s="68"/>
      <c r="AH779" s="71" t="s">
        <v>164</v>
      </c>
    </row>
    <row r="780" spans="1:34" ht="14.4" x14ac:dyDescent="0.3">
      <c r="A780" s="66" t="s">
        <v>1757</v>
      </c>
      <c r="B780" s="66" t="s">
        <v>3874</v>
      </c>
      <c r="C780" s="33">
        <v>778</v>
      </c>
      <c r="D780" s="33" t="s">
        <v>5396</v>
      </c>
      <c r="E780" s="34" t="s">
        <v>5245</v>
      </c>
      <c r="F780" s="34" t="s">
        <v>18</v>
      </c>
      <c r="G780" s="57">
        <v>42461</v>
      </c>
      <c r="H780" s="57">
        <v>42735</v>
      </c>
      <c r="I780" s="34">
        <f t="shared" si="36"/>
        <v>8</v>
      </c>
      <c r="J780" s="34">
        <v>40</v>
      </c>
      <c r="K780" s="36">
        <v>900</v>
      </c>
      <c r="L780" s="34" t="s">
        <v>17</v>
      </c>
      <c r="M780" s="57">
        <v>35208</v>
      </c>
      <c r="N780" s="37">
        <f>(YEAR(TablaMadre[[#This Row],[ALTA]])-YEAR(M780))</f>
        <v>20</v>
      </c>
      <c r="O780" s="34" t="s">
        <v>18</v>
      </c>
      <c r="P780" s="34" t="s">
        <v>19</v>
      </c>
      <c r="Q780" s="34" t="s">
        <v>378</v>
      </c>
      <c r="R780" s="34" t="s">
        <v>21</v>
      </c>
      <c r="S780" s="34" t="s">
        <v>322</v>
      </c>
      <c r="T780" s="34"/>
      <c r="U780" s="34"/>
      <c r="V780" s="34" t="s">
        <v>22</v>
      </c>
      <c r="W780" s="34" t="s">
        <v>28</v>
      </c>
      <c r="X780" s="38" t="s">
        <v>164</v>
      </c>
      <c r="Y780" s="62">
        <v>43268</v>
      </c>
      <c r="Z780" s="38">
        <f t="shared" si="37"/>
        <v>1</v>
      </c>
      <c r="AA780" s="38"/>
      <c r="AB780" s="34"/>
      <c r="AC780" s="34">
        <v>10</v>
      </c>
      <c r="AD780" s="38"/>
      <c r="AE780" s="59" t="str">
        <f t="shared" si="38"/>
        <v>NO</v>
      </c>
      <c r="AF780" s="38" t="e" cm="1">
        <f t="array" aca="1" ref="AF780" ca="1">MIN(100, MAX(0, (IF(R780="ESTUDIANTE", 31, 0)) + (IF(I780&lt;=3, 30, IF(I780&lt;=6, 20, 0))) +(IF(OR(E780="413 - Control de Costes y Enlace Construcción", E780="480 - Secretaría General del Consejo", E780="132 - Civil y estructuras", E780="136 - Mecánica", E780="412 - Planificación", E780="142 - Compras"), 25, 0)) +(IF(OR(S780="GRADO ING. MECÁNICA", S780="GRADO ING. ELÉCTRICA", S780="GRADO DERECHO", S780="GRADO ECONOMÍA", S780="GRADO ING. TECNOLOGÍAS INDUSTRIALES"), 24, 0)) + (IF(AND(K780&gt;=451, K780&lt;=700), 23, 0)) + (IF(AND(AB780&gt;=5, AB780&lt;=8), 17, 0)) +(IF(_xludf.OR(_xludf.AND(AC780&gt;=8, AC780&lt;=10), _xludf.AND(AC780&gt;=0, AC780&lt;=5)), 16, 0)) + (IF(F780="Madrid", 11, 0))))</f>
        <v>#NAME?</v>
      </c>
      <c r="AG780" s="68"/>
      <c r="AH780" s="71" t="s">
        <v>164</v>
      </c>
    </row>
    <row r="781" spans="1:34" ht="14.4" x14ac:dyDescent="0.3">
      <c r="A781" s="66" t="s">
        <v>1742</v>
      </c>
      <c r="B781" s="66" t="s">
        <v>3859</v>
      </c>
      <c r="C781" s="33">
        <v>780</v>
      </c>
      <c r="D781" s="33" t="s">
        <v>5397</v>
      </c>
      <c r="E781" s="34" t="s">
        <v>5222</v>
      </c>
      <c r="F781" s="34" t="s">
        <v>18</v>
      </c>
      <c r="G781" s="57">
        <v>42464</v>
      </c>
      <c r="H781" s="57">
        <v>42588</v>
      </c>
      <c r="I781" s="34">
        <f t="shared" si="36"/>
        <v>4</v>
      </c>
      <c r="J781" s="34">
        <v>40</v>
      </c>
      <c r="K781" s="36">
        <v>450</v>
      </c>
      <c r="L781" s="34" t="s">
        <v>17</v>
      </c>
      <c r="M781" s="57">
        <v>33806</v>
      </c>
      <c r="N781" s="37">
        <f>(YEAR(TablaMadre[[#This Row],[ALTA]])-YEAR(M781))</f>
        <v>24</v>
      </c>
      <c r="O781" s="34" t="s">
        <v>118</v>
      </c>
      <c r="P781" s="34" t="s">
        <v>19</v>
      </c>
      <c r="Q781" s="34" t="s">
        <v>364</v>
      </c>
      <c r="R781" s="58" t="s">
        <v>30</v>
      </c>
      <c r="S781" s="34" t="s">
        <v>26</v>
      </c>
      <c r="T781" s="34"/>
      <c r="U781" s="34"/>
      <c r="V781" s="34" t="s">
        <v>27</v>
      </c>
      <c r="W781" s="34" t="s">
        <v>23</v>
      </c>
      <c r="X781" s="38" t="s">
        <v>164</v>
      </c>
      <c r="Y781" s="62"/>
      <c r="Z781" s="62" t="e">
        <f t="shared" si="37"/>
        <v>#NUM!</v>
      </c>
      <c r="AA781" s="62"/>
      <c r="AB781" s="34"/>
      <c r="AC781" s="34"/>
      <c r="AD781" s="38"/>
      <c r="AE781" s="59" t="str">
        <f t="shared" si="38"/>
        <v>SÍ</v>
      </c>
      <c r="AF781" s="38" t="e" cm="1">
        <f t="array" aca="1" ref="AF781" ca="1">MIN(100, MAX(0, (IF(R781="ESTUDIANTE", 31, 0)) + (IF(I781&lt;=3, 30, IF(I781&lt;=6, 20, 0))) +(IF(OR(E781="413 - Control de Costes y Enlace Construcción", E781="480 - Secretaría General del Consejo", E781="132 - Civil y estructuras", E781="136 - Mecánica", E781="412 - Planificación", E781="142 - Compras"), 25, 0)) +(IF(OR(S781="GRADO ING. MECÁNICA", S781="GRADO ING. ELÉCTRICA", S781="GRADO DERECHO", S781="GRADO ECONOMÍA", S781="GRADO ING. TECNOLOGÍAS INDUSTRIALES"), 24, 0)) + (IF(AND(K781&gt;=451, K781&lt;=700), 23, 0)) + (IF(AND(AB781&gt;=5, AB781&lt;=8), 17, 0)) +(IF(_xludf.OR(_xludf.AND(AC781&gt;=8, AC781&lt;=10), _xludf.AND(AC781&gt;=0, AC781&lt;=5)), 16, 0)) + (IF(F781="Madrid", 11, 0))))</f>
        <v>#NAME?</v>
      </c>
      <c r="AG781" s="68"/>
      <c r="AH781" s="71" t="s">
        <v>164</v>
      </c>
    </row>
    <row r="782" spans="1:34" ht="14.4" x14ac:dyDescent="0.3">
      <c r="A782" s="66" t="s">
        <v>1743</v>
      </c>
      <c r="B782" s="66" t="s">
        <v>3860</v>
      </c>
      <c r="C782" s="33">
        <v>781</v>
      </c>
      <c r="D782" s="33" t="s">
        <v>5393</v>
      </c>
      <c r="E782" s="34" t="s">
        <v>5222</v>
      </c>
      <c r="F782" s="34" t="s">
        <v>18</v>
      </c>
      <c r="G782" s="57">
        <v>42464</v>
      </c>
      <c r="H782" s="57">
        <v>42588</v>
      </c>
      <c r="I782" s="34">
        <f t="shared" si="36"/>
        <v>4</v>
      </c>
      <c r="J782" s="34">
        <v>40</v>
      </c>
      <c r="K782" s="36">
        <v>450</v>
      </c>
      <c r="L782" s="34" t="s">
        <v>17</v>
      </c>
      <c r="M782" s="57">
        <v>36205</v>
      </c>
      <c r="N782" s="37">
        <f>(YEAR(TablaMadre[[#This Row],[ALTA]])-YEAR(M782))</f>
        <v>17</v>
      </c>
      <c r="O782" s="34" t="s">
        <v>18</v>
      </c>
      <c r="P782" s="34" t="s">
        <v>19</v>
      </c>
      <c r="Q782" s="34" t="s">
        <v>364</v>
      </c>
      <c r="R782" s="58" t="s">
        <v>30</v>
      </c>
      <c r="S782" s="34" t="s">
        <v>26</v>
      </c>
      <c r="T782" s="34"/>
      <c r="U782" s="34"/>
      <c r="V782" s="34" t="s">
        <v>27</v>
      </c>
      <c r="W782" s="34" t="s">
        <v>23</v>
      </c>
      <c r="X782" s="38" t="s">
        <v>173</v>
      </c>
      <c r="Y782" s="62"/>
      <c r="Z782" s="62" t="e">
        <f t="shared" si="37"/>
        <v>#NUM!</v>
      </c>
      <c r="AA782" s="62"/>
      <c r="AB782" s="34"/>
      <c r="AC782" s="34"/>
      <c r="AD782" s="38"/>
      <c r="AE782" s="59" t="str">
        <f t="shared" si="38"/>
        <v>NO</v>
      </c>
      <c r="AF782" s="38" t="e" cm="1">
        <f t="array" aca="1" ref="AF782" ca="1">MIN(100, MAX(0, (IF(R782="ESTUDIANTE", 31, 0)) + (IF(I782&lt;=3, 30, IF(I782&lt;=6, 20, 0))) +(IF(OR(E782="413 - Control de Costes y Enlace Construcción", E782="480 - Secretaría General del Consejo", E782="132 - Civil y estructuras", E782="136 - Mecánica", E782="412 - Planificación", E782="142 - Compras"), 25, 0)) +(IF(OR(S782="GRADO ING. MECÁNICA", S782="GRADO ING. ELÉCTRICA", S782="GRADO DERECHO", S782="GRADO ECONOMÍA", S782="GRADO ING. TECNOLOGÍAS INDUSTRIALES"), 24, 0)) + (IF(AND(K782&gt;=451, K782&lt;=700), 23, 0)) + (IF(AND(AB782&gt;=5, AB782&lt;=8), 17, 0)) +(IF(_xludf.OR(_xludf.AND(AC782&gt;=8, AC782&lt;=10), _xludf.AND(AC782&gt;=0, AC782&lt;=5)), 16, 0)) + (IF(F782="Madrid", 11, 0))))</f>
        <v>#NAME?</v>
      </c>
      <c r="AG782" s="68"/>
      <c r="AH782" s="71" t="s">
        <v>164</v>
      </c>
    </row>
    <row r="783" spans="1:34" ht="14.4" x14ac:dyDescent="0.3">
      <c r="A783" s="66" t="s">
        <v>1761</v>
      </c>
      <c r="B783" s="66" t="s">
        <v>3878</v>
      </c>
      <c r="C783" s="33">
        <v>783</v>
      </c>
      <c r="D783" s="33" t="s">
        <v>5394</v>
      </c>
      <c r="E783" s="34" t="s">
        <v>5241</v>
      </c>
      <c r="F783" s="34" t="s">
        <v>18</v>
      </c>
      <c r="G783" s="57">
        <v>42467</v>
      </c>
      <c r="H783" s="57">
        <v>42629</v>
      </c>
      <c r="I783" s="34">
        <f t="shared" si="36"/>
        <v>5</v>
      </c>
      <c r="J783" s="34">
        <v>40</v>
      </c>
      <c r="K783" s="36">
        <v>650</v>
      </c>
      <c r="L783" s="34" t="s">
        <v>29</v>
      </c>
      <c r="M783" s="57">
        <v>34502</v>
      </c>
      <c r="N783" s="37">
        <f>(YEAR(TablaMadre[[#This Row],[ALTA]])-YEAR(M783))</f>
        <v>22</v>
      </c>
      <c r="O783" s="34" t="s">
        <v>18</v>
      </c>
      <c r="P783" s="34" t="s">
        <v>19</v>
      </c>
      <c r="Q783" s="34" t="s">
        <v>215</v>
      </c>
      <c r="R783" s="58" t="s">
        <v>30</v>
      </c>
      <c r="S783" s="34" t="s">
        <v>322</v>
      </c>
      <c r="T783" s="34"/>
      <c r="U783" s="34"/>
      <c r="V783" s="34" t="s">
        <v>40</v>
      </c>
      <c r="W783" s="34" t="s">
        <v>23</v>
      </c>
      <c r="X783" s="38" t="s">
        <v>164</v>
      </c>
      <c r="Y783" s="62"/>
      <c r="Z783" s="62" t="e">
        <f t="shared" si="37"/>
        <v>#NUM!</v>
      </c>
      <c r="AA783" s="62"/>
      <c r="AB783" s="34">
        <v>10</v>
      </c>
      <c r="AC783" s="34"/>
      <c r="AD783" s="38"/>
      <c r="AE783" s="59" t="str">
        <f t="shared" si="38"/>
        <v>NO</v>
      </c>
      <c r="AF783" s="38" t="e" cm="1">
        <f t="array" aca="1" ref="AF783" ca="1">MIN(100, MAX(0, (IF(R783="ESTUDIANTE", 31, 0)) + (IF(I783&lt;=3, 30, IF(I783&lt;=6, 20, 0))) +(IF(OR(E783="413 - Control de Costes y Enlace Construcción", E783="480 - Secretaría General del Consejo", E783="132 - Civil y estructuras", E783="136 - Mecánica", E783="412 - Planificación", E783="142 - Compras"), 25, 0)) +(IF(OR(S783="GRADO ING. MECÁNICA", S783="GRADO ING. ELÉCTRICA", S783="GRADO DERECHO", S783="GRADO ECONOMÍA", S783="GRADO ING. TECNOLOGÍAS INDUSTRIALES"), 24, 0)) + (IF(AND(K783&gt;=451, K783&lt;=700), 23, 0)) + (IF(AND(AB783&gt;=5, AB783&lt;=8), 17, 0)) +(IF(_xludf.OR(_xludf.AND(AC783&gt;=8, AC783&lt;=10), _xludf.AND(AC783&gt;=0, AC783&lt;=5)), 16, 0)) + (IF(F783="Madrid", 11, 0))))</f>
        <v>#NAME?</v>
      </c>
      <c r="AG783" s="68"/>
      <c r="AH783" s="71" t="s">
        <v>164</v>
      </c>
    </row>
    <row r="784" spans="1:34" ht="14.4" x14ac:dyDescent="0.3">
      <c r="A784" s="66" t="s">
        <v>1763</v>
      </c>
      <c r="B784" s="66" t="s">
        <v>3880</v>
      </c>
      <c r="C784" s="33">
        <v>782</v>
      </c>
      <c r="D784" s="33" t="s">
        <v>5395</v>
      </c>
      <c r="E784" s="34" t="s">
        <v>5235</v>
      </c>
      <c r="F784" s="34" t="s">
        <v>18</v>
      </c>
      <c r="G784" s="57">
        <v>42467</v>
      </c>
      <c r="H784" s="57">
        <v>42613</v>
      </c>
      <c r="I784" s="34">
        <f t="shared" si="36"/>
        <v>4</v>
      </c>
      <c r="J784" s="34">
        <v>40</v>
      </c>
      <c r="K784" s="36">
        <v>650</v>
      </c>
      <c r="L784" s="34" t="s">
        <v>29</v>
      </c>
      <c r="M784" s="57">
        <v>35116</v>
      </c>
      <c r="N784" s="37">
        <f>(YEAR(TablaMadre[[#This Row],[ALTA]])-YEAR(M784))</f>
        <v>20</v>
      </c>
      <c r="O784" s="34" t="s">
        <v>18</v>
      </c>
      <c r="P784" s="34" t="s">
        <v>19</v>
      </c>
      <c r="Q784" s="34" t="s">
        <v>215</v>
      </c>
      <c r="R784" s="58" t="s">
        <v>30</v>
      </c>
      <c r="S784" s="34" t="s">
        <v>322</v>
      </c>
      <c r="T784" s="34"/>
      <c r="U784" s="34"/>
      <c r="V784" s="34" t="s">
        <v>67</v>
      </c>
      <c r="W784" s="34" t="s">
        <v>23</v>
      </c>
      <c r="X784" s="38" t="s">
        <v>164</v>
      </c>
      <c r="Y784" s="62"/>
      <c r="Z784" s="62" t="e">
        <f t="shared" si="37"/>
        <v>#NUM!</v>
      </c>
      <c r="AA784" s="62"/>
      <c r="AB784" s="34">
        <v>10</v>
      </c>
      <c r="AC784" s="34"/>
      <c r="AD784" s="38"/>
      <c r="AE784" s="59" t="str">
        <f t="shared" si="38"/>
        <v>NO</v>
      </c>
      <c r="AF784" s="38" t="e" cm="1">
        <f t="array" aca="1" ref="AF784" ca="1">MIN(100, MAX(0, (IF(R784="ESTUDIANTE", 31, 0)) + (IF(I784&lt;=3, 30, IF(I784&lt;=6, 20, 0))) +(IF(OR(E784="413 - Control de Costes y Enlace Construcción", E784="480 - Secretaría General del Consejo", E784="132 - Civil y estructuras", E784="136 - Mecánica", E784="412 - Planificación", E784="142 - Compras"), 25, 0)) +(IF(OR(S784="GRADO ING. MECÁNICA", S784="GRADO ING. ELÉCTRICA", S784="GRADO DERECHO", S784="GRADO ECONOMÍA", S784="GRADO ING. TECNOLOGÍAS INDUSTRIALES"), 24, 0)) + (IF(AND(K784&gt;=451, K784&lt;=700), 23, 0)) + (IF(AND(AB784&gt;=5, AB784&lt;=8), 17, 0)) +(IF(_xludf.OR(_xludf.AND(AC784&gt;=8, AC784&lt;=10), _xludf.AND(AC784&gt;=0, AC784&lt;=5)), 16, 0)) + (IF(F784="Madrid", 11, 0))))</f>
        <v>#NAME?</v>
      </c>
      <c r="AG784" s="68"/>
      <c r="AH784" s="71" t="s">
        <v>164</v>
      </c>
    </row>
    <row r="785" spans="1:34" ht="14.4" x14ac:dyDescent="0.3">
      <c r="A785" s="66" t="s">
        <v>1748</v>
      </c>
      <c r="B785" s="66" t="s">
        <v>3865</v>
      </c>
      <c r="C785" s="33">
        <v>784</v>
      </c>
      <c r="D785" s="33" t="s">
        <v>5396</v>
      </c>
      <c r="E785" s="34" t="s">
        <v>5254</v>
      </c>
      <c r="F785" s="34" t="s">
        <v>18</v>
      </c>
      <c r="G785" s="57">
        <v>42478</v>
      </c>
      <c r="H785" s="57">
        <v>42558</v>
      </c>
      <c r="I785" s="34">
        <f t="shared" si="36"/>
        <v>2</v>
      </c>
      <c r="J785" s="34">
        <v>40</v>
      </c>
      <c r="K785" s="36">
        <v>650</v>
      </c>
      <c r="L785" s="34" t="s">
        <v>17</v>
      </c>
      <c r="M785" s="57">
        <v>35423</v>
      </c>
      <c r="N785" s="37">
        <f>(YEAR(TablaMadre[[#This Row],[ALTA]])-YEAR(M785))</f>
        <v>20</v>
      </c>
      <c r="O785" s="34" t="s">
        <v>18</v>
      </c>
      <c r="P785" s="34" t="s">
        <v>19</v>
      </c>
      <c r="Q785" s="34" t="s">
        <v>306</v>
      </c>
      <c r="R785" s="58" t="s">
        <v>30</v>
      </c>
      <c r="S785" s="34" t="s">
        <v>307</v>
      </c>
      <c r="T785" s="34"/>
      <c r="U785" s="34"/>
      <c r="V785" s="34" t="s">
        <v>22</v>
      </c>
      <c r="W785" s="34" t="s">
        <v>23</v>
      </c>
      <c r="X785" s="38" t="s">
        <v>164</v>
      </c>
      <c r="Y785" s="62"/>
      <c r="Z785" s="62" t="e">
        <f t="shared" si="37"/>
        <v>#NUM!</v>
      </c>
      <c r="AA785" s="62"/>
      <c r="AB785" s="34"/>
      <c r="AC785" s="34"/>
      <c r="AD785" s="38"/>
      <c r="AE785" s="59" t="str">
        <f t="shared" si="38"/>
        <v>NO</v>
      </c>
      <c r="AF785" s="38" t="e" cm="1">
        <f t="array" aca="1" ref="AF785" ca="1">MIN(100, MAX(0, (IF(R785="ESTUDIANTE", 31, 0)) + (IF(I785&lt;=3, 30, IF(I785&lt;=6, 20, 0))) +(IF(OR(E785="413 - Control de Costes y Enlace Construcción", E785="480 - Secretaría General del Consejo", E785="132 - Civil y estructuras", E785="136 - Mecánica", E785="412 - Planificación", E785="142 - Compras"), 25, 0)) +(IF(OR(S785="GRADO ING. MECÁNICA", S785="GRADO ING. ELÉCTRICA", S785="GRADO DERECHO", S785="GRADO ECONOMÍA", S785="GRADO ING. TECNOLOGÍAS INDUSTRIALES"), 24, 0)) + (IF(AND(K785&gt;=451, K785&lt;=700), 23, 0)) + (IF(AND(AB785&gt;=5, AB785&lt;=8), 17, 0)) +(IF(_xludf.OR(_xludf.AND(AC785&gt;=8, AC785&lt;=10), _xludf.AND(AC785&gt;=0, AC785&lt;=5)), 16, 0)) + (IF(F785="Madrid", 11, 0))))</f>
        <v>#NAME?</v>
      </c>
      <c r="AG785" s="68"/>
      <c r="AH785" s="71" t="s">
        <v>164</v>
      </c>
    </row>
    <row r="786" spans="1:34" ht="14.4" x14ac:dyDescent="0.3">
      <c r="A786" s="66" t="s">
        <v>1764</v>
      </c>
      <c r="B786" s="66" t="s">
        <v>3881</v>
      </c>
      <c r="C786" s="33">
        <v>785</v>
      </c>
      <c r="D786" s="33" t="s">
        <v>5397</v>
      </c>
      <c r="E786" s="34" t="s">
        <v>5251</v>
      </c>
      <c r="F786" s="34" t="s">
        <v>18</v>
      </c>
      <c r="G786" s="57">
        <v>42479</v>
      </c>
      <c r="H786" s="57">
        <v>42663</v>
      </c>
      <c r="I786" s="34">
        <f t="shared" si="36"/>
        <v>6</v>
      </c>
      <c r="J786" s="34">
        <v>40</v>
      </c>
      <c r="K786" s="36">
        <v>750</v>
      </c>
      <c r="L786" s="34" t="s">
        <v>29</v>
      </c>
      <c r="M786" s="57">
        <v>34484</v>
      </c>
      <c r="N786" s="37">
        <f>(YEAR(TablaMadre[[#This Row],[ALTA]])-YEAR(M786))</f>
        <v>22</v>
      </c>
      <c r="O786" s="34" t="s">
        <v>202</v>
      </c>
      <c r="P786" s="34" t="s">
        <v>19</v>
      </c>
      <c r="Q786" s="34" t="s">
        <v>371</v>
      </c>
      <c r="R786" s="34" t="s">
        <v>21</v>
      </c>
      <c r="S786" s="34" t="s">
        <v>322</v>
      </c>
      <c r="T786" s="34"/>
      <c r="U786" s="34"/>
      <c r="V786" s="34" t="s">
        <v>22</v>
      </c>
      <c r="W786" s="34" t="s">
        <v>28</v>
      </c>
      <c r="X786" s="38" t="s">
        <v>164</v>
      </c>
      <c r="Y786" s="62">
        <v>44125</v>
      </c>
      <c r="Z786" s="38">
        <f t="shared" si="37"/>
        <v>4</v>
      </c>
      <c r="AA786" s="38"/>
      <c r="AB786" s="34"/>
      <c r="AC786" s="34">
        <v>8.8000000000000007</v>
      </c>
      <c r="AD786" s="38"/>
      <c r="AE786" s="59" t="str">
        <f t="shared" si="38"/>
        <v>SÍ</v>
      </c>
      <c r="AF786" s="38" t="e" cm="1">
        <f t="array" aca="1" ref="AF786" ca="1">MIN(100, MAX(0, (IF(R786="ESTUDIANTE", 31, 0)) + (IF(I786&lt;=3, 30, IF(I786&lt;=6, 20, 0))) +(IF(OR(E786="413 - Control de Costes y Enlace Construcción", E786="480 - Secretaría General del Consejo", E786="132 - Civil y estructuras", E786="136 - Mecánica", E786="412 - Planificación", E786="142 - Compras"), 25, 0)) +(IF(OR(S786="GRADO ING. MECÁNICA", S786="GRADO ING. ELÉCTRICA", S786="GRADO DERECHO", S786="GRADO ECONOMÍA", S786="GRADO ING. TECNOLOGÍAS INDUSTRIALES"), 24, 0)) + (IF(AND(K786&gt;=451, K786&lt;=700), 23, 0)) + (IF(AND(AB786&gt;=5, AB786&lt;=8), 17, 0)) +(IF(_xludf.OR(_xludf.AND(AC786&gt;=8, AC786&lt;=10), _xludf.AND(AC786&gt;=0, AC786&lt;=5)), 16, 0)) + (IF(F786="Madrid", 11, 0))))</f>
        <v>#NAME?</v>
      </c>
      <c r="AG786" s="68"/>
      <c r="AH786" s="71" t="s">
        <v>164</v>
      </c>
    </row>
    <row r="787" spans="1:34" ht="14.4" x14ac:dyDescent="0.3">
      <c r="A787" s="66" t="s">
        <v>1756</v>
      </c>
      <c r="B787" s="66" t="s">
        <v>3873</v>
      </c>
      <c r="C787" s="33">
        <v>787</v>
      </c>
      <c r="D787" s="33" t="s">
        <v>5398</v>
      </c>
      <c r="E787" s="34" t="s">
        <v>5216</v>
      </c>
      <c r="F787" s="34" t="s">
        <v>18</v>
      </c>
      <c r="G787" s="57">
        <v>42527</v>
      </c>
      <c r="H787" s="57">
        <v>42573</v>
      </c>
      <c r="I787" s="34">
        <f t="shared" si="36"/>
        <v>1</v>
      </c>
      <c r="J787" s="34">
        <v>40</v>
      </c>
      <c r="K787" s="36">
        <v>0</v>
      </c>
      <c r="L787" s="34" t="s">
        <v>29</v>
      </c>
      <c r="M787" s="57">
        <v>34017</v>
      </c>
      <c r="N787" s="37">
        <f>(YEAR(TablaMadre[[#This Row],[ALTA]])-YEAR(M787))</f>
        <v>23</v>
      </c>
      <c r="O787" s="34" t="s">
        <v>102</v>
      </c>
      <c r="P787" s="34" t="s">
        <v>103</v>
      </c>
      <c r="Q787" s="34" t="s">
        <v>297</v>
      </c>
      <c r="R787" s="34" t="s">
        <v>30</v>
      </c>
      <c r="S787" s="34" t="s">
        <v>297</v>
      </c>
      <c r="T787" s="34"/>
      <c r="U787" s="34"/>
      <c r="V787" s="34" t="s">
        <v>90</v>
      </c>
      <c r="W787" s="34" t="s">
        <v>23</v>
      </c>
      <c r="X787" s="38" t="s">
        <v>164</v>
      </c>
      <c r="Y787" s="62"/>
      <c r="Z787" s="62" t="e">
        <f t="shared" si="37"/>
        <v>#NUM!</v>
      </c>
      <c r="AA787" s="62"/>
      <c r="AB787" s="34"/>
      <c r="AC787" s="34"/>
      <c r="AD787" s="38"/>
      <c r="AE787" s="59" t="str">
        <f t="shared" si="38"/>
        <v>SÍ</v>
      </c>
      <c r="AF787" s="38" t="e" cm="1">
        <f t="array" aca="1" ref="AF787" ca="1">MIN(100, MAX(0, (IF(R787="ESTUDIANTE", 31, 0)) + (IF(I787&lt;=3, 30, IF(I787&lt;=6, 20, 0))) +(IF(OR(E787="413 - Control de Costes y Enlace Construcción", E787="480 - Secretaría General del Consejo", E787="132 - Civil y estructuras", E787="136 - Mecánica", E787="412 - Planificación", E787="142 - Compras"), 25, 0)) +(IF(OR(S787="GRADO ING. MECÁNICA", S787="GRADO ING. ELÉCTRICA", S787="GRADO DERECHO", S787="GRADO ECONOMÍA", S787="GRADO ING. TECNOLOGÍAS INDUSTRIALES"), 24, 0)) + (IF(AND(K787&gt;=451, K787&lt;=700), 23, 0)) + (IF(AND(AB787&gt;=5, AB787&lt;=8), 17, 0)) +(IF(_xludf.OR(_xludf.AND(AC787&gt;=8, AC787&lt;=10), _xludf.AND(AC787&gt;=0, AC787&lt;=5)), 16, 0)) + (IF(F787="Madrid", 11, 0))))</f>
        <v>#NAME?</v>
      </c>
      <c r="AG787" s="68"/>
      <c r="AH787" s="71" t="s">
        <v>164</v>
      </c>
    </row>
    <row r="788" spans="1:34" ht="14.4" x14ac:dyDescent="0.3">
      <c r="A788" s="66" t="s">
        <v>1758</v>
      </c>
      <c r="B788" s="66" t="s">
        <v>3875</v>
      </c>
      <c r="C788" s="33">
        <v>786</v>
      </c>
      <c r="D788" s="33" t="s">
        <v>5399</v>
      </c>
      <c r="E788" s="34" t="s">
        <v>5244</v>
      </c>
      <c r="F788" s="34" t="s">
        <v>18</v>
      </c>
      <c r="G788" s="57">
        <v>42527</v>
      </c>
      <c r="H788" s="57">
        <v>42571</v>
      </c>
      <c r="I788" s="34">
        <f t="shared" si="36"/>
        <v>1</v>
      </c>
      <c r="J788" s="34">
        <v>40</v>
      </c>
      <c r="K788" s="36">
        <v>900</v>
      </c>
      <c r="L788" s="34" t="s">
        <v>17</v>
      </c>
      <c r="M788" s="57">
        <v>34813</v>
      </c>
      <c r="N788" s="37">
        <f>(YEAR(TablaMadre[[#This Row],[ALTA]])-YEAR(M788))</f>
        <v>21</v>
      </c>
      <c r="O788" s="34" t="s">
        <v>75</v>
      </c>
      <c r="P788" s="34" t="s">
        <v>19</v>
      </c>
      <c r="Q788" s="34" t="s">
        <v>20</v>
      </c>
      <c r="R788" s="34" t="s">
        <v>21</v>
      </c>
      <c r="S788" s="34" t="s">
        <v>151</v>
      </c>
      <c r="T788" s="34"/>
      <c r="U788" s="34"/>
      <c r="V788" s="34" t="s">
        <v>142</v>
      </c>
      <c r="W788" s="34" t="s">
        <v>181</v>
      </c>
      <c r="X788" s="38" t="s">
        <v>164</v>
      </c>
      <c r="Y788" s="62"/>
      <c r="Z788" s="62" t="e">
        <f t="shared" si="37"/>
        <v>#NUM!</v>
      </c>
      <c r="AA788" s="62"/>
      <c r="AB788" s="34"/>
      <c r="AC788" s="34"/>
      <c r="AD788" s="38"/>
      <c r="AE788" s="59" t="str">
        <f t="shared" si="38"/>
        <v>SÍ</v>
      </c>
      <c r="AF788" s="38" t="e" cm="1">
        <f t="array" aca="1" ref="AF788" ca="1">MIN(100, MAX(0, (IF(R788="ESTUDIANTE", 31, 0)) + (IF(I788&lt;=3, 30, IF(I788&lt;=6, 20, 0))) +(IF(OR(E788="413 - Control de Costes y Enlace Construcción", E788="480 - Secretaría General del Consejo", E788="132 - Civil y estructuras", E788="136 - Mecánica", E788="412 - Planificación", E788="142 - Compras"), 25, 0)) +(IF(OR(S788="GRADO ING. MECÁNICA", S788="GRADO ING. ELÉCTRICA", S788="GRADO DERECHO", S788="GRADO ECONOMÍA", S788="GRADO ING. TECNOLOGÍAS INDUSTRIALES"), 24, 0)) + (IF(AND(K788&gt;=451, K788&lt;=700), 23, 0)) + (IF(AND(AB788&gt;=5, AB788&lt;=8), 17, 0)) +(IF(_xludf.OR(_xludf.AND(AC788&gt;=8, AC788&lt;=10), _xludf.AND(AC788&gt;=0, AC788&lt;=5)), 16, 0)) + (IF(F788="Madrid", 11, 0))))</f>
        <v>#NAME?</v>
      </c>
      <c r="AG788" s="68"/>
      <c r="AH788" s="71" t="s">
        <v>164</v>
      </c>
    </row>
    <row r="789" spans="1:34" ht="14.4" x14ac:dyDescent="0.3">
      <c r="A789" s="66" t="s">
        <v>1740</v>
      </c>
      <c r="B789" s="66" t="s">
        <v>3857</v>
      </c>
      <c r="C789" s="33">
        <v>788</v>
      </c>
      <c r="D789" s="33" t="s">
        <v>5400</v>
      </c>
      <c r="E789" s="34" t="s">
        <v>5252</v>
      </c>
      <c r="F789" s="34" t="s">
        <v>18</v>
      </c>
      <c r="G789" s="57">
        <v>42528</v>
      </c>
      <c r="H789" s="57">
        <v>42825</v>
      </c>
      <c r="I789" s="34">
        <f t="shared" si="36"/>
        <v>9</v>
      </c>
      <c r="J789" s="34">
        <v>40</v>
      </c>
      <c r="K789" s="36">
        <v>650</v>
      </c>
      <c r="L789" s="34" t="s">
        <v>17</v>
      </c>
      <c r="M789" s="57">
        <v>35535</v>
      </c>
      <c r="N789" s="37">
        <f>(YEAR(TablaMadre[[#This Row],[ALTA]])-YEAR(M789))</f>
        <v>19</v>
      </c>
      <c r="O789" s="34" t="s">
        <v>18</v>
      </c>
      <c r="P789" s="34" t="s">
        <v>19</v>
      </c>
      <c r="Q789" s="34" t="s">
        <v>359</v>
      </c>
      <c r="R789" s="58" t="s">
        <v>30</v>
      </c>
      <c r="S789" s="34" t="s">
        <v>26</v>
      </c>
      <c r="T789" s="34"/>
      <c r="U789" s="34"/>
      <c r="V789" s="34" t="s">
        <v>27</v>
      </c>
      <c r="W789" s="34" t="s">
        <v>47</v>
      </c>
      <c r="X789" s="38" t="s">
        <v>164</v>
      </c>
      <c r="Y789" s="62"/>
      <c r="Z789" s="62" t="e">
        <f t="shared" si="37"/>
        <v>#NUM!</v>
      </c>
      <c r="AA789" s="62"/>
      <c r="AB789" s="34">
        <v>9</v>
      </c>
      <c r="AC789" s="34">
        <v>10</v>
      </c>
      <c r="AD789" s="38"/>
      <c r="AE789" s="59" t="str">
        <f t="shared" si="38"/>
        <v>NO</v>
      </c>
      <c r="AF789" s="38" t="e" cm="1">
        <f t="array" aca="1" ref="AF789" ca="1">MIN(100, MAX(0, (IF(R789="ESTUDIANTE", 31, 0)) + (IF(I789&lt;=3, 30, IF(I789&lt;=6, 20, 0))) +(IF(OR(E789="413 - Control de Costes y Enlace Construcción", E789="480 - Secretaría General del Consejo", E789="132 - Civil y estructuras", E789="136 - Mecánica", E789="412 - Planificación", E789="142 - Compras"), 25, 0)) +(IF(OR(S789="GRADO ING. MECÁNICA", S789="GRADO ING. ELÉCTRICA", S789="GRADO DERECHO", S789="GRADO ECONOMÍA", S789="GRADO ING. TECNOLOGÍAS INDUSTRIALES"), 24, 0)) + (IF(AND(K789&gt;=451, K789&lt;=700), 23, 0)) + (IF(AND(AB789&gt;=5, AB789&lt;=8), 17, 0)) +(IF(_xludf.OR(_xludf.AND(AC789&gt;=8, AC789&lt;=10), _xludf.AND(AC789&gt;=0, AC789&lt;=5)), 16, 0)) + (IF(F789="Madrid", 11, 0))))</f>
        <v>#NAME?</v>
      </c>
      <c r="AG789" s="68"/>
      <c r="AH789" s="71" t="s">
        <v>164</v>
      </c>
    </row>
    <row r="790" spans="1:34" ht="14.4" x14ac:dyDescent="0.3">
      <c r="A790" s="66" t="s">
        <v>1768</v>
      </c>
      <c r="B790" s="66" t="s">
        <v>3885</v>
      </c>
      <c r="C790" s="33">
        <v>789</v>
      </c>
      <c r="D790" s="33" t="s">
        <v>5401</v>
      </c>
      <c r="E790" s="34" t="s">
        <v>5252</v>
      </c>
      <c r="F790" s="34" t="s">
        <v>18</v>
      </c>
      <c r="G790" s="57">
        <v>42528</v>
      </c>
      <c r="H790" s="57">
        <v>43100</v>
      </c>
      <c r="I790" s="34">
        <f t="shared" si="36"/>
        <v>18</v>
      </c>
      <c r="J790" s="34">
        <v>35</v>
      </c>
      <c r="K790" s="36">
        <v>650</v>
      </c>
      <c r="L790" s="34" t="s">
        <v>29</v>
      </c>
      <c r="M790" s="57">
        <v>34439</v>
      </c>
      <c r="N790" s="37">
        <f>(YEAR(TablaMadre[[#This Row],[ALTA]])-YEAR(M790))</f>
        <v>22</v>
      </c>
      <c r="O790" s="34" t="s">
        <v>185</v>
      </c>
      <c r="P790" s="34" t="s">
        <v>19</v>
      </c>
      <c r="Q790" s="34" t="s">
        <v>359</v>
      </c>
      <c r="R790" s="58" t="s">
        <v>30</v>
      </c>
      <c r="S790" s="34" t="s">
        <v>26</v>
      </c>
      <c r="T790" s="34"/>
      <c r="U790" s="34"/>
      <c r="V790" s="34" t="s">
        <v>27</v>
      </c>
      <c r="W790" s="34" t="s">
        <v>28</v>
      </c>
      <c r="X790" s="38" t="s">
        <v>164</v>
      </c>
      <c r="Y790" s="62">
        <v>44198</v>
      </c>
      <c r="Z790" s="38">
        <f t="shared" si="37"/>
        <v>3</v>
      </c>
      <c r="AA790" s="38"/>
      <c r="AB790" s="34">
        <v>8</v>
      </c>
      <c r="AC790" s="34">
        <v>10</v>
      </c>
      <c r="AD790" s="38"/>
      <c r="AE790" s="59" t="str">
        <f t="shared" si="38"/>
        <v>SÍ</v>
      </c>
      <c r="AF790" s="38" t="e" cm="1">
        <f t="array" aca="1" ref="AF790" ca="1">MIN(100, MAX(0, (IF(R790="ESTUDIANTE", 31, 0)) + (IF(I790&lt;=3, 30, IF(I790&lt;=6, 20, 0))) +(IF(OR(E790="413 - Control de Costes y Enlace Construcción", E790="480 - Secretaría General del Consejo", E790="132 - Civil y estructuras", E790="136 - Mecánica", E790="412 - Planificación", E790="142 - Compras"), 25, 0)) +(IF(OR(S790="GRADO ING. MECÁNICA", S790="GRADO ING. ELÉCTRICA", S790="GRADO DERECHO", S790="GRADO ECONOMÍA", S790="GRADO ING. TECNOLOGÍAS INDUSTRIALES"), 24, 0)) + (IF(AND(K790&gt;=451, K790&lt;=700), 23, 0)) + (IF(AND(AB790&gt;=5, AB790&lt;=8), 17, 0)) +(IF(_xludf.OR(_xludf.AND(AC790&gt;=8, AC790&lt;=10), _xludf.AND(AC790&gt;=0, AC790&lt;=5)), 16, 0)) + (IF(F790="Madrid", 11, 0))))</f>
        <v>#NAME?</v>
      </c>
      <c r="AG790" s="68"/>
      <c r="AH790" s="71" t="s">
        <v>164</v>
      </c>
    </row>
    <row r="791" spans="1:34" ht="14.4" x14ac:dyDescent="0.3">
      <c r="A791" s="66" t="s">
        <v>1769</v>
      </c>
      <c r="B791" s="66" t="s">
        <v>3886</v>
      </c>
      <c r="C791" s="33">
        <v>790</v>
      </c>
      <c r="D791" s="33" t="s">
        <v>5402</v>
      </c>
      <c r="E791" s="34" t="s">
        <v>5222</v>
      </c>
      <c r="F791" s="34" t="s">
        <v>18</v>
      </c>
      <c r="G791" s="57">
        <v>42528</v>
      </c>
      <c r="H791" s="57">
        <v>43100</v>
      </c>
      <c r="I791" s="34">
        <f t="shared" si="36"/>
        <v>18</v>
      </c>
      <c r="J791" s="34">
        <v>35</v>
      </c>
      <c r="K791" s="36">
        <v>650</v>
      </c>
      <c r="L791" s="34" t="s">
        <v>17</v>
      </c>
      <c r="M791" s="57">
        <v>34574</v>
      </c>
      <c r="N791" s="37">
        <f>(YEAR(TablaMadre[[#This Row],[ALTA]])-YEAR(M791))</f>
        <v>22</v>
      </c>
      <c r="O791" s="34" t="s">
        <v>118</v>
      </c>
      <c r="P791" s="34" t="s">
        <v>19</v>
      </c>
      <c r="Q791" s="34" t="s">
        <v>364</v>
      </c>
      <c r="R791" s="58" t="s">
        <v>30</v>
      </c>
      <c r="S791" s="34" t="s">
        <v>26</v>
      </c>
      <c r="T791" s="34"/>
      <c r="U791" s="34"/>
      <c r="V791" s="34" t="s">
        <v>27</v>
      </c>
      <c r="W791" s="34" t="s">
        <v>28</v>
      </c>
      <c r="X791" s="38" t="s">
        <v>164</v>
      </c>
      <c r="Y791" s="62">
        <v>44198</v>
      </c>
      <c r="Z791" s="38">
        <f t="shared" si="37"/>
        <v>3</v>
      </c>
      <c r="AA791" s="38"/>
      <c r="AB791" s="34">
        <v>8</v>
      </c>
      <c r="AC791" s="34"/>
      <c r="AD791" s="38"/>
      <c r="AE791" s="59" t="str">
        <f t="shared" si="38"/>
        <v>SÍ</v>
      </c>
      <c r="AF791" s="38" t="e" cm="1">
        <f t="array" aca="1" ref="AF791" ca="1">MIN(100, MAX(0, (IF(R791="ESTUDIANTE", 31, 0)) + (IF(I791&lt;=3, 30, IF(I791&lt;=6, 20, 0))) +(IF(OR(E791="413 - Control de Costes y Enlace Construcción", E791="480 - Secretaría General del Consejo", E791="132 - Civil y estructuras", E791="136 - Mecánica", E791="412 - Planificación", E791="142 - Compras"), 25, 0)) +(IF(OR(S791="GRADO ING. MECÁNICA", S791="GRADO ING. ELÉCTRICA", S791="GRADO DERECHO", S791="GRADO ECONOMÍA", S791="GRADO ING. TECNOLOGÍAS INDUSTRIALES"), 24, 0)) + (IF(AND(K791&gt;=451, K791&lt;=700), 23, 0)) + (IF(AND(AB791&gt;=5, AB791&lt;=8), 17, 0)) +(IF(_xludf.OR(_xludf.AND(AC791&gt;=8, AC791&lt;=10), _xludf.AND(AC791&gt;=0, AC791&lt;=5)), 16, 0)) + (IF(F791="Madrid", 11, 0))))</f>
        <v>#NAME?</v>
      </c>
      <c r="AG791" s="68"/>
      <c r="AH791" s="71" t="s">
        <v>164</v>
      </c>
    </row>
    <row r="792" spans="1:34" ht="14.4" x14ac:dyDescent="0.3">
      <c r="A792" s="66" t="s">
        <v>1770</v>
      </c>
      <c r="B792" s="66" t="s">
        <v>3887</v>
      </c>
      <c r="C792" s="33">
        <v>791</v>
      </c>
      <c r="D792" s="33" t="s">
        <v>5393</v>
      </c>
      <c r="E792" s="34" t="s">
        <v>5222</v>
      </c>
      <c r="F792" s="34" t="s">
        <v>18</v>
      </c>
      <c r="G792" s="57">
        <v>42528</v>
      </c>
      <c r="H792" s="57">
        <v>43100</v>
      </c>
      <c r="I792" s="34">
        <f t="shared" si="36"/>
        <v>18</v>
      </c>
      <c r="J792" s="34">
        <v>35</v>
      </c>
      <c r="K792" s="36">
        <v>650</v>
      </c>
      <c r="L792" s="34" t="s">
        <v>17</v>
      </c>
      <c r="M792" s="57">
        <v>35570</v>
      </c>
      <c r="N792" s="37">
        <f>(YEAR(TablaMadre[[#This Row],[ALTA]])-YEAR(M792))</f>
        <v>19</v>
      </c>
      <c r="O792" s="34" t="s">
        <v>18</v>
      </c>
      <c r="P792" s="34" t="s">
        <v>19</v>
      </c>
      <c r="Q792" s="34" t="s">
        <v>364</v>
      </c>
      <c r="R792" s="58" t="s">
        <v>30</v>
      </c>
      <c r="S792" s="34" t="s">
        <v>26</v>
      </c>
      <c r="T792" s="34"/>
      <c r="U792" s="34"/>
      <c r="V792" s="34" t="s">
        <v>27</v>
      </c>
      <c r="W792" s="34" t="s">
        <v>28</v>
      </c>
      <c r="X792" s="38" t="s">
        <v>173</v>
      </c>
      <c r="Y792" s="62"/>
      <c r="Z792" s="38" t="e">
        <f t="shared" si="37"/>
        <v>#NUM!</v>
      </c>
      <c r="AA792" s="38"/>
      <c r="AB792" s="34" t="s">
        <v>404</v>
      </c>
      <c r="AC792" s="34"/>
      <c r="AD792" s="38"/>
      <c r="AE792" s="59" t="str">
        <f t="shared" si="38"/>
        <v>NO</v>
      </c>
      <c r="AF792" s="38" t="e" cm="1">
        <f t="array" aca="1" ref="AF792" ca="1">MIN(100, MAX(0, (IF(R792="ESTUDIANTE", 31, 0)) + (IF(I792&lt;=3, 30, IF(I792&lt;=6, 20, 0))) +(IF(OR(E792="413 - Control de Costes y Enlace Construcción", E792="480 - Secretaría General del Consejo", E792="132 - Civil y estructuras", E792="136 - Mecánica", E792="412 - Planificación", E792="142 - Compras"), 25, 0)) +(IF(OR(S792="GRADO ING. MECÁNICA", S792="GRADO ING. ELÉCTRICA", S792="GRADO DERECHO", S792="GRADO ECONOMÍA", S792="GRADO ING. TECNOLOGÍAS INDUSTRIALES"), 24, 0)) + (IF(AND(K792&gt;=451, K792&lt;=700), 23, 0)) + (IF(AND(AB792&gt;=5, AB792&lt;=8), 17, 0)) +(IF(_xludf.OR(_xludf.AND(AC792&gt;=8, AC792&lt;=10), _xludf.AND(AC792&gt;=0, AC792&lt;=5)), 16, 0)) + (IF(F792="Madrid", 11, 0))))</f>
        <v>#NAME?</v>
      </c>
      <c r="AG792" s="68"/>
      <c r="AH792" s="71" t="s">
        <v>164</v>
      </c>
    </row>
    <row r="793" spans="1:34" ht="14.4" x14ac:dyDescent="0.3">
      <c r="A793" s="66" t="s">
        <v>1771</v>
      </c>
      <c r="B793" s="66" t="s">
        <v>3888</v>
      </c>
      <c r="C793" s="33">
        <v>792</v>
      </c>
      <c r="D793" s="33" t="s">
        <v>5394</v>
      </c>
      <c r="E793" s="34" t="s">
        <v>5254</v>
      </c>
      <c r="F793" s="34" t="s">
        <v>18</v>
      </c>
      <c r="G793" s="57">
        <v>42534</v>
      </c>
      <c r="H793" s="57">
        <v>42990</v>
      </c>
      <c r="I793" s="34">
        <f t="shared" si="36"/>
        <v>14</v>
      </c>
      <c r="J793" s="34">
        <v>35</v>
      </c>
      <c r="K793" s="36">
        <v>650</v>
      </c>
      <c r="L793" s="34" t="s">
        <v>17</v>
      </c>
      <c r="M793" s="57">
        <v>34509</v>
      </c>
      <c r="N793" s="37">
        <f>(YEAR(TablaMadre[[#This Row],[ALTA]])-YEAR(M793))</f>
        <v>22</v>
      </c>
      <c r="O793" s="34" t="s">
        <v>18</v>
      </c>
      <c r="P793" s="34" t="s">
        <v>19</v>
      </c>
      <c r="Q793" s="34" t="s">
        <v>397</v>
      </c>
      <c r="R793" s="58" t="s">
        <v>30</v>
      </c>
      <c r="S793" s="34" t="s">
        <v>397</v>
      </c>
      <c r="T793" s="34"/>
      <c r="U793" s="34"/>
      <c r="V793" s="34" t="s">
        <v>40</v>
      </c>
      <c r="W793" s="34" t="s">
        <v>127</v>
      </c>
      <c r="X793" s="38" t="s">
        <v>164</v>
      </c>
      <c r="Y793" s="62">
        <v>42991</v>
      </c>
      <c r="Z793" s="38">
        <f t="shared" si="37"/>
        <v>0</v>
      </c>
      <c r="AA793" s="38"/>
      <c r="AB793" s="34">
        <v>7.5</v>
      </c>
      <c r="AC793" s="34">
        <v>8</v>
      </c>
      <c r="AD793" s="38"/>
      <c r="AE793" s="59" t="str">
        <f t="shared" si="38"/>
        <v>NO</v>
      </c>
      <c r="AF793" s="38" t="e" cm="1">
        <f t="array" aca="1" ref="AF793" ca="1">MIN(100, MAX(0, (IF(R793="ESTUDIANTE", 31, 0)) + (IF(I793&lt;=3, 30, IF(I793&lt;=6, 20, 0))) +(IF(OR(E793="413 - Control de Costes y Enlace Construcción", E793="480 - Secretaría General del Consejo", E793="132 - Civil y estructuras", E793="136 - Mecánica", E793="412 - Planificación", E793="142 - Compras"), 25, 0)) +(IF(OR(S793="GRADO ING. MECÁNICA", S793="GRADO ING. ELÉCTRICA", S793="GRADO DERECHO", S793="GRADO ECONOMÍA", S793="GRADO ING. TECNOLOGÍAS INDUSTRIALES"), 24, 0)) + (IF(AND(K793&gt;=451, K793&lt;=700), 23, 0)) + (IF(AND(AB793&gt;=5, AB793&lt;=8), 17, 0)) +(IF(_xludf.OR(_xludf.AND(AC793&gt;=8, AC793&lt;=10), _xludf.AND(AC793&gt;=0, AC793&lt;=5)), 16, 0)) + (IF(F793="Madrid", 11, 0))))</f>
        <v>#NAME?</v>
      </c>
      <c r="AG793" s="68"/>
      <c r="AH793" s="71" t="s">
        <v>164</v>
      </c>
    </row>
    <row r="794" spans="1:34" ht="14.4" x14ac:dyDescent="0.3">
      <c r="A794" s="66" t="s">
        <v>1772</v>
      </c>
      <c r="B794" s="66" t="s">
        <v>3889</v>
      </c>
      <c r="C794" s="33">
        <v>793</v>
      </c>
      <c r="D794" s="33" t="s">
        <v>5395</v>
      </c>
      <c r="E794" s="34" t="s">
        <v>5258</v>
      </c>
      <c r="F794" s="34" t="s">
        <v>18</v>
      </c>
      <c r="G794" s="57">
        <v>42557</v>
      </c>
      <c r="H794" s="57">
        <v>42794</v>
      </c>
      <c r="I794" s="34">
        <f t="shared" si="36"/>
        <v>7</v>
      </c>
      <c r="J794" s="34">
        <v>40</v>
      </c>
      <c r="K794" s="36">
        <v>800</v>
      </c>
      <c r="L794" s="34" t="s">
        <v>17</v>
      </c>
      <c r="M794" s="57">
        <v>35244</v>
      </c>
      <c r="N794" s="37">
        <f>(YEAR(TablaMadre[[#This Row],[ALTA]])-YEAR(M794))</f>
        <v>20</v>
      </c>
      <c r="O794" s="34" t="s">
        <v>118</v>
      </c>
      <c r="P794" s="34" t="s">
        <v>19</v>
      </c>
      <c r="Q794" s="34" t="s">
        <v>229</v>
      </c>
      <c r="R794" s="34" t="s">
        <v>21</v>
      </c>
      <c r="S794" s="34" t="s">
        <v>229</v>
      </c>
      <c r="T794" s="34"/>
      <c r="U794" s="34"/>
      <c r="V794" s="34" t="s">
        <v>163</v>
      </c>
      <c r="W794" s="34" t="s">
        <v>28</v>
      </c>
      <c r="X794" s="38" t="s">
        <v>164</v>
      </c>
      <c r="Y794" s="62">
        <v>44163</v>
      </c>
      <c r="Z794" s="38">
        <f t="shared" si="37"/>
        <v>3</v>
      </c>
      <c r="AA794" s="38"/>
      <c r="AB794" s="34">
        <v>10</v>
      </c>
      <c r="AC794" s="34"/>
      <c r="AD794" s="38"/>
      <c r="AE794" s="59" t="str">
        <f t="shared" si="38"/>
        <v>SÍ</v>
      </c>
      <c r="AF794" s="38" t="e" cm="1">
        <f t="array" aca="1" ref="AF794" ca="1">MIN(100, MAX(0, (IF(R794="ESTUDIANTE", 31, 0)) + (IF(I794&lt;=3, 30, IF(I794&lt;=6, 20, 0))) +(IF(OR(E794="413 - Control de Costes y Enlace Construcción", E794="480 - Secretaría General del Consejo", E794="132 - Civil y estructuras", E794="136 - Mecánica", E794="412 - Planificación", E794="142 - Compras"), 25, 0)) +(IF(OR(S794="GRADO ING. MECÁNICA", S794="GRADO ING. ELÉCTRICA", S794="GRADO DERECHO", S794="GRADO ECONOMÍA", S794="GRADO ING. TECNOLOGÍAS INDUSTRIALES"), 24, 0)) + (IF(AND(K794&gt;=451, K794&lt;=700), 23, 0)) + (IF(AND(AB794&gt;=5, AB794&lt;=8), 17, 0)) +(IF(_xludf.OR(_xludf.AND(AC794&gt;=8, AC794&lt;=10), _xludf.AND(AC794&gt;=0, AC794&lt;=5)), 16, 0)) + (IF(F794="Madrid", 11, 0))))</f>
        <v>#NAME?</v>
      </c>
      <c r="AG794" s="68"/>
      <c r="AH794" s="71" t="s">
        <v>164</v>
      </c>
    </row>
    <row r="795" spans="1:34" ht="14.4" x14ac:dyDescent="0.3">
      <c r="A795" s="66" t="s">
        <v>1773</v>
      </c>
      <c r="B795" s="66" t="s">
        <v>3890</v>
      </c>
      <c r="C795" s="33">
        <v>794</v>
      </c>
      <c r="D795" s="33" t="s">
        <v>5396</v>
      </c>
      <c r="E795" s="34" t="s">
        <v>5216</v>
      </c>
      <c r="F795" s="34" t="s">
        <v>931</v>
      </c>
      <c r="G795" s="57">
        <v>42615</v>
      </c>
      <c r="H795" s="57">
        <v>42825</v>
      </c>
      <c r="I795" s="34">
        <f t="shared" si="36"/>
        <v>6</v>
      </c>
      <c r="J795" s="34">
        <v>40</v>
      </c>
      <c r="K795" s="36">
        <v>1000</v>
      </c>
      <c r="L795" s="34" t="s">
        <v>17</v>
      </c>
      <c r="M795" s="57">
        <v>35394</v>
      </c>
      <c r="N795" s="37">
        <f>(YEAR(TablaMadre[[#This Row],[ALTA]])-YEAR(M795))</f>
        <v>20</v>
      </c>
      <c r="O795" s="34" t="s">
        <v>95</v>
      </c>
      <c r="P795" s="34" t="s">
        <v>95</v>
      </c>
      <c r="Q795" s="34" t="s">
        <v>297</v>
      </c>
      <c r="R795" s="34" t="s">
        <v>21</v>
      </c>
      <c r="S795" s="34" t="s">
        <v>297</v>
      </c>
      <c r="T795" s="34"/>
      <c r="U795" s="34"/>
      <c r="V795" s="34" t="s">
        <v>90</v>
      </c>
      <c r="W795" s="34" t="s">
        <v>97</v>
      </c>
      <c r="X795" s="38" t="s">
        <v>164</v>
      </c>
      <c r="Y795" s="62">
        <v>42826</v>
      </c>
      <c r="Z795" s="38">
        <f t="shared" si="37"/>
        <v>0</v>
      </c>
      <c r="AA795" s="38"/>
      <c r="AB795" s="34">
        <v>9</v>
      </c>
      <c r="AC795" s="34">
        <v>6.5</v>
      </c>
      <c r="AD795" s="38"/>
      <c r="AE795" s="59" t="str">
        <f t="shared" si="38"/>
        <v>SÍ</v>
      </c>
      <c r="AF795" s="38" t="e" cm="1">
        <f t="array" aca="1" ref="AF795" ca="1">MIN(100, MAX(0, (IF(R795="ESTUDIANTE", 31, 0)) + (IF(I795&lt;=3, 30, IF(I795&lt;=6, 20, 0))) +(IF(OR(E795="413 - Control de Costes y Enlace Construcción", E795="480 - Secretaría General del Consejo", E795="132 - Civil y estructuras", E795="136 - Mecánica", E795="412 - Planificación", E795="142 - Compras"), 25, 0)) +(IF(OR(S795="GRADO ING. MECÁNICA", S795="GRADO ING. ELÉCTRICA", S795="GRADO DERECHO", S795="GRADO ECONOMÍA", S795="GRADO ING. TECNOLOGÍAS INDUSTRIALES"), 24, 0)) + (IF(AND(K795&gt;=451, K795&lt;=700), 23, 0)) + (IF(AND(AB795&gt;=5, AB795&lt;=8), 17, 0)) +(IF(_xludf.OR(_xludf.AND(AC795&gt;=8, AC795&lt;=10), _xludf.AND(AC795&gt;=0, AC795&lt;=5)), 16, 0)) + (IF(F795="Madrid", 11, 0))))</f>
        <v>#NAME?</v>
      </c>
      <c r="AG795" s="68"/>
      <c r="AH795" s="71" t="s">
        <v>164</v>
      </c>
    </row>
    <row r="796" spans="1:34" ht="14.4" x14ac:dyDescent="0.3">
      <c r="A796" s="66" t="s">
        <v>1774</v>
      </c>
      <c r="B796" s="66" t="s">
        <v>3891</v>
      </c>
      <c r="C796" s="33">
        <v>795</v>
      </c>
      <c r="D796" s="33" t="s">
        <v>5397</v>
      </c>
      <c r="E796" s="34" t="s">
        <v>5235</v>
      </c>
      <c r="F796" s="34" t="s">
        <v>931</v>
      </c>
      <c r="G796" s="57">
        <v>42615</v>
      </c>
      <c r="H796" s="57">
        <v>42886</v>
      </c>
      <c r="I796" s="34">
        <f t="shared" si="36"/>
        <v>8</v>
      </c>
      <c r="J796" s="34">
        <v>40</v>
      </c>
      <c r="K796" s="36">
        <v>900</v>
      </c>
      <c r="L796" s="34" t="s">
        <v>17</v>
      </c>
      <c r="M796" s="57">
        <v>34601</v>
      </c>
      <c r="N796" s="37">
        <f>(YEAR(TablaMadre[[#This Row],[ALTA]])-YEAR(M796))</f>
        <v>22</v>
      </c>
      <c r="O796" s="34" t="s">
        <v>95</v>
      </c>
      <c r="P796" s="34" t="s">
        <v>95</v>
      </c>
      <c r="Q796" s="34" t="s">
        <v>215</v>
      </c>
      <c r="R796" s="34" t="s">
        <v>21</v>
      </c>
      <c r="S796" s="34" t="s">
        <v>322</v>
      </c>
      <c r="T796" s="34"/>
      <c r="U796" s="34"/>
      <c r="V796" s="34" t="s">
        <v>90</v>
      </c>
      <c r="W796" s="34" t="s">
        <v>97</v>
      </c>
      <c r="X796" s="38" t="s">
        <v>164</v>
      </c>
      <c r="Y796" s="62"/>
      <c r="Z796" s="38" t="e">
        <f t="shared" si="37"/>
        <v>#NUM!</v>
      </c>
      <c r="AA796" s="38"/>
      <c r="AB796" s="34" t="s">
        <v>387</v>
      </c>
      <c r="AC796" s="34" t="s">
        <v>373</v>
      </c>
      <c r="AD796" s="38"/>
      <c r="AE796" s="59" t="str">
        <f t="shared" si="38"/>
        <v>SÍ</v>
      </c>
      <c r="AF796" s="38" t="e" cm="1">
        <f t="array" aca="1" ref="AF796" ca="1">MIN(100, MAX(0, (IF(R796="ESTUDIANTE", 31, 0)) + (IF(I796&lt;=3, 30, IF(I796&lt;=6, 20, 0))) +(IF(OR(E796="413 - Control de Costes y Enlace Construcción", E796="480 - Secretaría General del Consejo", E796="132 - Civil y estructuras", E796="136 - Mecánica", E796="412 - Planificación", E796="142 - Compras"), 25, 0)) +(IF(OR(S796="GRADO ING. MECÁNICA", S796="GRADO ING. ELÉCTRICA", S796="GRADO DERECHO", S796="GRADO ECONOMÍA", S796="GRADO ING. TECNOLOGÍAS INDUSTRIALES"), 24, 0)) + (IF(AND(K796&gt;=451, K796&lt;=700), 23, 0)) + (IF(AND(AB796&gt;=5, AB796&lt;=8), 17, 0)) +(IF(_xludf.OR(_xludf.AND(AC796&gt;=8, AC796&lt;=10), _xludf.AND(AC796&gt;=0, AC796&lt;=5)), 16, 0)) + (IF(F796="Madrid", 11, 0))))</f>
        <v>#NAME?</v>
      </c>
      <c r="AG796" s="68"/>
      <c r="AH796" s="71" t="s">
        <v>164</v>
      </c>
    </row>
    <row r="797" spans="1:34" ht="14.4" x14ac:dyDescent="0.3">
      <c r="A797" s="66" t="s">
        <v>1775</v>
      </c>
      <c r="B797" s="66" t="s">
        <v>3892</v>
      </c>
      <c r="C797" s="33">
        <v>796</v>
      </c>
      <c r="D797" s="33" t="s">
        <v>5398</v>
      </c>
      <c r="E797" s="34" t="s">
        <v>5251</v>
      </c>
      <c r="F797" s="34" t="s">
        <v>931</v>
      </c>
      <c r="G797" s="57">
        <v>42615</v>
      </c>
      <c r="H797" s="57">
        <v>42916</v>
      </c>
      <c r="I797" s="34">
        <f t="shared" si="36"/>
        <v>9</v>
      </c>
      <c r="J797" s="34">
        <v>40</v>
      </c>
      <c r="K797" s="36">
        <v>900</v>
      </c>
      <c r="L797" s="34" t="s">
        <v>17</v>
      </c>
      <c r="M797" s="57">
        <v>33650</v>
      </c>
      <c r="N797" s="37">
        <f>(YEAR(TablaMadre[[#This Row],[ALTA]])-YEAR(M797))</f>
        <v>24</v>
      </c>
      <c r="O797" s="34" t="s">
        <v>95</v>
      </c>
      <c r="P797" s="34" t="s">
        <v>95</v>
      </c>
      <c r="Q797" s="34" t="s">
        <v>136</v>
      </c>
      <c r="R797" s="34" t="s">
        <v>21</v>
      </c>
      <c r="S797" s="34" t="s">
        <v>136</v>
      </c>
      <c r="T797" s="34"/>
      <c r="U797" s="34"/>
      <c r="V797" s="34" t="s">
        <v>90</v>
      </c>
      <c r="W797" s="34" t="s">
        <v>97</v>
      </c>
      <c r="X797" s="38" t="s">
        <v>164</v>
      </c>
      <c r="Y797" s="62"/>
      <c r="Z797" s="38" t="e">
        <f t="shared" si="37"/>
        <v>#NUM!</v>
      </c>
      <c r="AA797" s="38"/>
      <c r="AB797" s="34">
        <v>8</v>
      </c>
      <c r="AC797" s="34">
        <v>8</v>
      </c>
      <c r="AD797" s="38"/>
      <c r="AE797" s="59" t="str">
        <f t="shared" si="38"/>
        <v>SÍ</v>
      </c>
      <c r="AF797" s="38" t="e" cm="1">
        <f t="array" aca="1" ref="AF797" ca="1">MIN(100, MAX(0, (IF(R797="ESTUDIANTE", 31, 0)) + (IF(I797&lt;=3, 30, IF(I797&lt;=6, 20, 0))) +(IF(OR(E797="413 - Control de Costes y Enlace Construcción", E797="480 - Secretaría General del Consejo", E797="132 - Civil y estructuras", E797="136 - Mecánica", E797="412 - Planificación", E797="142 - Compras"), 25, 0)) +(IF(OR(S797="GRADO ING. MECÁNICA", S797="GRADO ING. ELÉCTRICA", S797="GRADO DERECHO", S797="GRADO ECONOMÍA", S797="GRADO ING. TECNOLOGÍAS INDUSTRIALES"), 24, 0)) + (IF(AND(K797&gt;=451, K797&lt;=700), 23, 0)) + (IF(AND(AB797&gt;=5, AB797&lt;=8), 17, 0)) +(IF(_xludf.OR(_xludf.AND(AC797&gt;=8, AC797&lt;=10), _xludf.AND(AC797&gt;=0, AC797&lt;=5)), 16, 0)) + (IF(F797="Madrid", 11, 0))))</f>
        <v>#NAME?</v>
      </c>
      <c r="AG797" s="68"/>
      <c r="AH797" s="71" t="s">
        <v>164</v>
      </c>
    </row>
    <row r="798" spans="1:34" s="4" customFormat="1" ht="14.4" x14ac:dyDescent="0.3">
      <c r="A798" s="66" t="s">
        <v>1776</v>
      </c>
      <c r="B798" s="66" t="s">
        <v>3893</v>
      </c>
      <c r="C798" s="33">
        <v>797</v>
      </c>
      <c r="D798" s="33" t="s">
        <v>5399</v>
      </c>
      <c r="E798" s="34" t="s">
        <v>5246</v>
      </c>
      <c r="F798" s="34" t="s">
        <v>931</v>
      </c>
      <c r="G798" s="57">
        <v>42615</v>
      </c>
      <c r="H798" s="57">
        <v>43044</v>
      </c>
      <c r="I798" s="34">
        <f t="shared" si="36"/>
        <v>14</v>
      </c>
      <c r="J798" s="34">
        <v>40</v>
      </c>
      <c r="K798" s="36">
        <v>1000</v>
      </c>
      <c r="L798" s="34" t="s">
        <v>17</v>
      </c>
      <c r="M798" s="57">
        <v>34784</v>
      </c>
      <c r="N798" s="37">
        <f>(YEAR(TablaMadre[[#This Row],[ALTA]])-YEAR(M798))</f>
        <v>21</v>
      </c>
      <c r="O798" s="34" t="s">
        <v>95</v>
      </c>
      <c r="P798" s="34" t="s">
        <v>95</v>
      </c>
      <c r="Q798" s="34" t="s">
        <v>277</v>
      </c>
      <c r="R798" s="34" t="s">
        <v>21</v>
      </c>
      <c r="S798" s="34" t="s">
        <v>277</v>
      </c>
      <c r="T798" s="34"/>
      <c r="U798" s="34"/>
      <c r="V798" s="34" t="s">
        <v>90</v>
      </c>
      <c r="W798" s="34" t="s">
        <v>97</v>
      </c>
      <c r="X798" s="34" t="s">
        <v>164</v>
      </c>
      <c r="Y798" s="57"/>
      <c r="Z798" s="34" t="e">
        <f t="shared" si="37"/>
        <v>#NUM!</v>
      </c>
      <c r="AA798" s="34"/>
      <c r="AB798" s="34">
        <v>8</v>
      </c>
      <c r="AC798" s="34" t="s">
        <v>373</v>
      </c>
      <c r="AD798" s="34"/>
      <c r="AE798" s="59" t="str">
        <f t="shared" si="38"/>
        <v>SÍ</v>
      </c>
      <c r="AF798" s="34" t="e" cm="1">
        <f t="array" aca="1" ref="AF798" ca="1">MIN(100, MAX(0, (IF(R798="ESTUDIANTE", 31, 0)) + (IF(I798&lt;=3, 30, IF(I798&lt;=6, 20, 0))) +(IF(OR(E798="413 - Control de Costes y Enlace Construcción", E798="480 - Secretaría General del Consejo", E798="132 - Civil y estructuras", E798="136 - Mecánica", E798="412 - Planificación", E798="142 - Compras"), 25, 0)) +(IF(OR(S798="GRADO ING. MECÁNICA", S798="GRADO ING. ELÉCTRICA", S798="GRADO DERECHO", S798="GRADO ECONOMÍA", S798="GRADO ING. TECNOLOGÍAS INDUSTRIALES"), 24, 0)) + (IF(AND(K798&gt;=451, K798&lt;=700), 23, 0)) + (IF(AND(AB798&gt;=5, AB798&lt;=8), 17, 0)) +(IF(_xludf.OR(_xludf.AND(AC798&gt;=8, AC798&lt;=10), _xludf.AND(AC798&gt;=0, AC798&lt;=5)), 16, 0)) + (IF(F798="Madrid", 11, 0))))</f>
        <v>#NAME?</v>
      </c>
      <c r="AG798" s="69"/>
      <c r="AH798" s="71" t="s">
        <v>164</v>
      </c>
    </row>
    <row r="799" spans="1:34" ht="14.4" x14ac:dyDescent="0.3">
      <c r="A799" s="66" t="s">
        <v>1751</v>
      </c>
      <c r="B799" s="66" t="s">
        <v>3868</v>
      </c>
      <c r="C799" s="33">
        <v>798</v>
      </c>
      <c r="D799" s="33" t="s">
        <v>5393</v>
      </c>
      <c r="E799" s="34" t="s">
        <v>5256</v>
      </c>
      <c r="F799" s="34" t="s">
        <v>18</v>
      </c>
      <c r="G799" s="57">
        <v>42618</v>
      </c>
      <c r="H799" s="57">
        <v>42435</v>
      </c>
      <c r="I799" s="34" t="e">
        <f t="shared" si="36"/>
        <v>#NUM!</v>
      </c>
      <c r="J799" s="34">
        <v>40</v>
      </c>
      <c r="K799" s="36">
        <v>0</v>
      </c>
      <c r="L799" s="34" t="s">
        <v>17</v>
      </c>
      <c r="M799" s="57">
        <v>34059</v>
      </c>
      <c r="N799" s="37">
        <f>(YEAR(TablaMadre[[#This Row],[ALTA]])-YEAR(M799))</f>
        <v>23</v>
      </c>
      <c r="O799" s="34" t="s">
        <v>563</v>
      </c>
      <c r="P799" s="34" t="s">
        <v>19</v>
      </c>
      <c r="Q799" s="34" t="s">
        <v>349</v>
      </c>
      <c r="R799" s="34" t="s">
        <v>30</v>
      </c>
      <c r="S799" s="34" t="s">
        <v>349</v>
      </c>
      <c r="T799" s="34"/>
      <c r="U799" s="34"/>
      <c r="V799" s="34" t="s">
        <v>163</v>
      </c>
      <c r="W799" s="34" t="s">
        <v>23</v>
      </c>
      <c r="X799" s="38" t="s">
        <v>164</v>
      </c>
      <c r="Y799" s="62"/>
      <c r="Z799" s="62" t="e">
        <f t="shared" si="37"/>
        <v>#NUM!</v>
      </c>
      <c r="AA799" s="62"/>
      <c r="AB799" s="34"/>
      <c r="AC799" s="34"/>
      <c r="AD799" s="38"/>
      <c r="AE799" s="59" t="str">
        <f t="shared" si="38"/>
        <v>SÍ</v>
      </c>
      <c r="AF799" s="38" t="e" cm="1">
        <f t="array" aca="1" ref="AF799" ca="1">MIN(100, MAX(0, (IF(R799="ESTUDIANTE", 31, 0)) + (IF(I799&lt;=3, 30, IF(I799&lt;=6, 20, 0))) +(IF(OR(E799="413 - Control de Costes y Enlace Construcción", E799="480 - Secretaría General del Consejo", E799="132 - Civil y estructuras", E799="136 - Mecánica", E799="412 - Planificación", E799="142 - Compras"), 25, 0)) +(IF(OR(S799="GRADO ING. MECÁNICA", S799="GRADO ING. ELÉCTRICA", S799="GRADO DERECHO", S799="GRADO ECONOMÍA", S799="GRADO ING. TECNOLOGÍAS INDUSTRIALES"), 24, 0)) + (IF(AND(K799&gt;=451, K799&lt;=700), 23, 0)) + (IF(AND(AB799&gt;=5, AB799&lt;=8), 17, 0)) +(IF(_xludf.OR(_xludf.AND(AC799&gt;=8, AC799&lt;=10), _xludf.AND(AC799&gt;=0, AC799&lt;=5)), 16, 0)) + (IF(F799="Madrid", 11, 0))))</f>
        <v>#NUM!</v>
      </c>
      <c r="AG799" s="68"/>
      <c r="AH799" s="71" t="s">
        <v>164</v>
      </c>
    </row>
    <row r="800" spans="1:34" ht="14.4" x14ac:dyDescent="0.3">
      <c r="A800" s="66" t="s">
        <v>1148</v>
      </c>
      <c r="B800" s="66" t="s">
        <v>3265</v>
      </c>
      <c r="C800" s="33">
        <v>799</v>
      </c>
      <c r="D800" s="33" t="s">
        <v>5394</v>
      </c>
      <c r="E800" s="34" t="s">
        <v>5259</v>
      </c>
      <c r="F800" s="34" t="s">
        <v>18</v>
      </c>
      <c r="G800" s="57">
        <v>42653</v>
      </c>
      <c r="H800" s="57">
        <v>42982</v>
      </c>
      <c r="I800" s="34">
        <f t="shared" si="36"/>
        <v>10</v>
      </c>
      <c r="J800" s="34">
        <v>40</v>
      </c>
      <c r="K800" s="36">
        <v>650</v>
      </c>
      <c r="L800" s="34" t="s">
        <v>17</v>
      </c>
      <c r="M800" s="57">
        <v>34174</v>
      </c>
      <c r="N800" s="37">
        <f>(YEAR(TablaMadre[[#This Row],[ALTA]])-YEAR(M800))</f>
        <v>23</v>
      </c>
      <c r="O800" s="34" t="s">
        <v>18</v>
      </c>
      <c r="P800" s="34" t="s">
        <v>19</v>
      </c>
      <c r="Q800" s="34" t="s">
        <v>396</v>
      </c>
      <c r="R800" s="58" t="s">
        <v>30</v>
      </c>
      <c r="S800" s="34" t="s">
        <v>322</v>
      </c>
      <c r="T800" s="34"/>
      <c r="U800" s="34"/>
      <c r="V800" s="34" t="s">
        <v>22</v>
      </c>
      <c r="W800" s="34" t="s">
        <v>23</v>
      </c>
      <c r="X800" s="38" t="s">
        <v>164</v>
      </c>
      <c r="Y800" s="62"/>
      <c r="Z800" s="62" t="e">
        <f t="shared" si="37"/>
        <v>#NUM!</v>
      </c>
      <c r="AA800" s="62"/>
      <c r="AB800" s="34">
        <v>10</v>
      </c>
      <c r="AC800" s="34">
        <v>7</v>
      </c>
      <c r="AD800" s="38"/>
      <c r="AE800" s="59" t="str">
        <f t="shared" si="38"/>
        <v>NO</v>
      </c>
      <c r="AF800" s="38" t="e" cm="1">
        <f t="array" aca="1" ref="AF800" ca="1">MIN(100, MAX(0, (IF(R800="ESTUDIANTE", 31, 0)) + (IF(I800&lt;=3, 30, IF(I800&lt;=6, 20, 0))) +(IF(OR(E800="413 - Control de Costes y Enlace Construcción", E800="480 - Secretaría General del Consejo", E800="132 - Civil y estructuras", E800="136 - Mecánica", E800="412 - Planificación", E800="142 - Compras"), 25, 0)) +(IF(OR(S800="GRADO ING. MECÁNICA", S800="GRADO ING. ELÉCTRICA", S800="GRADO DERECHO", S800="GRADO ECONOMÍA", S800="GRADO ING. TECNOLOGÍAS INDUSTRIALES"), 24, 0)) + (IF(AND(K800&gt;=451, K800&lt;=700), 23, 0)) + (IF(AND(AB800&gt;=5, AB800&lt;=8), 17, 0)) +(IF(_xludf.OR(_xludf.AND(AC800&gt;=8, AC800&lt;=10), _xludf.AND(AC800&gt;=0, AC800&lt;=5)), 16, 0)) + (IF(F800="Madrid", 11, 0))))</f>
        <v>#NAME?</v>
      </c>
      <c r="AG800" s="68"/>
      <c r="AH800" s="71" t="s">
        <v>164</v>
      </c>
    </row>
    <row r="801" spans="1:34" ht="14.4" x14ac:dyDescent="0.3">
      <c r="A801" s="66" t="s">
        <v>1779</v>
      </c>
      <c r="B801" s="66" t="s">
        <v>3896</v>
      </c>
      <c r="C801" s="33">
        <v>800</v>
      </c>
      <c r="D801" s="33" t="s">
        <v>5395</v>
      </c>
      <c r="E801" s="34" t="s">
        <v>5263</v>
      </c>
      <c r="F801" s="34" t="s">
        <v>18</v>
      </c>
      <c r="G801" s="57">
        <v>42653</v>
      </c>
      <c r="H801" s="57">
        <v>42988</v>
      </c>
      <c r="I801" s="34">
        <f t="shared" si="36"/>
        <v>11</v>
      </c>
      <c r="J801" s="34">
        <v>35</v>
      </c>
      <c r="K801" s="36">
        <v>800</v>
      </c>
      <c r="L801" s="34" t="s">
        <v>17</v>
      </c>
      <c r="M801" s="57">
        <v>33068</v>
      </c>
      <c r="N801" s="37">
        <f>(YEAR(TablaMadre[[#This Row],[ALTA]])-YEAR(M801))</f>
        <v>26</v>
      </c>
      <c r="O801" s="34" t="s">
        <v>511</v>
      </c>
      <c r="P801" s="34" t="s">
        <v>19</v>
      </c>
      <c r="Q801" s="34" t="s">
        <v>394</v>
      </c>
      <c r="R801" s="34" t="s">
        <v>21</v>
      </c>
      <c r="S801" s="34" t="s">
        <v>690</v>
      </c>
      <c r="T801" s="34"/>
      <c r="U801" s="34"/>
      <c r="V801" s="34" t="s">
        <v>81</v>
      </c>
      <c r="W801" s="34" t="s">
        <v>28</v>
      </c>
      <c r="X801" s="38" t="s">
        <v>164</v>
      </c>
      <c r="Y801" s="62">
        <v>44540</v>
      </c>
      <c r="Z801" s="38">
        <f t="shared" si="37"/>
        <v>4</v>
      </c>
      <c r="AA801" s="38"/>
      <c r="AB801" s="34">
        <v>8</v>
      </c>
      <c r="AC801" s="34">
        <v>8.42</v>
      </c>
      <c r="AD801" s="38"/>
      <c r="AE801" s="59" t="str">
        <f t="shared" si="38"/>
        <v>SÍ</v>
      </c>
      <c r="AF801" s="38" t="e" cm="1">
        <f t="array" aca="1" ref="AF801" ca="1">MIN(100, MAX(0, (IF(R801="ESTUDIANTE", 31, 0)) + (IF(I801&lt;=3, 30, IF(I801&lt;=6, 20, 0))) +(IF(OR(E801="413 - Control de Costes y Enlace Construcción", E801="480 - Secretaría General del Consejo", E801="132 - Civil y estructuras", E801="136 - Mecánica", E801="412 - Planificación", E801="142 - Compras"), 25, 0)) +(IF(OR(S801="GRADO ING. MECÁNICA", S801="GRADO ING. ELÉCTRICA", S801="GRADO DERECHO", S801="GRADO ECONOMÍA", S801="GRADO ING. TECNOLOGÍAS INDUSTRIALES"), 24, 0)) + (IF(AND(K801&gt;=451, K801&lt;=700), 23, 0)) + (IF(AND(AB801&gt;=5, AB801&lt;=8), 17, 0)) +(IF(_xludf.OR(_xludf.AND(AC801&gt;=8, AC801&lt;=10), _xludf.AND(AC801&gt;=0, AC801&lt;=5)), 16, 0)) + (IF(F801="Madrid", 11, 0))))</f>
        <v>#NAME?</v>
      </c>
      <c r="AG801" s="68"/>
      <c r="AH801" s="71" t="s">
        <v>164</v>
      </c>
    </row>
    <row r="802" spans="1:34" ht="14.4" x14ac:dyDescent="0.3">
      <c r="A802" s="66" t="s">
        <v>1780</v>
      </c>
      <c r="B802" s="66" t="s">
        <v>3897</v>
      </c>
      <c r="C802" s="33">
        <v>801</v>
      </c>
      <c r="D802" s="33" t="s">
        <v>5396</v>
      </c>
      <c r="E802" s="34" t="s">
        <v>5244</v>
      </c>
      <c r="F802" s="34" t="s">
        <v>18</v>
      </c>
      <c r="G802" s="57">
        <v>42660</v>
      </c>
      <c r="H802" s="57">
        <v>43024</v>
      </c>
      <c r="I802" s="34">
        <f t="shared" si="36"/>
        <v>11</v>
      </c>
      <c r="J802" s="34">
        <v>35</v>
      </c>
      <c r="K802" s="36">
        <v>900</v>
      </c>
      <c r="L802" s="34" t="s">
        <v>17</v>
      </c>
      <c r="M802" s="57">
        <v>33660</v>
      </c>
      <c r="N802" s="37">
        <f>(YEAR(TablaMadre[[#This Row],[ALTA]])-YEAR(M802))</f>
        <v>24</v>
      </c>
      <c r="O802" s="34" t="s">
        <v>941</v>
      </c>
      <c r="P802" s="34" t="s">
        <v>19</v>
      </c>
      <c r="Q802" s="34" t="s">
        <v>399</v>
      </c>
      <c r="R802" s="34" t="s">
        <v>21</v>
      </c>
      <c r="S802" s="34" t="s">
        <v>322</v>
      </c>
      <c r="T802" s="34"/>
      <c r="U802" s="34"/>
      <c r="V802" s="34" t="s">
        <v>107</v>
      </c>
      <c r="W802" s="34" t="s">
        <v>28</v>
      </c>
      <c r="X802" s="38" t="s">
        <v>164</v>
      </c>
      <c r="Y802" s="62">
        <v>44111</v>
      </c>
      <c r="Z802" s="38">
        <f t="shared" si="37"/>
        <v>2</v>
      </c>
      <c r="AA802" s="38"/>
      <c r="AB802" s="34">
        <v>9</v>
      </c>
      <c r="AC802" s="34">
        <v>8</v>
      </c>
      <c r="AD802" s="38"/>
      <c r="AE802" s="59" t="str">
        <f t="shared" si="38"/>
        <v>SÍ</v>
      </c>
      <c r="AF802" s="38" t="e" cm="1">
        <f t="array" aca="1" ref="AF802" ca="1">MIN(100, MAX(0, (IF(R802="ESTUDIANTE", 31, 0)) + (IF(I802&lt;=3, 30, IF(I802&lt;=6, 20, 0))) +(IF(OR(E802="413 - Control de Costes y Enlace Construcción", E802="480 - Secretaría General del Consejo", E802="132 - Civil y estructuras", E802="136 - Mecánica", E802="412 - Planificación", E802="142 - Compras"), 25, 0)) +(IF(OR(S802="GRADO ING. MECÁNICA", S802="GRADO ING. ELÉCTRICA", S802="GRADO DERECHO", S802="GRADO ECONOMÍA", S802="GRADO ING. TECNOLOGÍAS INDUSTRIALES"), 24, 0)) + (IF(AND(K802&gt;=451, K802&lt;=700), 23, 0)) + (IF(AND(AB802&gt;=5, AB802&lt;=8), 17, 0)) +(IF(_xludf.OR(_xludf.AND(AC802&gt;=8, AC802&lt;=10), _xludf.AND(AC802&gt;=0, AC802&lt;=5)), 16, 0)) + (IF(F802="Madrid", 11, 0))))</f>
        <v>#NAME?</v>
      </c>
      <c r="AG802" s="68"/>
      <c r="AH802" s="71" t="s">
        <v>164</v>
      </c>
    </row>
    <row r="803" spans="1:34" ht="14.4" x14ac:dyDescent="0.3">
      <c r="A803" s="66" t="s">
        <v>1767</v>
      </c>
      <c r="B803" s="66" t="s">
        <v>3884</v>
      </c>
      <c r="C803" s="33">
        <v>802</v>
      </c>
      <c r="D803" s="33" t="s">
        <v>5397</v>
      </c>
      <c r="E803" s="34" t="s">
        <v>5244</v>
      </c>
      <c r="F803" s="34" t="s">
        <v>18</v>
      </c>
      <c r="G803" s="57">
        <v>42667</v>
      </c>
      <c r="H803" s="57">
        <v>42735</v>
      </c>
      <c r="I803" s="34">
        <f t="shared" si="36"/>
        <v>2</v>
      </c>
      <c r="J803" s="34">
        <v>40</v>
      </c>
      <c r="K803" s="36">
        <v>900</v>
      </c>
      <c r="L803" s="34" t="s">
        <v>17</v>
      </c>
      <c r="M803" s="57">
        <v>34512</v>
      </c>
      <c r="N803" s="37">
        <f>(YEAR(TablaMadre[[#This Row],[ALTA]])-YEAR(M803))</f>
        <v>22</v>
      </c>
      <c r="O803" s="34" t="s">
        <v>65</v>
      </c>
      <c r="P803" s="34" t="s">
        <v>19</v>
      </c>
      <c r="Q803" s="34" t="s">
        <v>85</v>
      </c>
      <c r="R803" s="34" t="s">
        <v>21</v>
      </c>
      <c r="S803" s="34" t="s">
        <v>322</v>
      </c>
      <c r="T803" s="34"/>
      <c r="U803" s="34"/>
      <c r="V803" s="34" t="s">
        <v>207</v>
      </c>
      <c r="W803" s="34" t="s">
        <v>183</v>
      </c>
      <c r="X803" s="38" t="s">
        <v>164</v>
      </c>
      <c r="Y803" s="62"/>
      <c r="Z803" s="62" t="e">
        <f t="shared" si="37"/>
        <v>#NUM!</v>
      </c>
      <c r="AA803" s="62"/>
      <c r="AB803" s="34"/>
      <c r="AC803" s="34"/>
      <c r="AD803" s="38"/>
      <c r="AE803" s="59" t="str">
        <f t="shared" si="38"/>
        <v>SÍ</v>
      </c>
      <c r="AF803" s="38" t="e" cm="1">
        <f t="array" aca="1" ref="AF803" ca="1">MIN(100, MAX(0, (IF(R803="ESTUDIANTE", 31, 0)) + (IF(I803&lt;=3, 30, IF(I803&lt;=6, 20, 0))) +(IF(OR(E803="413 - Control de Costes y Enlace Construcción", E803="480 - Secretaría General del Consejo", E803="132 - Civil y estructuras", E803="136 - Mecánica", E803="412 - Planificación", E803="142 - Compras"), 25, 0)) +(IF(OR(S803="GRADO ING. MECÁNICA", S803="GRADO ING. ELÉCTRICA", S803="GRADO DERECHO", S803="GRADO ECONOMÍA", S803="GRADO ING. TECNOLOGÍAS INDUSTRIALES"), 24, 0)) + (IF(AND(K803&gt;=451, K803&lt;=700), 23, 0)) + (IF(AND(AB803&gt;=5, AB803&lt;=8), 17, 0)) +(IF(_xludf.OR(_xludf.AND(AC803&gt;=8, AC803&lt;=10), _xludf.AND(AC803&gt;=0, AC803&lt;=5)), 16, 0)) + (IF(F803="Madrid", 11, 0))))</f>
        <v>#NAME?</v>
      </c>
      <c r="AG803" s="68"/>
      <c r="AH803" s="71" t="s">
        <v>164</v>
      </c>
    </row>
    <row r="804" spans="1:34" ht="14.4" x14ac:dyDescent="0.3">
      <c r="A804" s="66" t="s">
        <v>1777</v>
      </c>
      <c r="B804" s="66" t="s">
        <v>3894</v>
      </c>
      <c r="C804" s="33">
        <v>803</v>
      </c>
      <c r="D804" s="33" t="s">
        <v>5398</v>
      </c>
      <c r="E804" s="34" t="s">
        <v>5288</v>
      </c>
      <c r="F804" s="34" t="s">
        <v>18</v>
      </c>
      <c r="G804" s="57">
        <v>42667</v>
      </c>
      <c r="H804" s="57">
        <v>42900</v>
      </c>
      <c r="I804" s="34">
        <f t="shared" si="36"/>
        <v>7</v>
      </c>
      <c r="J804" s="34">
        <v>40</v>
      </c>
      <c r="K804" s="36">
        <v>2333</v>
      </c>
      <c r="L804" s="34" t="s">
        <v>17</v>
      </c>
      <c r="M804" s="57">
        <v>34873</v>
      </c>
      <c r="N804" s="37">
        <f>(YEAR(TablaMadre[[#This Row],[ALTA]])-YEAR(M804))</f>
        <v>21</v>
      </c>
      <c r="O804" s="34" t="s">
        <v>845</v>
      </c>
      <c r="P804" s="34" t="s">
        <v>103</v>
      </c>
      <c r="Q804" s="34" t="s">
        <v>49</v>
      </c>
      <c r="R804" s="34" t="s">
        <v>21</v>
      </c>
      <c r="S804" s="34" t="s">
        <v>297</v>
      </c>
      <c r="T804" s="34"/>
      <c r="U804" s="34"/>
      <c r="V804" s="34" t="s">
        <v>90</v>
      </c>
      <c r="W804" s="34" t="s">
        <v>183</v>
      </c>
      <c r="X804" s="38" t="s">
        <v>164</v>
      </c>
      <c r="Y804" s="62"/>
      <c r="Z804" s="62" t="e">
        <f t="shared" si="37"/>
        <v>#NUM!</v>
      </c>
      <c r="AA804" s="62"/>
      <c r="AB804" s="34">
        <v>1</v>
      </c>
      <c r="AC804" s="34">
        <v>2</v>
      </c>
      <c r="AD804" s="38"/>
      <c r="AE804" s="59" t="str">
        <f t="shared" si="38"/>
        <v>SÍ</v>
      </c>
      <c r="AF804" s="38" t="e" cm="1">
        <f t="array" aca="1" ref="AF804" ca="1">MIN(100, MAX(0, (IF(R804="ESTUDIANTE", 31, 0)) + (IF(I804&lt;=3, 30, IF(I804&lt;=6, 20, 0))) +(IF(OR(E804="413 - Control de Costes y Enlace Construcción", E804="480 - Secretaría General del Consejo", E804="132 - Civil y estructuras", E804="136 - Mecánica", E804="412 - Planificación", E804="142 - Compras"), 25, 0)) +(IF(OR(S804="GRADO ING. MECÁNICA", S804="GRADO ING. ELÉCTRICA", S804="GRADO DERECHO", S804="GRADO ECONOMÍA", S804="GRADO ING. TECNOLOGÍAS INDUSTRIALES"), 24, 0)) + (IF(AND(K804&gt;=451, K804&lt;=700), 23, 0)) + (IF(AND(AB804&gt;=5, AB804&lt;=8), 17, 0)) +(IF(_xludf.OR(_xludf.AND(AC804&gt;=8, AC804&lt;=10), _xludf.AND(AC804&gt;=0, AC804&lt;=5)), 16, 0)) + (IF(F804="Madrid", 11, 0))))</f>
        <v>#NAME?</v>
      </c>
      <c r="AG804" s="68"/>
      <c r="AH804" s="71" t="s">
        <v>164</v>
      </c>
    </row>
    <row r="805" spans="1:34" s="4" customFormat="1" ht="14.4" x14ac:dyDescent="0.3">
      <c r="A805" s="66" t="s">
        <v>1783</v>
      </c>
      <c r="B805" s="66" t="s">
        <v>3900</v>
      </c>
      <c r="C805" s="33">
        <v>804</v>
      </c>
      <c r="D805" s="33" t="s">
        <v>5399</v>
      </c>
      <c r="E805" s="34" t="s">
        <v>5216</v>
      </c>
      <c r="F805" s="34" t="s">
        <v>18</v>
      </c>
      <c r="G805" s="57">
        <v>42675</v>
      </c>
      <c r="H805" s="57">
        <v>42820</v>
      </c>
      <c r="I805" s="34">
        <f t="shared" si="36"/>
        <v>4</v>
      </c>
      <c r="J805" s="34">
        <v>40</v>
      </c>
      <c r="K805" s="36">
        <v>900</v>
      </c>
      <c r="L805" s="34" t="s">
        <v>17</v>
      </c>
      <c r="M805" s="57">
        <v>32925</v>
      </c>
      <c r="N805" s="37">
        <f>(YEAR(TablaMadre[[#This Row],[ALTA]])-YEAR(M805))</f>
        <v>26</v>
      </c>
      <c r="O805" s="34" t="s">
        <v>18</v>
      </c>
      <c r="P805" s="34" t="s">
        <v>19</v>
      </c>
      <c r="Q805" s="34" t="s">
        <v>297</v>
      </c>
      <c r="R805" s="34" t="s">
        <v>21</v>
      </c>
      <c r="S805" s="34" t="s">
        <v>297</v>
      </c>
      <c r="T805" s="34"/>
      <c r="U805" s="34"/>
      <c r="V805" s="34" t="s">
        <v>40</v>
      </c>
      <c r="W805" s="34" t="s">
        <v>28</v>
      </c>
      <c r="X805" s="34" t="s">
        <v>173</v>
      </c>
      <c r="Y805" s="57"/>
      <c r="Z805" s="34" t="e">
        <f t="shared" si="37"/>
        <v>#NUM!</v>
      </c>
      <c r="AA805" s="34"/>
      <c r="AB805" s="34">
        <v>10</v>
      </c>
      <c r="AC805" s="34">
        <v>8</v>
      </c>
      <c r="AD805" s="34"/>
      <c r="AE805" s="59" t="str">
        <f t="shared" si="38"/>
        <v>NO</v>
      </c>
      <c r="AF805" s="34" t="e" cm="1">
        <f t="array" aca="1" ref="AF805" ca="1">MIN(100, MAX(0, (IF(R805="ESTUDIANTE", 31, 0)) + (IF(I805&lt;=3, 30, IF(I805&lt;=6, 20, 0))) +(IF(OR(E805="413 - Control de Costes y Enlace Construcción", E805="480 - Secretaría General del Consejo", E805="132 - Civil y estructuras", E805="136 - Mecánica", E805="412 - Planificación", E805="142 - Compras"), 25, 0)) +(IF(OR(S805="GRADO ING. MECÁNICA", S805="GRADO ING. ELÉCTRICA", S805="GRADO DERECHO", S805="GRADO ECONOMÍA", S805="GRADO ING. TECNOLOGÍAS INDUSTRIALES"), 24, 0)) + (IF(AND(K805&gt;=451, K805&lt;=700), 23, 0)) + (IF(AND(AB805&gt;=5, AB805&lt;=8), 17, 0)) +(IF(_xludf.OR(_xludf.AND(AC805&gt;=8, AC805&lt;=10), _xludf.AND(AC805&gt;=0, AC805&lt;=5)), 16, 0)) + (IF(F805="Madrid", 11, 0))))</f>
        <v>#NAME?</v>
      </c>
      <c r="AG805" s="69"/>
      <c r="AH805" s="71" t="s">
        <v>164</v>
      </c>
    </row>
    <row r="806" spans="1:34" ht="14.4" x14ac:dyDescent="0.3">
      <c r="A806" s="66" t="s">
        <v>1784</v>
      </c>
      <c r="B806" s="66" t="s">
        <v>3901</v>
      </c>
      <c r="C806" s="33">
        <v>805</v>
      </c>
      <c r="D806" s="33" t="s">
        <v>5400</v>
      </c>
      <c r="E806" s="34" t="s">
        <v>5298</v>
      </c>
      <c r="F806" s="34" t="s">
        <v>18</v>
      </c>
      <c r="G806" s="57">
        <v>42675</v>
      </c>
      <c r="H806" s="57">
        <v>43009</v>
      </c>
      <c r="I806" s="34">
        <f t="shared" si="36"/>
        <v>11</v>
      </c>
      <c r="J806" s="34">
        <v>40</v>
      </c>
      <c r="K806" s="36">
        <v>825</v>
      </c>
      <c r="L806" s="34" t="s">
        <v>17</v>
      </c>
      <c r="M806" s="57">
        <v>34087</v>
      </c>
      <c r="N806" s="37">
        <f>(YEAR(TablaMadre[[#This Row],[ALTA]])-YEAR(M806))</f>
        <v>23</v>
      </c>
      <c r="O806" s="34" t="s">
        <v>100</v>
      </c>
      <c r="P806" s="34" t="s">
        <v>19</v>
      </c>
      <c r="Q806" s="34" t="s">
        <v>136</v>
      </c>
      <c r="R806" s="34" t="s">
        <v>21</v>
      </c>
      <c r="S806" s="34" t="s">
        <v>136</v>
      </c>
      <c r="T806" s="34"/>
      <c r="U806" s="34"/>
      <c r="V806" s="34" t="s">
        <v>107</v>
      </c>
      <c r="W806" s="34" t="s">
        <v>28</v>
      </c>
      <c r="X806" s="38" t="s">
        <v>164</v>
      </c>
      <c r="Y806" s="62">
        <v>44737</v>
      </c>
      <c r="Z806" s="38">
        <f t="shared" si="37"/>
        <v>4</v>
      </c>
      <c r="AA806" s="38"/>
      <c r="AB806" s="34">
        <v>8</v>
      </c>
      <c r="AC806" s="34">
        <v>8</v>
      </c>
      <c r="AD806" s="38"/>
      <c r="AE806" s="59" t="str">
        <f t="shared" si="38"/>
        <v>SÍ</v>
      </c>
      <c r="AF806" s="38" t="e" cm="1">
        <f t="array" aca="1" ref="AF806" ca="1">MIN(100, MAX(0, (IF(R806="ESTUDIANTE", 31, 0)) + (IF(I806&lt;=3, 30, IF(I806&lt;=6, 20, 0))) +(IF(OR(E806="413 - Control de Costes y Enlace Construcción", E806="480 - Secretaría General del Consejo", E806="132 - Civil y estructuras", E806="136 - Mecánica", E806="412 - Planificación", E806="142 - Compras"), 25, 0)) +(IF(OR(S806="GRADO ING. MECÁNICA", S806="GRADO ING. ELÉCTRICA", S806="GRADO DERECHO", S806="GRADO ECONOMÍA", S806="GRADO ING. TECNOLOGÍAS INDUSTRIALES"), 24, 0)) + (IF(AND(K806&gt;=451, K806&lt;=700), 23, 0)) + (IF(AND(AB806&gt;=5, AB806&lt;=8), 17, 0)) +(IF(_xludf.OR(_xludf.AND(AC806&gt;=8, AC806&lt;=10), _xludf.AND(AC806&gt;=0, AC806&lt;=5)), 16, 0)) + (IF(F806="Madrid", 11, 0))))</f>
        <v>#NAME?</v>
      </c>
      <c r="AG806" s="68"/>
      <c r="AH806" s="71" t="s">
        <v>164</v>
      </c>
    </row>
    <row r="807" spans="1:34" ht="14.4" x14ac:dyDescent="0.3">
      <c r="A807" s="66" t="s">
        <v>1785</v>
      </c>
      <c r="B807" s="66" t="s">
        <v>3902</v>
      </c>
      <c r="C807" s="33">
        <v>806</v>
      </c>
      <c r="D807" s="33" t="s">
        <v>5401</v>
      </c>
      <c r="E807" s="34" t="s">
        <v>5255</v>
      </c>
      <c r="F807" s="34" t="s">
        <v>18</v>
      </c>
      <c r="G807" s="57">
        <v>42675</v>
      </c>
      <c r="H807" s="57">
        <v>43009</v>
      </c>
      <c r="I807" s="34">
        <f t="shared" si="36"/>
        <v>11</v>
      </c>
      <c r="J807" s="34">
        <v>40</v>
      </c>
      <c r="K807" s="36">
        <v>800</v>
      </c>
      <c r="L807" s="34" t="s">
        <v>17</v>
      </c>
      <c r="M807" s="57">
        <v>34938</v>
      </c>
      <c r="N807" s="37">
        <f>(YEAR(TablaMadre[[#This Row],[ALTA]])-YEAR(M807))</f>
        <v>21</v>
      </c>
      <c r="O807" s="34" t="s">
        <v>211</v>
      </c>
      <c r="P807" s="34" t="s">
        <v>19</v>
      </c>
      <c r="Q807" s="34" t="s">
        <v>55</v>
      </c>
      <c r="R807" s="34" t="s">
        <v>21</v>
      </c>
      <c r="S807" s="34" t="s">
        <v>291</v>
      </c>
      <c r="T807" s="34"/>
      <c r="U807" s="34"/>
      <c r="V807" s="34" t="s">
        <v>56</v>
      </c>
      <c r="W807" s="34" t="s">
        <v>28</v>
      </c>
      <c r="X807" s="38" t="s">
        <v>164</v>
      </c>
      <c r="Y807" s="62">
        <v>43302</v>
      </c>
      <c r="Z807" s="38">
        <f t="shared" si="37"/>
        <v>0</v>
      </c>
      <c r="AA807" s="38"/>
      <c r="AB807" s="34">
        <v>8</v>
      </c>
      <c r="AC807" s="34"/>
      <c r="AD807" s="38"/>
      <c r="AE807" s="59" t="str">
        <f t="shared" si="38"/>
        <v>SÍ</v>
      </c>
      <c r="AF807" s="38" t="e" cm="1">
        <f t="array" aca="1" ref="AF807" ca="1">MIN(100, MAX(0, (IF(R807="ESTUDIANTE", 31, 0)) + (IF(I807&lt;=3, 30, IF(I807&lt;=6, 20, 0))) +(IF(OR(E807="413 - Control de Costes y Enlace Construcción", E807="480 - Secretaría General del Consejo", E807="132 - Civil y estructuras", E807="136 - Mecánica", E807="412 - Planificación", E807="142 - Compras"), 25, 0)) +(IF(OR(S807="GRADO ING. MECÁNICA", S807="GRADO ING. ELÉCTRICA", S807="GRADO DERECHO", S807="GRADO ECONOMÍA", S807="GRADO ING. TECNOLOGÍAS INDUSTRIALES"), 24, 0)) + (IF(AND(K807&gt;=451, K807&lt;=700), 23, 0)) + (IF(AND(AB807&gt;=5, AB807&lt;=8), 17, 0)) +(IF(_xludf.OR(_xludf.AND(AC807&gt;=8, AC807&lt;=10), _xludf.AND(AC807&gt;=0, AC807&lt;=5)), 16, 0)) + (IF(F807="Madrid", 11, 0))))</f>
        <v>#NAME?</v>
      </c>
      <c r="AG807" s="68"/>
      <c r="AH807" s="71" t="s">
        <v>164</v>
      </c>
    </row>
    <row r="808" spans="1:34" ht="14.4" x14ac:dyDescent="0.3">
      <c r="A808" s="66" t="s">
        <v>1786</v>
      </c>
      <c r="B808" s="66" t="s">
        <v>3903</v>
      </c>
      <c r="C808" s="33">
        <v>807</v>
      </c>
      <c r="D808" s="33" t="s">
        <v>5402</v>
      </c>
      <c r="E808" s="34" t="s">
        <v>5286</v>
      </c>
      <c r="F808" s="34" t="s">
        <v>18</v>
      </c>
      <c r="G808" s="57">
        <v>42675</v>
      </c>
      <c r="H808" s="57">
        <v>43009</v>
      </c>
      <c r="I808" s="34">
        <f t="shared" si="36"/>
        <v>11</v>
      </c>
      <c r="J808" s="34">
        <v>40</v>
      </c>
      <c r="K808" s="36">
        <v>600</v>
      </c>
      <c r="L808" s="34" t="s">
        <v>29</v>
      </c>
      <c r="M808" s="57">
        <v>33080</v>
      </c>
      <c r="N808" s="37">
        <f>(YEAR(TablaMadre[[#This Row],[ALTA]])-YEAR(M808))</f>
        <v>26</v>
      </c>
      <c r="O808" s="34" t="s">
        <v>18</v>
      </c>
      <c r="P808" s="34" t="s">
        <v>19</v>
      </c>
      <c r="Q808" s="34" t="s">
        <v>398</v>
      </c>
      <c r="R808" s="58" t="s">
        <v>30</v>
      </c>
      <c r="S808" s="34" t="s">
        <v>26</v>
      </c>
      <c r="T808" s="34"/>
      <c r="U808" s="34"/>
      <c r="V808" s="34" t="s">
        <v>27</v>
      </c>
      <c r="W808" s="34" t="s">
        <v>28</v>
      </c>
      <c r="X808" s="38" t="s">
        <v>173</v>
      </c>
      <c r="Y808" s="62"/>
      <c r="Z808" s="38" t="e">
        <f t="shared" si="37"/>
        <v>#NUM!</v>
      </c>
      <c r="AA808" s="38"/>
      <c r="AB808" s="34">
        <v>9</v>
      </c>
      <c r="AC808" s="34"/>
      <c r="AD808" s="38"/>
      <c r="AE808" s="59" t="str">
        <f t="shared" si="38"/>
        <v>NO</v>
      </c>
      <c r="AF808" s="38" t="e" cm="1">
        <f t="array" aca="1" ref="AF808" ca="1">MIN(100, MAX(0, (IF(R808="ESTUDIANTE", 31, 0)) + (IF(I808&lt;=3, 30, IF(I808&lt;=6, 20, 0))) +(IF(OR(E808="413 - Control de Costes y Enlace Construcción", E808="480 - Secretaría General del Consejo", E808="132 - Civil y estructuras", E808="136 - Mecánica", E808="412 - Planificación", E808="142 - Compras"), 25, 0)) +(IF(OR(S808="GRADO ING. MECÁNICA", S808="GRADO ING. ELÉCTRICA", S808="GRADO DERECHO", S808="GRADO ECONOMÍA", S808="GRADO ING. TECNOLOGÍAS INDUSTRIALES"), 24, 0)) + (IF(AND(K808&gt;=451, K808&lt;=700), 23, 0)) + (IF(AND(AB808&gt;=5, AB808&lt;=8), 17, 0)) +(IF(_xludf.OR(_xludf.AND(AC808&gt;=8, AC808&lt;=10), _xludf.AND(AC808&gt;=0, AC808&lt;=5)), 16, 0)) + (IF(F808="Madrid", 11, 0))))</f>
        <v>#NAME?</v>
      </c>
      <c r="AG808" s="68"/>
      <c r="AH808" s="71" t="s">
        <v>164</v>
      </c>
    </row>
    <row r="809" spans="1:34" ht="14.4" x14ac:dyDescent="0.3">
      <c r="A809" s="66" t="s">
        <v>1744</v>
      </c>
      <c r="B809" s="66" t="s">
        <v>3861</v>
      </c>
      <c r="C809" s="33">
        <v>809</v>
      </c>
      <c r="D809" s="33" t="s">
        <v>5393</v>
      </c>
      <c r="E809" s="34" t="s">
        <v>5218</v>
      </c>
      <c r="F809" s="34" t="s">
        <v>18</v>
      </c>
      <c r="G809" s="57">
        <v>42678</v>
      </c>
      <c r="H809" s="57">
        <v>42903</v>
      </c>
      <c r="I809" s="34">
        <f t="shared" si="36"/>
        <v>7</v>
      </c>
      <c r="J809" s="34">
        <v>40</v>
      </c>
      <c r="K809" s="36">
        <v>450</v>
      </c>
      <c r="L809" s="34" t="s">
        <v>17</v>
      </c>
      <c r="M809" s="57">
        <v>34017</v>
      </c>
      <c r="N809" s="37">
        <f>(YEAR(TablaMadre[[#This Row],[ALTA]])-YEAR(M809))</f>
        <v>23</v>
      </c>
      <c r="O809" s="34" t="s">
        <v>18</v>
      </c>
      <c r="P809" s="34" t="s">
        <v>19</v>
      </c>
      <c r="Q809" s="34" t="s">
        <v>360</v>
      </c>
      <c r="R809" s="58" t="s">
        <v>30</v>
      </c>
      <c r="S809" s="34" t="s">
        <v>26</v>
      </c>
      <c r="T809" s="34"/>
      <c r="U809" s="34"/>
      <c r="V809" s="34" t="s">
        <v>27</v>
      </c>
      <c r="W809" s="34" t="s">
        <v>23</v>
      </c>
      <c r="X809" s="38" t="s">
        <v>164</v>
      </c>
      <c r="Y809" s="62"/>
      <c r="Z809" s="62" t="e">
        <f t="shared" si="37"/>
        <v>#NUM!</v>
      </c>
      <c r="AA809" s="62"/>
      <c r="AB809" s="34"/>
      <c r="AC809" s="34"/>
      <c r="AD809" s="38"/>
      <c r="AE809" s="59" t="str">
        <f t="shared" si="38"/>
        <v>NO</v>
      </c>
      <c r="AF809" s="38" t="e" cm="1">
        <f t="array" aca="1" ref="AF809" ca="1">MIN(100, MAX(0, (IF(R809="ESTUDIANTE", 31, 0)) + (IF(I809&lt;=3, 30, IF(I809&lt;=6, 20, 0))) +(IF(OR(E809="413 - Control de Costes y Enlace Construcción", E809="480 - Secretaría General del Consejo", E809="132 - Civil y estructuras", E809="136 - Mecánica", E809="412 - Planificación", E809="142 - Compras"), 25, 0)) +(IF(OR(S809="GRADO ING. MECÁNICA", S809="GRADO ING. ELÉCTRICA", S809="GRADO DERECHO", S809="GRADO ECONOMÍA", S809="GRADO ING. TECNOLOGÍAS INDUSTRIALES"), 24, 0)) + (IF(AND(K809&gt;=451, K809&lt;=700), 23, 0)) + (IF(AND(AB809&gt;=5, AB809&lt;=8), 17, 0)) +(IF(_xludf.OR(_xludf.AND(AC809&gt;=8, AC809&lt;=10), _xludf.AND(AC809&gt;=0, AC809&lt;=5)), 16, 0)) + (IF(F809="Madrid", 11, 0))))</f>
        <v>#NAME?</v>
      </c>
      <c r="AG809" s="68"/>
      <c r="AH809" s="71" t="s">
        <v>164</v>
      </c>
    </row>
    <row r="810" spans="1:34" ht="14.4" x14ac:dyDescent="0.3">
      <c r="A810" s="66" t="s">
        <v>1747</v>
      </c>
      <c r="B810" s="66" t="s">
        <v>3864</v>
      </c>
      <c r="C810" s="33">
        <v>808</v>
      </c>
      <c r="D810" s="33" t="s">
        <v>5394</v>
      </c>
      <c r="E810" s="34" t="s">
        <v>5218</v>
      </c>
      <c r="F810" s="34" t="s">
        <v>18</v>
      </c>
      <c r="G810" s="57">
        <v>42678</v>
      </c>
      <c r="H810" s="57">
        <v>42903</v>
      </c>
      <c r="I810" s="34">
        <f t="shared" si="36"/>
        <v>7</v>
      </c>
      <c r="J810" s="34">
        <v>40</v>
      </c>
      <c r="K810" s="36">
        <v>450</v>
      </c>
      <c r="L810" s="34" t="s">
        <v>17</v>
      </c>
      <c r="M810" s="57">
        <v>33341</v>
      </c>
      <c r="N810" s="37">
        <f>(YEAR(TablaMadre[[#This Row],[ALTA]])-YEAR(M810))</f>
        <v>25</v>
      </c>
      <c r="O810" s="34" t="s">
        <v>18</v>
      </c>
      <c r="P810" s="34" t="s">
        <v>19</v>
      </c>
      <c r="Q810" s="34" t="s">
        <v>360</v>
      </c>
      <c r="R810" s="58" t="s">
        <v>30</v>
      </c>
      <c r="S810" s="34" t="s">
        <v>26</v>
      </c>
      <c r="T810" s="34"/>
      <c r="U810" s="34"/>
      <c r="V810" s="34" t="s">
        <v>27</v>
      </c>
      <c r="W810" s="34" t="s">
        <v>23</v>
      </c>
      <c r="X810" s="38" t="s">
        <v>164</v>
      </c>
      <c r="Y810" s="62"/>
      <c r="Z810" s="62" t="e">
        <f t="shared" si="37"/>
        <v>#NUM!</v>
      </c>
      <c r="AA810" s="62"/>
      <c r="AB810" s="34"/>
      <c r="AC810" s="34"/>
      <c r="AD810" s="38"/>
      <c r="AE810" s="59" t="str">
        <f t="shared" si="38"/>
        <v>NO</v>
      </c>
      <c r="AF810" s="38" t="e" cm="1">
        <f t="array" aca="1" ref="AF810" ca="1">MIN(100, MAX(0, (IF(R810="ESTUDIANTE", 31, 0)) + (IF(I810&lt;=3, 30, IF(I810&lt;=6, 20, 0))) +(IF(OR(E810="413 - Control de Costes y Enlace Construcción", E810="480 - Secretaría General del Consejo", E810="132 - Civil y estructuras", E810="136 - Mecánica", E810="412 - Planificación", E810="142 - Compras"), 25, 0)) +(IF(OR(S810="GRADO ING. MECÁNICA", S810="GRADO ING. ELÉCTRICA", S810="GRADO DERECHO", S810="GRADO ECONOMÍA", S810="GRADO ING. TECNOLOGÍAS INDUSTRIALES"), 24, 0)) + (IF(AND(K810&gt;=451, K810&lt;=700), 23, 0)) + (IF(AND(AB810&gt;=5, AB810&lt;=8), 17, 0)) +(IF(_xludf.OR(_xludf.AND(AC810&gt;=8, AC810&lt;=10), _xludf.AND(AC810&gt;=0, AC810&lt;=5)), 16, 0)) + (IF(F810="Madrid", 11, 0))))</f>
        <v>#NAME?</v>
      </c>
      <c r="AG810" s="68"/>
      <c r="AH810" s="71" t="s">
        <v>164</v>
      </c>
    </row>
    <row r="811" spans="1:34" ht="14.4" x14ac:dyDescent="0.3">
      <c r="A811" s="66" t="s">
        <v>1789</v>
      </c>
      <c r="B811" s="66" t="s">
        <v>3906</v>
      </c>
      <c r="C811" s="33">
        <v>810</v>
      </c>
      <c r="D811" s="33" t="s">
        <v>5395</v>
      </c>
      <c r="E811" s="34" t="s">
        <v>5235</v>
      </c>
      <c r="F811" s="34" t="s">
        <v>18</v>
      </c>
      <c r="G811" s="57">
        <v>42725</v>
      </c>
      <c r="H811" s="57">
        <v>43089</v>
      </c>
      <c r="I811" s="34">
        <f t="shared" si="36"/>
        <v>11</v>
      </c>
      <c r="J811" s="34">
        <v>35</v>
      </c>
      <c r="K811" s="36">
        <v>825</v>
      </c>
      <c r="L811" s="34" t="s">
        <v>17</v>
      </c>
      <c r="M811" s="57">
        <v>33650</v>
      </c>
      <c r="N811" s="37">
        <f>(YEAR(TablaMadre[[#This Row],[ALTA]])-YEAR(M811))</f>
        <v>24</v>
      </c>
      <c r="O811" s="34" t="s">
        <v>18</v>
      </c>
      <c r="P811" s="34" t="s">
        <v>19</v>
      </c>
      <c r="Q811" s="34" t="s">
        <v>326</v>
      </c>
      <c r="R811" s="34" t="s">
        <v>21</v>
      </c>
      <c r="S811" s="34" t="s">
        <v>322</v>
      </c>
      <c r="T811" s="34"/>
      <c r="U811" s="34"/>
      <c r="V811" s="34" t="s">
        <v>40</v>
      </c>
      <c r="W811" s="34" t="s">
        <v>28</v>
      </c>
      <c r="X811" s="38" t="s">
        <v>164</v>
      </c>
      <c r="Y811" s="62">
        <v>44186</v>
      </c>
      <c r="Z811" s="38">
        <f t="shared" si="37"/>
        <v>3</v>
      </c>
      <c r="AA811" s="38"/>
      <c r="AB811" s="34">
        <v>8</v>
      </c>
      <c r="AC811" s="34">
        <v>8</v>
      </c>
      <c r="AD811" s="38"/>
      <c r="AE811" s="59" t="str">
        <f t="shared" si="38"/>
        <v>NO</v>
      </c>
      <c r="AF811" s="38" t="e" cm="1">
        <f t="array" aca="1" ref="AF811" ca="1">MIN(100, MAX(0, (IF(R811="ESTUDIANTE", 31, 0)) + (IF(I811&lt;=3, 30, IF(I811&lt;=6, 20, 0))) +(IF(OR(E811="413 - Control de Costes y Enlace Construcción", E811="480 - Secretaría General del Consejo", E811="132 - Civil y estructuras", E811="136 - Mecánica", E811="412 - Planificación", E811="142 - Compras"), 25, 0)) +(IF(OR(S811="GRADO ING. MECÁNICA", S811="GRADO ING. ELÉCTRICA", S811="GRADO DERECHO", S811="GRADO ECONOMÍA", S811="GRADO ING. TECNOLOGÍAS INDUSTRIALES"), 24, 0)) + (IF(AND(K811&gt;=451, K811&lt;=700), 23, 0)) + (IF(AND(AB811&gt;=5, AB811&lt;=8), 17, 0)) +(IF(_xludf.OR(_xludf.AND(AC811&gt;=8, AC811&lt;=10), _xludf.AND(AC811&gt;=0, AC811&lt;=5)), 16, 0)) + (IF(F811="Madrid", 11, 0))))</f>
        <v>#NAME?</v>
      </c>
      <c r="AG811" s="68"/>
      <c r="AH811" s="71" t="s">
        <v>164</v>
      </c>
    </row>
    <row r="812" spans="1:34" ht="14.4" x14ac:dyDescent="0.3">
      <c r="A812" s="66" t="s">
        <v>1790</v>
      </c>
      <c r="B812" s="66" t="s">
        <v>3907</v>
      </c>
      <c r="C812" s="33">
        <v>811</v>
      </c>
      <c r="D812" s="33" t="s">
        <v>5396</v>
      </c>
      <c r="E812" s="34" t="s">
        <v>5221</v>
      </c>
      <c r="F812" s="34" t="s">
        <v>118</v>
      </c>
      <c r="G812" s="57">
        <v>42737</v>
      </c>
      <c r="H812" s="57">
        <v>43131</v>
      </c>
      <c r="I812" s="34">
        <f t="shared" si="36"/>
        <v>12</v>
      </c>
      <c r="J812" s="34">
        <v>35</v>
      </c>
      <c r="K812" s="36">
        <v>825</v>
      </c>
      <c r="L812" s="34" t="s">
        <v>17</v>
      </c>
      <c r="M812" s="57">
        <v>32925</v>
      </c>
      <c r="N812" s="37">
        <f>(YEAR(TablaMadre[[#This Row],[ALTA]])-YEAR(M812))</f>
        <v>27</v>
      </c>
      <c r="O812" s="34" t="s">
        <v>118</v>
      </c>
      <c r="P812" s="34" t="s">
        <v>19</v>
      </c>
      <c r="Q812" s="34" t="s">
        <v>297</v>
      </c>
      <c r="R812" s="34" t="s">
        <v>21</v>
      </c>
      <c r="S812" s="34" t="s">
        <v>297</v>
      </c>
      <c r="T812" s="34"/>
      <c r="U812" s="34"/>
      <c r="V812" s="34" t="s">
        <v>37</v>
      </c>
      <c r="W812" s="34" t="s">
        <v>28</v>
      </c>
      <c r="X812" s="38" t="s">
        <v>173</v>
      </c>
      <c r="Y812" s="62"/>
      <c r="Z812" s="38" t="e">
        <f t="shared" si="37"/>
        <v>#NUM!</v>
      </c>
      <c r="AA812" s="38"/>
      <c r="AB812" s="34">
        <v>9</v>
      </c>
      <c r="AC812" s="34">
        <v>10</v>
      </c>
      <c r="AD812" s="38"/>
      <c r="AE812" s="59" t="str">
        <f t="shared" si="38"/>
        <v>NO</v>
      </c>
      <c r="AF812" s="38" t="e" cm="1">
        <f t="array" aca="1" ref="AF812" ca="1">MIN(100, MAX(0, (IF(R812="ESTUDIANTE", 31, 0)) + (IF(I812&lt;=3, 30, IF(I812&lt;=6, 20, 0))) +(IF(OR(E812="413 - Control de Costes y Enlace Construcción", E812="480 - Secretaría General del Consejo", E812="132 - Civil y estructuras", E812="136 - Mecánica", E812="412 - Planificación", E812="142 - Compras"), 25, 0)) +(IF(OR(S812="GRADO ING. MECÁNICA", S812="GRADO ING. ELÉCTRICA", S812="GRADO DERECHO", S812="GRADO ECONOMÍA", S812="GRADO ING. TECNOLOGÍAS INDUSTRIALES"), 24, 0)) + (IF(AND(K812&gt;=451, K812&lt;=700), 23, 0)) + (IF(AND(AB812&gt;=5, AB812&lt;=8), 17, 0)) +(IF(_xludf.OR(_xludf.AND(AC812&gt;=8, AC812&lt;=10), _xludf.AND(AC812&gt;=0, AC812&lt;=5)), 16, 0)) + (IF(F812="Madrid", 11, 0))))</f>
        <v>#NAME?</v>
      </c>
      <c r="AG812" s="68"/>
      <c r="AH812" s="71" t="s">
        <v>164</v>
      </c>
    </row>
    <row r="813" spans="1:34" ht="14.4" x14ac:dyDescent="0.3">
      <c r="A813" s="66" t="s">
        <v>1791</v>
      </c>
      <c r="B813" s="66" t="s">
        <v>3908</v>
      </c>
      <c r="C813" s="33">
        <v>812</v>
      </c>
      <c r="D813" s="33" t="s">
        <v>5397</v>
      </c>
      <c r="E813" s="34" t="s">
        <v>5254</v>
      </c>
      <c r="F813" s="34" t="s">
        <v>18</v>
      </c>
      <c r="G813" s="57">
        <v>42737</v>
      </c>
      <c r="H813" s="57">
        <v>43310</v>
      </c>
      <c r="I813" s="34">
        <f t="shared" si="36"/>
        <v>18</v>
      </c>
      <c r="J813" s="34">
        <v>35</v>
      </c>
      <c r="K813" s="36">
        <v>900</v>
      </c>
      <c r="L813" s="34" t="s">
        <v>29</v>
      </c>
      <c r="M813" s="57">
        <v>33660</v>
      </c>
      <c r="N813" s="37">
        <f>(YEAR(TablaMadre[[#This Row],[ALTA]])-YEAR(M813))</f>
        <v>25</v>
      </c>
      <c r="O813" s="34" t="s">
        <v>255</v>
      </c>
      <c r="P813" s="34" t="s">
        <v>19</v>
      </c>
      <c r="Q813" s="34" t="s">
        <v>20</v>
      </c>
      <c r="R813" s="34" t="s">
        <v>21</v>
      </c>
      <c r="S813" s="34" t="s">
        <v>151</v>
      </c>
      <c r="T813" s="34"/>
      <c r="U813" s="34"/>
      <c r="V813" s="34" t="s">
        <v>22</v>
      </c>
      <c r="W813" s="34" t="s">
        <v>28</v>
      </c>
      <c r="X813" s="38" t="s">
        <v>164</v>
      </c>
      <c r="Y813" s="62">
        <v>44049</v>
      </c>
      <c r="Z813" s="38">
        <f t="shared" si="37"/>
        <v>2</v>
      </c>
      <c r="AA813" s="38"/>
      <c r="AB813" s="34">
        <v>9</v>
      </c>
      <c r="AC813" s="34">
        <v>8</v>
      </c>
      <c r="AD813" s="38"/>
      <c r="AE813" s="59" t="str">
        <f t="shared" si="38"/>
        <v>SÍ</v>
      </c>
      <c r="AF813" s="38" t="e" cm="1">
        <f t="array" aca="1" ref="AF813" ca="1">MIN(100, MAX(0, (IF(R813="ESTUDIANTE", 31, 0)) + (IF(I813&lt;=3, 30, IF(I813&lt;=6, 20, 0))) +(IF(OR(E813="413 - Control de Costes y Enlace Construcción", E813="480 - Secretaría General del Consejo", E813="132 - Civil y estructuras", E813="136 - Mecánica", E813="412 - Planificación", E813="142 - Compras"), 25, 0)) +(IF(OR(S813="GRADO ING. MECÁNICA", S813="GRADO ING. ELÉCTRICA", S813="GRADO DERECHO", S813="GRADO ECONOMÍA", S813="GRADO ING. TECNOLOGÍAS INDUSTRIALES"), 24, 0)) + (IF(AND(K813&gt;=451, K813&lt;=700), 23, 0)) + (IF(AND(AB813&gt;=5, AB813&lt;=8), 17, 0)) +(IF(_xludf.OR(_xludf.AND(AC813&gt;=8, AC813&lt;=10), _xludf.AND(AC813&gt;=0, AC813&lt;=5)), 16, 0)) + (IF(F813="Madrid", 11, 0))))</f>
        <v>#NAME?</v>
      </c>
      <c r="AG813" s="68"/>
      <c r="AH813" s="71" t="s">
        <v>164</v>
      </c>
    </row>
    <row r="814" spans="1:34" ht="14.4" x14ac:dyDescent="0.3">
      <c r="A814" s="66" t="s">
        <v>1792</v>
      </c>
      <c r="B814" s="66" t="s">
        <v>3909</v>
      </c>
      <c r="C814" s="33">
        <v>813</v>
      </c>
      <c r="D814" s="33" t="s">
        <v>5398</v>
      </c>
      <c r="E814" s="34" t="s">
        <v>5297</v>
      </c>
      <c r="F814" s="34" t="s">
        <v>18</v>
      </c>
      <c r="G814" s="57">
        <v>42738</v>
      </c>
      <c r="H814" s="57">
        <v>43159</v>
      </c>
      <c r="I814" s="34">
        <f t="shared" si="36"/>
        <v>13</v>
      </c>
      <c r="J814" s="34">
        <v>35</v>
      </c>
      <c r="K814" s="36">
        <v>650</v>
      </c>
      <c r="L814" s="34" t="s">
        <v>17</v>
      </c>
      <c r="M814" s="57">
        <v>35121</v>
      </c>
      <c r="N814" s="37">
        <f>(YEAR(TablaMadre[[#This Row],[ALTA]])-YEAR(M814))</f>
        <v>21</v>
      </c>
      <c r="O814" s="34" t="s">
        <v>18</v>
      </c>
      <c r="P814" s="34" t="s">
        <v>19</v>
      </c>
      <c r="Q814" s="34" t="s">
        <v>407</v>
      </c>
      <c r="R814" s="58" t="s">
        <v>30</v>
      </c>
      <c r="S814" s="34" t="s">
        <v>26</v>
      </c>
      <c r="T814" s="34"/>
      <c r="U814" s="34"/>
      <c r="V814" s="34" t="s">
        <v>27</v>
      </c>
      <c r="W814" s="34" t="s">
        <v>28</v>
      </c>
      <c r="X814" s="38" t="s">
        <v>173</v>
      </c>
      <c r="Y814" s="62"/>
      <c r="Z814" s="38" t="e">
        <f t="shared" si="37"/>
        <v>#NUM!</v>
      </c>
      <c r="AA814" s="38"/>
      <c r="AB814" s="34">
        <v>9</v>
      </c>
      <c r="AC814" s="34">
        <v>9</v>
      </c>
      <c r="AD814" s="38"/>
      <c r="AE814" s="59" t="str">
        <f t="shared" si="38"/>
        <v>NO</v>
      </c>
      <c r="AF814" s="38" t="e" cm="1">
        <f t="array" aca="1" ref="AF814" ca="1">MIN(100, MAX(0, (IF(R814="ESTUDIANTE", 31, 0)) + (IF(I814&lt;=3, 30, IF(I814&lt;=6, 20, 0))) +(IF(OR(E814="413 - Control de Costes y Enlace Construcción", E814="480 - Secretaría General del Consejo", E814="132 - Civil y estructuras", E814="136 - Mecánica", E814="412 - Planificación", E814="142 - Compras"), 25, 0)) +(IF(OR(S814="GRADO ING. MECÁNICA", S814="GRADO ING. ELÉCTRICA", S814="GRADO DERECHO", S814="GRADO ECONOMÍA", S814="GRADO ING. TECNOLOGÍAS INDUSTRIALES"), 24, 0)) + (IF(AND(K814&gt;=451, K814&lt;=700), 23, 0)) + (IF(AND(AB814&gt;=5, AB814&lt;=8), 17, 0)) +(IF(_xludf.OR(_xludf.AND(AC814&gt;=8, AC814&lt;=10), _xludf.AND(AC814&gt;=0, AC814&lt;=5)), 16, 0)) + (IF(F814="Madrid", 11, 0))))</f>
        <v>#NAME?</v>
      </c>
      <c r="AG814" s="68"/>
      <c r="AH814" s="71" t="s">
        <v>164</v>
      </c>
    </row>
    <row r="815" spans="1:34" ht="14.4" x14ac:dyDescent="0.3">
      <c r="A815" s="66" t="s">
        <v>1793</v>
      </c>
      <c r="B815" s="66" t="s">
        <v>3910</v>
      </c>
      <c r="C815" s="33">
        <v>814</v>
      </c>
      <c r="D815" s="33" t="s">
        <v>5399</v>
      </c>
      <c r="E815" s="34" t="s">
        <v>5287</v>
      </c>
      <c r="F815" s="34" t="s">
        <v>18</v>
      </c>
      <c r="G815" s="57">
        <v>42741</v>
      </c>
      <c r="H815" s="57">
        <v>42743</v>
      </c>
      <c r="I815" s="34">
        <f t="shared" si="36"/>
        <v>0</v>
      </c>
      <c r="J815" s="34">
        <v>35</v>
      </c>
      <c r="K815" s="36">
        <v>650</v>
      </c>
      <c r="L815" s="34" t="s">
        <v>29</v>
      </c>
      <c r="M815" s="57">
        <v>34818</v>
      </c>
      <c r="N815" s="37">
        <f>(YEAR(TablaMadre[[#This Row],[ALTA]])-YEAR(M815))</f>
        <v>22</v>
      </c>
      <c r="O815" s="34" t="s">
        <v>257</v>
      </c>
      <c r="P815" s="34" t="s">
        <v>19</v>
      </c>
      <c r="Q815" s="34" t="s">
        <v>229</v>
      </c>
      <c r="R815" s="58" t="s">
        <v>30</v>
      </c>
      <c r="S815" s="34" t="s">
        <v>229</v>
      </c>
      <c r="T815" s="34"/>
      <c r="U815" s="34"/>
      <c r="V815" s="34" t="s">
        <v>163</v>
      </c>
      <c r="W815" s="34" t="s">
        <v>380</v>
      </c>
      <c r="X815" s="38" t="s">
        <v>164</v>
      </c>
      <c r="Y815" s="62">
        <v>43015</v>
      </c>
      <c r="Z815" s="62">
        <f t="shared" si="37"/>
        <v>0</v>
      </c>
      <c r="AA815" s="62"/>
      <c r="AB815" s="34">
        <v>8</v>
      </c>
      <c r="AC815" s="34"/>
      <c r="AD815" s="38"/>
      <c r="AE815" s="59" t="str">
        <f t="shared" si="38"/>
        <v>SÍ</v>
      </c>
      <c r="AF815" s="38" t="e" cm="1">
        <f t="array" aca="1" ref="AF815" ca="1">MIN(100, MAX(0, (IF(R815="ESTUDIANTE", 31, 0)) + (IF(I815&lt;=3, 30, IF(I815&lt;=6, 20, 0))) +(IF(OR(E815="413 - Control de Costes y Enlace Construcción", E815="480 - Secretaría General del Consejo", E815="132 - Civil y estructuras", E815="136 - Mecánica", E815="412 - Planificación", E815="142 - Compras"), 25, 0)) +(IF(OR(S815="GRADO ING. MECÁNICA", S815="GRADO ING. ELÉCTRICA", S815="GRADO DERECHO", S815="GRADO ECONOMÍA", S815="GRADO ING. TECNOLOGÍAS INDUSTRIALES"), 24, 0)) + (IF(AND(K815&gt;=451, K815&lt;=700), 23, 0)) + (IF(AND(AB815&gt;=5, AB815&lt;=8), 17, 0)) +(IF(_xludf.OR(_xludf.AND(AC815&gt;=8, AC815&lt;=10), _xludf.AND(AC815&gt;=0, AC815&lt;=5)), 16, 0)) + (IF(F815="Madrid", 11, 0))))</f>
        <v>#NAME?</v>
      </c>
      <c r="AG815" s="68"/>
      <c r="AH815" s="71" t="s">
        <v>164</v>
      </c>
    </row>
    <row r="816" spans="1:34" ht="14.4" x14ac:dyDescent="0.3">
      <c r="A816" s="66" t="s">
        <v>1795</v>
      </c>
      <c r="B816" s="66" t="s">
        <v>3912</v>
      </c>
      <c r="C816" s="33">
        <v>816</v>
      </c>
      <c r="D816" s="33" t="s">
        <v>5393</v>
      </c>
      <c r="E816" s="34" t="s">
        <v>5267</v>
      </c>
      <c r="F816" s="34" t="s">
        <v>18</v>
      </c>
      <c r="G816" s="57">
        <v>42741</v>
      </c>
      <c r="H816" s="57">
        <v>43251</v>
      </c>
      <c r="I816" s="34">
        <f t="shared" si="36"/>
        <v>16</v>
      </c>
      <c r="J816" s="34">
        <v>35</v>
      </c>
      <c r="K816" s="36">
        <v>900</v>
      </c>
      <c r="L816" s="34" t="s">
        <v>29</v>
      </c>
      <c r="M816" s="57">
        <v>34752</v>
      </c>
      <c r="N816" s="37">
        <f>(YEAR(TablaMadre[[#This Row],[ALTA]])-YEAR(M816))</f>
        <v>22</v>
      </c>
      <c r="O816" s="34" t="s">
        <v>558</v>
      </c>
      <c r="P816" s="34" t="s">
        <v>19</v>
      </c>
      <c r="Q816" s="34" t="s">
        <v>315</v>
      </c>
      <c r="R816" s="34" t="s">
        <v>21</v>
      </c>
      <c r="S816" s="34" t="s">
        <v>307</v>
      </c>
      <c r="T816" s="34"/>
      <c r="U816" s="34"/>
      <c r="V816" s="34" t="s">
        <v>131</v>
      </c>
      <c r="W816" s="34" t="s">
        <v>28</v>
      </c>
      <c r="X816" s="38" t="s">
        <v>164</v>
      </c>
      <c r="Y816" s="62">
        <v>43678</v>
      </c>
      <c r="Z816" s="38">
        <f t="shared" si="37"/>
        <v>1</v>
      </c>
      <c r="AA816" s="38"/>
      <c r="AB816" s="34">
        <v>10</v>
      </c>
      <c r="AC816" s="34">
        <v>8</v>
      </c>
      <c r="AD816" s="38"/>
      <c r="AE816" s="59" t="str">
        <f t="shared" si="38"/>
        <v>SÍ</v>
      </c>
      <c r="AF816" s="38" t="e" cm="1">
        <f t="array" aca="1" ref="AF816" ca="1">MIN(100, MAX(0, (IF(R816="ESTUDIANTE", 31, 0)) + (IF(I816&lt;=3, 30, IF(I816&lt;=6, 20, 0))) +(IF(OR(E816="413 - Control de Costes y Enlace Construcción", E816="480 - Secretaría General del Consejo", E816="132 - Civil y estructuras", E816="136 - Mecánica", E816="412 - Planificación", E816="142 - Compras"), 25, 0)) +(IF(OR(S816="GRADO ING. MECÁNICA", S816="GRADO ING. ELÉCTRICA", S816="GRADO DERECHO", S816="GRADO ECONOMÍA", S816="GRADO ING. TECNOLOGÍAS INDUSTRIALES"), 24, 0)) + (IF(AND(K816&gt;=451, K816&lt;=700), 23, 0)) + (IF(AND(AB816&gt;=5, AB816&lt;=8), 17, 0)) +(IF(_xludf.OR(_xludf.AND(AC816&gt;=8, AC816&lt;=10), _xludf.AND(AC816&gt;=0, AC816&lt;=5)), 16, 0)) + (IF(F816="Madrid", 11, 0))))</f>
        <v>#NAME?</v>
      </c>
      <c r="AG816" s="68"/>
      <c r="AH816" s="71" t="s">
        <v>164</v>
      </c>
    </row>
    <row r="817" spans="1:34" ht="14.4" x14ac:dyDescent="0.3">
      <c r="A817" s="66" t="s">
        <v>1818</v>
      </c>
      <c r="B817" s="66" t="s">
        <v>3935</v>
      </c>
      <c r="C817" s="33">
        <v>815</v>
      </c>
      <c r="D817" s="33" t="s">
        <v>5394</v>
      </c>
      <c r="E817" s="34" t="s">
        <v>5222</v>
      </c>
      <c r="F817" s="34" t="s">
        <v>18</v>
      </c>
      <c r="G817" s="57">
        <v>42741</v>
      </c>
      <c r="H817" s="57">
        <v>42916</v>
      </c>
      <c r="I817" s="34">
        <f t="shared" si="36"/>
        <v>5</v>
      </c>
      <c r="J817" s="34">
        <v>35</v>
      </c>
      <c r="K817" s="36">
        <v>650</v>
      </c>
      <c r="L817" s="34" t="s">
        <v>17</v>
      </c>
      <c r="M817" s="57">
        <v>33585</v>
      </c>
      <c r="N817" s="37">
        <f>(YEAR(TablaMadre[[#This Row],[ALTA]])-YEAR(M817))</f>
        <v>26</v>
      </c>
      <c r="O817" s="34" t="s">
        <v>18</v>
      </c>
      <c r="P817" s="34" t="s">
        <v>19</v>
      </c>
      <c r="Q817" s="34" t="s">
        <v>280</v>
      </c>
      <c r="R817" s="58" t="s">
        <v>30</v>
      </c>
      <c r="S817" s="34" t="s">
        <v>280</v>
      </c>
      <c r="T817" s="34"/>
      <c r="U817" s="34"/>
      <c r="V817" s="34" t="s">
        <v>84</v>
      </c>
      <c r="W817" s="34" t="s">
        <v>23</v>
      </c>
      <c r="X817" s="38" t="s">
        <v>164</v>
      </c>
      <c r="Y817" s="62"/>
      <c r="Z817" s="62" t="e">
        <f t="shared" si="37"/>
        <v>#NUM!</v>
      </c>
      <c r="AA817" s="62"/>
      <c r="AB817" s="34">
        <v>10</v>
      </c>
      <c r="AC817" s="34"/>
      <c r="AD817" s="38"/>
      <c r="AE817" s="59" t="str">
        <f t="shared" si="38"/>
        <v>NO</v>
      </c>
      <c r="AF817" s="38" t="e" cm="1">
        <f t="array" aca="1" ref="AF817" ca="1">MIN(100, MAX(0, (IF(R817="ESTUDIANTE", 31, 0)) + (IF(I817&lt;=3, 30, IF(I817&lt;=6, 20, 0))) +(IF(OR(E817="413 - Control de Costes y Enlace Construcción", E817="480 - Secretaría General del Consejo", E817="132 - Civil y estructuras", E817="136 - Mecánica", E817="412 - Planificación", E817="142 - Compras"), 25, 0)) +(IF(OR(S817="GRADO ING. MECÁNICA", S817="GRADO ING. ELÉCTRICA", S817="GRADO DERECHO", S817="GRADO ECONOMÍA", S817="GRADO ING. TECNOLOGÍAS INDUSTRIALES"), 24, 0)) + (IF(AND(K817&gt;=451, K817&lt;=700), 23, 0)) + (IF(AND(AB817&gt;=5, AB817&lt;=8), 17, 0)) +(IF(_xludf.OR(_xludf.AND(AC817&gt;=8, AC817&lt;=10), _xludf.AND(AC817&gt;=0, AC817&lt;=5)), 16, 0)) + (IF(F817="Madrid", 11, 0))))</f>
        <v>#NAME?</v>
      </c>
      <c r="AG817" s="68"/>
      <c r="AH817" s="71" t="s">
        <v>164</v>
      </c>
    </row>
    <row r="818" spans="1:34" ht="14.4" x14ac:dyDescent="0.3">
      <c r="A818" s="66" t="s">
        <v>1796</v>
      </c>
      <c r="B818" s="66" t="s">
        <v>3913</v>
      </c>
      <c r="C818" s="33">
        <v>817</v>
      </c>
      <c r="D818" s="33" t="s">
        <v>5395</v>
      </c>
      <c r="E818" s="34" t="s">
        <v>5299</v>
      </c>
      <c r="F818" s="34" t="s">
        <v>18</v>
      </c>
      <c r="G818" s="57">
        <v>42743</v>
      </c>
      <c r="H818" s="57">
        <v>43312</v>
      </c>
      <c r="I818" s="34">
        <f t="shared" si="36"/>
        <v>18</v>
      </c>
      <c r="J818" s="34">
        <v>35</v>
      </c>
      <c r="K818" s="36">
        <v>900</v>
      </c>
      <c r="L818" s="34" t="s">
        <v>17</v>
      </c>
      <c r="M818" s="57">
        <v>36146</v>
      </c>
      <c r="N818" s="37">
        <f>(YEAR(TablaMadre[[#This Row],[ALTA]])-YEAR(M818))</f>
        <v>19</v>
      </c>
      <c r="O818" s="34" t="s">
        <v>18</v>
      </c>
      <c r="P818" s="34" t="s">
        <v>19</v>
      </c>
      <c r="Q818" s="34" t="s">
        <v>297</v>
      </c>
      <c r="R818" s="34" t="s">
        <v>21</v>
      </c>
      <c r="S818" s="34" t="s">
        <v>297</v>
      </c>
      <c r="T818" s="34"/>
      <c r="U818" s="34"/>
      <c r="V818" s="34" t="s">
        <v>40</v>
      </c>
      <c r="W818" s="34" t="s">
        <v>28</v>
      </c>
      <c r="X818" s="38" t="s">
        <v>164</v>
      </c>
      <c r="Y818" s="62">
        <v>44044</v>
      </c>
      <c r="Z818" s="38">
        <f t="shared" si="37"/>
        <v>2</v>
      </c>
      <c r="AA818" s="38"/>
      <c r="AB818" s="34">
        <v>9</v>
      </c>
      <c r="AC818" s="34">
        <v>9</v>
      </c>
      <c r="AD818" s="38"/>
      <c r="AE818" s="59" t="str">
        <f t="shared" si="38"/>
        <v>NO</v>
      </c>
      <c r="AF818" s="38" t="e" cm="1">
        <f t="array" aca="1" ref="AF818" ca="1">MIN(100, MAX(0, (IF(R818="ESTUDIANTE", 31, 0)) + (IF(I818&lt;=3, 30, IF(I818&lt;=6, 20, 0))) +(IF(OR(E818="413 - Control de Costes y Enlace Construcción", E818="480 - Secretaría General del Consejo", E818="132 - Civil y estructuras", E818="136 - Mecánica", E818="412 - Planificación", E818="142 - Compras"), 25, 0)) +(IF(OR(S818="GRADO ING. MECÁNICA", S818="GRADO ING. ELÉCTRICA", S818="GRADO DERECHO", S818="GRADO ECONOMÍA", S818="GRADO ING. TECNOLOGÍAS INDUSTRIALES"), 24, 0)) + (IF(AND(K818&gt;=451, K818&lt;=700), 23, 0)) + (IF(AND(AB818&gt;=5, AB818&lt;=8), 17, 0)) +(IF(_xludf.OR(_xludf.AND(AC818&gt;=8, AC818&lt;=10), _xludf.AND(AC818&gt;=0, AC818&lt;=5)), 16, 0)) + (IF(F818="Madrid", 11, 0))))</f>
        <v>#NAME?</v>
      </c>
      <c r="AG818" s="68"/>
      <c r="AH818" s="71" t="s">
        <v>164</v>
      </c>
    </row>
    <row r="819" spans="1:34" ht="14.4" x14ac:dyDescent="0.3">
      <c r="A819" s="66" t="s">
        <v>1798</v>
      </c>
      <c r="B819" s="66" t="s">
        <v>3915</v>
      </c>
      <c r="C819" s="33">
        <v>819</v>
      </c>
      <c r="D819" s="33" t="s">
        <v>5396</v>
      </c>
      <c r="E819" s="34" t="s">
        <v>5245</v>
      </c>
      <c r="F819" s="34" t="s">
        <v>18</v>
      </c>
      <c r="G819" s="57">
        <v>42744</v>
      </c>
      <c r="H819" s="57">
        <v>43343</v>
      </c>
      <c r="I819" s="34">
        <f t="shared" si="36"/>
        <v>19</v>
      </c>
      <c r="J819" s="34">
        <v>35</v>
      </c>
      <c r="K819" s="36">
        <v>900</v>
      </c>
      <c r="L819" s="34" t="s">
        <v>29</v>
      </c>
      <c r="M819" s="57">
        <v>34899</v>
      </c>
      <c r="N819" s="37">
        <f>(YEAR(TablaMadre[[#This Row],[ALTA]])-YEAR(M819))</f>
        <v>22</v>
      </c>
      <c r="O819" s="34" t="s">
        <v>18</v>
      </c>
      <c r="P819" s="34" t="s">
        <v>19</v>
      </c>
      <c r="Q819" s="34" t="s">
        <v>39</v>
      </c>
      <c r="R819" s="34" t="s">
        <v>21</v>
      </c>
      <c r="S819" s="34" t="s">
        <v>960</v>
      </c>
      <c r="T819" s="34"/>
      <c r="U819" s="34"/>
      <c r="V819" s="34" t="s">
        <v>40</v>
      </c>
      <c r="W819" s="34" t="s">
        <v>28</v>
      </c>
      <c r="X819" s="38" t="s">
        <v>173</v>
      </c>
      <c r="Y819" s="62"/>
      <c r="Z819" s="38" t="e">
        <f t="shared" si="37"/>
        <v>#NUM!</v>
      </c>
      <c r="AA819" s="38"/>
      <c r="AB819" s="34">
        <v>10</v>
      </c>
      <c r="AC819" s="34">
        <v>9</v>
      </c>
      <c r="AD819" s="38"/>
      <c r="AE819" s="59" t="str">
        <f t="shared" si="38"/>
        <v>NO</v>
      </c>
      <c r="AF819" s="38" t="e" cm="1">
        <f t="array" aca="1" ref="AF819" ca="1">MIN(100, MAX(0, (IF(R819="ESTUDIANTE", 31, 0)) + (IF(I819&lt;=3, 30, IF(I819&lt;=6, 20, 0))) +(IF(OR(E819="413 - Control de Costes y Enlace Construcción", E819="480 - Secretaría General del Consejo", E819="132 - Civil y estructuras", E819="136 - Mecánica", E819="412 - Planificación", E819="142 - Compras"), 25, 0)) +(IF(OR(S819="GRADO ING. MECÁNICA", S819="GRADO ING. ELÉCTRICA", S819="GRADO DERECHO", S819="GRADO ECONOMÍA", S819="GRADO ING. TECNOLOGÍAS INDUSTRIALES"), 24, 0)) + (IF(AND(K819&gt;=451, K819&lt;=700), 23, 0)) + (IF(AND(AB819&gt;=5, AB819&lt;=8), 17, 0)) +(IF(_xludf.OR(_xludf.AND(AC819&gt;=8, AC819&lt;=10), _xludf.AND(AC819&gt;=0, AC819&lt;=5)), 16, 0)) + (IF(F819="Madrid", 11, 0))))</f>
        <v>#NAME?</v>
      </c>
      <c r="AG819" s="68"/>
      <c r="AH819" s="71" t="s">
        <v>164</v>
      </c>
    </row>
    <row r="820" spans="1:34" ht="14.4" x14ac:dyDescent="0.3">
      <c r="A820" s="66" t="s">
        <v>1828</v>
      </c>
      <c r="B820" s="66" t="s">
        <v>3945</v>
      </c>
      <c r="C820" s="33">
        <v>818</v>
      </c>
      <c r="D820" s="33" t="s">
        <v>5397</v>
      </c>
      <c r="E820" s="34" t="s">
        <v>5245</v>
      </c>
      <c r="F820" s="34" t="s">
        <v>18</v>
      </c>
      <c r="G820" s="57">
        <v>42744</v>
      </c>
      <c r="H820" s="57">
        <v>43273</v>
      </c>
      <c r="I820" s="34">
        <f t="shared" si="36"/>
        <v>17</v>
      </c>
      <c r="J820" s="34">
        <v>35</v>
      </c>
      <c r="K820" s="36">
        <v>900</v>
      </c>
      <c r="L820" s="34" t="s">
        <v>29</v>
      </c>
      <c r="M820" s="57">
        <v>36578</v>
      </c>
      <c r="N820" s="37">
        <f>(YEAR(TablaMadre[[#This Row],[ALTA]])-YEAR(M820))</f>
        <v>17</v>
      </c>
      <c r="O820" s="34" t="s">
        <v>302</v>
      </c>
      <c r="P820" s="34" t="s">
        <v>19</v>
      </c>
      <c r="Q820" s="34" t="s">
        <v>32</v>
      </c>
      <c r="R820" s="34" t="s">
        <v>21</v>
      </c>
      <c r="S820" s="34" t="s">
        <v>322</v>
      </c>
      <c r="T820" s="34"/>
      <c r="U820" s="34"/>
      <c r="V820" s="34" t="s">
        <v>67</v>
      </c>
      <c r="W820" s="34" t="s">
        <v>47</v>
      </c>
      <c r="X820" s="38" t="s">
        <v>164</v>
      </c>
      <c r="Y820" s="62"/>
      <c r="Z820" s="62" t="e">
        <f t="shared" si="37"/>
        <v>#NUM!</v>
      </c>
      <c r="AA820" s="62"/>
      <c r="AB820" s="34">
        <v>9</v>
      </c>
      <c r="AC820" s="34">
        <v>8</v>
      </c>
      <c r="AD820" s="38"/>
      <c r="AE820" s="59" t="str">
        <f t="shared" si="38"/>
        <v>SÍ</v>
      </c>
      <c r="AF820" s="38" t="e" cm="1">
        <f t="array" aca="1" ref="AF820" ca="1">MIN(100, MAX(0, (IF(R820="ESTUDIANTE", 31, 0)) + (IF(I820&lt;=3, 30, IF(I820&lt;=6, 20, 0))) +(IF(OR(E820="413 - Control de Costes y Enlace Construcción", E820="480 - Secretaría General del Consejo", E820="132 - Civil y estructuras", E820="136 - Mecánica", E820="412 - Planificación", E820="142 - Compras"), 25, 0)) +(IF(OR(S820="GRADO ING. MECÁNICA", S820="GRADO ING. ELÉCTRICA", S820="GRADO DERECHO", S820="GRADO ECONOMÍA", S820="GRADO ING. TECNOLOGÍAS INDUSTRIALES"), 24, 0)) + (IF(AND(K820&gt;=451, K820&lt;=700), 23, 0)) + (IF(AND(AB820&gt;=5, AB820&lt;=8), 17, 0)) +(IF(_xludf.OR(_xludf.AND(AC820&gt;=8, AC820&lt;=10), _xludf.AND(AC820&gt;=0, AC820&lt;=5)), 16, 0)) + (IF(F820="Madrid", 11, 0))))</f>
        <v>#NAME?</v>
      </c>
      <c r="AG820" s="68"/>
      <c r="AH820" s="71" t="s">
        <v>164</v>
      </c>
    </row>
    <row r="821" spans="1:34" ht="14.4" x14ac:dyDescent="0.3">
      <c r="A821" s="66" t="s">
        <v>1778</v>
      </c>
      <c r="B821" s="66" t="s">
        <v>3895</v>
      </c>
      <c r="C821" s="33">
        <v>820</v>
      </c>
      <c r="D821" s="33" t="s">
        <v>5393</v>
      </c>
      <c r="E821" s="34" t="s">
        <v>5232</v>
      </c>
      <c r="F821" s="34" t="s">
        <v>18</v>
      </c>
      <c r="G821" s="57">
        <v>42751</v>
      </c>
      <c r="H821" s="57">
        <v>42867</v>
      </c>
      <c r="I821" s="34">
        <f t="shared" si="36"/>
        <v>3</v>
      </c>
      <c r="J821" s="34">
        <v>30</v>
      </c>
      <c r="K821" s="36">
        <v>490</v>
      </c>
      <c r="L821" s="34" t="s">
        <v>17</v>
      </c>
      <c r="M821" s="57">
        <v>35423</v>
      </c>
      <c r="N821" s="37">
        <f>(YEAR(TablaMadre[[#This Row],[ALTA]])-YEAR(M821))</f>
        <v>21</v>
      </c>
      <c r="O821" s="34" t="s">
        <v>18</v>
      </c>
      <c r="P821" s="34" t="s">
        <v>19</v>
      </c>
      <c r="Q821" s="34" t="s">
        <v>385</v>
      </c>
      <c r="R821" s="58" t="s">
        <v>30</v>
      </c>
      <c r="S821" s="34" t="s">
        <v>322</v>
      </c>
      <c r="T821" s="34"/>
      <c r="U821" s="34"/>
      <c r="V821" s="34" t="s">
        <v>137</v>
      </c>
      <c r="W821" s="34" t="s">
        <v>91</v>
      </c>
      <c r="X821" s="38" t="s">
        <v>164</v>
      </c>
      <c r="Y821" s="62"/>
      <c r="Z821" s="62" t="e">
        <f t="shared" si="37"/>
        <v>#NUM!</v>
      </c>
      <c r="AA821" s="62"/>
      <c r="AB821" s="34">
        <v>9</v>
      </c>
      <c r="AC821" s="34"/>
      <c r="AD821" s="38"/>
      <c r="AE821" s="59" t="str">
        <f t="shared" si="38"/>
        <v>NO</v>
      </c>
      <c r="AF821" s="38" t="e" cm="1">
        <f t="array" aca="1" ref="AF821" ca="1">MIN(100, MAX(0, (IF(R821="ESTUDIANTE", 31, 0)) + (IF(I821&lt;=3, 30, IF(I821&lt;=6, 20, 0))) +(IF(OR(E821="413 - Control de Costes y Enlace Construcción", E821="480 - Secretaría General del Consejo", E821="132 - Civil y estructuras", E821="136 - Mecánica", E821="412 - Planificación", E821="142 - Compras"), 25, 0)) +(IF(OR(S821="GRADO ING. MECÁNICA", S821="GRADO ING. ELÉCTRICA", S821="GRADO DERECHO", S821="GRADO ECONOMÍA", S821="GRADO ING. TECNOLOGÍAS INDUSTRIALES"), 24, 0)) + (IF(AND(K821&gt;=451, K821&lt;=700), 23, 0)) + (IF(AND(AB821&gt;=5, AB821&lt;=8), 17, 0)) +(IF(_xludf.OR(_xludf.AND(AC821&gt;=8, AC821&lt;=10), _xludf.AND(AC821&gt;=0, AC821&lt;=5)), 16, 0)) + (IF(F821="Madrid", 11, 0))))</f>
        <v>#NAME?</v>
      </c>
      <c r="AG821" s="68"/>
      <c r="AH821" s="71" t="s">
        <v>164</v>
      </c>
    </row>
    <row r="822" spans="1:34" ht="14.4" x14ac:dyDescent="0.3">
      <c r="A822" s="66" t="s">
        <v>1800</v>
      </c>
      <c r="B822" s="66" t="s">
        <v>3917</v>
      </c>
      <c r="C822" s="33">
        <v>821</v>
      </c>
      <c r="D822" s="33" t="s">
        <v>5394</v>
      </c>
      <c r="E822" s="34" t="s">
        <v>5256</v>
      </c>
      <c r="F822" s="34" t="s">
        <v>18</v>
      </c>
      <c r="G822" s="57">
        <v>42751</v>
      </c>
      <c r="H822" s="57">
        <v>43115</v>
      </c>
      <c r="I822" s="34">
        <f t="shared" si="36"/>
        <v>11</v>
      </c>
      <c r="J822" s="34">
        <v>35</v>
      </c>
      <c r="K822" s="36">
        <v>900</v>
      </c>
      <c r="L822" s="34" t="s">
        <v>17</v>
      </c>
      <c r="M822" s="57">
        <v>35332</v>
      </c>
      <c r="N822" s="37">
        <f>(YEAR(TablaMadre[[#This Row],[ALTA]])-YEAR(M822))</f>
        <v>21</v>
      </c>
      <c r="O822" s="34" t="s">
        <v>18</v>
      </c>
      <c r="P822" s="34" t="s">
        <v>19</v>
      </c>
      <c r="Q822" s="34" t="s">
        <v>49</v>
      </c>
      <c r="R822" s="34" t="s">
        <v>21</v>
      </c>
      <c r="S822" s="34" t="s">
        <v>297</v>
      </c>
      <c r="T822" s="34"/>
      <c r="U822" s="34"/>
      <c r="V822" s="34" t="s">
        <v>22</v>
      </c>
      <c r="W822" s="34" t="s">
        <v>28</v>
      </c>
      <c r="X822" s="38" t="s">
        <v>164</v>
      </c>
      <c r="Y822" s="62">
        <v>44393</v>
      </c>
      <c r="Z822" s="38">
        <f t="shared" si="37"/>
        <v>3</v>
      </c>
      <c r="AA822" s="38"/>
      <c r="AB822" s="34">
        <v>8</v>
      </c>
      <c r="AC822" s="34">
        <v>10</v>
      </c>
      <c r="AD822" s="38"/>
      <c r="AE822" s="59" t="str">
        <f t="shared" si="38"/>
        <v>NO</v>
      </c>
      <c r="AF822" s="38" t="e" cm="1">
        <f t="array" aca="1" ref="AF822" ca="1">MIN(100, MAX(0, (IF(R822="ESTUDIANTE", 31, 0)) + (IF(I822&lt;=3, 30, IF(I822&lt;=6, 20, 0))) +(IF(OR(E822="413 - Control de Costes y Enlace Construcción", E822="480 - Secretaría General del Consejo", E822="132 - Civil y estructuras", E822="136 - Mecánica", E822="412 - Planificación", E822="142 - Compras"), 25, 0)) +(IF(OR(S822="GRADO ING. MECÁNICA", S822="GRADO ING. ELÉCTRICA", S822="GRADO DERECHO", S822="GRADO ECONOMÍA", S822="GRADO ING. TECNOLOGÍAS INDUSTRIALES"), 24, 0)) + (IF(AND(K822&gt;=451, K822&lt;=700), 23, 0)) + (IF(AND(AB822&gt;=5, AB822&lt;=8), 17, 0)) +(IF(_xludf.OR(_xludf.AND(AC822&gt;=8, AC822&lt;=10), _xludf.AND(AC822&gt;=0, AC822&lt;=5)), 16, 0)) + (IF(F822="Madrid", 11, 0))))</f>
        <v>#NAME?</v>
      </c>
      <c r="AG822" s="68"/>
      <c r="AH822" s="71" t="s">
        <v>164</v>
      </c>
    </row>
    <row r="823" spans="1:34" ht="14.4" x14ac:dyDescent="0.3">
      <c r="A823" s="66" t="s">
        <v>1781</v>
      </c>
      <c r="B823" s="66" t="s">
        <v>3898</v>
      </c>
      <c r="C823" s="33">
        <v>822</v>
      </c>
      <c r="D823" s="33" t="s">
        <v>5395</v>
      </c>
      <c r="E823" s="34" t="s">
        <v>5249</v>
      </c>
      <c r="F823" s="34" t="s">
        <v>18</v>
      </c>
      <c r="G823" s="57">
        <v>42758</v>
      </c>
      <c r="H823" s="57">
        <v>42938</v>
      </c>
      <c r="I823" s="34">
        <f t="shared" si="36"/>
        <v>5</v>
      </c>
      <c r="J823" s="34">
        <v>35</v>
      </c>
      <c r="K823" s="36">
        <v>825</v>
      </c>
      <c r="L823" s="34" t="s">
        <v>17</v>
      </c>
      <c r="M823" s="57">
        <v>35608</v>
      </c>
      <c r="N823" s="37">
        <f>(YEAR(TablaMadre[[#This Row],[ALTA]])-YEAR(M823))</f>
        <v>20</v>
      </c>
      <c r="O823" s="34" t="s">
        <v>18</v>
      </c>
      <c r="P823" s="34" t="s">
        <v>19</v>
      </c>
      <c r="Q823" s="34" t="s">
        <v>297</v>
      </c>
      <c r="R823" s="34" t="s">
        <v>21</v>
      </c>
      <c r="S823" s="34" t="s">
        <v>297</v>
      </c>
      <c r="T823" s="34"/>
      <c r="U823" s="34"/>
      <c r="V823" s="34" t="s">
        <v>56</v>
      </c>
      <c r="W823" s="34" t="s">
        <v>23</v>
      </c>
      <c r="X823" s="38" t="s">
        <v>164</v>
      </c>
      <c r="Y823" s="62"/>
      <c r="Z823" s="62" t="e">
        <f t="shared" si="37"/>
        <v>#NUM!</v>
      </c>
      <c r="AA823" s="62"/>
      <c r="AB823" s="34"/>
      <c r="AC823" s="34"/>
      <c r="AD823" s="38"/>
      <c r="AE823" s="59" t="str">
        <f t="shared" si="38"/>
        <v>NO</v>
      </c>
      <c r="AF823" s="38" t="e" cm="1">
        <f t="array" aca="1" ref="AF823" ca="1">MIN(100, MAX(0, (IF(R823="ESTUDIANTE", 31, 0)) + (IF(I823&lt;=3, 30, IF(I823&lt;=6, 20, 0))) +(IF(OR(E823="413 - Control de Costes y Enlace Construcción", E823="480 - Secretaría General del Consejo", E823="132 - Civil y estructuras", E823="136 - Mecánica", E823="412 - Planificación", E823="142 - Compras"), 25, 0)) +(IF(OR(S823="GRADO ING. MECÁNICA", S823="GRADO ING. ELÉCTRICA", S823="GRADO DERECHO", S823="GRADO ECONOMÍA", S823="GRADO ING. TECNOLOGÍAS INDUSTRIALES"), 24, 0)) + (IF(AND(K823&gt;=451, K823&lt;=700), 23, 0)) + (IF(AND(AB823&gt;=5, AB823&lt;=8), 17, 0)) +(IF(_xludf.OR(_xludf.AND(AC823&gt;=8, AC823&lt;=10), _xludf.AND(AC823&gt;=0, AC823&lt;=5)), 16, 0)) + (IF(F823="Madrid", 11, 0))))</f>
        <v>#NAME?</v>
      </c>
      <c r="AG823" s="68"/>
      <c r="AH823" s="71" t="s">
        <v>164</v>
      </c>
    </row>
    <row r="824" spans="1:34" ht="14.4" x14ac:dyDescent="0.3">
      <c r="A824" s="66" t="s">
        <v>1802</v>
      </c>
      <c r="B824" s="66" t="s">
        <v>3919</v>
      </c>
      <c r="C824" s="33">
        <v>823</v>
      </c>
      <c r="D824" s="33" t="s">
        <v>5396</v>
      </c>
      <c r="E824" s="34" t="s">
        <v>5224</v>
      </c>
      <c r="F824" s="34" t="s">
        <v>18</v>
      </c>
      <c r="G824" s="57">
        <v>42767</v>
      </c>
      <c r="H824" s="57">
        <v>43100</v>
      </c>
      <c r="I824" s="34">
        <f t="shared" si="36"/>
        <v>10</v>
      </c>
      <c r="J824" s="34">
        <v>35</v>
      </c>
      <c r="K824" s="36">
        <v>800</v>
      </c>
      <c r="L824" s="34" t="s">
        <v>17</v>
      </c>
      <c r="M824" s="57">
        <v>35173</v>
      </c>
      <c r="N824" s="37">
        <f>(YEAR(TablaMadre[[#This Row],[ALTA]])-YEAR(M824))</f>
        <v>21</v>
      </c>
      <c r="O824" s="34" t="s">
        <v>226</v>
      </c>
      <c r="P824" s="34" t="s">
        <v>19</v>
      </c>
      <c r="Q824" s="34" t="s">
        <v>368</v>
      </c>
      <c r="R824" s="34" t="s">
        <v>21</v>
      </c>
      <c r="S824" s="34" t="s">
        <v>690</v>
      </c>
      <c r="T824" s="34"/>
      <c r="U824" s="34"/>
      <c r="V824" s="34" t="s">
        <v>216</v>
      </c>
      <c r="W824" s="34" t="s">
        <v>28</v>
      </c>
      <c r="X824" s="38" t="s">
        <v>164</v>
      </c>
      <c r="Y824" s="62">
        <v>43631</v>
      </c>
      <c r="Z824" s="38">
        <f t="shared" si="37"/>
        <v>1</v>
      </c>
      <c r="AA824" s="38"/>
      <c r="AB824" s="34">
        <v>9</v>
      </c>
      <c r="AC824" s="34">
        <v>8</v>
      </c>
      <c r="AD824" s="38"/>
      <c r="AE824" s="59" t="str">
        <f t="shared" si="38"/>
        <v>SÍ</v>
      </c>
      <c r="AF824" s="38" t="e" cm="1">
        <f t="array" aca="1" ref="AF824" ca="1">MIN(100, MAX(0, (IF(R824="ESTUDIANTE", 31, 0)) + (IF(I824&lt;=3, 30, IF(I824&lt;=6, 20, 0))) +(IF(OR(E824="413 - Control de Costes y Enlace Construcción", E824="480 - Secretaría General del Consejo", E824="132 - Civil y estructuras", E824="136 - Mecánica", E824="412 - Planificación", E824="142 - Compras"), 25, 0)) +(IF(OR(S824="GRADO ING. MECÁNICA", S824="GRADO ING. ELÉCTRICA", S824="GRADO DERECHO", S824="GRADO ECONOMÍA", S824="GRADO ING. TECNOLOGÍAS INDUSTRIALES"), 24, 0)) + (IF(AND(K824&gt;=451, K824&lt;=700), 23, 0)) + (IF(AND(AB824&gt;=5, AB824&lt;=8), 17, 0)) +(IF(_xludf.OR(_xludf.AND(AC824&gt;=8, AC824&lt;=10), _xludf.AND(AC824&gt;=0, AC824&lt;=5)), 16, 0)) + (IF(F824="Madrid", 11, 0))))</f>
        <v>#NAME?</v>
      </c>
      <c r="AG824" s="68"/>
      <c r="AH824" s="71" t="s">
        <v>164</v>
      </c>
    </row>
    <row r="825" spans="1:34" ht="14.4" x14ac:dyDescent="0.3">
      <c r="A825" s="66" t="s">
        <v>1829</v>
      </c>
      <c r="B825" s="66" t="s">
        <v>3946</v>
      </c>
      <c r="C825" s="33">
        <v>825</v>
      </c>
      <c r="D825" s="33" t="s">
        <v>5397</v>
      </c>
      <c r="E825" s="34" t="s">
        <v>5240</v>
      </c>
      <c r="F825" s="34" t="s">
        <v>18</v>
      </c>
      <c r="G825" s="57">
        <v>42776</v>
      </c>
      <c r="H825" s="57">
        <v>43281</v>
      </c>
      <c r="I825" s="34">
        <f t="shared" si="36"/>
        <v>16</v>
      </c>
      <c r="J825" s="34">
        <v>40</v>
      </c>
      <c r="K825" s="36">
        <v>2000</v>
      </c>
      <c r="L825" s="34" t="s">
        <v>17</v>
      </c>
      <c r="M825" s="57">
        <v>35117</v>
      </c>
      <c r="N825" s="37">
        <f>(YEAR(TablaMadre[[#This Row],[ALTA]])-YEAR(M825))</f>
        <v>21</v>
      </c>
      <c r="O825" s="34" t="s">
        <v>946</v>
      </c>
      <c r="P825" s="34" t="s">
        <v>414</v>
      </c>
      <c r="Q825" s="34" t="s">
        <v>297</v>
      </c>
      <c r="R825" s="34" t="s">
        <v>21</v>
      </c>
      <c r="S825" s="34" t="s">
        <v>297</v>
      </c>
      <c r="T825" s="34"/>
      <c r="U825" s="34"/>
      <c r="V825" s="34" t="s">
        <v>90</v>
      </c>
      <c r="W825" s="34" t="s">
        <v>23</v>
      </c>
      <c r="X825" s="38" t="s">
        <v>164</v>
      </c>
      <c r="Y825" s="62"/>
      <c r="Z825" s="62" t="e">
        <f t="shared" si="37"/>
        <v>#NUM!</v>
      </c>
      <c r="AA825" s="62"/>
      <c r="AB825" s="34">
        <v>3</v>
      </c>
      <c r="AC825" s="34">
        <v>8</v>
      </c>
      <c r="AD825" s="38"/>
      <c r="AE825" s="59" t="str">
        <f t="shared" si="38"/>
        <v>SÍ</v>
      </c>
      <c r="AF825" s="38" t="e" cm="1">
        <f t="array" aca="1" ref="AF825" ca="1">MIN(100, MAX(0, (IF(R825="ESTUDIANTE", 31, 0)) + (IF(I825&lt;=3, 30, IF(I825&lt;=6, 20, 0))) +(IF(OR(E825="413 - Control de Costes y Enlace Construcción", E825="480 - Secretaría General del Consejo", E825="132 - Civil y estructuras", E825="136 - Mecánica", E825="412 - Planificación", E825="142 - Compras"), 25, 0)) +(IF(OR(S825="GRADO ING. MECÁNICA", S825="GRADO ING. ELÉCTRICA", S825="GRADO DERECHO", S825="GRADO ECONOMÍA", S825="GRADO ING. TECNOLOGÍAS INDUSTRIALES"), 24, 0)) + (IF(AND(K825&gt;=451, K825&lt;=700), 23, 0)) + (IF(AND(AB825&gt;=5, AB825&lt;=8), 17, 0)) +(IF(_xludf.OR(_xludf.AND(AC825&gt;=8, AC825&lt;=10), _xludf.AND(AC825&gt;=0, AC825&lt;=5)), 16, 0)) + (IF(F825="Madrid", 11, 0))))</f>
        <v>#NAME?</v>
      </c>
      <c r="AG825" s="68"/>
      <c r="AH825" s="71" t="s">
        <v>164</v>
      </c>
    </row>
    <row r="826" spans="1:34" ht="14.4" x14ac:dyDescent="0.3">
      <c r="A826" s="66" t="s">
        <v>1830</v>
      </c>
      <c r="B826" s="66" t="s">
        <v>3947</v>
      </c>
      <c r="C826" s="33">
        <v>824</v>
      </c>
      <c r="D826" s="33" t="s">
        <v>5398</v>
      </c>
      <c r="E826" s="34" t="s">
        <v>5216</v>
      </c>
      <c r="F826" s="34" t="s">
        <v>931</v>
      </c>
      <c r="G826" s="57">
        <v>42776</v>
      </c>
      <c r="H826" s="57">
        <v>43281</v>
      </c>
      <c r="I826" s="34">
        <f t="shared" si="36"/>
        <v>16</v>
      </c>
      <c r="J826" s="34">
        <v>40</v>
      </c>
      <c r="K826" s="36">
        <v>2000</v>
      </c>
      <c r="L826" s="34" t="s">
        <v>17</v>
      </c>
      <c r="M826" s="57">
        <v>36507</v>
      </c>
      <c r="N826" s="37">
        <f>(YEAR(TablaMadre[[#This Row],[ALTA]])-YEAR(M826))</f>
        <v>18</v>
      </c>
      <c r="O826" s="34"/>
      <c r="P826" s="34" t="s">
        <v>103</v>
      </c>
      <c r="Q826" s="34" t="s">
        <v>297</v>
      </c>
      <c r="R826" s="34" t="s">
        <v>21</v>
      </c>
      <c r="S826" s="34" t="s">
        <v>297</v>
      </c>
      <c r="T826" s="34"/>
      <c r="U826" s="34"/>
      <c r="V826" s="34" t="s">
        <v>90</v>
      </c>
      <c r="W826" s="34" t="s">
        <v>23</v>
      </c>
      <c r="X826" s="38" t="s">
        <v>164</v>
      </c>
      <c r="Y826" s="62"/>
      <c r="Z826" s="62" t="e">
        <f t="shared" si="37"/>
        <v>#NUM!</v>
      </c>
      <c r="AA826" s="62"/>
      <c r="AB826" s="34">
        <v>4</v>
      </c>
      <c r="AC826" s="34" t="s">
        <v>413</v>
      </c>
      <c r="AD826" s="38"/>
      <c r="AE826" s="59" t="str">
        <f t="shared" si="38"/>
        <v>SÍ</v>
      </c>
      <c r="AF826" s="38" t="e" cm="1">
        <f t="array" aca="1" ref="AF826" ca="1">MIN(100, MAX(0, (IF(R826="ESTUDIANTE", 31, 0)) + (IF(I826&lt;=3, 30, IF(I826&lt;=6, 20, 0))) +(IF(OR(E826="413 - Control de Costes y Enlace Construcción", E826="480 - Secretaría General del Consejo", E826="132 - Civil y estructuras", E826="136 - Mecánica", E826="412 - Planificación", E826="142 - Compras"), 25, 0)) +(IF(OR(S826="GRADO ING. MECÁNICA", S826="GRADO ING. ELÉCTRICA", S826="GRADO DERECHO", S826="GRADO ECONOMÍA", S826="GRADO ING. TECNOLOGÍAS INDUSTRIALES"), 24, 0)) + (IF(AND(K826&gt;=451, K826&lt;=700), 23, 0)) + (IF(AND(AB826&gt;=5, AB826&lt;=8), 17, 0)) +(IF(_xludf.OR(_xludf.AND(AC826&gt;=8, AC826&lt;=10), _xludf.AND(AC826&gt;=0, AC826&lt;=5)), 16, 0)) + (IF(F826="Madrid", 11, 0))))</f>
        <v>#NAME?</v>
      </c>
      <c r="AG826" s="68"/>
      <c r="AH826" s="71" t="s">
        <v>164</v>
      </c>
    </row>
    <row r="827" spans="1:34" ht="14.4" x14ac:dyDescent="0.3">
      <c r="A827" s="66" t="s">
        <v>1805</v>
      </c>
      <c r="B827" s="66" t="s">
        <v>3922</v>
      </c>
      <c r="C827" s="33">
        <v>826</v>
      </c>
      <c r="D827" s="33" t="s">
        <v>5399</v>
      </c>
      <c r="E827" s="34" t="s">
        <v>5300</v>
      </c>
      <c r="F827" s="34" t="s">
        <v>273</v>
      </c>
      <c r="G827" s="57">
        <v>42777</v>
      </c>
      <c r="H827" s="57">
        <v>43220</v>
      </c>
      <c r="I827" s="34">
        <f t="shared" si="36"/>
        <v>14</v>
      </c>
      <c r="J827" s="34">
        <v>40</v>
      </c>
      <c r="K827" s="36">
        <v>500</v>
      </c>
      <c r="L827" s="34" t="s">
        <v>17</v>
      </c>
      <c r="M827" s="57">
        <v>35789</v>
      </c>
      <c r="N827" s="37">
        <f>(YEAR(TablaMadre[[#This Row],[ALTA]])-YEAR(M827))</f>
        <v>20</v>
      </c>
      <c r="O827" s="34" t="s">
        <v>273</v>
      </c>
      <c r="P827" s="34" t="s">
        <v>273</v>
      </c>
      <c r="Q827" s="34" t="s">
        <v>410</v>
      </c>
      <c r="R827" s="58" t="s">
        <v>30</v>
      </c>
      <c r="S827" s="34" t="s">
        <v>307</v>
      </c>
      <c r="T827" s="34"/>
      <c r="U827" s="34"/>
      <c r="V827" s="34" t="s">
        <v>90</v>
      </c>
      <c r="W827" s="34" t="s">
        <v>97</v>
      </c>
      <c r="X827" s="38" t="s">
        <v>164</v>
      </c>
      <c r="Y827" s="62">
        <v>43799</v>
      </c>
      <c r="Z827" s="38">
        <f t="shared" si="37"/>
        <v>1</v>
      </c>
      <c r="AA827" s="38"/>
      <c r="AB827" s="34"/>
      <c r="AC827" s="34"/>
      <c r="AD827" s="38"/>
      <c r="AE827" s="59" t="str">
        <f t="shared" si="38"/>
        <v>NO</v>
      </c>
      <c r="AF827" s="38" t="e" cm="1">
        <f t="array" aca="1" ref="AF827" ca="1">MIN(100, MAX(0, (IF(R827="ESTUDIANTE", 31, 0)) + (IF(I827&lt;=3, 30, IF(I827&lt;=6, 20, 0))) +(IF(OR(E827="413 - Control de Costes y Enlace Construcción", E827="480 - Secretaría General del Consejo", E827="132 - Civil y estructuras", E827="136 - Mecánica", E827="412 - Planificación", E827="142 - Compras"), 25, 0)) +(IF(OR(S827="GRADO ING. MECÁNICA", S827="GRADO ING. ELÉCTRICA", S827="GRADO DERECHO", S827="GRADO ECONOMÍA", S827="GRADO ING. TECNOLOGÍAS INDUSTRIALES"), 24, 0)) + (IF(AND(K827&gt;=451, K827&lt;=700), 23, 0)) + (IF(AND(AB827&gt;=5, AB827&lt;=8), 17, 0)) +(IF(_xludf.OR(_xludf.AND(AC827&gt;=8, AC827&lt;=10), _xludf.AND(AC827&gt;=0, AC827&lt;=5)), 16, 0)) + (IF(F827="Madrid", 11, 0))))</f>
        <v>#NAME?</v>
      </c>
      <c r="AG827" s="68"/>
      <c r="AH827" s="71" t="s">
        <v>164</v>
      </c>
    </row>
    <row r="828" spans="1:34" ht="14.4" x14ac:dyDescent="0.3">
      <c r="A828" s="66" t="s">
        <v>1806</v>
      </c>
      <c r="B828" s="66" t="s">
        <v>3923</v>
      </c>
      <c r="C828" s="33">
        <v>827</v>
      </c>
      <c r="D828" s="33" t="s">
        <v>5400</v>
      </c>
      <c r="E828" s="34" t="s">
        <v>5229</v>
      </c>
      <c r="F828" s="34" t="s">
        <v>18</v>
      </c>
      <c r="G828" s="57">
        <v>42779</v>
      </c>
      <c r="H828" s="57">
        <v>43143</v>
      </c>
      <c r="I828" s="34">
        <f t="shared" si="36"/>
        <v>11</v>
      </c>
      <c r="J828" s="34">
        <v>35</v>
      </c>
      <c r="K828" s="36">
        <v>650</v>
      </c>
      <c r="L828" s="34" t="s">
        <v>17</v>
      </c>
      <c r="M828" s="57">
        <v>36266</v>
      </c>
      <c r="N828" s="37">
        <f>(YEAR(TablaMadre[[#This Row],[ALTA]])-YEAR(M828))</f>
        <v>18</v>
      </c>
      <c r="O828" s="34" t="s">
        <v>18</v>
      </c>
      <c r="P828" s="34" t="s">
        <v>19</v>
      </c>
      <c r="Q828" s="34" t="s">
        <v>359</v>
      </c>
      <c r="R828" s="58" t="s">
        <v>30</v>
      </c>
      <c r="S828" s="34" t="s">
        <v>26</v>
      </c>
      <c r="T828" s="34"/>
      <c r="U828" s="34"/>
      <c r="V828" s="34" t="s">
        <v>27</v>
      </c>
      <c r="W828" s="34" t="s">
        <v>28</v>
      </c>
      <c r="X828" s="38" t="s">
        <v>173</v>
      </c>
      <c r="Y828" s="62"/>
      <c r="Z828" s="38" t="e">
        <f t="shared" si="37"/>
        <v>#NUM!</v>
      </c>
      <c r="AA828" s="38"/>
      <c r="AB828" s="34">
        <v>8</v>
      </c>
      <c r="AC828" s="34">
        <v>10</v>
      </c>
      <c r="AD828" s="38"/>
      <c r="AE828" s="59" t="str">
        <f t="shared" si="38"/>
        <v>NO</v>
      </c>
      <c r="AF828" s="38" t="e" cm="1">
        <f t="array" aca="1" ref="AF828" ca="1">MIN(100, MAX(0, (IF(R828="ESTUDIANTE", 31, 0)) + (IF(I828&lt;=3, 30, IF(I828&lt;=6, 20, 0))) +(IF(OR(E828="413 - Control de Costes y Enlace Construcción", E828="480 - Secretaría General del Consejo", E828="132 - Civil y estructuras", E828="136 - Mecánica", E828="412 - Planificación", E828="142 - Compras"), 25, 0)) +(IF(OR(S828="GRADO ING. MECÁNICA", S828="GRADO ING. ELÉCTRICA", S828="GRADO DERECHO", S828="GRADO ECONOMÍA", S828="GRADO ING. TECNOLOGÍAS INDUSTRIALES"), 24, 0)) + (IF(AND(K828&gt;=451, K828&lt;=700), 23, 0)) + (IF(AND(AB828&gt;=5, AB828&lt;=8), 17, 0)) +(IF(_xludf.OR(_xludf.AND(AC828&gt;=8, AC828&lt;=10), _xludf.AND(AC828&gt;=0, AC828&lt;=5)), 16, 0)) + (IF(F828="Madrid", 11, 0))))</f>
        <v>#NAME?</v>
      </c>
      <c r="AG828" s="68"/>
      <c r="AH828" s="71" t="s">
        <v>164</v>
      </c>
    </row>
    <row r="829" spans="1:34" ht="14.4" x14ac:dyDescent="0.3">
      <c r="A829" s="66" t="s">
        <v>1801</v>
      </c>
      <c r="B829" s="66" t="s">
        <v>3918</v>
      </c>
      <c r="C829" s="33">
        <v>829</v>
      </c>
      <c r="D829" s="33" t="s">
        <v>5401</v>
      </c>
      <c r="E829" s="34" t="s">
        <v>5275</v>
      </c>
      <c r="F829" s="34" t="s">
        <v>931</v>
      </c>
      <c r="G829" s="57">
        <v>42798</v>
      </c>
      <c r="H829" s="57">
        <v>43028</v>
      </c>
      <c r="I829" s="34">
        <f t="shared" si="36"/>
        <v>7</v>
      </c>
      <c r="J829" s="34">
        <v>35</v>
      </c>
      <c r="K829" s="36">
        <v>900</v>
      </c>
      <c r="L829" s="34" t="s">
        <v>17</v>
      </c>
      <c r="M829" s="57">
        <v>34514</v>
      </c>
      <c r="N829" s="37">
        <f>(YEAR(TablaMadre[[#This Row],[ALTA]])-YEAR(M829))</f>
        <v>23</v>
      </c>
      <c r="O829" s="34"/>
      <c r="P829" s="34" t="s">
        <v>400</v>
      </c>
      <c r="Q829" s="34" t="s">
        <v>401</v>
      </c>
      <c r="R829" s="34" t="s">
        <v>21</v>
      </c>
      <c r="S829" s="34" t="s">
        <v>402</v>
      </c>
      <c r="T829" s="34"/>
      <c r="U829" s="34"/>
      <c r="V829" s="34" t="s">
        <v>90</v>
      </c>
      <c r="W829" s="34" t="s">
        <v>181</v>
      </c>
      <c r="X829" s="38" t="s">
        <v>164</v>
      </c>
      <c r="Y829" s="62"/>
      <c r="Z829" s="62" t="e">
        <f t="shared" si="37"/>
        <v>#NUM!</v>
      </c>
      <c r="AA829" s="62"/>
      <c r="AB829" s="34">
        <v>7.5</v>
      </c>
      <c r="AC829" s="34">
        <v>7.8</v>
      </c>
      <c r="AD829" s="38"/>
      <c r="AE829" s="59" t="str">
        <f t="shared" si="38"/>
        <v>SÍ</v>
      </c>
      <c r="AF829" s="38" t="e" cm="1">
        <f t="array" aca="1" ref="AF829" ca="1">MIN(100, MAX(0, (IF(R829="ESTUDIANTE", 31, 0)) + (IF(I829&lt;=3, 30, IF(I829&lt;=6, 20, 0))) +(IF(OR(E829="413 - Control de Costes y Enlace Construcción", E829="480 - Secretaría General del Consejo", E829="132 - Civil y estructuras", E829="136 - Mecánica", E829="412 - Planificación", E829="142 - Compras"), 25, 0)) +(IF(OR(S829="GRADO ING. MECÁNICA", S829="GRADO ING. ELÉCTRICA", S829="GRADO DERECHO", S829="GRADO ECONOMÍA", S829="GRADO ING. TECNOLOGÍAS INDUSTRIALES"), 24, 0)) + (IF(AND(K829&gt;=451, K829&lt;=700), 23, 0)) + (IF(AND(AB829&gt;=5, AB829&lt;=8), 17, 0)) +(IF(_xludf.OR(_xludf.AND(AC829&gt;=8, AC829&lt;=10), _xludf.AND(AC829&gt;=0, AC829&lt;=5)), 16, 0)) + (IF(F829="Madrid", 11, 0))))</f>
        <v>#NAME?</v>
      </c>
      <c r="AG829" s="68"/>
      <c r="AH829" s="71" t="s">
        <v>164</v>
      </c>
    </row>
    <row r="830" spans="1:34" ht="14.4" x14ac:dyDescent="0.3">
      <c r="A830" s="66" t="s">
        <v>1803</v>
      </c>
      <c r="B830" s="66" t="s">
        <v>3920</v>
      </c>
      <c r="C830" s="33">
        <v>828</v>
      </c>
      <c r="D830" s="33" t="s">
        <v>5402</v>
      </c>
      <c r="E830" s="34" t="s">
        <v>5237</v>
      </c>
      <c r="F830" s="34" t="s">
        <v>18</v>
      </c>
      <c r="G830" s="57">
        <v>42798</v>
      </c>
      <c r="H830" s="57">
        <v>42916</v>
      </c>
      <c r="I830" s="34">
        <f t="shared" si="36"/>
        <v>3</v>
      </c>
      <c r="J830" s="34">
        <v>35</v>
      </c>
      <c r="K830" s="36">
        <v>650</v>
      </c>
      <c r="L830" s="34" t="s">
        <v>17</v>
      </c>
      <c r="M830" s="57">
        <v>35601</v>
      </c>
      <c r="N830" s="37">
        <f>(YEAR(TablaMadre[[#This Row],[ALTA]])-YEAR(M830))</f>
        <v>20</v>
      </c>
      <c r="O830" s="34" t="s">
        <v>18</v>
      </c>
      <c r="P830" s="34" t="s">
        <v>19</v>
      </c>
      <c r="Q830" s="34" t="s">
        <v>297</v>
      </c>
      <c r="R830" s="58" t="s">
        <v>30</v>
      </c>
      <c r="S830" s="34" t="s">
        <v>297</v>
      </c>
      <c r="T830" s="34"/>
      <c r="U830" s="34"/>
      <c r="V830" s="34" t="s">
        <v>22</v>
      </c>
      <c r="W830" s="34" t="s">
        <v>23</v>
      </c>
      <c r="X830" s="38" t="s">
        <v>164</v>
      </c>
      <c r="Y830" s="62"/>
      <c r="Z830" s="62" t="e">
        <f t="shared" si="37"/>
        <v>#NUM!</v>
      </c>
      <c r="AA830" s="62"/>
      <c r="AB830" s="34">
        <v>9</v>
      </c>
      <c r="AC830" s="34">
        <v>7</v>
      </c>
      <c r="AD830" s="38"/>
      <c r="AE830" s="59" t="str">
        <f t="shared" si="38"/>
        <v>NO</v>
      </c>
      <c r="AF830" s="38" t="e" cm="1">
        <f t="array" aca="1" ref="AF830" ca="1">MIN(100, MAX(0, (IF(R830="ESTUDIANTE", 31, 0)) + (IF(I830&lt;=3, 30, IF(I830&lt;=6, 20, 0))) +(IF(OR(E830="413 - Control de Costes y Enlace Construcción", E830="480 - Secretaría General del Consejo", E830="132 - Civil y estructuras", E830="136 - Mecánica", E830="412 - Planificación", E830="142 - Compras"), 25, 0)) +(IF(OR(S830="GRADO ING. MECÁNICA", S830="GRADO ING. ELÉCTRICA", S830="GRADO DERECHO", S830="GRADO ECONOMÍA", S830="GRADO ING. TECNOLOGÍAS INDUSTRIALES"), 24, 0)) + (IF(AND(K830&gt;=451, K830&lt;=700), 23, 0)) + (IF(AND(AB830&gt;=5, AB830&lt;=8), 17, 0)) +(IF(_xludf.OR(_xludf.AND(AC830&gt;=8, AC830&lt;=10), _xludf.AND(AC830&gt;=0, AC830&lt;=5)), 16, 0)) + (IF(F830="Madrid", 11, 0))))</f>
        <v>#NAME?</v>
      </c>
      <c r="AG830" s="68"/>
      <c r="AH830" s="71" t="s">
        <v>164</v>
      </c>
    </row>
    <row r="831" spans="1:34" ht="14.4" x14ac:dyDescent="0.3">
      <c r="A831" s="66" t="s">
        <v>1809</v>
      </c>
      <c r="B831" s="66" t="s">
        <v>3926</v>
      </c>
      <c r="C831" s="33">
        <v>830</v>
      </c>
      <c r="D831" s="33" t="s">
        <v>5393</v>
      </c>
      <c r="E831" s="34" t="s">
        <v>5244</v>
      </c>
      <c r="F831" s="34" t="s">
        <v>18</v>
      </c>
      <c r="G831" s="57">
        <v>42798</v>
      </c>
      <c r="H831" s="57">
        <v>43190</v>
      </c>
      <c r="I831" s="34">
        <f t="shared" si="36"/>
        <v>12</v>
      </c>
      <c r="J831" s="34">
        <v>35</v>
      </c>
      <c r="K831" s="36">
        <v>900</v>
      </c>
      <c r="L831" s="34" t="s">
        <v>17</v>
      </c>
      <c r="M831" s="57">
        <v>35573</v>
      </c>
      <c r="N831" s="37">
        <f>(YEAR(TablaMadre[[#This Row],[ALTA]])-YEAR(M831))</f>
        <v>20</v>
      </c>
      <c r="O831" s="34" t="s">
        <v>146</v>
      </c>
      <c r="P831" s="34" t="s">
        <v>19</v>
      </c>
      <c r="Q831" s="34" t="s">
        <v>399</v>
      </c>
      <c r="R831" s="34" t="s">
        <v>21</v>
      </c>
      <c r="S831" s="34" t="s">
        <v>322</v>
      </c>
      <c r="T831" s="34"/>
      <c r="U831" s="34"/>
      <c r="V831" s="34" t="s">
        <v>131</v>
      </c>
      <c r="W831" s="34" t="s">
        <v>28</v>
      </c>
      <c r="X831" s="38" t="s">
        <v>164</v>
      </c>
      <c r="Y831" s="62">
        <v>43512</v>
      </c>
      <c r="Z831" s="38">
        <f t="shared" si="37"/>
        <v>0</v>
      </c>
      <c r="AA831" s="38"/>
      <c r="AB831" s="34">
        <v>7</v>
      </c>
      <c r="AC831" s="34">
        <v>8</v>
      </c>
      <c r="AD831" s="38"/>
      <c r="AE831" s="59" t="str">
        <f t="shared" si="38"/>
        <v>SÍ</v>
      </c>
      <c r="AF831" s="38" t="e" cm="1">
        <f t="array" aca="1" ref="AF831" ca="1">MIN(100, MAX(0, (IF(R831="ESTUDIANTE", 31, 0)) + (IF(I831&lt;=3, 30, IF(I831&lt;=6, 20, 0))) +(IF(OR(E831="413 - Control de Costes y Enlace Construcción", E831="480 - Secretaría General del Consejo", E831="132 - Civil y estructuras", E831="136 - Mecánica", E831="412 - Planificación", E831="142 - Compras"), 25, 0)) +(IF(OR(S831="GRADO ING. MECÁNICA", S831="GRADO ING. ELÉCTRICA", S831="GRADO DERECHO", S831="GRADO ECONOMÍA", S831="GRADO ING. TECNOLOGÍAS INDUSTRIALES"), 24, 0)) + (IF(AND(K831&gt;=451, K831&lt;=700), 23, 0)) + (IF(AND(AB831&gt;=5, AB831&lt;=8), 17, 0)) +(IF(_xludf.OR(_xludf.AND(AC831&gt;=8, AC831&lt;=10), _xludf.AND(AC831&gt;=0, AC831&lt;=5)), 16, 0)) + (IF(F831="Madrid", 11, 0))))</f>
        <v>#NAME?</v>
      </c>
      <c r="AG831" s="68"/>
      <c r="AH831" s="71" t="s">
        <v>164</v>
      </c>
    </row>
    <row r="832" spans="1:34" ht="14.4" x14ac:dyDescent="0.3">
      <c r="A832" s="66" t="s">
        <v>1804</v>
      </c>
      <c r="B832" s="66" t="s">
        <v>3921</v>
      </c>
      <c r="C832" s="33">
        <v>832</v>
      </c>
      <c r="D832" s="33" t="s">
        <v>5394</v>
      </c>
      <c r="E832" s="34" t="s">
        <v>5240</v>
      </c>
      <c r="F832" s="34" t="s">
        <v>18</v>
      </c>
      <c r="G832" s="57">
        <v>42799</v>
      </c>
      <c r="H832" s="57">
        <v>43226</v>
      </c>
      <c r="I832" s="34">
        <f t="shared" si="36"/>
        <v>14</v>
      </c>
      <c r="J832" s="34">
        <v>35</v>
      </c>
      <c r="K832" s="36">
        <v>825</v>
      </c>
      <c r="L832" s="34" t="s">
        <v>29</v>
      </c>
      <c r="M832" s="57">
        <v>34661</v>
      </c>
      <c r="N832" s="37">
        <f>(YEAR(TablaMadre[[#This Row],[ALTA]])-YEAR(M832))</f>
        <v>23</v>
      </c>
      <c r="O832" s="34" t="s">
        <v>654</v>
      </c>
      <c r="P832" s="34" t="s">
        <v>19</v>
      </c>
      <c r="Q832" s="34" t="s">
        <v>215</v>
      </c>
      <c r="R832" s="34" t="s">
        <v>21</v>
      </c>
      <c r="S832" s="34" t="s">
        <v>322</v>
      </c>
      <c r="T832" s="34"/>
      <c r="U832" s="34"/>
      <c r="V832" s="34" t="s">
        <v>51</v>
      </c>
      <c r="W832" s="34" t="s">
        <v>47</v>
      </c>
      <c r="X832" s="38" t="s">
        <v>164</v>
      </c>
      <c r="Y832" s="62"/>
      <c r="Z832" s="62" t="e">
        <f t="shared" si="37"/>
        <v>#NUM!</v>
      </c>
      <c r="AA832" s="62"/>
      <c r="AB832" s="34">
        <v>8</v>
      </c>
      <c r="AC832" s="34">
        <v>10</v>
      </c>
      <c r="AD832" s="38"/>
      <c r="AE832" s="59" t="str">
        <f t="shared" si="38"/>
        <v>SÍ</v>
      </c>
      <c r="AF832" s="38" t="e" cm="1">
        <f t="array" aca="1" ref="AF832" ca="1">MIN(100, MAX(0, (IF(R832="ESTUDIANTE", 31, 0)) + (IF(I832&lt;=3, 30, IF(I832&lt;=6, 20, 0))) +(IF(OR(E832="413 - Control de Costes y Enlace Construcción", E832="480 - Secretaría General del Consejo", E832="132 - Civil y estructuras", E832="136 - Mecánica", E832="412 - Planificación", E832="142 - Compras"), 25, 0)) +(IF(OR(S832="GRADO ING. MECÁNICA", S832="GRADO ING. ELÉCTRICA", S832="GRADO DERECHO", S832="GRADO ECONOMÍA", S832="GRADO ING. TECNOLOGÍAS INDUSTRIALES"), 24, 0)) + (IF(AND(K832&gt;=451, K832&lt;=700), 23, 0)) + (IF(AND(AB832&gt;=5, AB832&lt;=8), 17, 0)) +(IF(_xludf.OR(_xludf.AND(AC832&gt;=8, AC832&lt;=10), _xludf.AND(AC832&gt;=0, AC832&lt;=5)), 16, 0)) + (IF(F832="Madrid", 11, 0))))</f>
        <v>#NAME?</v>
      </c>
      <c r="AG832" s="68"/>
      <c r="AH832" s="71" t="s">
        <v>164</v>
      </c>
    </row>
    <row r="833" spans="1:34" ht="14.4" x14ac:dyDescent="0.3">
      <c r="A833" s="66" t="s">
        <v>1807</v>
      </c>
      <c r="B833" s="66" t="s">
        <v>3924</v>
      </c>
      <c r="C833" s="33">
        <v>831</v>
      </c>
      <c r="D833" s="33" t="s">
        <v>5395</v>
      </c>
      <c r="E833" s="34" t="s">
        <v>5240</v>
      </c>
      <c r="F833" s="34" t="s">
        <v>18</v>
      </c>
      <c r="G833" s="57">
        <v>42799</v>
      </c>
      <c r="H833" s="57">
        <v>43220</v>
      </c>
      <c r="I833" s="34">
        <f t="shared" si="36"/>
        <v>13</v>
      </c>
      <c r="J833" s="34">
        <v>35</v>
      </c>
      <c r="K833" s="36">
        <v>900</v>
      </c>
      <c r="L833" s="34" t="s">
        <v>17</v>
      </c>
      <c r="M833" s="57">
        <v>35852</v>
      </c>
      <c r="N833" s="37">
        <f>(YEAR(TablaMadre[[#This Row],[ALTA]])-YEAR(M833))</f>
        <v>19</v>
      </c>
      <c r="O833" s="34" t="s">
        <v>411</v>
      </c>
      <c r="P833" s="34" t="s">
        <v>19</v>
      </c>
      <c r="Q833" s="34" t="s">
        <v>315</v>
      </c>
      <c r="R833" s="34" t="s">
        <v>21</v>
      </c>
      <c r="S833" s="34" t="s">
        <v>307</v>
      </c>
      <c r="T833" s="34"/>
      <c r="U833" s="34"/>
      <c r="V833" s="34" t="s">
        <v>131</v>
      </c>
      <c r="W833" s="34" t="s">
        <v>23</v>
      </c>
      <c r="X833" s="38" t="s">
        <v>164</v>
      </c>
      <c r="Y833" s="62"/>
      <c r="Z833" s="62" t="e">
        <f t="shared" si="37"/>
        <v>#NUM!</v>
      </c>
      <c r="AA833" s="62"/>
      <c r="AB833" s="34">
        <v>9</v>
      </c>
      <c r="AC833" s="34">
        <v>6</v>
      </c>
      <c r="AD833" s="38"/>
      <c r="AE833" s="59" t="str">
        <f t="shared" si="38"/>
        <v>SÍ</v>
      </c>
      <c r="AF833" s="38" t="e" cm="1">
        <f t="array" aca="1" ref="AF833" ca="1">MIN(100, MAX(0, (IF(R833="ESTUDIANTE", 31, 0)) + (IF(I833&lt;=3, 30, IF(I833&lt;=6, 20, 0))) +(IF(OR(E833="413 - Control de Costes y Enlace Construcción", E833="480 - Secretaría General del Consejo", E833="132 - Civil y estructuras", E833="136 - Mecánica", E833="412 - Planificación", E833="142 - Compras"), 25, 0)) +(IF(OR(S833="GRADO ING. MECÁNICA", S833="GRADO ING. ELÉCTRICA", S833="GRADO DERECHO", S833="GRADO ECONOMÍA", S833="GRADO ING. TECNOLOGÍAS INDUSTRIALES"), 24, 0)) + (IF(AND(K833&gt;=451, K833&lt;=700), 23, 0)) + (IF(AND(AB833&gt;=5, AB833&lt;=8), 17, 0)) +(IF(_xludf.OR(_xludf.AND(AC833&gt;=8, AC833&lt;=10), _xludf.AND(AC833&gt;=0, AC833&lt;=5)), 16, 0)) + (IF(F833="Madrid", 11, 0))))</f>
        <v>#NAME?</v>
      </c>
      <c r="AG833" s="68"/>
      <c r="AH833" s="71" t="s">
        <v>164</v>
      </c>
    </row>
    <row r="834" spans="1:34" ht="14.4" x14ac:dyDescent="0.3">
      <c r="A834" s="66" t="s">
        <v>1812</v>
      </c>
      <c r="B834" s="66" t="s">
        <v>3929</v>
      </c>
      <c r="C834" s="33">
        <v>833</v>
      </c>
      <c r="D834" s="33" t="s">
        <v>5396</v>
      </c>
      <c r="E834" s="34" t="s">
        <v>5240</v>
      </c>
      <c r="F834" s="34" t="s">
        <v>18</v>
      </c>
      <c r="G834" s="57">
        <v>42799</v>
      </c>
      <c r="H834" s="57">
        <v>43404</v>
      </c>
      <c r="I834" s="34">
        <f t="shared" ref="I834:I897" si="39">DATEDIF(G834, H834, "M")</f>
        <v>19</v>
      </c>
      <c r="J834" s="34">
        <v>35</v>
      </c>
      <c r="K834" s="36">
        <v>900</v>
      </c>
      <c r="L834" s="34" t="s">
        <v>17</v>
      </c>
      <c r="M834" s="57">
        <v>34291</v>
      </c>
      <c r="N834" s="37">
        <f>(YEAR(TablaMadre[[#This Row],[ALTA]])-YEAR(M834))</f>
        <v>24</v>
      </c>
      <c r="O834" s="34" t="s">
        <v>18</v>
      </c>
      <c r="P834" s="34" t="s">
        <v>19</v>
      </c>
      <c r="Q834" s="34" t="s">
        <v>421</v>
      </c>
      <c r="R834" s="34" t="s">
        <v>21</v>
      </c>
      <c r="S834" s="34" t="s">
        <v>384</v>
      </c>
      <c r="T834" s="34"/>
      <c r="U834" s="34"/>
      <c r="V834" s="34" t="s">
        <v>22</v>
      </c>
      <c r="W834" s="34" t="s">
        <v>127</v>
      </c>
      <c r="X834" s="38" t="s">
        <v>164</v>
      </c>
      <c r="Y834" s="62">
        <v>44616</v>
      </c>
      <c r="Z834" s="38">
        <f t="shared" ref="Z834:Z897" si="40">DATEDIF(H834, Y834, "y")</f>
        <v>3</v>
      </c>
      <c r="AA834" s="38"/>
      <c r="AB834" s="34">
        <v>10</v>
      </c>
      <c r="AC834" s="34">
        <v>10</v>
      </c>
      <c r="AD834" s="38"/>
      <c r="AE834" s="59" t="str">
        <f t="shared" si="38"/>
        <v>NO</v>
      </c>
      <c r="AF834" s="38" t="e" cm="1">
        <f t="array" aca="1" ref="AF834" ca="1">MIN(100, MAX(0, (IF(R834="ESTUDIANTE", 31, 0)) + (IF(I834&lt;=3, 30, IF(I834&lt;=6, 20, 0))) +(IF(OR(E834="413 - Control de Costes y Enlace Construcción", E834="480 - Secretaría General del Consejo", E834="132 - Civil y estructuras", E834="136 - Mecánica", E834="412 - Planificación", E834="142 - Compras"), 25, 0)) +(IF(OR(S834="GRADO ING. MECÁNICA", S834="GRADO ING. ELÉCTRICA", S834="GRADO DERECHO", S834="GRADO ECONOMÍA", S834="GRADO ING. TECNOLOGÍAS INDUSTRIALES"), 24, 0)) + (IF(AND(K834&gt;=451, K834&lt;=700), 23, 0)) + (IF(AND(AB834&gt;=5, AB834&lt;=8), 17, 0)) +(IF(_xludf.OR(_xludf.AND(AC834&gt;=8, AC834&lt;=10), _xludf.AND(AC834&gt;=0, AC834&lt;=5)), 16, 0)) + (IF(F834="Madrid", 11, 0))))</f>
        <v>#NAME?</v>
      </c>
      <c r="AG834" s="68"/>
      <c r="AH834" s="71" t="s">
        <v>164</v>
      </c>
    </row>
    <row r="835" spans="1:34" ht="14.4" x14ac:dyDescent="0.3">
      <c r="A835" s="66" t="s">
        <v>1762</v>
      </c>
      <c r="B835" s="66" t="s">
        <v>3879</v>
      </c>
      <c r="C835" s="33">
        <v>834</v>
      </c>
      <c r="D835" s="33" t="s">
        <v>5397</v>
      </c>
      <c r="E835" s="34" t="s">
        <v>5231</v>
      </c>
      <c r="F835" s="34" t="s">
        <v>18</v>
      </c>
      <c r="G835" s="57">
        <v>42801</v>
      </c>
      <c r="H835" s="57">
        <v>43159</v>
      </c>
      <c r="I835" s="34">
        <f t="shared" si="39"/>
        <v>11</v>
      </c>
      <c r="J835" s="34">
        <v>20</v>
      </c>
      <c r="K835" s="36">
        <v>370</v>
      </c>
      <c r="L835" s="34" t="s">
        <v>29</v>
      </c>
      <c r="M835" s="57">
        <v>34136</v>
      </c>
      <c r="N835" s="37">
        <f>(YEAR(TablaMadre[[#This Row],[ALTA]])-YEAR(M835))</f>
        <v>24</v>
      </c>
      <c r="O835" s="34" t="s">
        <v>18</v>
      </c>
      <c r="P835" s="34" t="s">
        <v>19</v>
      </c>
      <c r="Q835" s="34" t="s">
        <v>215</v>
      </c>
      <c r="R835" s="58" t="s">
        <v>30</v>
      </c>
      <c r="S835" s="34" t="s">
        <v>322</v>
      </c>
      <c r="T835" s="34"/>
      <c r="U835" s="34"/>
      <c r="V835" s="34" t="s">
        <v>40</v>
      </c>
      <c r="W835" s="34" t="s">
        <v>91</v>
      </c>
      <c r="X835" s="38" t="s">
        <v>164</v>
      </c>
      <c r="Y835" s="62"/>
      <c r="Z835" s="62" t="e">
        <f t="shared" si="40"/>
        <v>#NUM!</v>
      </c>
      <c r="AA835" s="62"/>
      <c r="AB835" s="34">
        <v>8</v>
      </c>
      <c r="AC835" s="34">
        <v>8</v>
      </c>
      <c r="AD835" s="38"/>
      <c r="AE835" s="59" t="str">
        <f t="shared" ref="AE835:AE898" si="41">IF(F835=O835, "NO", "SÍ")</f>
        <v>NO</v>
      </c>
      <c r="AF835" s="38" t="e" cm="1">
        <f t="array" aca="1" ref="AF835" ca="1">MIN(100, MAX(0, (IF(R835="ESTUDIANTE", 31, 0)) + (IF(I835&lt;=3, 30, IF(I835&lt;=6, 20, 0))) +(IF(OR(E835="413 - Control de Costes y Enlace Construcción", E835="480 - Secretaría General del Consejo", E835="132 - Civil y estructuras", E835="136 - Mecánica", E835="412 - Planificación", E835="142 - Compras"), 25, 0)) +(IF(OR(S835="GRADO ING. MECÁNICA", S835="GRADO ING. ELÉCTRICA", S835="GRADO DERECHO", S835="GRADO ECONOMÍA", S835="GRADO ING. TECNOLOGÍAS INDUSTRIALES"), 24, 0)) + (IF(AND(K835&gt;=451, K835&lt;=700), 23, 0)) + (IF(AND(AB835&gt;=5, AB835&lt;=8), 17, 0)) +(IF(_xludf.OR(_xludf.AND(AC835&gt;=8, AC835&lt;=10), _xludf.AND(AC835&gt;=0, AC835&lt;=5)), 16, 0)) + (IF(F835="Madrid", 11, 0))))</f>
        <v>#NAME?</v>
      </c>
      <c r="AG835" s="68"/>
      <c r="AH835" s="71" t="s">
        <v>164</v>
      </c>
    </row>
    <row r="836" spans="1:34" s="4" customFormat="1" ht="14.4" x14ac:dyDescent="0.3">
      <c r="A836" s="66" t="s">
        <v>1814</v>
      </c>
      <c r="B836" s="66" t="s">
        <v>3931</v>
      </c>
      <c r="C836" s="33">
        <v>835</v>
      </c>
      <c r="D836" s="33" t="s">
        <v>5398</v>
      </c>
      <c r="E836" s="34" t="s">
        <v>5260</v>
      </c>
      <c r="F836" s="34" t="s">
        <v>18</v>
      </c>
      <c r="G836" s="57">
        <v>42801</v>
      </c>
      <c r="H836" s="57">
        <v>43281</v>
      </c>
      <c r="I836" s="34">
        <f t="shared" si="39"/>
        <v>15</v>
      </c>
      <c r="J836" s="34">
        <v>35</v>
      </c>
      <c r="K836" s="36">
        <v>900</v>
      </c>
      <c r="L836" s="34" t="s">
        <v>17</v>
      </c>
      <c r="M836" s="57">
        <v>36310</v>
      </c>
      <c r="N836" s="37">
        <f>(YEAR(TablaMadre[[#This Row],[ALTA]])-YEAR(M836))</f>
        <v>18</v>
      </c>
      <c r="O836" s="34" t="s">
        <v>511</v>
      </c>
      <c r="P836" s="34" t="s">
        <v>19</v>
      </c>
      <c r="Q836" s="34" t="s">
        <v>297</v>
      </c>
      <c r="R836" s="34" t="s">
        <v>21</v>
      </c>
      <c r="S836" s="34" t="s">
        <v>297</v>
      </c>
      <c r="T836" s="34"/>
      <c r="U836" s="34"/>
      <c r="V836" s="34" t="s">
        <v>415</v>
      </c>
      <c r="W836" s="34" t="s">
        <v>28</v>
      </c>
      <c r="X836" s="34" t="s">
        <v>164</v>
      </c>
      <c r="Y836" s="57">
        <v>44625</v>
      </c>
      <c r="Z836" s="34">
        <f t="shared" si="40"/>
        <v>3</v>
      </c>
      <c r="AA836" s="34"/>
      <c r="AB836" s="34">
        <v>9</v>
      </c>
      <c r="AC836" s="34" t="s">
        <v>416</v>
      </c>
      <c r="AD836" s="34"/>
      <c r="AE836" s="59" t="str">
        <f t="shared" si="41"/>
        <v>SÍ</v>
      </c>
      <c r="AF836" s="34" t="e" cm="1">
        <f t="array" aca="1" ref="AF836" ca="1">MIN(100, MAX(0, (IF(R836="ESTUDIANTE", 31, 0)) + (IF(I836&lt;=3, 30, IF(I836&lt;=6, 20, 0))) +(IF(OR(E836="413 - Control de Costes y Enlace Construcción", E836="480 - Secretaría General del Consejo", E836="132 - Civil y estructuras", E836="136 - Mecánica", E836="412 - Planificación", E836="142 - Compras"), 25, 0)) +(IF(OR(S836="GRADO ING. MECÁNICA", S836="GRADO ING. ELÉCTRICA", S836="GRADO DERECHO", S836="GRADO ECONOMÍA", S836="GRADO ING. TECNOLOGÍAS INDUSTRIALES"), 24, 0)) + (IF(AND(K836&gt;=451, K836&lt;=700), 23, 0)) + (IF(AND(AB836&gt;=5, AB836&lt;=8), 17, 0)) +(IF(_xludf.OR(_xludf.AND(AC836&gt;=8, AC836&lt;=10), _xludf.AND(AC836&gt;=0, AC836&lt;=5)), 16, 0)) + (IF(F836="Madrid", 11, 0))))</f>
        <v>#NAME?</v>
      </c>
      <c r="AG836" s="69"/>
      <c r="AH836" s="71" t="s">
        <v>164</v>
      </c>
    </row>
    <row r="837" spans="1:34" ht="14.4" x14ac:dyDescent="0.3">
      <c r="A837" s="66" t="s">
        <v>1815</v>
      </c>
      <c r="B837" s="66" t="s">
        <v>3932</v>
      </c>
      <c r="C837" s="33">
        <v>836</v>
      </c>
      <c r="D837" s="33" t="s">
        <v>5399</v>
      </c>
      <c r="E837" s="34" t="s">
        <v>5229</v>
      </c>
      <c r="F837" s="34" t="s">
        <v>18</v>
      </c>
      <c r="G837" s="57">
        <v>42801</v>
      </c>
      <c r="H837" s="57">
        <v>43281</v>
      </c>
      <c r="I837" s="34">
        <f t="shared" si="39"/>
        <v>15</v>
      </c>
      <c r="J837" s="34">
        <v>35</v>
      </c>
      <c r="K837" s="36">
        <v>650</v>
      </c>
      <c r="L837" s="34" t="s">
        <v>29</v>
      </c>
      <c r="M837" s="57">
        <v>34932</v>
      </c>
      <c r="N837" s="37">
        <f>(YEAR(TablaMadre[[#This Row],[ALTA]])-YEAR(M837))</f>
        <v>22</v>
      </c>
      <c r="O837" s="34" t="s">
        <v>654</v>
      </c>
      <c r="P837" s="34" t="s">
        <v>19</v>
      </c>
      <c r="Q837" s="34" t="s">
        <v>359</v>
      </c>
      <c r="R837" s="58" t="s">
        <v>30</v>
      </c>
      <c r="S837" s="34" t="s">
        <v>26</v>
      </c>
      <c r="T837" s="34"/>
      <c r="U837" s="34"/>
      <c r="V837" s="34" t="s">
        <v>27</v>
      </c>
      <c r="W837" s="34" t="s">
        <v>127</v>
      </c>
      <c r="X837" s="38" t="s">
        <v>164</v>
      </c>
      <c r="Y837" s="62">
        <v>43428</v>
      </c>
      <c r="Z837" s="38">
        <f t="shared" si="40"/>
        <v>0</v>
      </c>
      <c r="AA837" s="38"/>
      <c r="AB837" s="34">
        <v>10</v>
      </c>
      <c r="AC837" s="34" t="s">
        <v>417</v>
      </c>
      <c r="AD837" s="38"/>
      <c r="AE837" s="59" t="str">
        <f t="shared" si="41"/>
        <v>SÍ</v>
      </c>
      <c r="AF837" s="38" t="e" cm="1">
        <f t="array" aca="1" ref="AF837" ca="1">MIN(100, MAX(0, (IF(R837="ESTUDIANTE", 31, 0)) + (IF(I837&lt;=3, 30, IF(I837&lt;=6, 20, 0))) +(IF(OR(E837="413 - Control de Costes y Enlace Construcción", E837="480 - Secretaría General del Consejo", E837="132 - Civil y estructuras", E837="136 - Mecánica", E837="412 - Planificación", E837="142 - Compras"), 25, 0)) +(IF(OR(S837="GRADO ING. MECÁNICA", S837="GRADO ING. ELÉCTRICA", S837="GRADO DERECHO", S837="GRADO ECONOMÍA", S837="GRADO ING. TECNOLOGÍAS INDUSTRIALES"), 24, 0)) + (IF(AND(K837&gt;=451, K837&lt;=700), 23, 0)) + (IF(AND(AB837&gt;=5, AB837&lt;=8), 17, 0)) +(IF(_xludf.OR(_xludf.AND(AC837&gt;=8, AC837&lt;=10), _xludf.AND(AC837&gt;=0, AC837&lt;=5)), 16, 0)) + (IF(F837="Madrid", 11, 0))))</f>
        <v>#NAME?</v>
      </c>
      <c r="AG837" s="68"/>
      <c r="AH837" s="71" t="s">
        <v>164</v>
      </c>
    </row>
    <row r="838" spans="1:34" ht="14.4" x14ac:dyDescent="0.3">
      <c r="A838" s="66" t="s">
        <v>1816</v>
      </c>
      <c r="B838" s="66" t="s">
        <v>3933</v>
      </c>
      <c r="C838" s="33">
        <v>837</v>
      </c>
      <c r="D838" s="33" t="s">
        <v>5393</v>
      </c>
      <c r="E838" s="34" t="s">
        <v>5222</v>
      </c>
      <c r="F838" s="34" t="s">
        <v>18</v>
      </c>
      <c r="G838" s="57">
        <v>42801</v>
      </c>
      <c r="H838" s="57">
        <v>43281</v>
      </c>
      <c r="I838" s="34">
        <f t="shared" si="39"/>
        <v>15</v>
      </c>
      <c r="J838" s="34">
        <v>35</v>
      </c>
      <c r="K838" s="36">
        <v>825</v>
      </c>
      <c r="L838" s="34" t="s">
        <v>17</v>
      </c>
      <c r="M838" s="57">
        <v>34273</v>
      </c>
      <c r="N838" s="37">
        <f>(YEAR(TablaMadre[[#This Row],[ALTA]])-YEAR(M838))</f>
        <v>24</v>
      </c>
      <c r="O838" s="34" t="s">
        <v>18</v>
      </c>
      <c r="P838" s="34" t="s">
        <v>19</v>
      </c>
      <c r="Q838" s="34" t="s">
        <v>297</v>
      </c>
      <c r="R838" s="34" t="s">
        <v>21</v>
      </c>
      <c r="S838" s="34" t="s">
        <v>297</v>
      </c>
      <c r="T838" s="34"/>
      <c r="U838" s="34"/>
      <c r="V838" s="34" t="s">
        <v>84</v>
      </c>
      <c r="W838" s="34" t="s">
        <v>28</v>
      </c>
      <c r="X838" s="38" t="s">
        <v>164</v>
      </c>
      <c r="Y838" s="62">
        <v>43580</v>
      </c>
      <c r="Z838" s="38">
        <f t="shared" si="40"/>
        <v>0</v>
      </c>
      <c r="AA838" s="38"/>
      <c r="AB838" s="34">
        <v>9</v>
      </c>
      <c r="AC838" s="34">
        <v>8</v>
      </c>
      <c r="AD838" s="38"/>
      <c r="AE838" s="59" t="str">
        <f t="shared" si="41"/>
        <v>NO</v>
      </c>
      <c r="AF838" s="38" t="e" cm="1">
        <f t="array" aca="1" ref="AF838" ca="1">MIN(100, MAX(0, (IF(R838="ESTUDIANTE", 31, 0)) + (IF(I838&lt;=3, 30, IF(I838&lt;=6, 20, 0))) +(IF(OR(E838="413 - Control de Costes y Enlace Construcción", E838="480 - Secretaría General del Consejo", E838="132 - Civil y estructuras", E838="136 - Mecánica", E838="412 - Planificación", E838="142 - Compras"), 25, 0)) +(IF(OR(S838="GRADO ING. MECÁNICA", S838="GRADO ING. ELÉCTRICA", S838="GRADO DERECHO", S838="GRADO ECONOMÍA", S838="GRADO ING. TECNOLOGÍAS INDUSTRIALES"), 24, 0)) + (IF(AND(K838&gt;=451, K838&lt;=700), 23, 0)) + (IF(AND(AB838&gt;=5, AB838&lt;=8), 17, 0)) +(IF(_xludf.OR(_xludf.AND(AC838&gt;=8, AC838&lt;=10), _xludf.AND(AC838&gt;=0, AC838&lt;=5)), 16, 0)) + (IF(F838="Madrid", 11, 0))))</f>
        <v>#NAME?</v>
      </c>
      <c r="AG838" s="68"/>
      <c r="AH838" s="71" t="s">
        <v>164</v>
      </c>
    </row>
    <row r="839" spans="1:34" ht="14.4" x14ac:dyDescent="0.3">
      <c r="A839" s="66" t="s">
        <v>1787</v>
      </c>
      <c r="B839" s="66" t="s">
        <v>3904</v>
      </c>
      <c r="C839" s="33">
        <v>838</v>
      </c>
      <c r="D839" s="33" t="s">
        <v>5394</v>
      </c>
      <c r="E839" s="34" t="s">
        <v>5245</v>
      </c>
      <c r="F839" s="34" t="s">
        <v>18</v>
      </c>
      <c r="G839" s="57">
        <v>42809</v>
      </c>
      <c r="H839" s="57">
        <v>42916</v>
      </c>
      <c r="I839" s="34">
        <f t="shared" si="39"/>
        <v>3</v>
      </c>
      <c r="J839" s="34">
        <v>35</v>
      </c>
      <c r="K839" s="36">
        <v>800</v>
      </c>
      <c r="L839" s="34" t="s">
        <v>29</v>
      </c>
      <c r="M839" s="57">
        <v>36159</v>
      </c>
      <c r="N839" s="37">
        <f>(YEAR(TablaMadre[[#This Row],[ALTA]])-YEAR(M839))</f>
        <v>19</v>
      </c>
      <c r="O839" s="34" t="s">
        <v>18</v>
      </c>
      <c r="P839" s="34" t="s">
        <v>19</v>
      </c>
      <c r="Q839" s="34" t="s">
        <v>394</v>
      </c>
      <c r="R839" s="34" t="s">
        <v>21</v>
      </c>
      <c r="S839" s="34" t="s">
        <v>690</v>
      </c>
      <c r="T839" s="34"/>
      <c r="U839" s="34"/>
      <c r="V839" s="34" t="s">
        <v>163</v>
      </c>
      <c r="W839" s="34" t="s">
        <v>181</v>
      </c>
      <c r="X839" s="38" t="s">
        <v>164</v>
      </c>
      <c r="Y839" s="62"/>
      <c r="Z839" s="62" t="e">
        <f t="shared" si="40"/>
        <v>#NUM!</v>
      </c>
      <c r="AA839" s="62"/>
      <c r="AB839" s="34">
        <v>9</v>
      </c>
      <c r="AC839" s="34"/>
      <c r="AD839" s="38"/>
      <c r="AE839" s="59" t="str">
        <f t="shared" si="41"/>
        <v>NO</v>
      </c>
      <c r="AF839" s="38" t="e" cm="1">
        <f t="array" aca="1" ref="AF839" ca="1">MIN(100, MAX(0, (IF(R839="ESTUDIANTE", 31, 0)) + (IF(I839&lt;=3, 30, IF(I839&lt;=6, 20, 0))) +(IF(OR(E839="413 - Control de Costes y Enlace Construcción", E839="480 - Secretaría General del Consejo", E839="132 - Civil y estructuras", E839="136 - Mecánica", E839="412 - Planificación", E839="142 - Compras"), 25, 0)) +(IF(OR(S839="GRADO ING. MECÁNICA", S839="GRADO ING. ELÉCTRICA", S839="GRADO DERECHO", S839="GRADO ECONOMÍA", S839="GRADO ING. TECNOLOGÍAS INDUSTRIALES"), 24, 0)) + (IF(AND(K839&gt;=451, K839&lt;=700), 23, 0)) + (IF(AND(AB839&gt;=5, AB839&lt;=8), 17, 0)) +(IF(_xludf.OR(_xludf.AND(AC839&gt;=8, AC839&lt;=10), _xludf.AND(AC839&gt;=0, AC839&lt;=5)), 16, 0)) + (IF(F839="Madrid", 11, 0))))</f>
        <v>#NAME?</v>
      </c>
      <c r="AG839" s="68"/>
      <c r="AH839" s="71" t="s">
        <v>164</v>
      </c>
    </row>
    <row r="840" spans="1:34" ht="14.4" x14ac:dyDescent="0.3">
      <c r="A840" s="66" t="s">
        <v>1788</v>
      </c>
      <c r="B840" s="66" t="s">
        <v>3905</v>
      </c>
      <c r="C840" s="33">
        <v>839</v>
      </c>
      <c r="D840" s="33" t="s">
        <v>5395</v>
      </c>
      <c r="E840" s="34" t="s">
        <v>5229</v>
      </c>
      <c r="F840" s="34" t="s">
        <v>18</v>
      </c>
      <c r="G840" s="57">
        <v>42816</v>
      </c>
      <c r="H840" s="57">
        <v>42894</v>
      </c>
      <c r="I840" s="34">
        <f t="shared" si="39"/>
        <v>2</v>
      </c>
      <c r="J840" s="34">
        <v>40</v>
      </c>
      <c r="K840" s="36">
        <v>450</v>
      </c>
      <c r="L840" s="34" t="s">
        <v>29</v>
      </c>
      <c r="M840" s="57">
        <v>34870</v>
      </c>
      <c r="N840" s="37">
        <f>(YEAR(TablaMadre[[#This Row],[ALTA]])-YEAR(M840))</f>
        <v>22</v>
      </c>
      <c r="O840" s="34" t="s">
        <v>654</v>
      </c>
      <c r="P840" s="34" t="s">
        <v>19</v>
      </c>
      <c r="Q840" s="34" t="s">
        <v>359</v>
      </c>
      <c r="R840" s="58" t="s">
        <v>30</v>
      </c>
      <c r="S840" s="34" t="s">
        <v>26</v>
      </c>
      <c r="T840" s="34"/>
      <c r="U840" s="34"/>
      <c r="V840" s="34" t="s">
        <v>27</v>
      </c>
      <c r="W840" s="34" t="s">
        <v>380</v>
      </c>
      <c r="X840" s="38" t="s">
        <v>164</v>
      </c>
      <c r="Y840" s="62"/>
      <c r="Z840" s="62" t="e">
        <f t="shared" si="40"/>
        <v>#NUM!</v>
      </c>
      <c r="AA840" s="62"/>
      <c r="AB840" s="34"/>
      <c r="AC840" s="34"/>
      <c r="AD840" s="38"/>
      <c r="AE840" s="59" t="str">
        <f t="shared" si="41"/>
        <v>SÍ</v>
      </c>
      <c r="AF840" s="38" t="e" cm="1">
        <f t="array" aca="1" ref="AF840" ca="1">MIN(100, MAX(0, (IF(R840="ESTUDIANTE", 31, 0)) + (IF(I840&lt;=3, 30, IF(I840&lt;=6, 20, 0))) +(IF(OR(E840="413 - Control de Costes y Enlace Construcción", E840="480 - Secretaría General del Consejo", E840="132 - Civil y estructuras", E840="136 - Mecánica", E840="412 - Planificación", E840="142 - Compras"), 25, 0)) +(IF(OR(S840="GRADO ING. MECÁNICA", S840="GRADO ING. ELÉCTRICA", S840="GRADO DERECHO", S840="GRADO ECONOMÍA", S840="GRADO ING. TECNOLOGÍAS INDUSTRIALES"), 24, 0)) + (IF(AND(K840&gt;=451, K840&lt;=700), 23, 0)) + (IF(AND(AB840&gt;=5, AB840&lt;=8), 17, 0)) +(IF(_xludf.OR(_xludf.AND(AC840&gt;=8, AC840&lt;=10), _xludf.AND(AC840&gt;=0, AC840&lt;=5)), 16, 0)) + (IF(F840="Madrid", 11, 0))))</f>
        <v>#NAME?</v>
      </c>
      <c r="AG840" s="68"/>
      <c r="AH840" s="71" t="s">
        <v>164</v>
      </c>
    </row>
    <row r="841" spans="1:34" ht="14.4" x14ac:dyDescent="0.3">
      <c r="A841" s="66" t="s">
        <v>1794</v>
      </c>
      <c r="B841" s="66" t="s">
        <v>3911</v>
      </c>
      <c r="C841" s="33">
        <v>841</v>
      </c>
      <c r="D841" s="33" t="s">
        <v>5396</v>
      </c>
      <c r="E841" s="34" t="s">
        <v>5297</v>
      </c>
      <c r="F841" s="34" t="s">
        <v>18</v>
      </c>
      <c r="G841" s="57">
        <v>42821</v>
      </c>
      <c r="H841" s="57">
        <v>42899</v>
      </c>
      <c r="I841" s="34">
        <f t="shared" si="39"/>
        <v>2</v>
      </c>
      <c r="J841" s="34">
        <v>40</v>
      </c>
      <c r="K841" s="36">
        <v>450</v>
      </c>
      <c r="L841" s="34" t="s">
        <v>17</v>
      </c>
      <c r="M841" s="57">
        <v>35027</v>
      </c>
      <c r="N841" s="37">
        <f>(YEAR(TablaMadre[[#This Row],[ALTA]])-YEAR(M841))</f>
        <v>22</v>
      </c>
      <c r="O841" s="34" t="s">
        <v>18</v>
      </c>
      <c r="P841" s="34" t="s">
        <v>19</v>
      </c>
      <c r="Q841" s="34" t="s">
        <v>392</v>
      </c>
      <c r="R841" s="58" t="s">
        <v>30</v>
      </c>
      <c r="S841" s="34" t="s">
        <v>301</v>
      </c>
      <c r="T841" s="34"/>
      <c r="U841" s="34"/>
      <c r="V841" s="34" t="s">
        <v>27</v>
      </c>
      <c r="W841" s="34" t="s">
        <v>23</v>
      </c>
      <c r="X841" s="38" t="s">
        <v>164</v>
      </c>
      <c r="Y841" s="62"/>
      <c r="Z841" s="62" t="e">
        <f t="shared" si="40"/>
        <v>#NUM!</v>
      </c>
      <c r="AA841" s="62"/>
      <c r="AB841" s="34">
        <v>10</v>
      </c>
      <c r="AC841" s="34">
        <v>8</v>
      </c>
      <c r="AD841" s="38"/>
      <c r="AE841" s="59" t="str">
        <f t="shared" si="41"/>
        <v>NO</v>
      </c>
      <c r="AF841" s="38" t="e" cm="1">
        <f t="array" aca="1" ref="AF841" ca="1">MIN(100, MAX(0, (IF(R841="ESTUDIANTE", 31, 0)) + (IF(I841&lt;=3, 30, IF(I841&lt;=6, 20, 0))) +(IF(OR(E841="413 - Control de Costes y Enlace Construcción", E841="480 - Secretaría General del Consejo", E841="132 - Civil y estructuras", E841="136 - Mecánica", E841="412 - Planificación", E841="142 - Compras"), 25, 0)) +(IF(OR(S841="GRADO ING. MECÁNICA", S841="GRADO ING. ELÉCTRICA", S841="GRADO DERECHO", S841="GRADO ECONOMÍA", S841="GRADO ING. TECNOLOGÍAS INDUSTRIALES"), 24, 0)) + (IF(AND(K841&gt;=451, K841&lt;=700), 23, 0)) + (IF(AND(AB841&gt;=5, AB841&lt;=8), 17, 0)) +(IF(_xludf.OR(_xludf.AND(AC841&gt;=8, AC841&lt;=10), _xludf.AND(AC841&gt;=0, AC841&lt;=5)), 16, 0)) + (IF(F841="Madrid", 11, 0))))</f>
        <v>#NAME?</v>
      </c>
      <c r="AG841" s="68"/>
      <c r="AH841" s="71" t="s">
        <v>164</v>
      </c>
    </row>
    <row r="842" spans="1:34" ht="14.4" x14ac:dyDescent="0.3">
      <c r="A842" s="66" t="s">
        <v>1797</v>
      </c>
      <c r="B842" s="66" t="s">
        <v>3914</v>
      </c>
      <c r="C842" s="33">
        <v>840</v>
      </c>
      <c r="D842" s="33" t="s">
        <v>5397</v>
      </c>
      <c r="E842" s="34" t="s">
        <v>5228</v>
      </c>
      <c r="F842" s="34" t="s">
        <v>18</v>
      </c>
      <c r="G842" s="57">
        <v>42821</v>
      </c>
      <c r="H842" s="57">
        <v>42899</v>
      </c>
      <c r="I842" s="34">
        <f t="shared" si="39"/>
        <v>2</v>
      </c>
      <c r="J842" s="34">
        <v>40</v>
      </c>
      <c r="K842" s="36">
        <v>450</v>
      </c>
      <c r="L842" s="34" t="s">
        <v>29</v>
      </c>
      <c r="M842" s="57">
        <v>34908</v>
      </c>
      <c r="N842" s="37">
        <f>(YEAR(TablaMadre[[#This Row],[ALTA]])-YEAR(M842))</f>
        <v>22</v>
      </c>
      <c r="O842" s="34" t="s">
        <v>18</v>
      </c>
      <c r="P842" s="34" t="s">
        <v>19</v>
      </c>
      <c r="Q842" s="34" t="s">
        <v>359</v>
      </c>
      <c r="R842" s="58" t="s">
        <v>30</v>
      </c>
      <c r="S842" s="34" t="s">
        <v>26</v>
      </c>
      <c r="T842" s="34"/>
      <c r="U842" s="34"/>
      <c r="V842" s="34" t="s">
        <v>27</v>
      </c>
      <c r="W842" s="34" t="s">
        <v>380</v>
      </c>
      <c r="X842" s="38" t="s">
        <v>164</v>
      </c>
      <c r="Y842" s="62"/>
      <c r="Z842" s="62" t="e">
        <f t="shared" si="40"/>
        <v>#NUM!</v>
      </c>
      <c r="AA842" s="62"/>
      <c r="AB842" s="34"/>
      <c r="AC842" s="34"/>
      <c r="AD842" s="38"/>
      <c r="AE842" s="59" t="str">
        <f t="shared" si="41"/>
        <v>NO</v>
      </c>
      <c r="AF842" s="38" t="e" cm="1">
        <f t="array" aca="1" ref="AF842" ca="1">MIN(100, MAX(0, (IF(R842="ESTUDIANTE", 31, 0)) + (IF(I842&lt;=3, 30, IF(I842&lt;=6, 20, 0))) +(IF(OR(E842="413 - Control de Costes y Enlace Construcción", E842="480 - Secretaría General del Consejo", E842="132 - Civil y estructuras", E842="136 - Mecánica", E842="412 - Planificación", E842="142 - Compras"), 25, 0)) +(IF(OR(S842="GRADO ING. MECÁNICA", S842="GRADO ING. ELÉCTRICA", S842="GRADO DERECHO", S842="GRADO ECONOMÍA", S842="GRADO ING. TECNOLOGÍAS INDUSTRIALES"), 24, 0)) + (IF(AND(K842&gt;=451, K842&lt;=700), 23, 0)) + (IF(AND(AB842&gt;=5, AB842&lt;=8), 17, 0)) +(IF(_xludf.OR(_xludf.AND(AC842&gt;=8, AC842&lt;=10), _xludf.AND(AC842&gt;=0, AC842&lt;=5)), 16, 0)) + (IF(F842="Madrid", 11, 0))))</f>
        <v>#NAME?</v>
      </c>
      <c r="AG842" s="68"/>
      <c r="AH842" s="71" t="s">
        <v>164</v>
      </c>
    </row>
    <row r="843" spans="1:34" ht="14.4" x14ac:dyDescent="0.3">
      <c r="A843" s="66" t="s">
        <v>1821</v>
      </c>
      <c r="B843" s="66" t="s">
        <v>3938</v>
      </c>
      <c r="C843" s="33">
        <v>842</v>
      </c>
      <c r="D843" s="33" t="s">
        <v>5398</v>
      </c>
      <c r="E843" s="34" t="s">
        <v>5244</v>
      </c>
      <c r="F843" s="34" t="s">
        <v>18</v>
      </c>
      <c r="G843" s="57">
        <v>42842</v>
      </c>
      <c r="H843" s="57">
        <v>43206</v>
      </c>
      <c r="I843" s="34">
        <f t="shared" si="39"/>
        <v>11</v>
      </c>
      <c r="J843" s="34">
        <v>35</v>
      </c>
      <c r="K843" s="36">
        <v>750</v>
      </c>
      <c r="L843" s="34" t="s">
        <v>17</v>
      </c>
      <c r="M843" s="57">
        <v>35151</v>
      </c>
      <c r="N843" s="37">
        <f>(YEAR(TablaMadre[[#This Row],[ALTA]])-YEAR(M843))</f>
        <v>21</v>
      </c>
      <c r="O843" s="34" t="s">
        <v>18</v>
      </c>
      <c r="P843" s="34" t="s">
        <v>19</v>
      </c>
      <c r="Q843" s="34" t="s">
        <v>93</v>
      </c>
      <c r="R843" s="34" t="s">
        <v>21</v>
      </c>
      <c r="S843" s="34" t="s">
        <v>151</v>
      </c>
      <c r="T843" s="34"/>
      <c r="U843" s="34"/>
      <c r="V843" s="34" t="s">
        <v>22</v>
      </c>
      <c r="W843" s="34" t="s">
        <v>28</v>
      </c>
      <c r="X843" s="38" t="s">
        <v>164</v>
      </c>
      <c r="Y843" s="62">
        <v>44105</v>
      </c>
      <c r="Z843" s="38">
        <f t="shared" si="40"/>
        <v>2</v>
      </c>
      <c r="AA843" s="38"/>
      <c r="AB843" s="34">
        <v>9</v>
      </c>
      <c r="AC843" s="34">
        <v>8</v>
      </c>
      <c r="AD843" s="38"/>
      <c r="AE843" s="59" t="str">
        <f t="shared" si="41"/>
        <v>NO</v>
      </c>
      <c r="AF843" s="38" t="e" cm="1">
        <f t="array" aca="1" ref="AF843" ca="1">MIN(100, MAX(0, (IF(R843="ESTUDIANTE", 31, 0)) + (IF(I843&lt;=3, 30, IF(I843&lt;=6, 20, 0))) +(IF(OR(E843="413 - Control de Costes y Enlace Construcción", E843="480 - Secretaría General del Consejo", E843="132 - Civil y estructuras", E843="136 - Mecánica", E843="412 - Planificación", E843="142 - Compras"), 25, 0)) +(IF(OR(S843="GRADO ING. MECÁNICA", S843="GRADO ING. ELÉCTRICA", S843="GRADO DERECHO", S843="GRADO ECONOMÍA", S843="GRADO ING. TECNOLOGÍAS INDUSTRIALES"), 24, 0)) + (IF(AND(K843&gt;=451, K843&lt;=700), 23, 0)) + (IF(AND(AB843&gt;=5, AB843&lt;=8), 17, 0)) +(IF(_xludf.OR(_xludf.AND(AC843&gt;=8, AC843&lt;=10), _xludf.AND(AC843&gt;=0, AC843&lt;=5)), 16, 0)) + (IF(F843="Madrid", 11, 0))))</f>
        <v>#NAME?</v>
      </c>
      <c r="AG843" s="68"/>
      <c r="AH843" s="71" t="s">
        <v>164</v>
      </c>
    </row>
    <row r="844" spans="1:34" ht="14.4" x14ac:dyDescent="0.3">
      <c r="A844" s="66" t="s">
        <v>1822</v>
      </c>
      <c r="B844" s="66" t="s">
        <v>3939</v>
      </c>
      <c r="C844" s="33">
        <v>843</v>
      </c>
      <c r="D844" s="33" t="s">
        <v>5399</v>
      </c>
      <c r="E844" s="34" t="s">
        <v>5244</v>
      </c>
      <c r="F844" s="34" t="s">
        <v>18</v>
      </c>
      <c r="G844" s="57">
        <v>42842</v>
      </c>
      <c r="H844" s="57">
        <v>43206</v>
      </c>
      <c r="I844" s="34">
        <f t="shared" si="39"/>
        <v>11</v>
      </c>
      <c r="J844" s="34">
        <v>35</v>
      </c>
      <c r="K844" s="36">
        <v>900</v>
      </c>
      <c r="L844" s="34" t="s">
        <v>17</v>
      </c>
      <c r="M844" s="57">
        <v>35483</v>
      </c>
      <c r="N844" s="37">
        <f>(YEAR(TablaMadre[[#This Row],[ALTA]])-YEAR(M844))</f>
        <v>20</v>
      </c>
      <c r="O844" s="34" t="s">
        <v>411</v>
      </c>
      <c r="P844" s="34" t="s">
        <v>19</v>
      </c>
      <c r="Q844" s="34" t="s">
        <v>409</v>
      </c>
      <c r="R844" s="34" t="s">
        <v>21</v>
      </c>
      <c r="S844" s="34" t="s">
        <v>136</v>
      </c>
      <c r="T844" s="34"/>
      <c r="U844" s="34"/>
      <c r="V844" s="34" t="s">
        <v>142</v>
      </c>
      <c r="W844" s="34" t="s">
        <v>28</v>
      </c>
      <c r="X844" s="38" t="s">
        <v>164</v>
      </c>
      <c r="Y844" s="62">
        <v>43358</v>
      </c>
      <c r="Z844" s="38">
        <f t="shared" si="40"/>
        <v>0</v>
      </c>
      <c r="AA844" s="38"/>
      <c r="AB844" s="34">
        <v>7</v>
      </c>
      <c r="AC844" s="34">
        <v>10</v>
      </c>
      <c r="AD844" s="38"/>
      <c r="AE844" s="59" t="str">
        <f t="shared" si="41"/>
        <v>SÍ</v>
      </c>
      <c r="AF844" s="38" t="e" cm="1">
        <f t="array" aca="1" ref="AF844" ca="1">MIN(100, MAX(0, (IF(R844="ESTUDIANTE", 31, 0)) + (IF(I844&lt;=3, 30, IF(I844&lt;=6, 20, 0))) +(IF(OR(E844="413 - Control de Costes y Enlace Construcción", E844="480 - Secretaría General del Consejo", E844="132 - Civil y estructuras", E844="136 - Mecánica", E844="412 - Planificación", E844="142 - Compras"), 25, 0)) +(IF(OR(S844="GRADO ING. MECÁNICA", S844="GRADO ING. ELÉCTRICA", S844="GRADO DERECHO", S844="GRADO ECONOMÍA", S844="GRADO ING. TECNOLOGÍAS INDUSTRIALES"), 24, 0)) + (IF(AND(K844&gt;=451, K844&lt;=700), 23, 0)) + (IF(AND(AB844&gt;=5, AB844&lt;=8), 17, 0)) +(IF(_xludf.OR(_xludf.AND(AC844&gt;=8, AC844&lt;=10), _xludf.AND(AC844&gt;=0, AC844&lt;=5)), 16, 0)) + (IF(F844="Madrid", 11, 0))))</f>
        <v>#NAME?</v>
      </c>
      <c r="AG844" s="68"/>
      <c r="AH844" s="71" t="s">
        <v>164</v>
      </c>
    </row>
    <row r="845" spans="1:34" ht="14.4" x14ac:dyDescent="0.3">
      <c r="A845" s="66" t="s">
        <v>1823</v>
      </c>
      <c r="B845" s="66" t="s">
        <v>3940</v>
      </c>
      <c r="C845" s="33">
        <v>844</v>
      </c>
      <c r="D845" s="33" t="s">
        <v>5400</v>
      </c>
      <c r="E845" s="34" t="s">
        <v>5228</v>
      </c>
      <c r="F845" s="34" t="s">
        <v>18</v>
      </c>
      <c r="G845" s="57">
        <v>42844</v>
      </c>
      <c r="H845" s="57">
        <v>43026</v>
      </c>
      <c r="I845" s="34">
        <f t="shared" si="39"/>
        <v>5</v>
      </c>
      <c r="J845" s="34">
        <v>35</v>
      </c>
      <c r="K845" s="36">
        <v>825</v>
      </c>
      <c r="L845" s="34" t="s">
        <v>17</v>
      </c>
      <c r="M845" s="57">
        <v>35641</v>
      </c>
      <c r="N845" s="37">
        <f>(YEAR(TablaMadre[[#This Row],[ALTA]])-YEAR(M845))</f>
        <v>20</v>
      </c>
      <c r="O845" s="34" t="s">
        <v>18</v>
      </c>
      <c r="P845" s="34" t="s">
        <v>19</v>
      </c>
      <c r="Q845" s="34" t="s">
        <v>396</v>
      </c>
      <c r="R845" s="34" t="s">
        <v>21</v>
      </c>
      <c r="S845" s="34" t="s">
        <v>322</v>
      </c>
      <c r="T845" s="34"/>
      <c r="U845" s="34"/>
      <c r="V845" s="34" t="s">
        <v>22</v>
      </c>
      <c r="W845" s="34" t="s">
        <v>28</v>
      </c>
      <c r="X845" s="38" t="s">
        <v>164</v>
      </c>
      <c r="Y845" s="62">
        <v>44123</v>
      </c>
      <c r="Z845" s="38">
        <f t="shared" si="40"/>
        <v>3</v>
      </c>
      <c r="AA845" s="38"/>
      <c r="AB845" s="34">
        <v>10</v>
      </c>
      <c r="AC845" s="34">
        <v>7</v>
      </c>
      <c r="AD845" s="38"/>
      <c r="AE845" s="59" t="str">
        <f t="shared" si="41"/>
        <v>NO</v>
      </c>
      <c r="AF845" s="38" t="e" cm="1">
        <f t="array" aca="1" ref="AF845" ca="1">MIN(100, MAX(0, (IF(R845="ESTUDIANTE", 31, 0)) + (IF(I845&lt;=3, 30, IF(I845&lt;=6, 20, 0))) +(IF(OR(E845="413 - Control de Costes y Enlace Construcción", E845="480 - Secretaría General del Consejo", E845="132 - Civil y estructuras", E845="136 - Mecánica", E845="412 - Planificación", E845="142 - Compras"), 25, 0)) +(IF(OR(S845="GRADO ING. MECÁNICA", S845="GRADO ING. ELÉCTRICA", S845="GRADO DERECHO", S845="GRADO ECONOMÍA", S845="GRADO ING. TECNOLOGÍAS INDUSTRIALES"), 24, 0)) + (IF(AND(K845&gt;=451, K845&lt;=700), 23, 0)) + (IF(AND(AB845&gt;=5, AB845&lt;=8), 17, 0)) +(IF(_xludf.OR(_xludf.AND(AC845&gt;=8, AC845&lt;=10), _xludf.AND(AC845&gt;=0, AC845&lt;=5)), 16, 0)) + (IF(F845="Madrid", 11, 0))))</f>
        <v>#NAME?</v>
      </c>
      <c r="AG845" s="68"/>
      <c r="AH845" s="71" t="s">
        <v>164</v>
      </c>
    </row>
    <row r="846" spans="1:34" ht="14.4" x14ac:dyDescent="0.3">
      <c r="A846" s="66" t="s">
        <v>1820</v>
      </c>
      <c r="B846" s="66" t="s">
        <v>3937</v>
      </c>
      <c r="C846" s="33">
        <v>845</v>
      </c>
      <c r="D846" s="33" t="s">
        <v>5401</v>
      </c>
      <c r="E846" s="34" t="s">
        <v>5244</v>
      </c>
      <c r="F846" s="34" t="s">
        <v>18</v>
      </c>
      <c r="G846" s="57">
        <v>42861</v>
      </c>
      <c r="H846" s="57">
        <v>42924</v>
      </c>
      <c r="I846" s="34">
        <f t="shared" si="39"/>
        <v>2</v>
      </c>
      <c r="J846" s="34">
        <v>35</v>
      </c>
      <c r="K846" s="36">
        <v>825</v>
      </c>
      <c r="L846" s="34" t="s">
        <v>17</v>
      </c>
      <c r="M846" s="57">
        <v>36522</v>
      </c>
      <c r="N846" s="37">
        <f>(YEAR(TablaMadre[[#This Row],[ALTA]])-YEAR(M846))</f>
        <v>18</v>
      </c>
      <c r="O846" s="34" t="s">
        <v>100</v>
      </c>
      <c r="P846" s="34" t="s">
        <v>19</v>
      </c>
      <c r="Q846" s="34" t="s">
        <v>136</v>
      </c>
      <c r="R846" s="34" t="s">
        <v>21</v>
      </c>
      <c r="S846" s="34" t="s">
        <v>136</v>
      </c>
      <c r="T846" s="34"/>
      <c r="U846" s="34"/>
      <c r="V846" s="34" t="s">
        <v>107</v>
      </c>
      <c r="W846" s="34" t="s">
        <v>47</v>
      </c>
      <c r="X846" s="38" t="s">
        <v>164</v>
      </c>
      <c r="Y846" s="62"/>
      <c r="Z846" s="62" t="e">
        <f t="shared" si="40"/>
        <v>#NUM!</v>
      </c>
      <c r="AA846" s="62"/>
      <c r="AB846" s="34"/>
      <c r="AC846" s="34"/>
      <c r="AD846" s="38"/>
      <c r="AE846" s="59" t="str">
        <f t="shared" si="41"/>
        <v>SÍ</v>
      </c>
      <c r="AF846" s="38" t="e" cm="1">
        <f t="array" aca="1" ref="AF846" ca="1">MIN(100, MAX(0, (IF(R846="ESTUDIANTE", 31, 0)) + (IF(I846&lt;=3, 30, IF(I846&lt;=6, 20, 0))) +(IF(OR(E846="413 - Control de Costes y Enlace Construcción", E846="480 - Secretaría General del Consejo", E846="132 - Civil y estructuras", E846="136 - Mecánica", E846="412 - Planificación", E846="142 - Compras"), 25, 0)) +(IF(OR(S846="GRADO ING. MECÁNICA", S846="GRADO ING. ELÉCTRICA", S846="GRADO DERECHO", S846="GRADO ECONOMÍA", S846="GRADO ING. TECNOLOGÍAS INDUSTRIALES"), 24, 0)) + (IF(AND(K846&gt;=451, K846&lt;=700), 23, 0)) + (IF(AND(AB846&gt;=5, AB846&lt;=8), 17, 0)) +(IF(_xludf.OR(_xludf.AND(AC846&gt;=8, AC846&lt;=10), _xludf.AND(AC846&gt;=0, AC846&lt;=5)), 16, 0)) + (IF(F846="Madrid", 11, 0))))</f>
        <v>#NAME?</v>
      </c>
      <c r="AG846" s="68"/>
      <c r="AH846" s="71" t="s">
        <v>164</v>
      </c>
    </row>
    <row r="847" spans="1:34" ht="14.4" x14ac:dyDescent="0.3">
      <c r="A847" s="66" t="s">
        <v>1825</v>
      </c>
      <c r="B847" s="66" t="s">
        <v>3942</v>
      </c>
      <c r="C847" s="33">
        <v>846</v>
      </c>
      <c r="D847" s="33" t="s">
        <v>5402</v>
      </c>
      <c r="E847" s="34" t="s">
        <v>5273</v>
      </c>
      <c r="F847" s="34" t="s">
        <v>18</v>
      </c>
      <c r="G847" s="57">
        <v>42861</v>
      </c>
      <c r="H847" s="57">
        <v>43251</v>
      </c>
      <c r="I847" s="34">
        <f t="shared" si="39"/>
        <v>12</v>
      </c>
      <c r="J847" s="34">
        <v>35</v>
      </c>
      <c r="K847" s="36">
        <v>825</v>
      </c>
      <c r="L847" s="34" t="s">
        <v>17</v>
      </c>
      <c r="M847" s="57">
        <v>36244</v>
      </c>
      <c r="N847" s="37">
        <f>(YEAR(TablaMadre[[#This Row],[ALTA]])-YEAR(M847))</f>
        <v>18</v>
      </c>
      <c r="O847" s="34" t="s">
        <v>856</v>
      </c>
      <c r="P847" s="34" t="s">
        <v>273</v>
      </c>
      <c r="Q847" s="34" t="s">
        <v>136</v>
      </c>
      <c r="R847" s="34" t="s">
        <v>21</v>
      </c>
      <c r="S847" s="34" t="s">
        <v>136</v>
      </c>
      <c r="T847" s="34"/>
      <c r="U847" s="34"/>
      <c r="V847" s="34" t="s">
        <v>107</v>
      </c>
      <c r="W847" s="34" t="s">
        <v>28</v>
      </c>
      <c r="X847" s="38" t="s">
        <v>164</v>
      </c>
      <c r="Y847" s="62">
        <v>43366</v>
      </c>
      <c r="Z847" s="38">
        <f t="shared" si="40"/>
        <v>0</v>
      </c>
      <c r="AA847" s="38"/>
      <c r="AB847" s="34">
        <v>9</v>
      </c>
      <c r="AC847" s="34">
        <v>10</v>
      </c>
      <c r="AD847" s="38"/>
      <c r="AE847" s="59" t="str">
        <f t="shared" si="41"/>
        <v>SÍ</v>
      </c>
      <c r="AF847" s="38" t="e" cm="1">
        <f t="array" aca="1" ref="AF847" ca="1">MIN(100, MAX(0, (IF(R847="ESTUDIANTE", 31, 0)) + (IF(I847&lt;=3, 30, IF(I847&lt;=6, 20, 0))) +(IF(OR(E847="413 - Control de Costes y Enlace Construcción", E847="480 - Secretaría General del Consejo", E847="132 - Civil y estructuras", E847="136 - Mecánica", E847="412 - Planificación", E847="142 - Compras"), 25, 0)) +(IF(OR(S847="GRADO ING. MECÁNICA", S847="GRADO ING. ELÉCTRICA", S847="GRADO DERECHO", S847="GRADO ECONOMÍA", S847="GRADO ING. TECNOLOGÍAS INDUSTRIALES"), 24, 0)) + (IF(AND(K847&gt;=451, K847&lt;=700), 23, 0)) + (IF(AND(AB847&gt;=5, AB847&lt;=8), 17, 0)) +(IF(_xludf.OR(_xludf.AND(AC847&gt;=8, AC847&lt;=10), _xludf.AND(AC847&gt;=0, AC847&lt;=5)), 16, 0)) + (IF(F847="Madrid", 11, 0))))</f>
        <v>#NAME?</v>
      </c>
      <c r="AG847" s="68"/>
      <c r="AH847" s="71" t="s">
        <v>164</v>
      </c>
    </row>
    <row r="848" spans="1:34" ht="14.4" x14ac:dyDescent="0.3">
      <c r="A848" s="66" t="s">
        <v>1799</v>
      </c>
      <c r="B848" s="66" t="s">
        <v>3916</v>
      </c>
      <c r="C848" s="33">
        <v>847</v>
      </c>
      <c r="D848" s="33" t="s">
        <v>5393</v>
      </c>
      <c r="E848" s="34" t="s">
        <v>5228</v>
      </c>
      <c r="F848" s="34" t="s">
        <v>18</v>
      </c>
      <c r="G848" s="57">
        <v>42862</v>
      </c>
      <c r="H848" s="57">
        <v>42978</v>
      </c>
      <c r="I848" s="34">
        <f t="shared" si="39"/>
        <v>3</v>
      </c>
      <c r="J848" s="34">
        <v>35</v>
      </c>
      <c r="K848" s="36">
        <v>650</v>
      </c>
      <c r="L848" s="34" t="s">
        <v>29</v>
      </c>
      <c r="M848" s="57">
        <v>35241</v>
      </c>
      <c r="N848" s="37">
        <f>(YEAR(TablaMadre[[#This Row],[ALTA]])-YEAR(M848))</f>
        <v>21</v>
      </c>
      <c r="O848" s="34" t="s">
        <v>18</v>
      </c>
      <c r="P848" s="34" t="s">
        <v>19</v>
      </c>
      <c r="Q848" s="34" t="s">
        <v>359</v>
      </c>
      <c r="R848" s="58" t="s">
        <v>30</v>
      </c>
      <c r="S848" s="34" t="s">
        <v>26</v>
      </c>
      <c r="T848" s="34"/>
      <c r="U848" s="34"/>
      <c r="V848" s="34" t="s">
        <v>27</v>
      </c>
      <c r="W848" s="34" t="s">
        <v>23</v>
      </c>
      <c r="X848" s="38" t="s">
        <v>164</v>
      </c>
      <c r="Y848" s="62"/>
      <c r="Z848" s="62" t="e">
        <f t="shared" si="40"/>
        <v>#NUM!</v>
      </c>
      <c r="AA848" s="62"/>
      <c r="AB848" s="34">
        <v>9</v>
      </c>
      <c r="AC848" s="34">
        <v>8</v>
      </c>
      <c r="AD848" s="38"/>
      <c r="AE848" s="59" t="str">
        <f t="shared" si="41"/>
        <v>NO</v>
      </c>
      <c r="AF848" s="38" t="e" cm="1">
        <f t="array" aca="1" ref="AF848" ca="1">MIN(100, MAX(0, (IF(R848="ESTUDIANTE", 31, 0)) + (IF(I848&lt;=3, 30, IF(I848&lt;=6, 20, 0))) +(IF(OR(E848="413 - Control de Costes y Enlace Construcción", E848="480 - Secretaría General del Consejo", E848="132 - Civil y estructuras", E848="136 - Mecánica", E848="412 - Planificación", E848="142 - Compras"), 25, 0)) +(IF(OR(S848="GRADO ING. MECÁNICA", S848="GRADO ING. ELÉCTRICA", S848="GRADO DERECHO", S848="GRADO ECONOMÍA", S848="GRADO ING. TECNOLOGÍAS INDUSTRIALES"), 24, 0)) + (IF(AND(K848&gt;=451, K848&lt;=700), 23, 0)) + (IF(AND(AB848&gt;=5, AB848&lt;=8), 17, 0)) +(IF(_xludf.OR(_xludf.AND(AC848&gt;=8, AC848&lt;=10), _xludf.AND(AC848&gt;=0, AC848&lt;=5)), 16, 0)) + (IF(F848="Madrid", 11, 0))))</f>
        <v>#NAME?</v>
      </c>
      <c r="AG848" s="68"/>
      <c r="AH848" s="71" t="s">
        <v>164</v>
      </c>
    </row>
    <row r="849" spans="1:34" ht="14.4" x14ac:dyDescent="0.3">
      <c r="A849" s="66" t="s">
        <v>1824</v>
      </c>
      <c r="B849" s="66" t="s">
        <v>3941</v>
      </c>
      <c r="C849" s="33">
        <v>848</v>
      </c>
      <c r="D849" s="33" t="s">
        <v>5394</v>
      </c>
      <c r="E849" s="34" t="s">
        <v>5254</v>
      </c>
      <c r="F849" s="34" t="s">
        <v>18</v>
      </c>
      <c r="G849" s="57">
        <v>42862</v>
      </c>
      <c r="H849" s="57">
        <v>43221</v>
      </c>
      <c r="I849" s="34">
        <f t="shared" si="39"/>
        <v>11</v>
      </c>
      <c r="J849" s="34">
        <v>35</v>
      </c>
      <c r="K849" s="36">
        <v>650</v>
      </c>
      <c r="L849" s="34" t="s">
        <v>29</v>
      </c>
      <c r="M849" s="57">
        <v>36157</v>
      </c>
      <c r="N849" s="37">
        <f>(YEAR(TablaMadre[[#This Row],[ALTA]])-YEAR(M849))</f>
        <v>19</v>
      </c>
      <c r="O849" s="34" t="s">
        <v>18</v>
      </c>
      <c r="P849" s="34" t="s">
        <v>19</v>
      </c>
      <c r="Q849" s="34" t="s">
        <v>136</v>
      </c>
      <c r="R849" s="58" t="s">
        <v>30</v>
      </c>
      <c r="S849" s="34" t="s">
        <v>136</v>
      </c>
      <c r="T849" s="34"/>
      <c r="U849" s="34"/>
      <c r="V849" s="34" t="s">
        <v>22</v>
      </c>
      <c r="W849" s="34" t="s">
        <v>91</v>
      </c>
      <c r="X849" s="38" t="s">
        <v>164</v>
      </c>
      <c r="Y849" s="62"/>
      <c r="Z849" s="62" t="e">
        <f t="shared" si="40"/>
        <v>#NUM!</v>
      </c>
      <c r="AA849" s="62"/>
      <c r="AB849" s="34">
        <v>8</v>
      </c>
      <c r="AC849" s="34">
        <v>10</v>
      </c>
      <c r="AD849" s="38"/>
      <c r="AE849" s="59" t="str">
        <f t="shared" si="41"/>
        <v>NO</v>
      </c>
      <c r="AF849" s="38" t="e" cm="1">
        <f t="array" aca="1" ref="AF849" ca="1">MIN(100, MAX(0, (IF(R849="ESTUDIANTE", 31, 0)) + (IF(I849&lt;=3, 30, IF(I849&lt;=6, 20, 0))) +(IF(OR(E849="413 - Control de Costes y Enlace Construcción", E849="480 - Secretaría General del Consejo", E849="132 - Civil y estructuras", E849="136 - Mecánica", E849="412 - Planificación", E849="142 - Compras"), 25, 0)) +(IF(OR(S849="GRADO ING. MECÁNICA", S849="GRADO ING. ELÉCTRICA", S849="GRADO DERECHO", S849="GRADO ECONOMÍA", S849="GRADO ING. TECNOLOGÍAS INDUSTRIALES"), 24, 0)) + (IF(AND(K849&gt;=451, K849&lt;=700), 23, 0)) + (IF(AND(AB849&gt;=5, AB849&lt;=8), 17, 0)) +(IF(_xludf.OR(_xludf.AND(AC849&gt;=8, AC849&lt;=10), _xludf.AND(AC849&gt;=0, AC849&lt;=5)), 16, 0)) + (IF(F849="Madrid", 11, 0))))</f>
        <v>#NAME?</v>
      </c>
      <c r="AG849" s="68"/>
      <c r="AH849" s="71" t="s">
        <v>164</v>
      </c>
    </row>
    <row r="850" spans="1:34" ht="14.4" x14ac:dyDescent="0.3">
      <c r="A850" s="66" t="s">
        <v>1811</v>
      </c>
      <c r="B850" s="66" t="s">
        <v>3928</v>
      </c>
      <c r="C850" s="33">
        <v>849</v>
      </c>
      <c r="D850" s="33" t="s">
        <v>5395</v>
      </c>
      <c r="E850" s="34" t="s">
        <v>5301</v>
      </c>
      <c r="F850" s="34" t="s">
        <v>18</v>
      </c>
      <c r="G850" s="57">
        <v>42871</v>
      </c>
      <c r="H850" s="57">
        <v>43054</v>
      </c>
      <c r="I850" s="34">
        <f t="shared" si="39"/>
        <v>5</v>
      </c>
      <c r="J850" s="34">
        <v>35</v>
      </c>
      <c r="K850" s="36">
        <v>750</v>
      </c>
      <c r="L850" s="34" t="s">
        <v>29</v>
      </c>
      <c r="M850" s="57">
        <v>33834</v>
      </c>
      <c r="N850" s="37">
        <f>(YEAR(TablaMadre[[#This Row],[ALTA]])-YEAR(M850))</f>
        <v>25</v>
      </c>
      <c r="O850" s="34" t="s">
        <v>957</v>
      </c>
      <c r="P850" s="34" t="s">
        <v>19</v>
      </c>
      <c r="Q850" s="34" t="s">
        <v>345</v>
      </c>
      <c r="R850" s="34" t="s">
        <v>21</v>
      </c>
      <c r="S850" s="34" t="s">
        <v>345</v>
      </c>
      <c r="T850" s="34"/>
      <c r="U850" s="34"/>
      <c r="V850" s="34" t="s">
        <v>180</v>
      </c>
      <c r="W850" s="34" t="s">
        <v>23</v>
      </c>
      <c r="X850" s="38" t="s">
        <v>164</v>
      </c>
      <c r="Y850" s="62"/>
      <c r="Z850" s="62" t="e">
        <f t="shared" si="40"/>
        <v>#NUM!</v>
      </c>
      <c r="AA850" s="62"/>
      <c r="AB850" s="34">
        <v>10</v>
      </c>
      <c r="AC850" s="34">
        <v>10</v>
      </c>
      <c r="AD850" s="38"/>
      <c r="AE850" s="59" t="str">
        <f t="shared" si="41"/>
        <v>SÍ</v>
      </c>
      <c r="AF850" s="38" t="e" cm="1">
        <f t="array" aca="1" ref="AF850" ca="1">MIN(100, MAX(0, (IF(R850="ESTUDIANTE", 31, 0)) + (IF(I850&lt;=3, 30, IF(I850&lt;=6, 20, 0))) +(IF(OR(E850="413 - Control de Costes y Enlace Construcción", E850="480 - Secretaría General del Consejo", E850="132 - Civil y estructuras", E850="136 - Mecánica", E850="412 - Planificación", E850="142 - Compras"), 25, 0)) +(IF(OR(S850="GRADO ING. MECÁNICA", S850="GRADO ING. ELÉCTRICA", S850="GRADO DERECHO", S850="GRADO ECONOMÍA", S850="GRADO ING. TECNOLOGÍAS INDUSTRIALES"), 24, 0)) + (IF(AND(K850&gt;=451, K850&lt;=700), 23, 0)) + (IF(AND(AB850&gt;=5, AB850&lt;=8), 17, 0)) +(IF(_xludf.OR(_xludf.AND(AC850&gt;=8, AC850&lt;=10), _xludf.AND(AC850&gt;=0, AC850&lt;=5)), 16, 0)) + (IF(F850="Madrid", 11, 0))))</f>
        <v>#NAME?</v>
      </c>
      <c r="AG850" s="68"/>
      <c r="AH850" s="71" t="s">
        <v>164</v>
      </c>
    </row>
    <row r="851" spans="1:34" ht="14.4" x14ac:dyDescent="0.3">
      <c r="A851" s="66" t="s">
        <v>1813</v>
      </c>
      <c r="B851" s="66" t="s">
        <v>3930</v>
      </c>
      <c r="C851" s="33">
        <v>850</v>
      </c>
      <c r="D851" s="33" t="s">
        <v>5396</v>
      </c>
      <c r="E851" s="34" t="s">
        <v>5233</v>
      </c>
      <c r="F851" s="34" t="s">
        <v>18</v>
      </c>
      <c r="G851" s="57">
        <v>42884</v>
      </c>
      <c r="H851" s="57">
        <v>42916</v>
      </c>
      <c r="I851" s="34">
        <f t="shared" si="39"/>
        <v>1</v>
      </c>
      <c r="J851" s="34">
        <v>35</v>
      </c>
      <c r="K851" s="36">
        <v>0</v>
      </c>
      <c r="L851" s="34" t="s">
        <v>17</v>
      </c>
      <c r="M851" s="57">
        <v>35928</v>
      </c>
      <c r="N851" s="37">
        <f>(YEAR(TablaMadre[[#This Row],[ALTA]])-YEAR(M851))</f>
        <v>19</v>
      </c>
      <c r="O851" s="34" t="s">
        <v>18</v>
      </c>
      <c r="P851" s="34" t="s">
        <v>19</v>
      </c>
      <c r="Q851" s="34" t="s">
        <v>136</v>
      </c>
      <c r="R851" s="34" t="s">
        <v>30</v>
      </c>
      <c r="S851" s="34" t="s">
        <v>136</v>
      </c>
      <c r="T851" s="34"/>
      <c r="U851" s="34"/>
      <c r="V851" s="34" t="s">
        <v>90</v>
      </c>
      <c r="W851" s="34" t="s">
        <v>23</v>
      </c>
      <c r="X851" s="38" t="s">
        <v>164</v>
      </c>
      <c r="Y851" s="62"/>
      <c r="Z851" s="62" t="e">
        <f t="shared" si="40"/>
        <v>#NUM!</v>
      </c>
      <c r="AA851" s="62"/>
      <c r="AB851" s="34">
        <v>9</v>
      </c>
      <c r="AC851" s="34">
        <v>8</v>
      </c>
      <c r="AD851" s="38"/>
      <c r="AE851" s="59" t="str">
        <f t="shared" si="41"/>
        <v>NO</v>
      </c>
      <c r="AF851" s="38" t="e" cm="1">
        <f t="array" aca="1" ref="AF851" ca="1">MIN(100, MAX(0, (IF(R851="ESTUDIANTE", 31, 0)) + (IF(I851&lt;=3, 30, IF(I851&lt;=6, 20, 0))) +(IF(OR(E851="413 - Control de Costes y Enlace Construcción", E851="480 - Secretaría General del Consejo", E851="132 - Civil y estructuras", E851="136 - Mecánica", E851="412 - Planificación", E851="142 - Compras"), 25, 0)) +(IF(OR(S851="GRADO ING. MECÁNICA", S851="GRADO ING. ELÉCTRICA", S851="GRADO DERECHO", S851="GRADO ECONOMÍA", S851="GRADO ING. TECNOLOGÍAS INDUSTRIALES"), 24, 0)) + (IF(AND(K851&gt;=451, K851&lt;=700), 23, 0)) + (IF(AND(AB851&gt;=5, AB851&lt;=8), 17, 0)) +(IF(_xludf.OR(_xludf.AND(AC851&gt;=8, AC851&lt;=10), _xludf.AND(AC851&gt;=0, AC851&lt;=5)), 16, 0)) + (IF(F851="Madrid", 11, 0))))</f>
        <v>#NAME?</v>
      </c>
      <c r="AG851" s="68"/>
      <c r="AH851" s="71" t="s">
        <v>164</v>
      </c>
    </row>
    <row r="852" spans="1:34" ht="14.4" x14ac:dyDescent="0.3">
      <c r="A852" s="66" t="s">
        <v>1782</v>
      </c>
      <c r="B852" s="66" t="s">
        <v>3899</v>
      </c>
      <c r="C852" s="33">
        <v>851</v>
      </c>
      <c r="D852" s="33" t="s">
        <v>5397</v>
      </c>
      <c r="E852" s="34" t="s">
        <v>5226</v>
      </c>
      <c r="F852" s="34" t="s">
        <v>118</v>
      </c>
      <c r="G852" s="57">
        <v>42889</v>
      </c>
      <c r="H852" s="57">
        <v>43229</v>
      </c>
      <c r="I852" s="34">
        <f t="shared" si="39"/>
        <v>11</v>
      </c>
      <c r="J852" s="34">
        <v>35</v>
      </c>
      <c r="K852" s="36">
        <v>750</v>
      </c>
      <c r="L852" s="34" t="s">
        <v>29</v>
      </c>
      <c r="M852" s="57">
        <v>36154</v>
      </c>
      <c r="N852" s="37">
        <f>(YEAR(TablaMadre[[#This Row],[ALTA]])-YEAR(M852))</f>
        <v>19</v>
      </c>
      <c r="O852" s="34" t="s">
        <v>118</v>
      </c>
      <c r="P852" s="34" t="s">
        <v>19</v>
      </c>
      <c r="Q852" s="34" t="s">
        <v>93</v>
      </c>
      <c r="R852" s="34" t="s">
        <v>21</v>
      </c>
      <c r="S852" s="34" t="s">
        <v>151</v>
      </c>
      <c r="T852" s="34"/>
      <c r="U852" s="34"/>
      <c r="V852" s="34" t="s">
        <v>37</v>
      </c>
      <c r="W852" s="34" t="s">
        <v>23</v>
      </c>
      <c r="X852" s="38" t="s">
        <v>173</v>
      </c>
      <c r="Y852" s="62"/>
      <c r="Z852" s="62" t="e">
        <f t="shared" si="40"/>
        <v>#NUM!</v>
      </c>
      <c r="AA852" s="62"/>
      <c r="AB852" s="34">
        <v>10</v>
      </c>
      <c r="AC852" s="34">
        <v>8</v>
      </c>
      <c r="AD852" s="38"/>
      <c r="AE852" s="59" t="str">
        <f t="shared" si="41"/>
        <v>NO</v>
      </c>
      <c r="AF852" s="38" t="e" cm="1">
        <f t="array" aca="1" ref="AF852" ca="1">MIN(100, MAX(0, (IF(R852="ESTUDIANTE", 31, 0)) + (IF(I852&lt;=3, 30, IF(I852&lt;=6, 20, 0))) +(IF(OR(E852="413 - Control de Costes y Enlace Construcción", E852="480 - Secretaría General del Consejo", E852="132 - Civil y estructuras", E852="136 - Mecánica", E852="412 - Planificación", E852="142 - Compras"), 25, 0)) +(IF(OR(S852="GRADO ING. MECÁNICA", S852="GRADO ING. ELÉCTRICA", S852="GRADO DERECHO", S852="GRADO ECONOMÍA", S852="GRADO ING. TECNOLOGÍAS INDUSTRIALES"), 24, 0)) + (IF(AND(K852&gt;=451, K852&lt;=700), 23, 0)) + (IF(AND(AB852&gt;=5, AB852&lt;=8), 17, 0)) +(IF(_xludf.OR(_xludf.AND(AC852&gt;=8, AC852&lt;=10), _xludf.AND(AC852&gt;=0, AC852&lt;=5)), 16, 0)) + (IF(F852="Madrid", 11, 0))))</f>
        <v>#NAME?</v>
      </c>
      <c r="AG852" s="68"/>
      <c r="AH852" s="71" t="s">
        <v>164</v>
      </c>
    </row>
    <row r="853" spans="1:34" ht="14.4" x14ac:dyDescent="0.3">
      <c r="A853" s="66" t="s">
        <v>1826</v>
      </c>
      <c r="B853" s="66" t="s">
        <v>3943</v>
      </c>
      <c r="C853" s="33">
        <v>852</v>
      </c>
      <c r="D853" s="33" t="s">
        <v>5398</v>
      </c>
      <c r="E853" s="34" t="s">
        <v>5245</v>
      </c>
      <c r="F853" s="34" t="s">
        <v>18</v>
      </c>
      <c r="G853" s="57">
        <v>42893</v>
      </c>
      <c r="H853" s="57">
        <v>42947</v>
      </c>
      <c r="I853" s="34">
        <f t="shared" si="39"/>
        <v>1</v>
      </c>
      <c r="J853" s="34">
        <v>35</v>
      </c>
      <c r="K853" s="36">
        <v>650</v>
      </c>
      <c r="L853" s="34" t="s">
        <v>29</v>
      </c>
      <c r="M853" s="57">
        <v>36524</v>
      </c>
      <c r="N853" s="37">
        <f>(YEAR(TablaMadre[[#This Row],[ALTA]])-YEAR(M853))</f>
        <v>18</v>
      </c>
      <c r="O853" s="34" t="s">
        <v>654</v>
      </c>
      <c r="P853" s="34" t="s">
        <v>19</v>
      </c>
      <c r="Q853" s="34" t="s">
        <v>229</v>
      </c>
      <c r="R853" s="58" t="s">
        <v>30</v>
      </c>
      <c r="S853" s="34" t="s">
        <v>229</v>
      </c>
      <c r="T853" s="34"/>
      <c r="U853" s="34"/>
      <c r="V853" s="34" t="s">
        <v>51</v>
      </c>
      <c r="W853" s="34" t="s">
        <v>23</v>
      </c>
      <c r="X853" s="38" t="s">
        <v>164</v>
      </c>
      <c r="Y853" s="62"/>
      <c r="Z853" s="62" t="e">
        <f t="shared" si="40"/>
        <v>#NUM!</v>
      </c>
      <c r="AA853" s="62"/>
      <c r="AB853" s="34">
        <v>9</v>
      </c>
      <c r="AC853" s="34"/>
      <c r="AD853" s="38"/>
      <c r="AE853" s="59" t="str">
        <f t="shared" si="41"/>
        <v>SÍ</v>
      </c>
      <c r="AF853" s="38" t="e" cm="1">
        <f t="array" aca="1" ref="AF853" ca="1">MIN(100, MAX(0, (IF(R853="ESTUDIANTE", 31, 0)) + (IF(I853&lt;=3, 30, IF(I853&lt;=6, 20, 0))) +(IF(OR(E853="413 - Control de Costes y Enlace Construcción", E853="480 - Secretaría General del Consejo", E853="132 - Civil y estructuras", E853="136 - Mecánica", E853="412 - Planificación", E853="142 - Compras"), 25, 0)) +(IF(OR(S853="GRADO ING. MECÁNICA", S853="GRADO ING. ELÉCTRICA", S853="GRADO DERECHO", S853="GRADO ECONOMÍA", S853="GRADO ING. TECNOLOGÍAS INDUSTRIALES"), 24, 0)) + (IF(AND(K853&gt;=451, K853&lt;=700), 23, 0)) + (IF(AND(AB853&gt;=5, AB853&lt;=8), 17, 0)) +(IF(_xludf.OR(_xludf.AND(AC853&gt;=8, AC853&lt;=10), _xludf.AND(AC853&gt;=0, AC853&lt;=5)), 16, 0)) + (IF(F853="Madrid", 11, 0))))</f>
        <v>#NAME?</v>
      </c>
      <c r="AG853" s="68"/>
      <c r="AH853" s="71" t="s">
        <v>164</v>
      </c>
    </row>
    <row r="854" spans="1:34" ht="14.4" x14ac:dyDescent="0.3">
      <c r="A854" s="66" t="s">
        <v>1808</v>
      </c>
      <c r="B854" s="66" t="s">
        <v>3925</v>
      </c>
      <c r="C854" s="33">
        <v>853</v>
      </c>
      <c r="D854" s="33" t="s">
        <v>5399</v>
      </c>
      <c r="E854" s="34" t="s">
        <v>5236</v>
      </c>
      <c r="F854" s="34" t="s">
        <v>18</v>
      </c>
      <c r="G854" s="57">
        <v>42952</v>
      </c>
      <c r="H854" s="57">
        <v>43251</v>
      </c>
      <c r="I854" s="34">
        <f t="shared" si="39"/>
        <v>9</v>
      </c>
      <c r="J854" s="34">
        <v>40</v>
      </c>
      <c r="K854" s="36">
        <v>650</v>
      </c>
      <c r="L854" s="34" t="s">
        <v>17</v>
      </c>
      <c r="M854" s="57">
        <v>36736</v>
      </c>
      <c r="N854" s="37">
        <f>(YEAR(TablaMadre[[#This Row],[ALTA]])-YEAR(M854))</f>
        <v>17</v>
      </c>
      <c r="O854" s="34" t="s">
        <v>80</v>
      </c>
      <c r="P854" s="34" t="s">
        <v>19</v>
      </c>
      <c r="Q854" s="34" t="s">
        <v>389</v>
      </c>
      <c r="R854" s="58" t="s">
        <v>30</v>
      </c>
      <c r="S854" s="34" t="s">
        <v>389</v>
      </c>
      <c r="T854" s="34"/>
      <c r="U854" s="34"/>
      <c r="V854" s="34" t="s">
        <v>388</v>
      </c>
      <c r="W854" s="34" t="s">
        <v>23</v>
      </c>
      <c r="X854" s="38" t="s">
        <v>164</v>
      </c>
      <c r="Y854" s="62"/>
      <c r="Z854" s="62" t="e">
        <f t="shared" si="40"/>
        <v>#NUM!</v>
      </c>
      <c r="AA854" s="62"/>
      <c r="AB854" s="34"/>
      <c r="AC854" s="34"/>
      <c r="AD854" s="38"/>
      <c r="AE854" s="59" t="str">
        <f t="shared" si="41"/>
        <v>SÍ</v>
      </c>
      <c r="AF854" s="38" t="e" cm="1">
        <f t="array" aca="1" ref="AF854" ca="1">MIN(100, MAX(0, (IF(R854="ESTUDIANTE", 31, 0)) + (IF(I854&lt;=3, 30, IF(I854&lt;=6, 20, 0))) +(IF(OR(E854="413 - Control de Costes y Enlace Construcción", E854="480 - Secretaría General del Consejo", E854="132 - Civil y estructuras", E854="136 - Mecánica", E854="412 - Planificación", E854="142 - Compras"), 25, 0)) +(IF(OR(S854="GRADO ING. MECÁNICA", S854="GRADO ING. ELÉCTRICA", S854="GRADO DERECHO", S854="GRADO ECONOMÍA", S854="GRADO ING. TECNOLOGÍAS INDUSTRIALES"), 24, 0)) + (IF(AND(K854&gt;=451, K854&lt;=700), 23, 0)) + (IF(AND(AB854&gt;=5, AB854&lt;=8), 17, 0)) +(IF(_xludf.OR(_xludf.AND(AC854&gt;=8, AC854&lt;=10), _xludf.AND(AC854&gt;=0, AC854&lt;=5)), 16, 0)) + (IF(F854="Madrid", 11, 0))))</f>
        <v>#NAME?</v>
      </c>
      <c r="AG854" s="68"/>
      <c r="AH854" s="71" t="s">
        <v>164</v>
      </c>
    </row>
    <row r="855" spans="1:34" ht="14.4" x14ac:dyDescent="0.3">
      <c r="A855" s="66" t="s">
        <v>1810</v>
      </c>
      <c r="B855" s="66" t="s">
        <v>3927</v>
      </c>
      <c r="C855" s="33">
        <v>858</v>
      </c>
      <c r="D855" s="33" t="s">
        <v>5393</v>
      </c>
      <c r="E855" s="34" t="s">
        <v>5252</v>
      </c>
      <c r="F855" s="34" t="s">
        <v>931</v>
      </c>
      <c r="G855" s="57">
        <v>42952</v>
      </c>
      <c r="H855" s="57">
        <v>43585</v>
      </c>
      <c r="I855" s="34">
        <f t="shared" si="39"/>
        <v>20</v>
      </c>
      <c r="J855" s="34">
        <v>40</v>
      </c>
      <c r="K855" s="36">
        <v>1000</v>
      </c>
      <c r="L855" s="34" t="s">
        <v>17</v>
      </c>
      <c r="M855" s="57">
        <v>36264</v>
      </c>
      <c r="N855" s="37">
        <f>(YEAR(TablaMadre[[#This Row],[ALTA]])-YEAR(M855))</f>
        <v>18</v>
      </c>
      <c r="O855" s="34" t="s">
        <v>95</v>
      </c>
      <c r="P855" s="34" t="s">
        <v>95</v>
      </c>
      <c r="Q855" s="34" t="s">
        <v>136</v>
      </c>
      <c r="R855" s="34" t="s">
        <v>21</v>
      </c>
      <c r="S855" s="34" t="s">
        <v>136</v>
      </c>
      <c r="T855" s="34"/>
      <c r="U855" s="34"/>
      <c r="V855" s="34" t="s">
        <v>90</v>
      </c>
      <c r="W855" s="34" t="s">
        <v>23</v>
      </c>
      <c r="X855" s="38" t="s">
        <v>164</v>
      </c>
      <c r="Y855" s="62"/>
      <c r="Z855" s="62" t="e">
        <f t="shared" si="40"/>
        <v>#NUM!</v>
      </c>
      <c r="AA855" s="62"/>
      <c r="AB855" s="34">
        <v>7</v>
      </c>
      <c r="AC855" s="34">
        <v>8</v>
      </c>
      <c r="AD855" s="38"/>
      <c r="AE855" s="59" t="str">
        <f t="shared" si="41"/>
        <v>SÍ</v>
      </c>
      <c r="AF855" s="38" t="e" cm="1">
        <f t="array" aca="1" ref="AF855" ca="1">MIN(100, MAX(0, (IF(R855="ESTUDIANTE", 31, 0)) + (IF(I855&lt;=3, 30, IF(I855&lt;=6, 20, 0))) +(IF(OR(E855="413 - Control de Costes y Enlace Construcción", E855="480 - Secretaría General del Consejo", E855="132 - Civil y estructuras", E855="136 - Mecánica", E855="412 - Planificación", E855="142 - Compras"), 25, 0)) +(IF(OR(S855="GRADO ING. MECÁNICA", S855="GRADO ING. ELÉCTRICA", S855="GRADO DERECHO", S855="GRADO ECONOMÍA", S855="GRADO ING. TECNOLOGÍAS INDUSTRIALES"), 24, 0)) + (IF(AND(K855&gt;=451, K855&lt;=700), 23, 0)) + (IF(AND(AB855&gt;=5, AB855&lt;=8), 17, 0)) +(IF(_xludf.OR(_xludf.AND(AC855&gt;=8, AC855&lt;=10), _xludf.AND(AC855&gt;=0, AC855&lt;=5)), 16, 0)) + (IF(F855="Madrid", 11, 0))))</f>
        <v>#NAME?</v>
      </c>
      <c r="AG855" s="68"/>
      <c r="AH855" s="71" t="s">
        <v>164</v>
      </c>
    </row>
    <row r="856" spans="1:34" ht="14.4" x14ac:dyDescent="0.3">
      <c r="A856" s="66" t="s">
        <v>1833</v>
      </c>
      <c r="B856" s="66" t="s">
        <v>3950</v>
      </c>
      <c r="C856" s="33">
        <v>854</v>
      </c>
      <c r="D856" s="33" t="s">
        <v>5394</v>
      </c>
      <c r="E856" s="34" t="s">
        <v>5252</v>
      </c>
      <c r="F856" s="34" t="s">
        <v>931</v>
      </c>
      <c r="G856" s="57">
        <v>42952</v>
      </c>
      <c r="H856" s="57">
        <v>43373</v>
      </c>
      <c r="I856" s="34">
        <f t="shared" si="39"/>
        <v>13</v>
      </c>
      <c r="J856" s="34">
        <v>40</v>
      </c>
      <c r="K856" s="36">
        <v>1000</v>
      </c>
      <c r="L856" s="34" t="s">
        <v>17</v>
      </c>
      <c r="M856" s="57">
        <v>36234</v>
      </c>
      <c r="N856" s="37">
        <f>(YEAR(TablaMadre[[#This Row],[ALTA]])-YEAR(M856))</f>
        <v>18</v>
      </c>
      <c r="O856" s="34" t="s">
        <v>95</v>
      </c>
      <c r="P856" s="34" t="s">
        <v>95</v>
      </c>
      <c r="Q856" s="34" t="s">
        <v>136</v>
      </c>
      <c r="R856" s="34" t="s">
        <v>21</v>
      </c>
      <c r="S856" s="34" t="s">
        <v>136</v>
      </c>
      <c r="T856" s="34"/>
      <c r="U856" s="34"/>
      <c r="V856" s="34" t="s">
        <v>90</v>
      </c>
      <c r="W856" s="34" t="s">
        <v>97</v>
      </c>
      <c r="X856" s="38" t="s">
        <v>164</v>
      </c>
      <c r="Y856" s="62"/>
      <c r="Z856" s="62" t="e">
        <f t="shared" si="40"/>
        <v>#NUM!</v>
      </c>
      <c r="AA856" s="62"/>
      <c r="AB856" s="34">
        <v>7</v>
      </c>
      <c r="AC856" s="34">
        <v>6</v>
      </c>
      <c r="AD856" s="38"/>
      <c r="AE856" s="59" t="str">
        <f t="shared" si="41"/>
        <v>SÍ</v>
      </c>
      <c r="AF856" s="38" t="e" cm="1">
        <f t="array" aca="1" ref="AF856" ca="1">MIN(100, MAX(0, (IF(R856="ESTUDIANTE", 31, 0)) + (IF(I856&lt;=3, 30, IF(I856&lt;=6, 20, 0))) +(IF(OR(E856="413 - Control de Costes y Enlace Construcción", E856="480 - Secretaría General del Consejo", E856="132 - Civil y estructuras", E856="136 - Mecánica", E856="412 - Planificación", E856="142 - Compras"), 25, 0)) +(IF(OR(S856="GRADO ING. MECÁNICA", S856="GRADO ING. ELÉCTRICA", S856="GRADO DERECHO", S856="GRADO ECONOMÍA", S856="GRADO ING. TECNOLOGÍAS INDUSTRIALES"), 24, 0)) + (IF(AND(K856&gt;=451, K856&lt;=700), 23, 0)) + (IF(AND(AB856&gt;=5, AB856&lt;=8), 17, 0)) +(IF(_xludf.OR(_xludf.AND(AC856&gt;=8, AC856&lt;=10), _xludf.AND(AC856&gt;=0, AC856&lt;=5)), 16, 0)) + (IF(F856="Madrid", 11, 0))))</f>
        <v>#NAME?</v>
      </c>
      <c r="AG856" s="68"/>
      <c r="AH856" s="71" t="s">
        <v>164</v>
      </c>
    </row>
    <row r="857" spans="1:34" ht="14.4" x14ac:dyDescent="0.3">
      <c r="A857" s="66" t="s">
        <v>1834</v>
      </c>
      <c r="B857" s="66" t="s">
        <v>3951</v>
      </c>
      <c r="C857" s="33">
        <v>855</v>
      </c>
      <c r="D857" s="33" t="s">
        <v>5395</v>
      </c>
      <c r="E857" s="34" t="s">
        <v>5218</v>
      </c>
      <c r="F857" s="34" t="s">
        <v>931</v>
      </c>
      <c r="G857" s="57">
        <v>42952</v>
      </c>
      <c r="H857" s="57">
        <v>43386</v>
      </c>
      <c r="I857" s="34">
        <f t="shared" si="39"/>
        <v>14</v>
      </c>
      <c r="J857" s="34">
        <v>40</v>
      </c>
      <c r="K857" s="36">
        <v>1000</v>
      </c>
      <c r="L857" s="34" t="s">
        <v>17</v>
      </c>
      <c r="M857" s="57">
        <v>35911</v>
      </c>
      <c r="N857" s="37">
        <f>(YEAR(TablaMadre[[#This Row],[ALTA]])-YEAR(M857))</f>
        <v>19</v>
      </c>
      <c r="O857" s="34" t="s">
        <v>95</v>
      </c>
      <c r="P857" s="34" t="s">
        <v>95</v>
      </c>
      <c r="Q857" s="34" t="s">
        <v>151</v>
      </c>
      <c r="R857" s="34" t="s">
        <v>21</v>
      </c>
      <c r="S857" s="34" t="s">
        <v>151</v>
      </c>
      <c r="T857" s="34"/>
      <c r="U857" s="34"/>
      <c r="V857" s="34" t="s">
        <v>90</v>
      </c>
      <c r="W857" s="34" t="s">
        <v>97</v>
      </c>
      <c r="X857" s="38" t="s">
        <v>164</v>
      </c>
      <c r="Y857" s="62"/>
      <c r="Z857" s="62" t="e">
        <f t="shared" si="40"/>
        <v>#NUM!</v>
      </c>
      <c r="AA857" s="62"/>
      <c r="AB857" s="34">
        <v>7</v>
      </c>
      <c r="AC857" s="34">
        <v>8</v>
      </c>
      <c r="AD857" s="38"/>
      <c r="AE857" s="59" t="str">
        <f t="shared" si="41"/>
        <v>SÍ</v>
      </c>
      <c r="AF857" s="38" t="e" cm="1">
        <f t="array" aca="1" ref="AF857" ca="1">MIN(100, MAX(0, (IF(R857="ESTUDIANTE", 31, 0)) + (IF(I857&lt;=3, 30, IF(I857&lt;=6, 20, 0))) +(IF(OR(E857="413 - Control de Costes y Enlace Construcción", E857="480 - Secretaría General del Consejo", E857="132 - Civil y estructuras", E857="136 - Mecánica", E857="412 - Planificación", E857="142 - Compras"), 25, 0)) +(IF(OR(S857="GRADO ING. MECÁNICA", S857="GRADO ING. ELÉCTRICA", S857="GRADO DERECHO", S857="GRADO ECONOMÍA", S857="GRADO ING. TECNOLOGÍAS INDUSTRIALES"), 24, 0)) + (IF(AND(K857&gt;=451, K857&lt;=700), 23, 0)) + (IF(AND(AB857&gt;=5, AB857&lt;=8), 17, 0)) +(IF(_xludf.OR(_xludf.AND(AC857&gt;=8, AC857&lt;=10), _xludf.AND(AC857&gt;=0, AC857&lt;=5)), 16, 0)) + (IF(F857="Madrid", 11, 0))))</f>
        <v>#NAME?</v>
      </c>
      <c r="AG857" s="68"/>
      <c r="AH857" s="71" t="s">
        <v>164</v>
      </c>
    </row>
    <row r="858" spans="1:34" ht="14.4" x14ac:dyDescent="0.3">
      <c r="A858" s="66" t="s">
        <v>1835</v>
      </c>
      <c r="B858" s="66" t="s">
        <v>3952</v>
      </c>
      <c r="C858" s="33">
        <v>856</v>
      </c>
      <c r="D858" s="33" t="s">
        <v>5396</v>
      </c>
      <c r="E858" s="34" t="s">
        <v>5216</v>
      </c>
      <c r="F858" s="34" t="s">
        <v>931</v>
      </c>
      <c r="G858" s="57">
        <v>42952</v>
      </c>
      <c r="H858" s="57">
        <v>43386</v>
      </c>
      <c r="I858" s="34">
        <f t="shared" si="39"/>
        <v>14</v>
      </c>
      <c r="J858" s="34">
        <v>40</v>
      </c>
      <c r="K858" s="36">
        <v>1000</v>
      </c>
      <c r="L858" s="34" t="s">
        <v>17</v>
      </c>
      <c r="M858" s="57">
        <v>34016</v>
      </c>
      <c r="N858" s="37">
        <f>(YEAR(TablaMadre[[#This Row],[ALTA]])-YEAR(M858))</f>
        <v>24</v>
      </c>
      <c r="O858" s="34" t="s">
        <v>95</v>
      </c>
      <c r="P858" s="34" t="s">
        <v>95</v>
      </c>
      <c r="Q858" s="34" t="s">
        <v>297</v>
      </c>
      <c r="R858" s="34" t="s">
        <v>21</v>
      </c>
      <c r="S858" s="34" t="s">
        <v>297</v>
      </c>
      <c r="T858" s="34"/>
      <c r="U858" s="34"/>
      <c r="V858" s="34" t="s">
        <v>90</v>
      </c>
      <c r="W858" s="34" t="s">
        <v>97</v>
      </c>
      <c r="X858" s="38" t="s">
        <v>164</v>
      </c>
      <c r="Y858" s="62"/>
      <c r="Z858" s="62" t="e">
        <f t="shared" si="40"/>
        <v>#NUM!</v>
      </c>
      <c r="AA858" s="62"/>
      <c r="AB858" s="34">
        <v>8</v>
      </c>
      <c r="AC858" s="34">
        <v>8</v>
      </c>
      <c r="AD858" s="38"/>
      <c r="AE858" s="59" t="str">
        <f t="shared" si="41"/>
        <v>SÍ</v>
      </c>
      <c r="AF858" s="38" t="e" cm="1">
        <f t="array" aca="1" ref="AF858" ca="1">MIN(100, MAX(0, (IF(R858="ESTUDIANTE", 31, 0)) + (IF(I858&lt;=3, 30, IF(I858&lt;=6, 20, 0))) +(IF(OR(E858="413 - Control de Costes y Enlace Construcción", E858="480 - Secretaría General del Consejo", E858="132 - Civil y estructuras", E858="136 - Mecánica", E858="412 - Planificación", E858="142 - Compras"), 25, 0)) +(IF(OR(S858="GRADO ING. MECÁNICA", S858="GRADO ING. ELÉCTRICA", S858="GRADO DERECHO", S858="GRADO ECONOMÍA", S858="GRADO ING. TECNOLOGÍAS INDUSTRIALES"), 24, 0)) + (IF(AND(K858&gt;=451, K858&lt;=700), 23, 0)) + (IF(AND(AB858&gt;=5, AB858&lt;=8), 17, 0)) +(IF(_xludf.OR(_xludf.AND(AC858&gt;=8, AC858&lt;=10), _xludf.AND(AC858&gt;=0, AC858&lt;=5)), 16, 0)) + (IF(F858="Madrid", 11, 0))))</f>
        <v>#NAME?</v>
      </c>
      <c r="AG858" s="68"/>
      <c r="AH858" s="71" t="s">
        <v>164</v>
      </c>
    </row>
    <row r="859" spans="1:34" ht="14.4" x14ac:dyDescent="0.3">
      <c r="A859" s="66" t="s">
        <v>1836</v>
      </c>
      <c r="B859" s="66" t="s">
        <v>3953</v>
      </c>
      <c r="C859" s="33">
        <v>857</v>
      </c>
      <c r="D859" s="33" t="s">
        <v>5397</v>
      </c>
      <c r="E859" s="34" t="s">
        <v>5246</v>
      </c>
      <c r="F859" s="34" t="s">
        <v>931</v>
      </c>
      <c r="G859" s="57">
        <v>42952</v>
      </c>
      <c r="H859" s="57">
        <v>43434</v>
      </c>
      <c r="I859" s="34">
        <f t="shared" si="39"/>
        <v>15</v>
      </c>
      <c r="J859" s="34">
        <v>40</v>
      </c>
      <c r="K859" s="36">
        <v>1000</v>
      </c>
      <c r="L859" s="34" t="s">
        <v>17</v>
      </c>
      <c r="M859" s="57">
        <v>34699</v>
      </c>
      <c r="N859" s="37">
        <f>(YEAR(TablaMadre[[#This Row],[ALTA]])-YEAR(M859))</f>
        <v>23</v>
      </c>
      <c r="O859" s="34" t="s">
        <v>95</v>
      </c>
      <c r="P859" s="34" t="s">
        <v>95</v>
      </c>
      <c r="Q859" s="34" t="s">
        <v>277</v>
      </c>
      <c r="R859" s="34" t="s">
        <v>21</v>
      </c>
      <c r="S859" s="34" t="s">
        <v>277</v>
      </c>
      <c r="T859" s="34"/>
      <c r="U859" s="34"/>
      <c r="V859" s="34" t="s">
        <v>90</v>
      </c>
      <c r="W859" s="34" t="s">
        <v>97</v>
      </c>
      <c r="X859" s="38" t="s">
        <v>164</v>
      </c>
      <c r="Y859" s="62"/>
      <c r="Z859" s="62" t="e">
        <f t="shared" si="40"/>
        <v>#NUM!</v>
      </c>
      <c r="AA859" s="62"/>
      <c r="AB859" s="34">
        <v>9</v>
      </c>
      <c r="AC859" s="34">
        <v>8</v>
      </c>
      <c r="AD859" s="38"/>
      <c r="AE859" s="59" t="str">
        <f t="shared" si="41"/>
        <v>SÍ</v>
      </c>
      <c r="AF859" s="38" t="e" cm="1">
        <f t="array" aca="1" ref="AF859" ca="1">MIN(100, MAX(0, (IF(R859="ESTUDIANTE", 31, 0)) + (IF(I859&lt;=3, 30, IF(I859&lt;=6, 20, 0))) +(IF(OR(E859="413 - Control de Costes y Enlace Construcción", E859="480 - Secretaría General del Consejo", E859="132 - Civil y estructuras", E859="136 - Mecánica", E859="412 - Planificación", E859="142 - Compras"), 25, 0)) +(IF(OR(S859="GRADO ING. MECÁNICA", S859="GRADO ING. ELÉCTRICA", S859="GRADO DERECHO", S859="GRADO ECONOMÍA", S859="GRADO ING. TECNOLOGÍAS INDUSTRIALES"), 24, 0)) + (IF(AND(K859&gt;=451, K859&lt;=700), 23, 0)) + (IF(AND(AB859&gt;=5, AB859&lt;=8), 17, 0)) +(IF(_xludf.OR(_xludf.AND(AC859&gt;=8, AC859&lt;=10), _xludf.AND(AC859&gt;=0, AC859&lt;=5)), 16, 0)) + (IF(F859="Madrid", 11, 0))))</f>
        <v>#NAME?</v>
      </c>
      <c r="AG859" s="68"/>
      <c r="AH859" s="71" t="s">
        <v>164</v>
      </c>
    </row>
    <row r="860" spans="1:34" ht="14.4" x14ac:dyDescent="0.3">
      <c r="A860" s="66" t="s">
        <v>1838</v>
      </c>
      <c r="B860" s="66" t="s">
        <v>3955</v>
      </c>
      <c r="C860" s="33">
        <v>859</v>
      </c>
      <c r="D860" s="33" t="s">
        <v>5393</v>
      </c>
      <c r="E860" s="34" t="s">
        <v>5245</v>
      </c>
      <c r="F860" s="34" t="s">
        <v>18</v>
      </c>
      <c r="G860" s="57">
        <v>42968</v>
      </c>
      <c r="H860" s="57">
        <v>43332</v>
      </c>
      <c r="I860" s="34">
        <f t="shared" si="39"/>
        <v>11</v>
      </c>
      <c r="J860" s="34">
        <v>35</v>
      </c>
      <c r="K860" s="36">
        <v>750</v>
      </c>
      <c r="L860" s="34" t="s">
        <v>29</v>
      </c>
      <c r="M860" s="57">
        <v>36522</v>
      </c>
      <c r="N860" s="37">
        <f>(YEAR(TablaMadre[[#This Row],[ALTA]])-YEAR(M860))</f>
        <v>18</v>
      </c>
      <c r="O860" s="34" t="s">
        <v>511</v>
      </c>
      <c r="P860" s="34" t="s">
        <v>19</v>
      </c>
      <c r="Q860" s="34" t="s">
        <v>229</v>
      </c>
      <c r="R860" s="34" t="s">
        <v>21</v>
      </c>
      <c r="S860" s="34" t="s">
        <v>229</v>
      </c>
      <c r="T860" s="34"/>
      <c r="U860" s="34"/>
      <c r="V860" s="34" t="s">
        <v>415</v>
      </c>
      <c r="W860" s="34" t="s">
        <v>28</v>
      </c>
      <c r="X860" s="38" t="s">
        <v>173</v>
      </c>
      <c r="Y860" s="62"/>
      <c r="Z860" s="38" t="e">
        <f t="shared" si="40"/>
        <v>#NUM!</v>
      </c>
      <c r="AA860" s="38"/>
      <c r="AB860" s="34">
        <v>9</v>
      </c>
      <c r="AC860" s="34">
        <v>8</v>
      </c>
      <c r="AD860" s="38"/>
      <c r="AE860" s="59" t="str">
        <f t="shared" si="41"/>
        <v>SÍ</v>
      </c>
      <c r="AF860" s="38" t="e" cm="1">
        <f t="array" aca="1" ref="AF860" ca="1">MIN(100, MAX(0, (IF(R860="ESTUDIANTE", 31, 0)) + (IF(I860&lt;=3, 30, IF(I860&lt;=6, 20, 0))) +(IF(OR(E860="413 - Control de Costes y Enlace Construcción", E860="480 - Secretaría General del Consejo", E860="132 - Civil y estructuras", E860="136 - Mecánica", E860="412 - Planificación", E860="142 - Compras"), 25, 0)) +(IF(OR(S860="GRADO ING. MECÁNICA", S860="GRADO ING. ELÉCTRICA", S860="GRADO DERECHO", S860="GRADO ECONOMÍA", S860="GRADO ING. TECNOLOGÍAS INDUSTRIALES"), 24, 0)) + (IF(AND(K860&gt;=451, K860&lt;=700), 23, 0)) + (IF(AND(AB860&gt;=5, AB860&lt;=8), 17, 0)) +(IF(_xludf.OR(_xludf.AND(AC860&gt;=8, AC860&lt;=10), _xludf.AND(AC860&gt;=0, AC860&lt;=5)), 16, 0)) + (IF(F860="Madrid", 11, 0))))</f>
        <v>#NAME?</v>
      </c>
      <c r="AG860" s="68"/>
      <c r="AH860" s="71" t="s">
        <v>164</v>
      </c>
    </row>
    <row r="861" spans="1:34" ht="14.4" x14ac:dyDescent="0.3">
      <c r="A861" s="66" t="s">
        <v>1839</v>
      </c>
      <c r="B861" s="66" t="s">
        <v>3956</v>
      </c>
      <c r="C861" s="33">
        <v>860</v>
      </c>
      <c r="D861" s="33" t="s">
        <v>5394</v>
      </c>
      <c r="E861" s="34" t="s">
        <v>5249</v>
      </c>
      <c r="F861" s="34" t="s">
        <v>18</v>
      </c>
      <c r="G861" s="57">
        <v>42979</v>
      </c>
      <c r="H861" s="57">
        <v>43100</v>
      </c>
      <c r="I861" s="34">
        <f t="shared" si="39"/>
        <v>3</v>
      </c>
      <c r="J861" s="34">
        <v>35</v>
      </c>
      <c r="K861" s="36">
        <v>900</v>
      </c>
      <c r="L861" s="34" t="s">
        <v>17</v>
      </c>
      <c r="M861" s="57">
        <v>34276</v>
      </c>
      <c r="N861" s="37">
        <f>(YEAR(TablaMadre[[#This Row],[ALTA]])-YEAR(M861))</f>
        <v>24</v>
      </c>
      <c r="O861" s="34" t="s">
        <v>121</v>
      </c>
      <c r="P861" s="34" t="s">
        <v>19</v>
      </c>
      <c r="Q861" s="34" t="s">
        <v>297</v>
      </c>
      <c r="R861" s="34" t="s">
        <v>21</v>
      </c>
      <c r="S861" s="34" t="s">
        <v>297</v>
      </c>
      <c r="T861" s="34"/>
      <c r="U861" s="34"/>
      <c r="V861" s="34" t="s">
        <v>122</v>
      </c>
      <c r="W861" s="34" t="s">
        <v>28</v>
      </c>
      <c r="X861" s="38" t="s">
        <v>164</v>
      </c>
      <c r="Y861" s="62">
        <v>45017</v>
      </c>
      <c r="Z861" s="38">
        <f t="shared" si="40"/>
        <v>5</v>
      </c>
      <c r="AA861" s="38"/>
      <c r="AB861" s="34">
        <v>9</v>
      </c>
      <c r="AC861" s="34" t="s">
        <v>405</v>
      </c>
      <c r="AD861" s="38"/>
      <c r="AE861" s="59" t="str">
        <f t="shared" si="41"/>
        <v>SÍ</v>
      </c>
      <c r="AF861" s="38" t="e" cm="1">
        <f t="array" aca="1" ref="AF861" ca="1">MIN(100, MAX(0, (IF(R861="ESTUDIANTE", 31, 0)) + (IF(I861&lt;=3, 30, IF(I861&lt;=6, 20, 0))) +(IF(OR(E861="413 - Control de Costes y Enlace Construcción", E861="480 - Secretaría General del Consejo", E861="132 - Civil y estructuras", E861="136 - Mecánica", E861="412 - Planificación", E861="142 - Compras"), 25, 0)) +(IF(OR(S861="GRADO ING. MECÁNICA", S861="GRADO ING. ELÉCTRICA", S861="GRADO DERECHO", S861="GRADO ECONOMÍA", S861="GRADO ING. TECNOLOGÍAS INDUSTRIALES"), 24, 0)) + (IF(AND(K861&gt;=451, K861&lt;=700), 23, 0)) + (IF(AND(AB861&gt;=5, AB861&lt;=8), 17, 0)) +(IF(_xludf.OR(_xludf.AND(AC861&gt;=8, AC861&lt;=10), _xludf.AND(AC861&gt;=0, AC861&lt;=5)), 16, 0)) + (IF(F861="Madrid", 11, 0))))</f>
        <v>#NAME?</v>
      </c>
      <c r="AG861" s="68"/>
      <c r="AH861" s="71" t="s">
        <v>164</v>
      </c>
    </row>
    <row r="862" spans="1:34" ht="14.4" x14ac:dyDescent="0.3">
      <c r="A862" s="66" t="s">
        <v>1840</v>
      </c>
      <c r="B862" s="66" t="s">
        <v>3957</v>
      </c>
      <c r="C862" s="33">
        <v>861</v>
      </c>
      <c r="D862" s="33" t="s">
        <v>5395</v>
      </c>
      <c r="E862" s="34" t="s">
        <v>5244</v>
      </c>
      <c r="F862" s="34" t="s">
        <v>18</v>
      </c>
      <c r="G862" s="57">
        <v>42979</v>
      </c>
      <c r="H862" s="57">
        <v>43313</v>
      </c>
      <c r="I862" s="34">
        <f t="shared" si="39"/>
        <v>11</v>
      </c>
      <c r="J862" s="34">
        <v>35</v>
      </c>
      <c r="K862" s="36">
        <v>825</v>
      </c>
      <c r="L862" s="34" t="s">
        <v>17</v>
      </c>
      <c r="M862" s="57">
        <v>32735</v>
      </c>
      <c r="N862" s="37">
        <f>(YEAR(TablaMadre[[#This Row],[ALTA]])-YEAR(M862))</f>
        <v>28</v>
      </c>
      <c r="O862" s="34" t="s">
        <v>18</v>
      </c>
      <c r="P862" s="34" t="s">
        <v>19</v>
      </c>
      <c r="Q862" s="34" t="s">
        <v>151</v>
      </c>
      <c r="R862" s="34" t="s">
        <v>21</v>
      </c>
      <c r="S862" s="34" t="s">
        <v>151</v>
      </c>
      <c r="T862" s="34"/>
      <c r="U862" s="34"/>
      <c r="V862" s="34" t="s">
        <v>22</v>
      </c>
      <c r="W862" s="34" t="s">
        <v>28</v>
      </c>
      <c r="X862" s="38" t="s">
        <v>164</v>
      </c>
      <c r="Y862" s="62">
        <v>44618</v>
      </c>
      <c r="Z862" s="38">
        <f t="shared" si="40"/>
        <v>3</v>
      </c>
      <c r="AA862" s="38"/>
      <c r="AB862" s="34">
        <v>9</v>
      </c>
      <c r="AC862" s="34">
        <v>9</v>
      </c>
      <c r="AD862" s="38"/>
      <c r="AE862" s="59" t="str">
        <f t="shared" si="41"/>
        <v>NO</v>
      </c>
      <c r="AF862" s="38" t="e" cm="1">
        <f t="array" aca="1" ref="AF862" ca="1">MIN(100, MAX(0, (IF(R862="ESTUDIANTE", 31, 0)) + (IF(I862&lt;=3, 30, IF(I862&lt;=6, 20, 0))) +(IF(OR(E862="413 - Control de Costes y Enlace Construcción", E862="480 - Secretaría General del Consejo", E862="132 - Civil y estructuras", E862="136 - Mecánica", E862="412 - Planificación", E862="142 - Compras"), 25, 0)) +(IF(OR(S862="GRADO ING. MECÁNICA", S862="GRADO ING. ELÉCTRICA", S862="GRADO DERECHO", S862="GRADO ECONOMÍA", S862="GRADO ING. TECNOLOGÍAS INDUSTRIALES"), 24, 0)) + (IF(AND(K862&gt;=451, K862&lt;=700), 23, 0)) + (IF(AND(AB862&gt;=5, AB862&lt;=8), 17, 0)) +(IF(_xludf.OR(_xludf.AND(AC862&gt;=8, AC862&lt;=10), _xludf.AND(AC862&gt;=0, AC862&lt;=5)), 16, 0)) + (IF(F862="Madrid", 11, 0))))</f>
        <v>#NAME?</v>
      </c>
      <c r="AG862" s="68"/>
      <c r="AH862" s="71" t="s">
        <v>164</v>
      </c>
    </row>
    <row r="863" spans="1:34" ht="14.4" x14ac:dyDescent="0.3">
      <c r="A863" s="66" t="s">
        <v>1841</v>
      </c>
      <c r="B863" s="66" t="s">
        <v>3958</v>
      </c>
      <c r="C863" s="33">
        <v>862</v>
      </c>
      <c r="D863" s="33" t="s">
        <v>5396</v>
      </c>
      <c r="E863" s="34" t="s">
        <v>5244</v>
      </c>
      <c r="F863" s="34" t="s">
        <v>18</v>
      </c>
      <c r="G863" s="57">
        <v>42979</v>
      </c>
      <c r="H863" s="57">
        <v>43313</v>
      </c>
      <c r="I863" s="34">
        <f t="shared" si="39"/>
        <v>11</v>
      </c>
      <c r="J863" s="34">
        <v>35</v>
      </c>
      <c r="K863" s="36">
        <v>900</v>
      </c>
      <c r="L863" s="34" t="s">
        <v>17</v>
      </c>
      <c r="M863" s="57">
        <v>33462</v>
      </c>
      <c r="N863" s="37">
        <f>(YEAR(TablaMadre[[#This Row],[ALTA]])-YEAR(M863))</f>
        <v>26</v>
      </c>
      <c r="O863" s="34" t="s">
        <v>18</v>
      </c>
      <c r="P863" s="34" t="s">
        <v>19</v>
      </c>
      <c r="Q863" s="34" t="s">
        <v>406</v>
      </c>
      <c r="R863" s="34" t="s">
        <v>21</v>
      </c>
      <c r="S863" s="34" t="s">
        <v>297</v>
      </c>
      <c r="T863" s="34"/>
      <c r="U863" s="34"/>
      <c r="V863" s="34" t="s">
        <v>84</v>
      </c>
      <c r="W863" s="34" t="s">
        <v>28</v>
      </c>
      <c r="X863" s="38" t="s">
        <v>164</v>
      </c>
      <c r="Y863" s="62">
        <v>43678</v>
      </c>
      <c r="Z863" s="38">
        <f t="shared" si="40"/>
        <v>1</v>
      </c>
      <c r="AA863" s="38"/>
      <c r="AB863" s="34">
        <v>9</v>
      </c>
      <c r="AC863" s="34">
        <v>8</v>
      </c>
      <c r="AD863" s="38"/>
      <c r="AE863" s="59" t="str">
        <f t="shared" si="41"/>
        <v>NO</v>
      </c>
      <c r="AF863" s="38" t="e" cm="1">
        <f t="array" aca="1" ref="AF863" ca="1">MIN(100, MAX(0, (IF(R863="ESTUDIANTE", 31, 0)) + (IF(I863&lt;=3, 30, IF(I863&lt;=6, 20, 0))) +(IF(OR(E863="413 - Control de Costes y Enlace Construcción", E863="480 - Secretaría General del Consejo", E863="132 - Civil y estructuras", E863="136 - Mecánica", E863="412 - Planificación", E863="142 - Compras"), 25, 0)) +(IF(OR(S863="GRADO ING. MECÁNICA", S863="GRADO ING. ELÉCTRICA", S863="GRADO DERECHO", S863="GRADO ECONOMÍA", S863="GRADO ING. TECNOLOGÍAS INDUSTRIALES"), 24, 0)) + (IF(AND(K863&gt;=451, K863&lt;=700), 23, 0)) + (IF(AND(AB863&gt;=5, AB863&lt;=8), 17, 0)) +(IF(_xludf.OR(_xludf.AND(AC863&gt;=8, AC863&lt;=10), _xludf.AND(AC863&gt;=0, AC863&lt;=5)), 16, 0)) + (IF(F863="Madrid", 11, 0))))</f>
        <v>#NAME?</v>
      </c>
      <c r="AG863" s="68"/>
      <c r="AH863" s="71" t="s">
        <v>164</v>
      </c>
    </row>
    <row r="864" spans="1:34" ht="14.4" x14ac:dyDescent="0.3">
      <c r="A864" s="66" t="s">
        <v>1842</v>
      </c>
      <c r="B864" s="66" t="s">
        <v>3959</v>
      </c>
      <c r="C864" s="33">
        <v>863</v>
      </c>
      <c r="D864" s="33" t="s">
        <v>5397</v>
      </c>
      <c r="E864" s="34" t="s">
        <v>5253</v>
      </c>
      <c r="F864" s="34" t="s">
        <v>18</v>
      </c>
      <c r="G864" s="57">
        <v>43012</v>
      </c>
      <c r="H864" s="57">
        <v>43101</v>
      </c>
      <c r="I864" s="34">
        <f t="shared" si="39"/>
        <v>2</v>
      </c>
      <c r="J864" s="34">
        <v>35</v>
      </c>
      <c r="K864" s="36">
        <v>900</v>
      </c>
      <c r="L864" s="34" t="s">
        <v>17</v>
      </c>
      <c r="M864" s="57">
        <v>34216</v>
      </c>
      <c r="N864" s="37">
        <f>(YEAR(TablaMadre[[#This Row],[ALTA]])-YEAR(M864))</f>
        <v>24</v>
      </c>
      <c r="O864" s="34" t="s">
        <v>293</v>
      </c>
      <c r="P864" s="34" t="s">
        <v>19</v>
      </c>
      <c r="Q864" s="34" t="s">
        <v>406</v>
      </c>
      <c r="R864" s="34" t="s">
        <v>21</v>
      </c>
      <c r="S864" s="34" t="s">
        <v>297</v>
      </c>
      <c r="T864" s="34"/>
      <c r="U864" s="34"/>
      <c r="V864" s="34" t="s">
        <v>180</v>
      </c>
      <c r="W864" s="34" t="s">
        <v>28</v>
      </c>
      <c r="X864" s="38" t="s">
        <v>164</v>
      </c>
      <c r="Y864" s="62">
        <v>43771</v>
      </c>
      <c r="Z864" s="38">
        <f t="shared" si="40"/>
        <v>1</v>
      </c>
      <c r="AA864" s="38"/>
      <c r="AB864" s="34">
        <v>9</v>
      </c>
      <c r="AC864" s="34">
        <v>8</v>
      </c>
      <c r="AD864" s="38"/>
      <c r="AE864" s="59" t="str">
        <f t="shared" si="41"/>
        <v>SÍ</v>
      </c>
      <c r="AF864" s="38" t="e" cm="1">
        <f t="array" aca="1" ref="AF864" ca="1">MIN(100, MAX(0, (IF(R864="ESTUDIANTE", 31, 0)) + (IF(I864&lt;=3, 30, IF(I864&lt;=6, 20, 0))) +(IF(OR(E864="413 - Control de Costes y Enlace Construcción", E864="480 - Secretaría General del Consejo", E864="132 - Civil y estructuras", E864="136 - Mecánica", E864="412 - Planificación", E864="142 - Compras"), 25, 0)) +(IF(OR(S864="GRADO ING. MECÁNICA", S864="GRADO ING. ELÉCTRICA", S864="GRADO DERECHO", S864="GRADO ECONOMÍA", S864="GRADO ING. TECNOLOGÍAS INDUSTRIALES"), 24, 0)) + (IF(AND(K864&gt;=451, K864&lt;=700), 23, 0)) + (IF(AND(AB864&gt;=5, AB864&lt;=8), 17, 0)) +(IF(_xludf.OR(_xludf.AND(AC864&gt;=8, AC864&lt;=10), _xludf.AND(AC864&gt;=0, AC864&lt;=5)), 16, 0)) + (IF(F864="Madrid", 11, 0))))</f>
        <v>#NAME?</v>
      </c>
      <c r="AG864" s="68"/>
      <c r="AH864" s="71" t="s">
        <v>164</v>
      </c>
    </row>
    <row r="865" spans="1:34" ht="14.4" x14ac:dyDescent="0.3">
      <c r="A865" s="66" t="s">
        <v>1831</v>
      </c>
      <c r="B865" s="66" t="s">
        <v>3948</v>
      </c>
      <c r="C865" s="33">
        <v>867</v>
      </c>
      <c r="D865" s="33" t="s">
        <v>5398</v>
      </c>
      <c r="E865" s="34" t="s">
        <v>5244</v>
      </c>
      <c r="F865" s="34" t="s">
        <v>118</v>
      </c>
      <c r="G865" s="57">
        <v>43026</v>
      </c>
      <c r="H865" s="57">
        <v>43637</v>
      </c>
      <c r="I865" s="34">
        <f t="shared" si="39"/>
        <v>20</v>
      </c>
      <c r="J865" s="34">
        <v>35</v>
      </c>
      <c r="K865" s="36">
        <v>650</v>
      </c>
      <c r="L865" s="34" t="s">
        <v>17</v>
      </c>
      <c r="M865" s="57">
        <v>31708</v>
      </c>
      <c r="N865" s="37">
        <f>(YEAR(TablaMadre[[#This Row],[ALTA]])-YEAR(M865))</f>
        <v>31</v>
      </c>
      <c r="O865" s="34" t="s">
        <v>314</v>
      </c>
      <c r="P865" s="34" t="s">
        <v>314</v>
      </c>
      <c r="Q865" s="34" t="s">
        <v>297</v>
      </c>
      <c r="R865" s="58" t="s">
        <v>30</v>
      </c>
      <c r="S865" s="34" t="s">
        <v>297</v>
      </c>
      <c r="T865" s="34"/>
      <c r="U865" s="34"/>
      <c r="V865" s="34" t="s">
        <v>119</v>
      </c>
      <c r="W865" s="34" t="s">
        <v>181</v>
      </c>
      <c r="X865" s="38" t="s">
        <v>164</v>
      </c>
      <c r="Y865" s="62"/>
      <c r="Z865" s="62" t="e">
        <f t="shared" si="40"/>
        <v>#NUM!</v>
      </c>
      <c r="AA865" s="62"/>
      <c r="AB865" s="34">
        <v>10</v>
      </c>
      <c r="AC865" s="34">
        <v>8</v>
      </c>
      <c r="AD865" s="38"/>
      <c r="AE865" s="59" t="str">
        <f t="shared" si="41"/>
        <v>SÍ</v>
      </c>
      <c r="AF865" s="38" t="e" cm="1">
        <f t="array" aca="1" ref="AF865" ca="1">MIN(100, MAX(0, (IF(R865="ESTUDIANTE", 31, 0)) + (IF(I865&lt;=3, 30, IF(I865&lt;=6, 20, 0))) +(IF(OR(E865="413 - Control de Costes y Enlace Construcción", E865="480 - Secretaría General del Consejo", E865="132 - Civil y estructuras", E865="136 - Mecánica", E865="412 - Planificación", E865="142 - Compras"), 25, 0)) +(IF(OR(S865="GRADO ING. MECÁNICA", S865="GRADO ING. ELÉCTRICA", S865="GRADO DERECHO", S865="GRADO ECONOMÍA", S865="GRADO ING. TECNOLOGÍAS INDUSTRIALES"), 24, 0)) + (IF(AND(K865&gt;=451, K865&lt;=700), 23, 0)) + (IF(AND(AB865&gt;=5, AB865&lt;=8), 17, 0)) +(IF(_xludf.OR(_xludf.AND(AC865&gt;=8, AC865&lt;=10), _xludf.AND(AC865&gt;=0, AC865&lt;=5)), 16, 0)) + (IF(F865="Madrid", 11, 0))))</f>
        <v>#NAME?</v>
      </c>
      <c r="AG865" s="68"/>
      <c r="AH865" s="71" t="s">
        <v>164</v>
      </c>
    </row>
    <row r="866" spans="1:34" ht="14.4" x14ac:dyDescent="0.3">
      <c r="A866" s="66" t="s">
        <v>1843</v>
      </c>
      <c r="B866" s="66" t="s">
        <v>3960</v>
      </c>
      <c r="C866" s="33">
        <v>864</v>
      </c>
      <c r="D866" s="33" t="s">
        <v>5399</v>
      </c>
      <c r="E866" s="34" t="s">
        <v>5244</v>
      </c>
      <c r="F866" s="34" t="s">
        <v>118</v>
      </c>
      <c r="G866" s="57">
        <v>43026</v>
      </c>
      <c r="H866" s="57">
        <v>43378</v>
      </c>
      <c r="I866" s="34">
        <f t="shared" si="39"/>
        <v>11</v>
      </c>
      <c r="J866" s="34">
        <v>35</v>
      </c>
      <c r="K866" s="36">
        <v>825</v>
      </c>
      <c r="L866" s="34" t="s">
        <v>29</v>
      </c>
      <c r="M866" s="57">
        <v>33099</v>
      </c>
      <c r="N866" s="37">
        <f>(YEAR(TablaMadre[[#This Row],[ALTA]])-YEAR(M866))</f>
        <v>27</v>
      </c>
      <c r="O866" s="34" t="s">
        <v>255</v>
      </c>
      <c r="P866" s="34" t="s">
        <v>19</v>
      </c>
      <c r="Q866" s="34" t="s">
        <v>297</v>
      </c>
      <c r="R866" s="34" t="s">
        <v>21</v>
      </c>
      <c r="S866" s="34" t="s">
        <v>297</v>
      </c>
      <c r="T866" s="34"/>
      <c r="U866" s="34"/>
      <c r="V866" s="34" t="s">
        <v>77</v>
      </c>
      <c r="W866" s="34" t="s">
        <v>28</v>
      </c>
      <c r="X866" s="38" t="s">
        <v>173</v>
      </c>
      <c r="Y866" s="62"/>
      <c r="Z866" s="38" t="e">
        <f t="shared" si="40"/>
        <v>#NUM!</v>
      </c>
      <c r="AA866" s="38"/>
      <c r="AB866" s="34">
        <v>8</v>
      </c>
      <c r="AC866" s="34">
        <v>10</v>
      </c>
      <c r="AD866" s="38"/>
      <c r="AE866" s="59" t="str">
        <f t="shared" si="41"/>
        <v>SÍ</v>
      </c>
      <c r="AF866" s="38" t="e" cm="1">
        <f t="array" aca="1" ref="AF866" ca="1">MIN(100, MAX(0, (IF(R866="ESTUDIANTE", 31, 0)) + (IF(I866&lt;=3, 30, IF(I866&lt;=6, 20, 0))) +(IF(OR(E866="413 - Control de Costes y Enlace Construcción", E866="480 - Secretaría General del Consejo", E866="132 - Civil y estructuras", E866="136 - Mecánica", E866="412 - Planificación", E866="142 - Compras"), 25, 0)) +(IF(OR(S866="GRADO ING. MECÁNICA", S866="GRADO ING. ELÉCTRICA", S866="GRADO DERECHO", S866="GRADO ECONOMÍA", S866="GRADO ING. TECNOLOGÍAS INDUSTRIALES"), 24, 0)) + (IF(AND(K866&gt;=451, K866&lt;=700), 23, 0)) + (IF(AND(AB866&gt;=5, AB866&lt;=8), 17, 0)) +(IF(_xludf.OR(_xludf.AND(AC866&gt;=8, AC866&lt;=10), _xludf.AND(AC866&gt;=0, AC866&lt;=5)), 16, 0)) + (IF(F866="Madrid", 11, 0))))</f>
        <v>#NAME?</v>
      </c>
      <c r="AG866" s="68"/>
      <c r="AH866" s="71" t="s">
        <v>164</v>
      </c>
    </row>
    <row r="867" spans="1:34" ht="14.4" x14ac:dyDescent="0.3">
      <c r="A867" s="66" t="s">
        <v>1844</v>
      </c>
      <c r="B867" s="66" t="s">
        <v>3961</v>
      </c>
      <c r="C867" s="33">
        <v>865</v>
      </c>
      <c r="D867" s="33" t="s">
        <v>5400</v>
      </c>
      <c r="E867" s="34" t="s">
        <v>5244</v>
      </c>
      <c r="F867" s="34" t="s">
        <v>118</v>
      </c>
      <c r="G867" s="57">
        <v>43026</v>
      </c>
      <c r="H867" s="57">
        <v>43384</v>
      </c>
      <c r="I867" s="34">
        <f t="shared" si="39"/>
        <v>11</v>
      </c>
      <c r="J867" s="34">
        <v>35</v>
      </c>
      <c r="K867" s="36">
        <v>825</v>
      </c>
      <c r="L867" s="34" t="s">
        <v>17</v>
      </c>
      <c r="M867" s="57">
        <v>33702</v>
      </c>
      <c r="N867" s="37">
        <f>(YEAR(TablaMadre[[#This Row],[ALTA]])-YEAR(M867))</f>
        <v>25</v>
      </c>
      <c r="O867" s="34" t="s">
        <v>118</v>
      </c>
      <c r="P867" s="34" t="s">
        <v>19</v>
      </c>
      <c r="Q867" s="34" t="s">
        <v>297</v>
      </c>
      <c r="R867" s="34" t="s">
        <v>21</v>
      </c>
      <c r="S867" s="34" t="s">
        <v>297</v>
      </c>
      <c r="T867" s="34"/>
      <c r="U867" s="34"/>
      <c r="V867" s="34" t="s">
        <v>37</v>
      </c>
      <c r="W867" s="34" t="s">
        <v>97</v>
      </c>
      <c r="X867" s="38" t="s">
        <v>164</v>
      </c>
      <c r="Y867" s="62">
        <v>45241</v>
      </c>
      <c r="Z867" s="38">
        <f t="shared" si="40"/>
        <v>5</v>
      </c>
      <c r="AA867" s="38"/>
      <c r="AB867" s="34">
        <v>9</v>
      </c>
      <c r="AC867" s="34">
        <v>10</v>
      </c>
      <c r="AD867" s="38"/>
      <c r="AE867" s="59" t="str">
        <f t="shared" si="41"/>
        <v>NO</v>
      </c>
      <c r="AF867" s="38" t="e" cm="1">
        <f t="array" aca="1" ref="AF867" ca="1">MIN(100, MAX(0, (IF(R867="ESTUDIANTE", 31, 0)) + (IF(I867&lt;=3, 30, IF(I867&lt;=6, 20, 0))) +(IF(OR(E867="413 - Control de Costes y Enlace Construcción", E867="480 - Secretaría General del Consejo", E867="132 - Civil y estructuras", E867="136 - Mecánica", E867="412 - Planificación", E867="142 - Compras"), 25, 0)) +(IF(OR(S867="GRADO ING. MECÁNICA", S867="GRADO ING. ELÉCTRICA", S867="GRADO DERECHO", S867="GRADO ECONOMÍA", S867="GRADO ING. TECNOLOGÍAS INDUSTRIALES"), 24, 0)) + (IF(AND(K867&gt;=451, K867&lt;=700), 23, 0)) + (IF(AND(AB867&gt;=5, AB867&lt;=8), 17, 0)) +(IF(_xludf.OR(_xludf.AND(AC867&gt;=8, AC867&lt;=10), _xludf.AND(AC867&gt;=0, AC867&lt;=5)), 16, 0)) + (IF(F867="Madrid", 11, 0))))</f>
        <v>#NAME?</v>
      </c>
      <c r="AG867" s="68"/>
      <c r="AH867" s="71" t="s">
        <v>164</v>
      </c>
    </row>
    <row r="868" spans="1:34" ht="14.4" x14ac:dyDescent="0.3">
      <c r="A868" s="66" t="s">
        <v>1845</v>
      </c>
      <c r="B868" s="66" t="s">
        <v>3962</v>
      </c>
      <c r="C868" s="33">
        <v>866</v>
      </c>
      <c r="D868" s="33" t="s">
        <v>5401</v>
      </c>
      <c r="E868" s="34" t="s">
        <v>5244</v>
      </c>
      <c r="F868" s="34" t="s">
        <v>118</v>
      </c>
      <c r="G868" s="57">
        <v>43026</v>
      </c>
      <c r="H868" s="57">
        <v>43390</v>
      </c>
      <c r="I868" s="34">
        <f t="shared" si="39"/>
        <v>11</v>
      </c>
      <c r="J868" s="34">
        <v>35</v>
      </c>
      <c r="K868" s="36">
        <v>825</v>
      </c>
      <c r="L868" s="34" t="s">
        <v>17</v>
      </c>
      <c r="M868" s="57">
        <v>33698</v>
      </c>
      <c r="N868" s="37">
        <f>(YEAR(TablaMadre[[#This Row],[ALTA]])-YEAR(M868))</f>
        <v>25</v>
      </c>
      <c r="O868" s="34" t="s">
        <v>118</v>
      </c>
      <c r="P868" s="34" t="s">
        <v>19</v>
      </c>
      <c r="Q868" s="34" t="s">
        <v>297</v>
      </c>
      <c r="R868" s="34" t="s">
        <v>21</v>
      </c>
      <c r="S868" s="34" t="s">
        <v>297</v>
      </c>
      <c r="T868" s="34"/>
      <c r="U868" s="34"/>
      <c r="V868" s="34" t="s">
        <v>37</v>
      </c>
      <c r="W868" s="34" t="s">
        <v>28</v>
      </c>
      <c r="X868" s="38" t="s">
        <v>164</v>
      </c>
      <c r="Y868" s="62">
        <v>43851</v>
      </c>
      <c r="Z868" s="38">
        <f t="shared" si="40"/>
        <v>1</v>
      </c>
      <c r="AA868" s="38"/>
      <c r="AB868" s="34">
        <v>10</v>
      </c>
      <c r="AC868" s="34">
        <v>8</v>
      </c>
      <c r="AD868" s="38"/>
      <c r="AE868" s="59" t="str">
        <f t="shared" si="41"/>
        <v>NO</v>
      </c>
      <c r="AF868" s="38" t="e" cm="1">
        <f t="array" aca="1" ref="AF868" ca="1">MIN(100, MAX(0, (IF(R868="ESTUDIANTE", 31, 0)) + (IF(I868&lt;=3, 30, IF(I868&lt;=6, 20, 0))) +(IF(OR(E868="413 - Control de Costes y Enlace Construcción", E868="480 - Secretaría General del Consejo", E868="132 - Civil y estructuras", E868="136 - Mecánica", E868="412 - Planificación", E868="142 - Compras"), 25, 0)) +(IF(OR(S868="GRADO ING. MECÁNICA", S868="GRADO ING. ELÉCTRICA", S868="GRADO DERECHO", S868="GRADO ECONOMÍA", S868="GRADO ING. TECNOLOGÍAS INDUSTRIALES"), 24, 0)) + (IF(AND(K868&gt;=451, K868&lt;=700), 23, 0)) + (IF(AND(AB868&gt;=5, AB868&lt;=8), 17, 0)) +(IF(_xludf.OR(_xludf.AND(AC868&gt;=8, AC868&lt;=10), _xludf.AND(AC868&gt;=0, AC868&lt;=5)), 16, 0)) + (IF(F868="Madrid", 11, 0))))</f>
        <v>#NAME?</v>
      </c>
      <c r="AG868" s="68"/>
      <c r="AH868" s="71" t="s">
        <v>164</v>
      </c>
    </row>
    <row r="869" spans="1:34" ht="14.4" x14ac:dyDescent="0.3">
      <c r="A869" s="66" t="s">
        <v>1766</v>
      </c>
      <c r="B869" s="66" t="s">
        <v>3883</v>
      </c>
      <c r="C869" s="33">
        <v>868</v>
      </c>
      <c r="D869" s="33" t="s">
        <v>5402</v>
      </c>
      <c r="E869" s="34" t="s">
        <v>5260</v>
      </c>
      <c r="F869" s="34" t="s">
        <v>18</v>
      </c>
      <c r="G869" s="57">
        <v>43048</v>
      </c>
      <c r="H869" s="57">
        <v>43159</v>
      </c>
      <c r="I869" s="34">
        <f t="shared" si="39"/>
        <v>3</v>
      </c>
      <c r="J869" s="34">
        <v>40</v>
      </c>
      <c r="K869" s="36">
        <v>2000</v>
      </c>
      <c r="L869" s="34" t="s">
        <v>29</v>
      </c>
      <c r="M869" s="57">
        <v>34310</v>
      </c>
      <c r="N869" s="37">
        <f>(YEAR(TablaMadre[[#This Row],[ALTA]])-YEAR(M869))</f>
        <v>24</v>
      </c>
      <c r="O869" s="34" t="s">
        <v>102</v>
      </c>
      <c r="P869" s="34" t="s">
        <v>103</v>
      </c>
      <c r="Q869" s="34" t="s">
        <v>393</v>
      </c>
      <c r="R869" s="34" t="s">
        <v>21</v>
      </c>
      <c r="S869" s="34" t="s">
        <v>322</v>
      </c>
      <c r="T869" s="34"/>
      <c r="U869" s="34"/>
      <c r="V869" s="34" t="s">
        <v>90</v>
      </c>
      <c r="W869" s="34" t="s">
        <v>23</v>
      </c>
      <c r="X869" s="38" t="s">
        <v>164</v>
      </c>
      <c r="Y869" s="62"/>
      <c r="Z869" s="62" t="e">
        <f t="shared" si="40"/>
        <v>#NUM!</v>
      </c>
      <c r="AA869" s="62"/>
      <c r="AB869" s="34">
        <v>6</v>
      </c>
      <c r="AC869" s="34"/>
      <c r="AD869" s="38"/>
      <c r="AE869" s="59" t="str">
        <f t="shared" si="41"/>
        <v>SÍ</v>
      </c>
      <c r="AF869" s="38" t="e" cm="1">
        <f t="array" aca="1" ref="AF869" ca="1">MIN(100, MAX(0, (IF(R869="ESTUDIANTE", 31, 0)) + (IF(I869&lt;=3, 30, IF(I869&lt;=6, 20, 0))) +(IF(OR(E869="413 - Control de Costes y Enlace Construcción", E869="480 - Secretaría General del Consejo", E869="132 - Civil y estructuras", E869="136 - Mecánica", E869="412 - Planificación", E869="142 - Compras"), 25, 0)) +(IF(OR(S869="GRADO ING. MECÁNICA", S869="GRADO ING. ELÉCTRICA", S869="GRADO DERECHO", S869="GRADO ECONOMÍA", S869="GRADO ING. TECNOLOGÍAS INDUSTRIALES"), 24, 0)) + (IF(AND(K869&gt;=451, K869&lt;=700), 23, 0)) + (IF(AND(AB869&gt;=5, AB869&lt;=8), 17, 0)) +(IF(_xludf.OR(_xludf.AND(AC869&gt;=8, AC869&lt;=10), _xludf.AND(AC869&gt;=0, AC869&lt;=5)), 16, 0)) + (IF(F869="Madrid", 11, 0))))</f>
        <v>#NAME?</v>
      </c>
      <c r="AG869" s="68"/>
      <c r="AH869" s="71" t="s">
        <v>164</v>
      </c>
    </row>
    <row r="870" spans="1:34" ht="14.4" x14ac:dyDescent="0.3">
      <c r="A870" s="66" t="s">
        <v>1848</v>
      </c>
      <c r="B870" s="66" t="s">
        <v>3965</v>
      </c>
      <c r="C870" s="33">
        <v>869</v>
      </c>
      <c r="D870" s="33" t="s">
        <v>5393</v>
      </c>
      <c r="E870" s="34" t="s">
        <v>5253</v>
      </c>
      <c r="F870" s="34" t="s">
        <v>18</v>
      </c>
      <c r="G870" s="57">
        <v>43048</v>
      </c>
      <c r="H870" s="57">
        <v>43194</v>
      </c>
      <c r="I870" s="34">
        <f t="shared" si="39"/>
        <v>4</v>
      </c>
      <c r="J870" s="34">
        <v>35</v>
      </c>
      <c r="K870" s="36">
        <v>900</v>
      </c>
      <c r="L870" s="34" t="s">
        <v>17</v>
      </c>
      <c r="M870" s="57">
        <v>32732</v>
      </c>
      <c r="N870" s="37">
        <f>(YEAR(TablaMadre[[#This Row],[ALTA]])-YEAR(M870))</f>
        <v>28</v>
      </c>
      <c r="O870" s="34" t="s">
        <v>18</v>
      </c>
      <c r="P870" s="34" t="s">
        <v>19</v>
      </c>
      <c r="Q870" s="34" t="s">
        <v>20</v>
      </c>
      <c r="R870" s="34" t="s">
        <v>21</v>
      </c>
      <c r="S870" s="34" t="s">
        <v>151</v>
      </c>
      <c r="T870" s="34"/>
      <c r="U870" s="34"/>
      <c r="V870" s="34" t="s">
        <v>22</v>
      </c>
      <c r="W870" s="34" t="s">
        <v>97</v>
      </c>
      <c r="X870" s="38" t="s">
        <v>173</v>
      </c>
      <c r="Y870" s="62"/>
      <c r="Z870" s="38" t="e">
        <f t="shared" si="40"/>
        <v>#NUM!</v>
      </c>
      <c r="AA870" s="38"/>
      <c r="AB870" s="34">
        <v>10</v>
      </c>
      <c r="AC870" s="34" t="s">
        <v>408</v>
      </c>
      <c r="AD870" s="38"/>
      <c r="AE870" s="59" t="str">
        <f t="shared" si="41"/>
        <v>NO</v>
      </c>
      <c r="AF870" s="38" t="e" cm="1">
        <f t="array" aca="1" ref="AF870" ca="1">MIN(100, MAX(0, (IF(R870="ESTUDIANTE", 31, 0)) + (IF(I870&lt;=3, 30, IF(I870&lt;=6, 20, 0))) +(IF(OR(E870="413 - Control de Costes y Enlace Construcción", E870="480 - Secretaría General del Consejo", E870="132 - Civil y estructuras", E870="136 - Mecánica", E870="412 - Planificación", E870="142 - Compras"), 25, 0)) +(IF(OR(S870="GRADO ING. MECÁNICA", S870="GRADO ING. ELÉCTRICA", S870="GRADO DERECHO", S870="GRADO ECONOMÍA", S870="GRADO ING. TECNOLOGÍAS INDUSTRIALES"), 24, 0)) + (IF(AND(K870&gt;=451, K870&lt;=700), 23, 0)) + (IF(AND(AB870&gt;=5, AB870&lt;=8), 17, 0)) +(IF(_xludf.OR(_xludf.AND(AC870&gt;=8, AC870&lt;=10), _xludf.AND(AC870&gt;=0, AC870&lt;=5)), 16, 0)) + (IF(F870="Madrid", 11, 0))))</f>
        <v>#NAME?</v>
      </c>
      <c r="AG870" s="68"/>
      <c r="AH870" s="71" t="s">
        <v>164</v>
      </c>
    </row>
    <row r="871" spans="1:34" ht="14.4" x14ac:dyDescent="0.3">
      <c r="A871" s="66" t="s">
        <v>1849</v>
      </c>
      <c r="B871" s="66" t="s">
        <v>3966</v>
      </c>
      <c r="C871" s="33">
        <v>870</v>
      </c>
      <c r="D871" s="33" t="s">
        <v>5394</v>
      </c>
      <c r="E871" s="34" t="s">
        <v>5253</v>
      </c>
      <c r="F871" s="34" t="s">
        <v>18</v>
      </c>
      <c r="G871" s="57">
        <v>43048</v>
      </c>
      <c r="H871" s="57">
        <v>43272</v>
      </c>
      <c r="I871" s="34">
        <f t="shared" si="39"/>
        <v>7</v>
      </c>
      <c r="J871" s="34">
        <v>35</v>
      </c>
      <c r="K871" s="36">
        <v>900</v>
      </c>
      <c r="L871" s="34" t="s">
        <v>17</v>
      </c>
      <c r="M871" s="57">
        <v>33611</v>
      </c>
      <c r="N871" s="37">
        <f>(YEAR(TablaMadre[[#This Row],[ALTA]])-YEAR(M871))</f>
        <v>25</v>
      </c>
      <c r="O871" s="34" t="s">
        <v>118</v>
      </c>
      <c r="P871" s="34" t="s">
        <v>19</v>
      </c>
      <c r="Q871" s="34" t="s">
        <v>412</v>
      </c>
      <c r="R871" s="34" t="s">
        <v>21</v>
      </c>
      <c r="S871" s="34" t="s">
        <v>151</v>
      </c>
      <c r="T871" s="34"/>
      <c r="U871" s="34"/>
      <c r="V871" s="34" t="s">
        <v>37</v>
      </c>
      <c r="W871" s="34" t="s">
        <v>97</v>
      </c>
      <c r="X871" s="38" t="s">
        <v>164</v>
      </c>
      <c r="Y871" s="62">
        <v>44148</v>
      </c>
      <c r="Z871" s="38">
        <f t="shared" si="40"/>
        <v>2</v>
      </c>
      <c r="AA871" s="38"/>
      <c r="AB871" s="34">
        <v>10</v>
      </c>
      <c r="AC871" s="34">
        <v>9</v>
      </c>
      <c r="AD871" s="38"/>
      <c r="AE871" s="59" t="str">
        <f t="shared" si="41"/>
        <v>SÍ</v>
      </c>
      <c r="AF871" s="38" t="e" cm="1">
        <f t="array" aca="1" ref="AF871" ca="1">MIN(100, MAX(0, (IF(R871="ESTUDIANTE", 31, 0)) + (IF(I871&lt;=3, 30, IF(I871&lt;=6, 20, 0))) +(IF(OR(E871="413 - Control de Costes y Enlace Construcción", E871="480 - Secretaría General del Consejo", E871="132 - Civil y estructuras", E871="136 - Mecánica", E871="412 - Planificación", E871="142 - Compras"), 25, 0)) +(IF(OR(S871="GRADO ING. MECÁNICA", S871="GRADO ING. ELÉCTRICA", S871="GRADO DERECHO", S871="GRADO ECONOMÍA", S871="GRADO ING. TECNOLOGÍAS INDUSTRIALES"), 24, 0)) + (IF(AND(K871&gt;=451, K871&lt;=700), 23, 0)) + (IF(AND(AB871&gt;=5, AB871&lt;=8), 17, 0)) +(IF(_xludf.OR(_xludf.AND(AC871&gt;=8, AC871&lt;=10), _xludf.AND(AC871&gt;=0, AC871&lt;=5)), 16, 0)) + (IF(F871="Madrid", 11, 0))))</f>
        <v>#NAME?</v>
      </c>
      <c r="AG871" s="68"/>
      <c r="AH871" s="71" t="s">
        <v>164</v>
      </c>
    </row>
    <row r="872" spans="1:34" ht="14.4" x14ac:dyDescent="0.3">
      <c r="A872" s="66" t="s">
        <v>1850</v>
      </c>
      <c r="B872" s="66" t="s">
        <v>3967</v>
      </c>
      <c r="C872" s="33">
        <v>871</v>
      </c>
      <c r="D872" s="33" t="s">
        <v>5395</v>
      </c>
      <c r="E872" s="34" t="s">
        <v>5222</v>
      </c>
      <c r="F872" s="34" t="s">
        <v>18</v>
      </c>
      <c r="G872" s="57">
        <v>43048</v>
      </c>
      <c r="H872" s="57">
        <v>43382</v>
      </c>
      <c r="I872" s="34">
        <f t="shared" si="39"/>
        <v>11</v>
      </c>
      <c r="J872" s="34">
        <v>25</v>
      </c>
      <c r="K872" s="36">
        <v>825</v>
      </c>
      <c r="L872" s="34" t="s">
        <v>17</v>
      </c>
      <c r="M872" s="57">
        <v>34477</v>
      </c>
      <c r="N872" s="37">
        <f>(YEAR(TablaMadre[[#This Row],[ALTA]])-YEAR(M872))</f>
        <v>23</v>
      </c>
      <c r="O872" s="34" t="s">
        <v>18</v>
      </c>
      <c r="P872" s="34" t="s">
        <v>19</v>
      </c>
      <c r="Q872" s="34" t="s">
        <v>297</v>
      </c>
      <c r="R872" s="34" t="s">
        <v>21</v>
      </c>
      <c r="S872" s="34" t="s">
        <v>297</v>
      </c>
      <c r="T872" s="34"/>
      <c r="U872" s="34"/>
      <c r="V872" s="34" t="s">
        <v>40</v>
      </c>
      <c r="W872" s="34" t="s">
        <v>28</v>
      </c>
      <c r="X872" s="38" t="s">
        <v>173</v>
      </c>
      <c r="Y872" s="62"/>
      <c r="Z872" s="38" t="e">
        <f t="shared" si="40"/>
        <v>#NUM!</v>
      </c>
      <c r="AA872" s="38"/>
      <c r="AB872" s="34">
        <v>8</v>
      </c>
      <c r="AC872" s="34">
        <v>10</v>
      </c>
      <c r="AD872" s="38"/>
      <c r="AE872" s="59" t="str">
        <f t="shared" si="41"/>
        <v>NO</v>
      </c>
      <c r="AF872" s="38" t="e" cm="1">
        <f t="array" aca="1" ref="AF872" ca="1">MIN(100, MAX(0, (IF(R872="ESTUDIANTE", 31, 0)) + (IF(I872&lt;=3, 30, IF(I872&lt;=6, 20, 0))) +(IF(OR(E872="413 - Control de Costes y Enlace Construcción", E872="480 - Secretaría General del Consejo", E872="132 - Civil y estructuras", E872="136 - Mecánica", E872="412 - Planificación", E872="142 - Compras"), 25, 0)) +(IF(OR(S872="GRADO ING. MECÁNICA", S872="GRADO ING. ELÉCTRICA", S872="GRADO DERECHO", S872="GRADO ECONOMÍA", S872="GRADO ING. TECNOLOGÍAS INDUSTRIALES"), 24, 0)) + (IF(AND(K872&gt;=451, K872&lt;=700), 23, 0)) + (IF(AND(AB872&gt;=5, AB872&lt;=8), 17, 0)) +(IF(_xludf.OR(_xludf.AND(AC872&gt;=8, AC872&lt;=10), _xludf.AND(AC872&gt;=0, AC872&lt;=5)), 16, 0)) + (IF(F872="Madrid", 11, 0))))</f>
        <v>#NAME?</v>
      </c>
      <c r="AG872" s="68"/>
      <c r="AH872" s="71" t="s">
        <v>164</v>
      </c>
    </row>
    <row r="873" spans="1:34" ht="14.4" x14ac:dyDescent="0.3">
      <c r="A873" s="66" t="s">
        <v>1819</v>
      </c>
      <c r="B873" s="66" t="s">
        <v>3936</v>
      </c>
      <c r="C873" s="33">
        <v>872</v>
      </c>
      <c r="D873" s="33" t="s">
        <v>5396</v>
      </c>
      <c r="E873" s="34" t="s">
        <v>5287</v>
      </c>
      <c r="F873" s="34" t="s">
        <v>18</v>
      </c>
      <c r="G873" s="57">
        <v>43078</v>
      </c>
      <c r="H873" s="57">
        <v>43261</v>
      </c>
      <c r="I873" s="34">
        <f t="shared" si="39"/>
        <v>6</v>
      </c>
      <c r="J873" s="34">
        <v>30</v>
      </c>
      <c r="K873" s="36">
        <v>560</v>
      </c>
      <c r="L873" s="34" t="s">
        <v>29</v>
      </c>
      <c r="M873" s="57">
        <v>35176</v>
      </c>
      <c r="N873" s="37">
        <f>(YEAR(TablaMadre[[#This Row],[ALTA]])-YEAR(M873))</f>
        <v>21</v>
      </c>
      <c r="O873" s="34" t="s">
        <v>257</v>
      </c>
      <c r="P873" s="34" t="s">
        <v>19</v>
      </c>
      <c r="Q873" s="34" t="s">
        <v>229</v>
      </c>
      <c r="R873" s="58" t="s">
        <v>30</v>
      </c>
      <c r="S873" s="34" t="s">
        <v>229</v>
      </c>
      <c r="T873" s="34"/>
      <c r="U873" s="34"/>
      <c r="V873" s="34" t="s">
        <v>163</v>
      </c>
      <c r="W873" s="34" t="s">
        <v>91</v>
      </c>
      <c r="X873" s="38" t="s">
        <v>164</v>
      </c>
      <c r="Y873" s="62"/>
      <c r="Z873" s="62" t="e">
        <f t="shared" si="40"/>
        <v>#NUM!</v>
      </c>
      <c r="AA873" s="62"/>
      <c r="AB873" s="34">
        <v>8</v>
      </c>
      <c r="AC873" s="34"/>
      <c r="AD873" s="38"/>
      <c r="AE873" s="59" t="str">
        <f t="shared" si="41"/>
        <v>SÍ</v>
      </c>
      <c r="AF873" s="38" t="e" cm="1">
        <f t="array" aca="1" ref="AF873" ca="1">MIN(100, MAX(0, (IF(R873="ESTUDIANTE", 31, 0)) + (IF(I873&lt;=3, 30, IF(I873&lt;=6, 20, 0))) +(IF(OR(E873="413 - Control de Costes y Enlace Construcción", E873="480 - Secretaría General del Consejo", E873="132 - Civil y estructuras", E873="136 - Mecánica", E873="412 - Planificación", E873="142 - Compras"), 25, 0)) +(IF(OR(S873="GRADO ING. MECÁNICA", S873="GRADO ING. ELÉCTRICA", S873="GRADO DERECHO", S873="GRADO ECONOMÍA", S873="GRADO ING. TECNOLOGÍAS INDUSTRIALES"), 24, 0)) + (IF(AND(K873&gt;=451, K873&lt;=700), 23, 0)) + (IF(AND(AB873&gt;=5, AB873&lt;=8), 17, 0)) +(IF(_xludf.OR(_xludf.AND(AC873&gt;=8, AC873&lt;=10), _xludf.AND(AC873&gt;=0, AC873&lt;=5)), 16, 0)) + (IF(F873="Madrid", 11, 0))))</f>
        <v>#NAME?</v>
      </c>
      <c r="AG873" s="68"/>
      <c r="AH873" s="71" t="s">
        <v>164</v>
      </c>
    </row>
    <row r="874" spans="1:34" ht="14.4" x14ac:dyDescent="0.3">
      <c r="A874" s="66" t="s">
        <v>1852</v>
      </c>
      <c r="B874" s="66" t="s">
        <v>3969</v>
      </c>
      <c r="C874" s="33">
        <v>873</v>
      </c>
      <c r="D874" s="33" t="s">
        <v>5397</v>
      </c>
      <c r="E874" s="34" t="s">
        <v>5273</v>
      </c>
      <c r="F874" s="34" t="s">
        <v>18</v>
      </c>
      <c r="G874" s="57">
        <v>43082</v>
      </c>
      <c r="H874" s="57">
        <v>43373</v>
      </c>
      <c r="I874" s="34">
        <f t="shared" si="39"/>
        <v>9</v>
      </c>
      <c r="J874" s="34">
        <v>35</v>
      </c>
      <c r="K874" s="36">
        <v>900</v>
      </c>
      <c r="L874" s="34" t="s">
        <v>17</v>
      </c>
      <c r="M874" s="57">
        <v>33708</v>
      </c>
      <c r="N874" s="37">
        <f>(YEAR(TablaMadre[[#This Row],[ALTA]])-YEAR(M874))</f>
        <v>25</v>
      </c>
      <c r="O874" s="34" t="s">
        <v>18</v>
      </c>
      <c r="P874" s="34" t="s">
        <v>19</v>
      </c>
      <c r="Q874" s="34" t="s">
        <v>412</v>
      </c>
      <c r="R874" s="34" t="s">
        <v>21</v>
      </c>
      <c r="S874" s="34" t="s">
        <v>151</v>
      </c>
      <c r="T874" s="34"/>
      <c r="U874" s="34"/>
      <c r="V874" s="34" t="s">
        <v>22</v>
      </c>
      <c r="W874" s="34" t="s">
        <v>97</v>
      </c>
      <c r="X874" s="38" t="s">
        <v>164</v>
      </c>
      <c r="Y874" s="62">
        <v>43497</v>
      </c>
      <c r="Z874" s="38">
        <f t="shared" si="40"/>
        <v>0</v>
      </c>
      <c r="AA874" s="38"/>
      <c r="AB874" s="34">
        <v>8</v>
      </c>
      <c r="AC874" s="34">
        <v>10</v>
      </c>
      <c r="AD874" s="38"/>
      <c r="AE874" s="59" t="str">
        <f t="shared" si="41"/>
        <v>NO</v>
      </c>
      <c r="AF874" s="38" t="e" cm="1">
        <f t="array" aca="1" ref="AF874" ca="1">MIN(100, MAX(0, (IF(R874="ESTUDIANTE", 31, 0)) + (IF(I874&lt;=3, 30, IF(I874&lt;=6, 20, 0))) +(IF(OR(E874="413 - Control de Costes y Enlace Construcción", E874="480 - Secretaría General del Consejo", E874="132 - Civil y estructuras", E874="136 - Mecánica", E874="412 - Planificación", E874="142 - Compras"), 25, 0)) +(IF(OR(S874="GRADO ING. MECÁNICA", S874="GRADO ING. ELÉCTRICA", S874="GRADO DERECHO", S874="GRADO ECONOMÍA", S874="GRADO ING. TECNOLOGÍAS INDUSTRIALES"), 24, 0)) + (IF(AND(K874&gt;=451, K874&lt;=700), 23, 0)) + (IF(AND(AB874&gt;=5, AB874&lt;=8), 17, 0)) +(IF(_xludf.OR(_xludf.AND(AC874&gt;=8, AC874&lt;=10), _xludf.AND(AC874&gt;=0, AC874&lt;=5)), 16, 0)) + (IF(F874="Madrid", 11, 0))))</f>
        <v>#NAME?</v>
      </c>
      <c r="AG874" s="68"/>
      <c r="AH874" s="71" t="s">
        <v>164</v>
      </c>
    </row>
    <row r="875" spans="1:34" ht="14.4" x14ac:dyDescent="0.3">
      <c r="A875" s="66" t="s">
        <v>1846</v>
      </c>
      <c r="B875" s="66" t="s">
        <v>3963</v>
      </c>
      <c r="C875" s="33">
        <v>875</v>
      </c>
      <c r="D875" s="33" t="s">
        <v>5398</v>
      </c>
      <c r="E875" s="34" t="s">
        <v>5244</v>
      </c>
      <c r="F875" s="34" t="s">
        <v>18</v>
      </c>
      <c r="G875" s="57">
        <v>43102</v>
      </c>
      <c r="H875" s="57">
        <v>43655</v>
      </c>
      <c r="I875" s="34">
        <f t="shared" si="39"/>
        <v>18</v>
      </c>
      <c r="J875" s="34">
        <v>35</v>
      </c>
      <c r="K875" s="36">
        <v>825</v>
      </c>
      <c r="L875" s="34" t="s">
        <v>17</v>
      </c>
      <c r="M875" s="57">
        <v>34224</v>
      </c>
      <c r="N875" s="37">
        <f>(YEAR(TablaMadre[[#This Row],[ALTA]])-YEAR(M875))</f>
        <v>25</v>
      </c>
      <c r="O875" s="34" t="s">
        <v>18</v>
      </c>
      <c r="P875" s="34" t="s">
        <v>19</v>
      </c>
      <c r="Q875" s="34" t="s">
        <v>151</v>
      </c>
      <c r="R875" s="34" t="s">
        <v>21</v>
      </c>
      <c r="S875" s="34" t="s">
        <v>151</v>
      </c>
      <c r="T875" s="34"/>
      <c r="U875" s="34"/>
      <c r="V875" s="34" t="s">
        <v>22</v>
      </c>
      <c r="W875" s="34" t="s">
        <v>181</v>
      </c>
      <c r="X875" s="38" t="s">
        <v>164</v>
      </c>
      <c r="Y875" s="62"/>
      <c r="Z875" s="62" t="e">
        <f t="shared" si="40"/>
        <v>#NUM!</v>
      </c>
      <c r="AA875" s="62"/>
      <c r="AB875" s="34">
        <v>9</v>
      </c>
      <c r="AC875" s="34" t="s">
        <v>432</v>
      </c>
      <c r="AD875" s="38"/>
      <c r="AE875" s="59" t="str">
        <f t="shared" si="41"/>
        <v>NO</v>
      </c>
      <c r="AF875" s="38" t="e" cm="1">
        <f t="array" aca="1" ref="AF875" ca="1">MIN(100, MAX(0, (IF(R875="ESTUDIANTE", 31, 0)) + (IF(I875&lt;=3, 30, IF(I875&lt;=6, 20, 0))) +(IF(OR(E875="413 - Control de Costes y Enlace Construcción", E875="480 - Secretaría General del Consejo", E875="132 - Civil y estructuras", E875="136 - Mecánica", E875="412 - Planificación", E875="142 - Compras"), 25, 0)) +(IF(OR(S875="GRADO ING. MECÁNICA", S875="GRADO ING. ELÉCTRICA", S875="GRADO DERECHO", S875="GRADO ECONOMÍA", S875="GRADO ING. TECNOLOGÍAS INDUSTRIALES"), 24, 0)) + (IF(AND(K875&gt;=451, K875&lt;=700), 23, 0)) + (IF(AND(AB875&gt;=5, AB875&lt;=8), 17, 0)) +(IF(_xludf.OR(_xludf.AND(AC875&gt;=8, AC875&lt;=10), _xludf.AND(AC875&gt;=0, AC875&lt;=5)), 16, 0)) + (IF(F875="Madrid", 11, 0))))</f>
        <v>#NAME?</v>
      </c>
      <c r="AG875" s="68"/>
      <c r="AH875" s="71" t="s">
        <v>164</v>
      </c>
    </row>
    <row r="876" spans="1:34" ht="14.4" x14ac:dyDescent="0.3">
      <c r="A876" s="66" t="s">
        <v>1853</v>
      </c>
      <c r="B876" s="66" t="s">
        <v>3970</v>
      </c>
      <c r="C876" s="33">
        <v>874</v>
      </c>
      <c r="D876" s="33" t="s">
        <v>5399</v>
      </c>
      <c r="E876" s="34" t="s">
        <v>5256</v>
      </c>
      <c r="F876" s="34" t="s">
        <v>18</v>
      </c>
      <c r="G876" s="57">
        <v>43102</v>
      </c>
      <c r="H876" s="57">
        <v>43496</v>
      </c>
      <c r="I876" s="34">
        <f t="shared" si="39"/>
        <v>12</v>
      </c>
      <c r="J876" s="34">
        <v>35</v>
      </c>
      <c r="K876" s="36">
        <v>900</v>
      </c>
      <c r="L876" s="34" t="s">
        <v>17</v>
      </c>
      <c r="M876" s="57">
        <v>33716</v>
      </c>
      <c r="N876" s="37">
        <f>(YEAR(TablaMadre[[#This Row],[ALTA]])-YEAR(M876))</f>
        <v>26</v>
      </c>
      <c r="O876" s="34" t="s">
        <v>18</v>
      </c>
      <c r="P876" s="34" t="s">
        <v>19</v>
      </c>
      <c r="Q876" s="34" t="s">
        <v>425</v>
      </c>
      <c r="R876" s="34" t="s">
        <v>21</v>
      </c>
      <c r="S876" s="34" t="s">
        <v>395</v>
      </c>
      <c r="T876" s="34"/>
      <c r="U876" s="34"/>
      <c r="V876" s="34" t="s">
        <v>22</v>
      </c>
      <c r="W876" s="34" t="s">
        <v>28</v>
      </c>
      <c r="X876" s="38" t="s">
        <v>164</v>
      </c>
      <c r="Y876" s="62">
        <v>44203</v>
      </c>
      <c r="Z876" s="38">
        <f t="shared" si="40"/>
        <v>1</v>
      </c>
      <c r="AA876" s="38"/>
      <c r="AB876" s="34">
        <v>9</v>
      </c>
      <c r="AC876" s="34">
        <v>7</v>
      </c>
      <c r="AD876" s="38"/>
      <c r="AE876" s="59" t="str">
        <f t="shared" si="41"/>
        <v>NO</v>
      </c>
      <c r="AF876" s="38" t="e" cm="1">
        <f t="array" aca="1" ref="AF876" ca="1">MIN(100, MAX(0, (IF(R876="ESTUDIANTE", 31, 0)) + (IF(I876&lt;=3, 30, IF(I876&lt;=6, 20, 0))) +(IF(OR(E876="413 - Control de Costes y Enlace Construcción", E876="480 - Secretaría General del Consejo", E876="132 - Civil y estructuras", E876="136 - Mecánica", E876="412 - Planificación", E876="142 - Compras"), 25, 0)) +(IF(OR(S876="GRADO ING. MECÁNICA", S876="GRADO ING. ELÉCTRICA", S876="GRADO DERECHO", S876="GRADO ECONOMÍA", S876="GRADO ING. TECNOLOGÍAS INDUSTRIALES"), 24, 0)) + (IF(AND(K876&gt;=451, K876&lt;=700), 23, 0)) + (IF(AND(AB876&gt;=5, AB876&lt;=8), 17, 0)) +(IF(_xludf.OR(_xludf.AND(AC876&gt;=8, AC876&lt;=10), _xludf.AND(AC876&gt;=0, AC876&lt;=5)), 16, 0)) + (IF(F876="Madrid", 11, 0))))</f>
        <v>#NAME?</v>
      </c>
      <c r="AG876" s="68"/>
      <c r="AH876" s="71" t="s">
        <v>164</v>
      </c>
    </row>
    <row r="877" spans="1:34" ht="14.4" x14ac:dyDescent="0.3">
      <c r="A877" s="66" t="s">
        <v>1851</v>
      </c>
      <c r="B877" s="66" t="s">
        <v>3968</v>
      </c>
      <c r="C877" s="33">
        <v>876</v>
      </c>
      <c r="D877" s="33" t="s">
        <v>5400</v>
      </c>
      <c r="E877" s="34" t="s">
        <v>5278</v>
      </c>
      <c r="F877" s="34" t="s">
        <v>18</v>
      </c>
      <c r="G877" s="57">
        <v>43103</v>
      </c>
      <c r="H877" s="57">
        <v>43343</v>
      </c>
      <c r="I877" s="34">
        <f t="shared" si="39"/>
        <v>7</v>
      </c>
      <c r="J877" s="34">
        <v>35</v>
      </c>
      <c r="K877" s="36">
        <v>825</v>
      </c>
      <c r="L877" s="34" t="s">
        <v>29</v>
      </c>
      <c r="M877" s="57">
        <v>34269</v>
      </c>
      <c r="N877" s="37">
        <f>(YEAR(TablaMadre[[#This Row],[ALTA]])-YEAR(M877))</f>
        <v>25</v>
      </c>
      <c r="O877" s="34" t="s">
        <v>18</v>
      </c>
      <c r="P877" s="34" t="s">
        <v>19</v>
      </c>
      <c r="Q877" s="34" t="s">
        <v>215</v>
      </c>
      <c r="R877" s="34" t="s">
        <v>21</v>
      </c>
      <c r="S877" s="34" t="s">
        <v>322</v>
      </c>
      <c r="T877" s="34"/>
      <c r="U877" s="34"/>
      <c r="V877" s="34" t="s">
        <v>67</v>
      </c>
      <c r="W877" s="34" t="s">
        <v>181</v>
      </c>
      <c r="X877" s="38" t="s">
        <v>173</v>
      </c>
      <c r="Y877" s="62"/>
      <c r="Z877" s="62" t="e">
        <f t="shared" si="40"/>
        <v>#NUM!</v>
      </c>
      <c r="AA877" s="62"/>
      <c r="AB877" s="34">
        <v>10</v>
      </c>
      <c r="AC877" s="34"/>
      <c r="AD877" s="38"/>
      <c r="AE877" s="59" t="str">
        <f t="shared" si="41"/>
        <v>NO</v>
      </c>
      <c r="AF877" s="38" t="e" cm="1">
        <f t="array" aca="1" ref="AF877" ca="1">MIN(100, MAX(0, (IF(R877="ESTUDIANTE", 31, 0)) + (IF(I877&lt;=3, 30, IF(I877&lt;=6, 20, 0))) +(IF(OR(E877="413 - Control de Costes y Enlace Construcción", E877="480 - Secretaría General del Consejo", E877="132 - Civil y estructuras", E877="136 - Mecánica", E877="412 - Planificación", E877="142 - Compras"), 25, 0)) +(IF(OR(S877="GRADO ING. MECÁNICA", S877="GRADO ING. ELÉCTRICA", S877="GRADO DERECHO", S877="GRADO ECONOMÍA", S877="GRADO ING. TECNOLOGÍAS INDUSTRIALES"), 24, 0)) + (IF(AND(K877&gt;=451, K877&lt;=700), 23, 0)) + (IF(AND(AB877&gt;=5, AB877&lt;=8), 17, 0)) +(IF(_xludf.OR(_xludf.AND(AC877&gt;=8, AC877&lt;=10), _xludf.AND(AC877&gt;=0, AC877&lt;=5)), 16, 0)) + (IF(F877="Madrid", 11, 0))))</f>
        <v>#NAME?</v>
      </c>
      <c r="AG877" s="68"/>
      <c r="AH877" s="71" t="s">
        <v>164</v>
      </c>
    </row>
    <row r="878" spans="1:34" ht="14.4" x14ac:dyDescent="0.3">
      <c r="A878" s="66" t="s">
        <v>1869</v>
      </c>
      <c r="B878" s="66" t="s">
        <v>3986</v>
      </c>
      <c r="C878" s="33">
        <v>878</v>
      </c>
      <c r="D878" s="33" t="s">
        <v>5401</v>
      </c>
      <c r="E878" s="34" t="s">
        <v>5263</v>
      </c>
      <c r="F878" s="34" t="s">
        <v>18</v>
      </c>
      <c r="G878" s="57">
        <v>43106</v>
      </c>
      <c r="H878" s="57">
        <v>43343</v>
      </c>
      <c r="I878" s="34">
        <f t="shared" si="39"/>
        <v>7</v>
      </c>
      <c r="J878" s="34">
        <v>35</v>
      </c>
      <c r="K878" s="36">
        <v>650</v>
      </c>
      <c r="L878" s="34" t="s">
        <v>29</v>
      </c>
      <c r="M878" s="57">
        <v>34959</v>
      </c>
      <c r="N878" s="37">
        <f>(YEAR(TablaMadre[[#This Row],[ALTA]])-YEAR(M878))</f>
        <v>23</v>
      </c>
      <c r="O878" s="34" t="s">
        <v>18</v>
      </c>
      <c r="P878" s="34" t="s">
        <v>19</v>
      </c>
      <c r="Q878" s="34" t="s">
        <v>419</v>
      </c>
      <c r="R878" s="58" t="s">
        <v>30</v>
      </c>
      <c r="S878" s="34" t="s">
        <v>316</v>
      </c>
      <c r="T878" s="34"/>
      <c r="U878" s="34"/>
      <c r="V878" s="34" t="s">
        <v>137</v>
      </c>
      <c r="W878" s="34" t="s">
        <v>23</v>
      </c>
      <c r="X878" s="38" t="s">
        <v>164</v>
      </c>
      <c r="Y878" s="62"/>
      <c r="Z878" s="62" t="e">
        <f t="shared" si="40"/>
        <v>#NUM!</v>
      </c>
      <c r="AA878" s="62"/>
      <c r="AB878" s="34"/>
      <c r="AC878" s="34"/>
      <c r="AD878" s="38"/>
      <c r="AE878" s="59" t="str">
        <f t="shared" si="41"/>
        <v>NO</v>
      </c>
      <c r="AF878" s="38" t="e" cm="1">
        <f t="array" aca="1" ref="AF878" ca="1">MIN(100, MAX(0, (IF(R878="ESTUDIANTE", 31, 0)) + (IF(I878&lt;=3, 30, IF(I878&lt;=6, 20, 0))) +(IF(OR(E878="413 - Control de Costes y Enlace Construcción", E878="480 - Secretaría General del Consejo", E878="132 - Civil y estructuras", E878="136 - Mecánica", E878="412 - Planificación", E878="142 - Compras"), 25, 0)) +(IF(OR(S878="GRADO ING. MECÁNICA", S878="GRADO ING. ELÉCTRICA", S878="GRADO DERECHO", S878="GRADO ECONOMÍA", S878="GRADO ING. TECNOLOGÍAS INDUSTRIALES"), 24, 0)) + (IF(AND(K878&gt;=451, K878&lt;=700), 23, 0)) + (IF(AND(AB878&gt;=5, AB878&lt;=8), 17, 0)) +(IF(_xludf.OR(_xludf.AND(AC878&gt;=8, AC878&lt;=10), _xludf.AND(AC878&gt;=0, AC878&lt;=5)), 16, 0)) + (IF(F878="Madrid", 11, 0))))</f>
        <v>#NAME?</v>
      </c>
      <c r="AG878" s="68"/>
      <c r="AH878" s="71" t="s">
        <v>164</v>
      </c>
    </row>
    <row r="879" spans="1:34" ht="14.4" x14ac:dyDescent="0.3">
      <c r="A879" s="66" t="s">
        <v>1870</v>
      </c>
      <c r="B879" s="66" t="s">
        <v>3987</v>
      </c>
      <c r="C879" s="33">
        <v>877</v>
      </c>
      <c r="D879" s="33" t="s">
        <v>5402</v>
      </c>
      <c r="E879" s="34" t="s">
        <v>5301</v>
      </c>
      <c r="F879" s="34" t="s">
        <v>18</v>
      </c>
      <c r="G879" s="57">
        <v>43106</v>
      </c>
      <c r="H879" s="57">
        <v>43312</v>
      </c>
      <c r="I879" s="34">
        <f t="shared" si="39"/>
        <v>6</v>
      </c>
      <c r="J879" s="34">
        <v>35</v>
      </c>
      <c r="K879" s="36">
        <v>650</v>
      </c>
      <c r="L879" s="34" t="s">
        <v>29</v>
      </c>
      <c r="M879" s="57">
        <v>36061</v>
      </c>
      <c r="N879" s="37">
        <f>(YEAR(TablaMadre[[#This Row],[ALTA]])-YEAR(M879))</f>
        <v>20</v>
      </c>
      <c r="O879" s="34" t="s">
        <v>110</v>
      </c>
      <c r="P879" s="34" t="s">
        <v>110</v>
      </c>
      <c r="Q879" s="34" t="s">
        <v>229</v>
      </c>
      <c r="R879" s="58" t="s">
        <v>30</v>
      </c>
      <c r="S879" s="34" t="s">
        <v>229</v>
      </c>
      <c r="T879" s="34"/>
      <c r="U879" s="34"/>
      <c r="V879" s="34" t="s">
        <v>137</v>
      </c>
      <c r="W879" s="34" t="s">
        <v>23</v>
      </c>
      <c r="X879" s="38" t="s">
        <v>164</v>
      </c>
      <c r="Y879" s="62"/>
      <c r="Z879" s="62" t="e">
        <f t="shared" si="40"/>
        <v>#NUM!</v>
      </c>
      <c r="AA879" s="62"/>
      <c r="AB879" s="34">
        <v>9</v>
      </c>
      <c r="AC879" s="34">
        <v>9.5</v>
      </c>
      <c r="AD879" s="38"/>
      <c r="AE879" s="59" t="str">
        <f t="shared" si="41"/>
        <v>SÍ</v>
      </c>
      <c r="AF879" s="38" t="e" cm="1">
        <f t="array" aca="1" ref="AF879" ca="1">MIN(100, MAX(0, (IF(R879="ESTUDIANTE", 31, 0)) + (IF(I879&lt;=3, 30, IF(I879&lt;=6, 20, 0))) +(IF(OR(E879="413 - Control de Costes y Enlace Construcción", E879="480 - Secretaría General del Consejo", E879="132 - Civil y estructuras", E879="136 - Mecánica", E879="412 - Planificación", E879="142 - Compras"), 25, 0)) +(IF(OR(S879="GRADO ING. MECÁNICA", S879="GRADO ING. ELÉCTRICA", S879="GRADO DERECHO", S879="GRADO ECONOMÍA", S879="GRADO ING. TECNOLOGÍAS INDUSTRIALES"), 24, 0)) + (IF(AND(K879&gt;=451, K879&lt;=700), 23, 0)) + (IF(AND(AB879&gt;=5, AB879&lt;=8), 17, 0)) +(IF(_xludf.OR(_xludf.AND(AC879&gt;=8, AC879&lt;=10), _xludf.AND(AC879&gt;=0, AC879&lt;=5)), 16, 0)) + (IF(F879="Madrid", 11, 0))))</f>
        <v>#NAME?</v>
      </c>
      <c r="AG879" s="68"/>
      <c r="AH879" s="71" t="s">
        <v>164</v>
      </c>
    </row>
    <row r="880" spans="1:34" ht="14.4" x14ac:dyDescent="0.3">
      <c r="A880" s="66" t="s">
        <v>1859</v>
      </c>
      <c r="B880" s="66" t="s">
        <v>3976</v>
      </c>
      <c r="C880" s="33">
        <v>880</v>
      </c>
      <c r="D880" s="33" t="s">
        <v>5393</v>
      </c>
      <c r="E880" s="34" t="s">
        <v>5219</v>
      </c>
      <c r="F880" s="34" t="s">
        <v>18</v>
      </c>
      <c r="G880" s="57">
        <v>43110</v>
      </c>
      <c r="H880" s="57">
        <v>43708</v>
      </c>
      <c r="I880" s="34">
        <f t="shared" si="39"/>
        <v>19</v>
      </c>
      <c r="J880" s="34">
        <v>35</v>
      </c>
      <c r="K880" s="36">
        <v>825</v>
      </c>
      <c r="L880" s="34" t="s">
        <v>17</v>
      </c>
      <c r="M880" s="57">
        <v>36057</v>
      </c>
      <c r="N880" s="37">
        <f>(YEAR(TablaMadre[[#This Row],[ALTA]])-YEAR(M880))</f>
        <v>20</v>
      </c>
      <c r="O880" s="34" t="s">
        <v>18</v>
      </c>
      <c r="P880" s="34" t="s">
        <v>19</v>
      </c>
      <c r="Q880" s="34" t="s">
        <v>406</v>
      </c>
      <c r="R880" s="34" t="s">
        <v>21</v>
      </c>
      <c r="S880" s="34" t="s">
        <v>297</v>
      </c>
      <c r="T880" s="34"/>
      <c r="U880" s="34"/>
      <c r="V880" s="34" t="s">
        <v>56</v>
      </c>
      <c r="W880" s="34" t="s">
        <v>28</v>
      </c>
      <c r="X880" s="38" t="s">
        <v>164</v>
      </c>
      <c r="Y880" s="62">
        <v>44837</v>
      </c>
      <c r="Z880" s="38">
        <f t="shared" si="40"/>
        <v>3</v>
      </c>
      <c r="AA880" s="38"/>
      <c r="AB880" s="34">
        <v>9</v>
      </c>
      <c r="AC880" s="34">
        <v>8</v>
      </c>
      <c r="AD880" s="38"/>
      <c r="AE880" s="59" t="str">
        <f t="shared" si="41"/>
        <v>NO</v>
      </c>
      <c r="AF880" s="38" t="e" cm="1">
        <f t="array" aca="1" ref="AF880" ca="1">MIN(100, MAX(0, (IF(R880="ESTUDIANTE", 31, 0)) + (IF(I880&lt;=3, 30, IF(I880&lt;=6, 20, 0))) +(IF(OR(E880="413 - Control de Costes y Enlace Construcción", E880="480 - Secretaría General del Consejo", E880="132 - Civil y estructuras", E880="136 - Mecánica", E880="412 - Planificación", E880="142 - Compras"), 25, 0)) +(IF(OR(S880="GRADO ING. MECÁNICA", S880="GRADO ING. ELÉCTRICA", S880="GRADO DERECHO", S880="GRADO ECONOMÍA", S880="GRADO ING. TECNOLOGÍAS INDUSTRIALES"), 24, 0)) + (IF(AND(K880&gt;=451, K880&lt;=700), 23, 0)) + (IF(AND(AB880&gt;=5, AB880&lt;=8), 17, 0)) +(IF(_xludf.OR(_xludf.AND(AC880&gt;=8, AC880&lt;=10), _xludf.AND(AC880&gt;=0, AC880&lt;=5)), 16, 0)) + (IF(F880="Madrid", 11, 0))))</f>
        <v>#NAME?</v>
      </c>
      <c r="AG880" s="68"/>
      <c r="AH880" s="71" t="s">
        <v>164</v>
      </c>
    </row>
    <row r="881" spans="1:34" ht="14.4" x14ac:dyDescent="0.3">
      <c r="A881" s="66" t="s">
        <v>1860</v>
      </c>
      <c r="B881" s="66" t="s">
        <v>3977</v>
      </c>
      <c r="C881" s="33">
        <v>881</v>
      </c>
      <c r="D881" s="33" t="s">
        <v>5394</v>
      </c>
      <c r="E881" s="34" t="s">
        <v>5244</v>
      </c>
      <c r="F881" s="34" t="s">
        <v>118</v>
      </c>
      <c r="G881" s="57">
        <v>43110</v>
      </c>
      <c r="H881" s="57">
        <v>43738</v>
      </c>
      <c r="I881" s="34">
        <f t="shared" si="39"/>
        <v>20</v>
      </c>
      <c r="J881" s="34">
        <v>35</v>
      </c>
      <c r="K881" s="36">
        <v>825</v>
      </c>
      <c r="L881" s="34" t="s">
        <v>17</v>
      </c>
      <c r="M881" s="57">
        <v>34601</v>
      </c>
      <c r="N881" s="37">
        <f>(YEAR(TablaMadre[[#This Row],[ALTA]])-YEAR(M881))</f>
        <v>24</v>
      </c>
      <c r="O881" s="34" t="s">
        <v>99</v>
      </c>
      <c r="P881" s="34" t="s">
        <v>19</v>
      </c>
      <c r="Q881" s="34" t="s">
        <v>297</v>
      </c>
      <c r="R881" s="34" t="s">
        <v>21</v>
      </c>
      <c r="S881" s="34" t="s">
        <v>297</v>
      </c>
      <c r="T881" s="34"/>
      <c r="U881" s="34"/>
      <c r="V881" s="34" t="s">
        <v>37</v>
      </c>
      <c r="W881" s="34" t="s">
        <v>28</v>
      </c>
      <c r="X881" s="38" t="s">
        <v>164</v>
      </c>
      <c r="Y881" s="62">
        <v>44105</v>
      </c>
      <c r="Z881" s="38">
        <f t="shared" si="40"/>
        <v>1</v>
      </c>
      <c r="AA881" s="38"/>
      <c r="AB881" s="34">
        <v>10</v>
      </c>
      <c r="AC881" s="34" t="s">
        <v>445</v>
      </c>
      <c r="AD881" s="38"/>
      <c r="AE881" s="59" t="str">
        <f t="shared" si="41"/>
        <v>SÍ</v>
      </c>
      <c r="AF881" s="38" t="e" cm="1">
        <f t="array" aca="1" ref="AF881" ca="1">MIN(100, MAX(0, (IF(R881="ESTUDIANTE", 31, 0)) + (IF(I881&lt;=3, 30, IF(I881&lt;=6, 20, 0))) +(IF(OR(E881="413 - Control de Costes y Enlace Construcción", E881="480 - Secretaría General del Consejo", E881="132 - Civil y estructuras", E881="136 - Mecánica", E881="412 - Planificación", E881="142 - Compras"), 25, 0)) +(IF(OR(S881="GRADO ING. MECÁNICA", S881="GRADO ING. ELÉCTRICA", S881="GRADO DERECHO", S881="GRADO ECONOMÍA", S881="GRADO ING. TECNOLOGÍAS INDUSTRIALES"), 24, 0)) + (IF(AND(K881&gt;=451, K881&lt;=700), 23, 0)) + (IF(AND(AB881&gt;=5, AB881&lt;=8), 17, 0)) +(IF(_xludf.OR(_xludf.AND(AC881&gt;=8, AC881&lt;=10), _xludf.AND(AC881&gt;=0, AC881&lt;=5)), 16, 0)) + (IF(F881="Madrid", 11, 0))))</f>
        <v>#NAME?</v>
      </c>
      <c r="AG881" s="68"/>
      <c r="AH881" s="71" t="s">
        <v>164</v>
      </c>
    </row>
    <row r="882" spans="1:34" ht="14.4" x14ac:dyDescent="0.3">
      <c r="A882" s="66" t="s">
        <v>1889</v>
      </c>
      <c r="B882" s="66" t="s">
        <v>4006</v>
      </c>
      <c r="C882" s="33">
        <v>879</v>
      </c>
      <c r="D882" s="33" t="s">
        <v>5395</v>
      </c>
      <c r="E882" s="34" t="s">
        <v>5219</v>
      </c>
      <c r="F882" s="34" t="s">
        <v>18</v>
      </c>
      <c r="G882" s="57">
        <v>43110</v>
      </c>
      <c r="H882" s="57">
        <v>43646</v>
      </c>
      <c r="I882" s="34">
        <f t="shared" si="39"/>
        <v>17</v>
      </c>
      <c r="J882" s="34">
        <v>40</v>
      </c>
      <c r="K882" s="36">
        <v>2000</v>
      </c>
      <c r="L882" s="34" t="s">
        <v>17</v>
      </c>
      <c r="M882" s="57">
        <v>35332</v>
      </c>
      <c r="N882" s="37">
        <f>(YEAR(TablaMadre[[#This Row],[ALTA]])-YEAR(M882))</f>
        <v>22</v>
      </c>
      <c r="O882" s="34" t="s">
        <v>976</v>
      </c>
      <c r="P882" s="34" t="s">
        <v>430</v>
      </c>
      <c r="Q882" s="34" t="s">
        <v>297</v>
      </c>
      <c r="R882" s="34" t="s">
        <v>21</v>
      </c>
      <c r="S882" s="34" t="s">
        <v>297</v>
      </c>
      <c r="T882" s="34"/>
      <c r="U882" s="34"/>
      <c r="V882" s="34" t="s">
        <v>90</v>
      </c>
      <c r="W882" s="34" t="s">
        <v>23</v>
      </c>
      <c r="X882" s="38" t="s">
        <v>164</v>
      </c>
      <c r="Y882" s="62"/>
      <c r="Z882" s="62" t="e">
        <f t="shared" si="40"/>
        <v>#NUM!</v>
      </c>
      <c r="AA882" s="62"/>
      <c r="AB882" s="34"/>
      <c r="AC882" s="34"/>
      <c r="AD882" s="38"/>
      <c r="AE882" s="59" t="str">
        <f t="shared" si="41"/>
        <v>SÍ</v>
      </c>
      <c r="AF882" s="38" t="e" cm="1">
        <f t="array" aca="1" ref="AF882" ca="1">MIN(100, MAX(0, (IF(R882="ESTUDIANTE", 31, 0)) + (IF(I882&lt;=3, 30, IF(I882&lt;=6, 20, 0))) +(IF(OR(E882="413 - Control de Costes y Enlace Construcción", E882="480 - Secretaría General del Consejo", E882="132 - Civil y estructuras", E882="136 - Mecánica", E882="412 - Planificación", E882="142 - Compras"), 25, 0)) +(IF(OR(S882="GRADO ING. MECÁNICA", S882="GRADO ING. ELÉCTRICA", S882="GRADO DERECHO", S882="GRADO ECONOMÍA", S882="GRADO ING. TECNOLOGÍAS INDUSTRIALES"), 24, 0)) + (IF(AND(K882&gt;=451, K882&lt;=700), 23, 0)) + (IF(AND(AB882&gt;=5, AB882&lt;=8), 17, 0)) +(IF(_xludf.OR(_xludf.AND(AC882&gt;=8, AC882&lt;=10), _xludf.AND(AC882&gt;=0, AC882&lt;=5)), 16, 0)) + (IF(F882="Madrid", 11, 0))))</f>
        <v>#NAME?</v>
      </c>
      <c r="AG882" s="68"/>
      <c r="AH882" s="71" t="s">
        <v>164</v>
      </c>
    </row>
    <row r="883" spans="1:34" ht="14.4" x14ac:dyDescent="0.3">
      <c r="A883" s="66" t="s">
        <v>1832</v>
      </c>
      <c r="B883" s="66" t="s">
        <v>3949</v>
      </c>
      <c r="C883" s="33">
        <v>882</v>
      </c>
      <c r="D883" s="33" t="s">
        <v>5396</v>
      </c>
      <c r="E883" s="34" t="s">
        <v>5216</v>
      </c>
      <c r="F883" s="34" t="s">
        <v>18</v>
      </c>
      <c r="G883" s="57">
        <v>43115</v>
      </c>
      <c r="H883" s="57">
        <v>43479</v>
      </c>
      <c r="I883" s="34">
        <f t="shared" si="39"/>
        <v>11</v>
      </c>
      <c r="J883" s="34">
        <v>35</v>
      </c>
      <c r="K883" s="36">
        <v>650</v>
      </c>
      <c r="L883" s="34" t="s">
        <v>17</v>
      </c>
      <c r="M883" s="57">
        <v>36055</v>
      </c>
      <c r="N883" s="37">
        <f>(YEAR(TablaMadre[[#This Row],[ALTA]])-YEAR(M883))</f>
        <v>20</v>
      </c>
      <c r="O883" s="34" t="s">
        <v>525</v>
      </c>
      <c r="P883" s="34" t="s">
        <v>19</v>
      </c>
      <c r="Q883" s="34" t="s">
        <v>136</v>
      </c>
      <c r="R883" s="58" t="s">
        <v>30</v>
      </c>
      <c r="S883" s="34" t="s">
        <v>136</v>
      </c>
      <c r="T883" s="34"/>
      <c r="U883" s="34"/>
      <c r="V883" s="34" t="s">
        <v>114</v>
      </c>
      <c r="W883" s="34" t="s">
        <v>23</v>
      </c>
      <c r="X883" s="38" t="s">
        <v>164</v>
      </c>
      <c r="Y883" s="62"/>
      <c r="Z883" s="62" t="e">
        <f t="shared" si="40"/>
        <v>#NUM!</v>
      </c>
      <c r="AA883" s="62"/>
      <c r="AB883" s="34">
        <v>8.5</v>
      </c>
      <c r="AC883" s="34">
        <v>7</v>
      </c>
      <c r="AD883" s="38"/>
      <c r="AE883" s="59" t="str">
        <f t="shared" si="41"/>
        <v>SÍ</v>
      </c>
      <c r="AF883" s="38" t="e" cm="1">
        <f t="array" aca="1" ref="AF883" ca="1">MIN(100, MAX(0, (IF(R883="ESTUDIANTE", 31, 0)) + (IF(I883&lt;=3, 30, IF(I883&lt;=6, 20, 0))) +(IF(OR(E883="413 - Control de Costes y Enlace Construcción", E883="480 - Secretaría General del Consejo", E883="132 - Civil y estructuras", E883="136 - Mecánica", E883="412 - Planificación", E883="142 - Compras"), 25, 0)) +(IF(OR(S883="GRADO ING. MECÁNICA", S883="GRADO ING. ELÉCTRICA", S883="GRADO DERECHO", S883="GRADO ECONOMÍA", S883="GRADO ING. TECNOLOGÍAS INDUSTRIALES"), 24, 0)) + (IF(AND(K883&gt;=451, K883&lt;=700), 23, 0)) + (IF(AND(AB883&gt;=5, AB883&lt;=8), 17, 0)) +(IF(_xludf.OR(_xludf.AND(AC883&gt;=8, AC883&lt;=10), _xludf.AND(AC883&gt;=0, AC883&lt;=5)), 16, 0)) + (IF(F883="Madrid", 11, 0))))</f>
        <v>#NAME?</v>
      </c>
      <c r="AG883" s="68"/>
      <c r="AH883" s="71" t="s">
        <v>164</v>
      </c>
    </row>
    <row r="884" spans="1:34" ht="14.4" x14ac:dyDescent="0.3">
      <c r="A884" s="66" t="s">
        <v>1862</v>
      </c>
      <c r="B884" s="66" t="s">
        <v>3979</v>
      </c>
      <c r="C884" s="33">
        <v>883</v>
      </c>
      <c r="D884" s="33" t="s">
        <v>5397</v>
      </c>
      <c r="E884" s="34" t="s">
        <v>5233</v>
      </c>
      <c r="F884" s="34" t="s">
        <v>18</v>
      </c>
      <c r="G884" s="57">
        <v>43122</v>
      </c>
      <c r="H884" s="57">
        <v>43486</v>
      </c>
      <c r="I884" s="34">
        <f t="shared" si="39"/>
        <v>11</v>
      </c>
      <c r="J884" s="34">
        <v>35</v>
      </c>
      <c r="K884" s="36">
        <v>900</v>
      </c>
      <c r="L884" s="34" t="s">
        <v>17</v>
      </c>
      <c r="M884" s="57">
        <v>33737</v>
      </c>
      <c r="N884" s="37">
        <f>(YEAR(TablaMadre[[#This Row],[ALTA]])-YEAR(M884))</f>
        <v>26</v>
      </c>
      <c r="O884" s="34" t="s">
        <v>654</v>
      </c>
      <c r="P884" s="34" t="s">
        <v>19</v>
      </c>
      <c r="Q884" s="34" t="s">
        <v>409</v>
      </c>
      <c r="R884" s="34" t="s">
        <v>21</v>
      </c>
      <c r="S884" s="34" t="s">
        <v>136</v>
      </c>
      <c r="T884" s="34"/>
      <c r="U884" s="34"/>
      <c r="V884" s="34" t="s">
        <v>51</v>
      </c>
      <c r="W884" s="34" t="s">
        <v>28</v>
      </c>
      <c r="X884" s="38" t="s">
        <v>164</v>
      </c>
      <c r="Y884" s="62">
        <v>43894</v>
      </c>
      <c r="Z884" s="38">
        <f t="shared" si="40"/>
        <v>1</v>
      </c>
      <c r="AA884" s="38"/>
      <c r="AB884" s="34">
        <v>9.5</v>
      </c>
      <c r="AC884" s="34">
        <v>10</v>
      </c>
      <c r="AD884" s="38"/>
      <c r="AE884" s="59" t="str">
        <f t="shared" si="41"/>
        <v>SÍ</v>
      </c>
      <c r="AF884" s="38" t="e" cm="1">
        <f t="array" aca="1" ref="AF884" ca="1">MIN(100, MAX(0, (IF(R884="ESTUDIANTE", 31, 0)) + (IF(I884&lt;=3, 30, IF(I884&lt;=6, 20, 0))) +(IF(OR(E884="413 - Control de Costes y Enlace Construcción", E884="480 - Secretaría General del Consejo", E884="132 - Civil y estructuras", E884="136 - Mecánica", E884="412 - Planificación", E884="142 - Compras"), 25, 0)) +(IF(OR(S884="GRADO ING. MECÁNICA", S884="GRADO ING. ELÉCTRICA", S884="GRADO DERECHO", S884="GRADO ECONOMÍA", S884="GRADO ING. TECNOLOGÍAS INDUSTRIALES"), 24, 0)) + (IF(AND(K884&gt;=451, K884&lt;=700), 23, 0)) + (IF(AND(AB884&gt;=5, AB884&lt;=8), 17, 0)) +(IF(_xludf.OR(_xludf.AND(AC884&gt;=8, AC884&lt;=10), _xludf.AND(AC884&gt;=0, AC884&lt;=5)), 16, 0)) + (IF(F884="Madrid", 11, 0))))</f>
        <v>#NAME?</v>
      </c>
      <c r="AG884" s="68"/>
      <c r="AH884" s="71" t="s">
        <v>164</v>
      </c>
    </row>
    <row r="885" spans="1:34" ht="14.4" x14ac:dyDescent="0.3">
      <c r="A885" s="66" t="s">
        <v>1837</v>
      </c>
      <c r="B885" s="66" t="s">
        <v>3954</v>
      </c>
      <c r="C885" s="33">
        <v>884</v>
      </c>
      <c r="D885" s="33" t="s">
        <v>5398</v>
      </c>
      <c r="E885" s="34" t="s">
        <v>5244</v>
      </c>
      <c r="F885" s="34" t="s">
        <v>18</v>
      </c>
      <c r="G885" s="57">
        <v>43123</v>
      </c>
      <c r="H885" s="57">
        <v>43145</v>
      </c>
      <c r="I885" s="34">
        <f t="shared" si="39"/>
        <v>0</v>
      </c>
      <c r="J885" s="34">
        <v>35</v>
      </c>
      <c r="K885" s="36">
        <v>900</v>
      </c>
      <c r="L885" s="34" t="s">
        <v>17</v>
      </c>
      <c r="M885" s="57">
        <v>33349</v>
      </c>
      <c r="N885" s="37">
        <f>(YEAR(TablaMadre[[#This Row],[ALTA]])-YEAR(M885))</f>
        <v>27</v>
      </c>
      <c r="O885" s="34" t="s">
        <v>18</v>
      </c>
      <c r="P885" s="34" t="s">
        <v>19</v>
      </c>
      <c r="Q885" s="34" t="s">
        <v>20</v>
      </c>
      <c r="R885" s="34" t="s">
        <v>21</v>
      </c>
      <c r="S885" s="34" t="s">
        <v>151</v>
      </c>
      <c r="T885" s="34"/>
      <c r="U885" s="34"/>
      <c r="V885" s="34" t="s">
        <v>22</v>
      </c>
      <c r="W885" s="34" t="s">
        <v>47</v>
      </c>
      <c r="X885" s="38" t="s">
        <v>164</v>
      </c>
      <c r="Y885" s="62"/>
      <c r="Z885" s="62" t="e">
        <f t="shared" si="40"/>
        <v>#NUM!</v>
      </c>
      <c r="AA885" s="62"/>
      <c r="AB885" s="34"/>
      <c r="AC885" s="34"/>
      <c r="AD885" s="38"/>
      <c r="AE885" s="59" t="str">
        <f t="shared" si="41"/>
        <v>NO</v>
      </c>
      <c r="AF885" s="38" t="e" cm="1">
        <f t="array" aca="1" ref="AF885" ca="1">MIN(100, MAX(0, (IF(R885="ESTUDIANTE", 31, 0)) + (IF(I885&lt;=3, 30, IF(I885&lt;=6, 20, 0))) +(IF(OR(E885="413 - Control de Costes y Enlace Construcción", E885="480 - Secretaría General del Consejo", E885="132 - Civil y estructuras", E885="136 - Mecánica", E885="412 - Planificación", E885="142 - Compras"), 25, 0)) +(IF(OR(S885="GRADO ING. MECÁNICA", S885="GRADO ING. ELÉCTRICA", S885="GRADO DERECHO", S885="GRADO ECONOMÍA", S885="GRADO ING. TECNOLOGÍAS INDUSTRIALES"), 24, 0)) + (IF(AND(K885&gt;=451, K885&lt;=700), 23, 0)) + (IF(AND(AB885&gt;=5, AB885&lt;=8), 17, 0)) +(IF(_xludf.OR(_xludf.AND(AC885&gt;=8, AC885&lt;=10), _xludf.AND(AC885&gt;=0, AC885&lt;=5)), 16, 0)) + (IF(F885="Madrid", 11, 0))))</f>
        <v>#NAME?</v>
      </c>
      <c r="AG885" s="68"/>
      <c r="AH885" s="71" t="s">
        <v>164</v>
      </c>
    </row>
    <row r="886" spans="1:34" ht="14.4" x14ac:dyDescent="0.3">
      <c r="A886" s="66" t="s">
        <v>1864</v>
      </c>
      <c r="B886" s="66" t="s">
        <v>3981</v>
      </c>
      <c r="C886" s="33">
        <v>885</v>
      </c>
      <c r="D886" s="33" t="s">
        <v>5399</v>
      </c>
      <c r="E886" s="34" t="s">
        <v>5244</v>
      </c>
      <c r="F886" s="34" t="s">
        <v>18</v>
      </c>
      <c r="G886" s="57">
        <v>43123</v>
      </c>
      <c r="H886" s="57">
        <v>43487</v>
      </c>
      <c r="I886" s="34">
        <f t="shared" si="39"/>
        <v>11</v>
      </c>
      <c r="J886" s="34">
        <v>35</v>
      </c>
      <c r="K886" s="36">
        <v>900</v>
      </c>
      <c r="L886" s="34" t="s">
        <v>17</v>
      </c>
      <c r="M886" s="57">
        <v>33614</v>
      </c>
      <c r="N886" s="37">
        <f>(YEAR(TablaMadre[[#This Row],[ALTA]])-YEAR(M886))</f>
        <v>26</v>
      </c>
      <c r="O886" s="34" t="s">
        <v>411</v>
      </c>
      <c r="P886" s="34" t="s">
        <v>19</v>
      </c>
      <c r="Q886" s="34" t="s">
        <v>406</v>
      </c>
      <c r="R886" s="34" t="s">
        <v>21</v>
      </c>
      <c r="S886" s="34" t="s">
        <v>297</v>
      </c>
      <c r="T886" s="34"/>
      <c r="U886" s="34"/>
      <c r="V886" s="34" t="s">
        <v>142</v>
      </c>
      <c r="W886" s="34" t="s">
        <v>28</v>
      </c>
      <c r="X886" s="38" t="s">
        <v>164</v>
      </c>
      <c r="Y886" s="62">
        <v>43547</v>
      </c>
      <c r="Z886" s="38">
        <f t="shared" si="40"/>
        <v>0</v>
      </c>
      <c r="AA886" s="38"/>
      <c r="AB886" s="34">
        <v>9</v>
      </c>
      <c r="AC886" s="34">
        <v>8</v>
      </c>
      <c r="AD886" s="38"/>
      <c r="AE886" s="59" t="str">
        <f t="shared" si="41"/>
        <v>SÍ</v>
      </c>
      <c r="AF886" s="38" t="e" cm="1">
        <f t="array" aca="1" ref="AF886" ca="1">MIN(100, MAX(0, (IF(R886="ESTUDIANTE", 31, 0)) + (IF(I886&lt;=3, 30, IF(I886&lt;=6, 20, 0))) +(IF(OR(E886="413 - Control de Costes y Enlace Construcción", E886="480 - Secretaría General del Consejo", E886="132 - Civil y estructuras", E886="136 - Mecánica", E886="412 - Planificación", E886="142 - Compras"), 25, 0)) +(IF(OR(S886="GRADO ING. MECÁNICA", S886="GRADO ING. ELÉCTRICA", S886="GRADO DERECHO", S886="GRADO ECONOMÍA", S886="GRADO ING. TECNOLOGÍAS INDUSTRIALES"), 24, 0)) + (IF(AND(K886&gt;=451, K886&lt;=700), 23, 0)) + (IF(AND(AB886&gt;=5, AB886&lt;=8), 17, 0)) +(IF(_xludf.OR(_xludf.AND(AC886&gt;=8, AC886&lt;=10), _xludf.AND(AC886&gt;=0, AC886&lt;=5)), 16, 0)) + (IF(F886="Madrid", 11, 0))))</f>
        <v>#NAME?</v>
      </c>
      <c r="AG886" s="68"/>
      <c r="AH886" s="71" t="s">
        <v>164</v>
      </c>
    </row>
    <row r="887" spans="1:34" ht="14.4" x14ac:dyDescent="0.3">
      <c r="A887" s="66" t="s">
        <v>1865</v>
      </c>
      <c r="B887" s="66" t="s">
        <v>3982</v>
      </c>
      <c r="C887" s="33">
        <v>886</v>
      </c>
      <c r="D887" s="33" t="s">
        <v>5393</v>
      </c>
      <c r="E887" s="34" t="s">
        <v>5249</v>
      </c>
      <c r="F887" s="34" t="s">
        <v>18</v>
      </c>
      <c r="G887" s="57">
        <v>43132</v>
      </c>
      <c r="H887" s="57">
        <v>43465</v>
      </c>
      <c r="I887" s="34">
        <f t="shared" si="39"/>
        <v>10</v>
      </c>
      <c r="J887" s="34">
        <v>35</v>
      </c>
      <c r="K887" s="36">
        <v>900</v>
      </c>
      <c r="L887" s="34" t="s">
        <v>17</v>
      </c>
      <c r="M887" s="57">
        <v>33649</v>
      </c>
      <c r="N887" s="37">
        <f>(YEAR(TablaMadre[[#This Row],[ALTA]])-YEAR(M887))</f>
        <v>26</v>
      </c>
      <c r="O887" s="34" t="s">
        <v>18</v>
      </c>
      <c r="P887" s="34" t="s">
        <v>19</v>
      </c>
      <c r="Q887" s="34" t="s">
        <v>424</v>
      </c>
      <c r="R887" s="34" t="s">
        <v>21</v>
      </c>
      <c r="S887" s="34" t="s">
        <v>297</v>
      </c>
      <c r="T887" s="34"/>
      <c r="U887" s="34"/>
      <c r="V887" s="34" t="s">
        <v>40</v>
      </c>
      <c r="W887" s="34" t="s">
        <v>28</v>
      </c>
      <c r="X887" s="38" t="s">
        <v>164</v>
      </c>
      <c r="Y887" s="62">
        <v>43942</v>
      </c>
      <c r="Z887" s="38">
        <f t="shared" si="40"/>
        <v>1</v>
      </c>
      <c r="AA887" s="38"/>
      <c r="AB887" s="34">
        <v>9</v>
      </c>
      <c r="AC887" s="34">
        <v>8</v>
      </c>
      <c r="AD887" s="38"/>
      <c r="AE887" s="59" t="str">
        <f t="shared" si="41"/>
        <v>NO</v>
      </c>
      <c r="AF887" s="38" t="e" cm="1">
        <f t="array" aca="1" ref="AF887" ca="1">MIN(100, MAX(0, (IF(R887="ESTUDIANTE", 31, 0)) + (IF(I887&lt;=3, 30, IF(I887&lt;=6, 20, 0))) +(IF(OR(E887="413 - Control de Costes y Enlace Construcción", E887="480 - Secretaría General del Consejo", E887="132 - Civil y estructuras", E887="136 - Mecánica", E887="412 - Planificación", E887="142 - Compras"), 25, 0)) +(IF(OR(S887="GRADO ING. MECÁNICA", S887="GRADO ING. ELÉCTRICA", S887="GRADO DERECHO", S887="GRADO ECONOMÍA", S887="GRADO ING. TECNOLOGÍAS INDUSTRIALES"), 24, 0)) + (IF(AND(K887&gt;=451, K887&lt;=700), 23, 0)) + (IF(AND(AB887&gt;=5, AB887&lt;=8), 17, 0)) +(IF(_xludf.OR(_xludf.AND(AC887&gt;=8, AC887&lt;=10), _xludf.AND(AC887&gt;=0, AC887&lt;=5)), 16, 0)) + (IF(F887="Madrid", 11, 0))))</f>
        <v>#NAME?</v>
      </c>
      <c r="AG887" s="68"/>
      <c r="AH887" s="71" t="s">
        <v>164</v>
      </c>
    </row>
    <row r="888" spans="1:34" ht="14.4" x14ac:dyDescent="0.3">
      <c r="A888" s="66" t="s">
        <v>1827</v>
      </c>
      <c r="B888" s="66" t="s">
        <v>3944</v>
      </c>
      <c r="C888" s="33">
        <v>887</v>
      </c>
      <c r="D888" s="33" t="s">
        <v>5394</v>
      </c>
      <c r="E888" s="34" t="s">
        <v>5245</v>
      </c>
      <c r="F888" s="34" t="s">
        <v>18</v>
      </c>
      <c r="G888" s="57">
        <v>43138</v>
      </c>
      <c r="H888" s="57">
        <v>43312</v>
      </c>
      <c r="I888" s="34">
        <f t="shared" si="39"/>
        <v>5</v>
      </c>
      <c r="J888" s="34">
        <v>35</v>
      </c>
      <c r="K888" s="36">
        <v>650</v>
      </c>
      <c r="L888" s="34" t="s">
        <v>29</v>
      </c>
      <c r="M888" s="57">
        <v>35199</v>
      </c>
      <c r="N888" s="37">
        <f>(YEAR(TablaMadre[[#This Row],[ALTA]])-YEAR(M888))</f>
        <v>22</v>
      </c>
      <c r="O888" s="34" t="s">
        <v>654</v>
      </c>
      <c r="P888" s="34" t="s">
        <v>19</v>
      </c>
      <c r="Q888" s="34" t="s">
        <v>229</v>
      </c>
      <c r="R888" s="58" t="s">
        <v>30</v>
      </c>
      <c r="S888" s="34" t="s">
        <v>229</v>
      </c>
      <c r="T888" s="34"/>
      <c r="U888" s="34"/>
      <c r="V888" s="34" t="s">
        <v>51</v>
      </c>
      <c r="W888" s="34" t="s">
        <v>23</v>
      </c>
      <c r="X888" s="38" t="s">
        <v>164</v>
      </c>
      <c r="Y888" s="62"/>
      <c r="Z888" s="62" t="e">
        <f t="shared" si="40"/>
        <v>#NUM!</v>
      </c>
      <c r="AA888" s="62"/>
      <c r="AB888" s="34"/>
      <c r="AC888" s="34"/>
      <c r="AD888" s="38"/>
      <c r="AE888" s="59" t="str">
        <f t="shared" si="41"/>
        <v>SÍ</v>
      </c>
      <c r="AF888" s="38" t="e" cm="1">
        <f t="array" aca="1" ref="AF888" ca="1">MIN(100, MAX(0, (IF(R888="ESTUDIANTE", 31, 0)) + (IF(I888&lt;=3, 30, IF(I888&lt;=6, 20, 0))) +(IF(OR(E888="413 - Control de Costes y Enlace Construcción", E888="480 - Secretaría General del Consejo", E888="132 - Civil y estructuras", E888="136 - Mecánica", E888="412 - Planificación", E888="142 - Compras"), 25, 0)) +(IF(OR(S888="GRADO ING. MECÁNICA", S888="GRADO ING. ELÉCTRICA", S888="GRADO DERECHO", S888="GRADO ECONOMÍA", S888="GRADO ING. TECNOLOGÍAS INDUSTRIALES"), 24, 0)) + (IF(AND(K888&gt;=451, K888&lt;=700), 23, 0)) + (IF(AND(AB888&gt;=5, AB888&lt;=8), 17, 0)) +(IF(_xludf.OR(_xludf.AND(AC888&gt;=8, AC888&lt;=10), _xludf.AND(AC888&gt;=0, AC888&lt;=5)), 16, 0)) + (IF(F888="Madrid", 11, 0))))</f>
        <v>#NAME?</v>
      </c>
      <c r="AG888" s="68"/>
      <c r="AH888" s="71" t="s">
        <v>164</v>
      </c>
    </row>
    <row r="889" spans="1:34" ht="14.4" x14ac:dyDescent="0.3">
      <c r="A889" s="66" t="s">
        <v>1873</v>
      </c>
      <c r="B889" s="66" t="s">
        <v>3990</v>
      </c>
      <c r="C889" s="33">
        <v>894</v>
      </c>
      <c r="D889" s="33" t="s">
        <v>5395</v>
      </c>
      <c r="E889" s="34" t="s">
        <v>5244</v>
      </c>
      <c r="F889" s="34" t="s">
        <v>18</v>
      </c>
      <c r="G889" s="57">
        <v>43138</v>
      </c>
      <c r="H889" s="57">
        <v>43867</v>
      </c>
      <c r="I889" s="34">
        <f t="shared" si="39"/>
        <v>23</v>
      </c>
      <c r="J889" s="34">
        <v>35</v>
      </c>
      <c r="K889" s="36">
        <v>650</v>
      </c>
      <c r="L889" s="34" t="s">
        <v>29</v>
      </c>
      <c r="M889" s="57">
        <v>33150</v>
      </c>
      <c r="N889" s="37">
        <f>(YEAR(TablaMadre[[#This Row],[ALTA]])-YEAR(M889))</f>
        <v>28</v>
      </c>
      <c r="O889" s="34" t="s">
        <v>18</v>
      </c>
      <c r="P889" s="34" t="s">
        <v>19</v>
      </c>
      <c r="Q889" s="34" t="s">
        <v>306</v>
      </c>
      <c r="R889" s="58" t="s">
        <v>30</v>
      </c>
      <c r="S889" s="34" t="s">
        <v>307</v>
      </c>
      <c r="T889" s="34"/>
      <c r="U889" s="34"/>
      <c r="V889" s="34" t="s">
        <v>22</v>
      </c>
      <c r="W889" s="34" t="s">
        <v>28</v>
      </c>
      <c r="X889" s="38" t="s">
        <v>164</v>
      </c>
      <c r="Y889" s="62">
        <v>44259</v>
      </c>
      <c r="Z889" s="38">
        <f t="shared" si="40"/>
        <v>1</v>
      </c>
      <c r="AA889" s="38"/>
      <c r="AB889" s="34">
        <v>9</v>
      </c>
      <c r="AC889" s="34">
        <v>8</v>
      </c>
      <c r="AD889" s="38"/>
      <c r="AE889" s="59" t="str">
        <f t="shared" si="41"/>
        <v>NO</v>
      </c>
      <c r="AF889" s="38" t="e" cm="1">
        <f t="array" aca="1" ref="AF889" ca="1">MIN(100, MAX(0, (IF(R889="ESTUDIANTE", 31, 0)) + (IF(I889&lt;=3, 30, IF(I889&lt;=6, 20, 0))) +(IF(OR(E889="413 - Control de Costes y Enlace Construcción", E889="480 - Secretaría General del Consejo", E889="132 - Civil y estructuras", E889="136 - Mecánica", E889="412 - Planificación", E889="142 - Compras"), 25, 0)) +(IF(OR(S889="GRADO ING. MECÁNICA", S889="GRADO ING. ELÉCTRICA", S889="GRADO DERECHO", S889="GRADO ECONOMÍA", S889="GRADO ING. TECNOLOGÍAS INDUSTRIALES"), 24, 0)) + (IF(AND(K889&gt;=451, K889&lt;=700), 23, 0)) + (IF(AND(AB889&gt;=5, AB889&lt;=8), 17, 0)) +(IF(_xludf.OR(_xludf.AND(AC889&gt;=8, AC889&lt;=10), _xludf.AND(AC889&gt;=0, AC889&lt;=5)), 16, 0)) + (IF(F889="Madrid", 11, 0))))</f>
        <v>#NAME?</v>
      </c>
      <c r="AG889" s="68"/>
      <c r="AH889" s="71" t="s">
        <v>164</v>
      </c>
    </row>
    <row r="890" spans="1:34" ht="14.4" x14ac:dyDescent="0.3">
      <c r="A890" s="66" t="s">
        <v>1875</v>
      </c>
      <c r="B890" s="66" t="s">
        <v>3992</v>
      </c>
      <c r="C890" s="33">
        <v>889</v>
      </c>
      <c r="D890" s="33" t="s">
        <v>5396</v>
      </c>
      <c r="E890" s="34" t="s">
        <v>5253</v>
      </c>
      <c r="F890" s="34" t="s">
        <v>18</v>
      </c>
      <c r="G890" s="57">
        <v>43138</v>
      </c>
      <c r="H890" s="57">
        <v>43333</v>
      </c>
      <c r="I890" s="34">
        <f t="shared" si="39"/>
        <v>6</v>
      </c>
      <c r="J890" s="34">
        <v>35</v>
      </c>
      <c r="K890" s="36">
        <v>650</v>
      </c>
      <c r="L890" s="34" t="s">
        <v>17</v>
      </c>
      <c r="M890" s="57">
        <v>33012</v>
      </c>
      <c r="N890" s="37">
        <f>(YEAR(TablaMadre[[#This Row],[ALTA]])-YEAR(M890))</f>
        <v>28</v>
      </c>
      <c r="O890" s="34" t="s">
        <v>18</v>
      </c>
      <c r="P890" s="34" t="s">
        <v>19</v>
      </c>
      <c r="Q890" s="34" t="s">
        <v>326</v>
      </c>
      <c r="R890" s="58" t="s">
        <v>30</v>
      </c>
      <c r="S890" s="34" t="s">
        <v>151</v>
      </c>
      <c r="T890" s="34"/>
      <c r="U890" s="34"/>
      <c r="V890" s="34" t="s">
        <v>40</v>
      </c>
      <c r="W890" s="34" t="s">
        <v>23</v>
      </c>
      <c r="X890" s="38" t="s">
        <v>164</v>
      </c>
      <c r="Y890" s="62"/>
      <c r="Z890" s="62" t="e">
        <f t="shared" si="40"/>
        <v>#NUM!</v>
      </c>
      <c r="AA890" s="62"/>
      <c r="AB890" s="34"/>
      <c r="AC890" s="34"/>
      <c r="AD890" s="38"/>
      <c r="AE890" s="59" t="str">
        <f t="shared" si="41"/>
        <v>NO</v>
      </c>
      <c r="AF890" s="38" t="e" cm="1">
        <f t="array" aca="1" ref="AF890" ca="1">MIN(100, MAX(0, (IF(R890="ESTUDIANTE", 31, 0)) + (IF(I890&lt;=3, 30, IF(I890&lt;=6, 20, 0))) +(IF(OR(E890="413 - Control de Costes y Enlace Construcción", E890="480 - Secretaría General del Consejo", E890="132 - Civil y estructuras", E890="136 - Mecánica", E890="412 - Planificación", E890="142 - Compras"), 25, 0)) +(IF(OR(S890="GRADO ING. MECÁNICA", S890="GRADO ING. ELÉCTRICA", S890="GRADO DERECHO", S890="GRADO ECONOMÍA", S890="GRADO ING. TECNOLOGÍAS INDUSTRIALES"), 24, 0)) + (IF(AND(K890&gt;=451, K890&lt;=700), 23, 0)) + (IF(AND(AB890&gt;=5, AB890&lt;=8), 17, 0)) +(IF(_xludf.OR(_xludf.AND(AC890&gt;=8, AC890&lt;=10), _xludf.AND(AC890&gt;=0, AC890&lt;=5)), 16, 0)) + (IF(F890="Madrid", 11, 0))))</f>
        <v>#NAME?</v>
      </c>
      <c r="AG890" s="68"/>
      <c r="AH890" s="71" t="s">
        <v>164</v>
      </c>
    </row>
    <row r="891" spans="1:34" ht="14.4" x14ac:dyDescent="0.3">
      <c r="A891" s="66" t="s">
        <v>1878</v>
      </c>
      <c r="B891" s="66" t="s">
        <v>3995</v>
      </c>
      <c r="C891" s="33">
        <v>891</v>
      </c>
      <c r="D891" s="33" t="s">
        <v>5397</v>
      </c>
      <c r="E891" s="34" t="s">
        <v>5245</v>
      </c>
      <c r="F891" s="34" t="s">
        <v>18</v>
      </c>
      <c r="G891" s="57">
        <v>43138</v>
      </c>
      <c r="H891" s="57">
        <v>43343</v>
      </c>
      <c r="I891" s="34">
        <f t="shared" si="39"/>
        <v>6</v>
      </c>
      <c r="J891" s="34">
        <v>35</v>
      </c>
      <c r="K891" s="36">
        <v>650</v>
      </c>
      <c r="L891" s="34" t="s">
        <v>17</v>
      </c>
      <c r="M891" s="57">
        <v>35412</v>
      </c>
      <c r="N891" s="37">
        <f>(YEAR(TablaMadre[[#This Row],[ALTA]])-YEAR(M891))</f>
        <v>22</v>
      </c>
      <c r="O891" s="34" t="s">
        <v>18</v>
      </c>
      <c r="P891" s="34" t="s">
        <v>19</v>
      </c>
      <c r="Q891" s="34" t="s">
        <v>330</v>
      </c>
      <c r="R891" s="58" t="s">
        <v>30</v>
      </c>
      <c r="S891" s="34" t="s">
        <v>307</v>
      </c>
      <c r="T891" s="34"/>
      <c r="U891" s="34"/>
      <c r="V891" s="34" t="s">
        <v>22</v>
      </c>
      <c r="W891" s="34" t="s">
        <v>23</v>
      </c>
      <c r="X891" s="38" t="s">
        <v>164</v>
      </c>
      <c r="Y891" s="62"/>
      <c r="Z891" s="62" t="e">
        <f t="shared" si="40"/>
        <v>#NUM!</v>
      </c>
      <c r="AA891" s="62"/>
      <c r="AB891" s="34"/>
      <c r="AC891" s="34"/>
      <c r="AD891" s="38"/>
      <c r="AE891" s="59" t="str">
        <f t="shared" si="41"/>
        <v>NO</v>
      </c>
      <c r="AF891" s="38" t="e" cm="1">
        <f t="array" aca="1" ref="AF891" ca="1">MIN(100, MAX(0, (IF(R891="ESTUDIANTE", 31, 0)) + (IF(I891&lt;=3, 30, IF(I891&lt;=6, 20, 0))) +(IF(OR(E891="413 - Control de Costes y Enlace Construcción", E891="480 - Secretaría General del Consejo", E891="132 - Civil y estructuras", E891="136 - Mecánica", E891="412 - Planificación", E891="142 - Compras"), 25, 0)) +(IF(OR(S891="GRADO ING. MECÁNICA", S891="GRADO ING. ELÉCTRICA", S891="GRADO DERECHO", S891="GRADO ECONOMÍA", S891="GRADO ING. TECNOLOGÍAS INDUSTRIALES"), 24, 0)) + (IF(AND(K891&gt;=451, K891&lt;=700), 23, 0)) + (IF(AND(AB891&gt;=5, AB891&lt;=8), 17, 0)) +(IF(_xludf.OR(_xludf.AND(AC891&gt;=8, AC891&lt;=10), _xludf.AND(AC891&gt;=0, AC891&lt;=5)), 16, 0)) + (IF(F891="Madrid", 11, 0))))</f>
        <v>#NAME?</v>
      </c>
      <c r="AG891" s="68"/>
      <c r="AH891" s="71" t="s">
        <v>164</v>
      </c>
    </row>
    <row r="892" spans="1:34" ht="14.4" x14ac:dyDescent="0.3">
      <c r="A892" s="66" t="s">
        <v>1880</v>
      </c>
      <c r="B892" s="66" t="s">
        <v>3997</v>
      </c>
      <c r="C892" s="33">
        <v>888</v>
      </c>
      <c r="D892" s="33" t="s">
        <v>5398</v>
      </c>
      <c r="E892" s="34" t="s">
        <v>5278</v>
      </c>
      <c r="F892" s="34" t="s">
        <v>18</v>
      </c>
      <c r="G892" s="57">
        <v>43138</v>
      </c>
      <c r="H892" s="57">
        <v>43312</v>
      </c>
      <c r="I892" s="34">
        <f t="shared" si="39"/>
        <v>5</v>
      </c>
      <c r="J892" s="34">
        <v>35</v>
      </c>
      <c r="K892" s="36">
        <v>650</v>
      </c>
      <c r="L892" s="34" t="s">
        <v>17</v>
      </c>
      <c r="M892" s="57">
        <v>35633</v>
      </c>
      <c r="N892" s="37">
        <f>(YEAR(TablaMadre[[#This Row],[ALTA]])-YEAR(M892))</f>
        <v>21</v>
      </c>
      <c r="O892" s="34" t="s">
        <v>18</v>
      </c>
      <c r="P892" s="34" t="s">
        <v>19</v>
      </c>
      <c r="Q892" s="34" t="s">
        <v>326</v>
      </c>
      <c r="R892" s="58" t="s">
        <v>30</v>
      </c>
      <c r="S892" s="34" t="s">
        <v>151</v>
      </c>
      <c r="T892" s="34"/>
      <c r="U892" s="34"/>
      <c r="V892" s="34" t="s">
        <v>22</v>
      </c>
      <c r="W892" s="34" t="s">
        <v>23</v>
      </c>
      <c r="X892" s="38" t="s">
        <v>164</v>
      </c>
      <c r="Y892" s="62"/>
      <c r="Z892" s="62" t="e">
        <f t="shared" si="40"/>
        <v>#NUM!</v>
      </c>
      <c r="AA892" s="62"/>
      <c r="AB892" s="34"/>
      <c r="AC892" s="34"/>
      <c r="AD892" s="38"/>
      <c r="AE892" s="59" t="str">
        <f t="shared" si="41"/>
        <v>NO</v>
      </c>
      <c r="AF892" s="38" t="e" cm="1">
        <f t="array" aca="1" ref="AF892" ca="1">MIN(100, MAX(0, (IF(R892="ESTUDIANTE", 31, 0)) + (IF(I892&lt;=3, 30, IF(I892&lt;=6, 20, 0))) +(IF(OR(E892="413 - Control de Costes y Enlace Construcción", E892="480 - Secretaría General del Consejo", E892="132 - Civil y estructuras", E892="136 - Mecánica", E892="412 - Planificación", E892="142 - Compras"), 25, 0)) +(IF(OR(S892="GRADO ING. MECÁNICA", S892="GRADO ING. ELÉCTRICA", S892="GRADO DERECHO", S892="GRADO ECONOMÍA", S892="GRADO ING. TECNOLOGÍAS INDUSTRIALES"), 24, 0)) + (IF(AND(K892&gt;=451, K892&lt;=700), 23, 0)) + (IF(AND(AB892&gt;=5, AB892&lt;=8), 17, 0)) +(IF(_xludf.OR(_xludf.AND(AC892&gt;=8, AC892&lt;=10), _xludf.AND(AC892&gt;=0, AC892&lt;=5)), 16, 0)) + (IF(F892="Madrid", 11, 0))))</f>
        <v>#NAME?</v>
      </c>
      <c r="AG892" s="68"/>
      <c r="AH892" s="71" t="s">
        <v>164</v>
      </c>
    </row>
    <row r="893" spans="1:34" ht="14.4" x14ac:dyDescent="0.3">
      <c r="A893" s="66" t="s">
        <v>1881</v>
      </c>
      <c r="B893" s="66" t="s">
        <v>3998</v>
      </c>
      <c r="C893" s="33">
        <v>893</v>
      </c>
      <c r="D893" s="33" t="s">
        <v>5399</v>
      </c>
      <c r="E893" s="34" t="s">
        <v>5241</v>
      </c>
      <c r="F893" s="34" t="s">
        <v>18</v>
      </c>
      <c r="G893" s="57">
        <v>43138</v>
      </c>
      <c r="H893" s="57">
        <v>43373</v>
      </c>
      <c r="I893" s="34">
        <f t="shared" si="39"/>
        <v>7</v>
      </c>
      <c r="J893" s="34">
        <v>35</v>
      </c>
      <c r="K893" s="36">
        <v>650</v>
      </c>
      <c r="L893" s="34" t="s">
        <v>17</v>
      </c>
      <c r="M893" s="57">
        <v>36113</v>
      </c>
      <c r="N893" s="37">
        <f>(YEAR(TablaMadre[[#This Row],[ALTA]])-YEAR(M893))</f>
        <v>20</v>
      </c>
      <c r="O893" s="34" t="s">
        <v>18</v>
      </c>
      <c r="P893" s="34" t="s">
        <v>19</v>
      </c>
      <c r="Q893" s="34" t="s">
        <v>136</v>
      </c>
      <c r="R893" s="58" t="s">
        <v>30</v>
      </c>
      <c r="S893" s="34" t="s">
        <v>136</v>
      </c>
      <c r="T893" s="34"/>
      <c r="U893" s="34"/>
      <c r="V893" s="34" t="s">
        <v>90</v>
      </c>
      <c r="W893" s="34" t="s">
        <v>23</v>
      </c>
      <c r="X893" s="38" t="s">
        <v>164</v>
      </c>
      <c r="Y893" s="62"/>
      <c r="Z893" s="62" t="e">
        <f t="shared" si="40"/>
        <v>#NUM!</v>
      </c>
      <c r="AA893" s="62"/>
      <c r="AB893" s="34"/>
      <c r="AC893" s="34">
        <v>8.5</v>
      </c>
      <c r="AD893" s="38"/>
      <c r="AE893" s="59" t="str">
        <f t="shared" si="41"/>
        <v>NO</v>
      </c>
      <c r="AF893" s="38" t="e" cm="1">
        <f t="array" aca="1" ref="AF893" ca="1">MIN(100, MAX(0, (IF(R893="ESTUDIANTE", 31, 0)) + (IF(I893&lt;=3, 30, IF(I893&lt;=6, 20, 0))) +(IF(OR(E893="413 - Control de Costes y Enlace Construcción", E893="480 - Secretaría General del Consejo", E893="132 - Civil y estructuras", E893="136 - Mecánica", E893="412 - Planificación", E893="142 - Compras"), 25, 0)) +(IF(OR(S893="GRADO ING. MECÁNICA", S893="GRADO ING. ELÉCTRICA", S893="GRADO DERECHO", S893="GRADO ECONOMÍA", S893="GRADO ING. TECNOLOGÍAS INDUSTRIALES"), 24, 0)) + (IF(AND(K893&gt;=451, K893&lt;=700), 23, 0)) + (IF(AND(AB893&gt;=5, AB893&lt;=8), 17, 0)) +(IF(_xludf.OR(_xludf.AND(AC893&gt;=8, AC893&lt;=10), _xludf.AND(AC893&gt;=0, AC893&lt;=5)), 16, 0)) + (IF(F893="Madrid", 11, 0))))</f>
        <v>#NAME?</v>
      </c>
      <c r="AG893" s="68"/>
      <c r="AH893" s="71" t="s">
        <v>164</v>
      </c>
    </row>
    <row r="894" spans="1:34" ht="14.4" x14ac:dyDescent="0.3">
      <c r="A894" s="66" t="s">
        <v>1883</v>
      </c>
      <c r="B894" s="66" t="s">
        <v>4000</v>
      </c>
      <c r="C894" s="33">
        <v>890</v>
      </c>
      <c r="D894" s="33" t="s">
        <v>5400</v>
      </c>
      <c r="E894" s="34" t="s">
        <v>5224</v>
      </c>
      <c r="F894" s="34" t="s">
        <v>18</v>
      </c>
      <c r="G894" s="57">
        <v>43138</v>
      </c>
      <c r="H894" s="57">
        <v>43343</v>
      </c>
      <c r="I894" s="34">
        <f t="shared" si="39"/>
        <v>6</v>
      </c>
      <c r="J894" s="34">
        <v>35</v>
      </c>
      <c r="K894" s="36">
        <v>0</v>
      </c>
      <c r="L894" s="34" t="s">
        <v>17</v>
      </c>
      <c r="M894" s="57">
        <v>35514</v>
      </c>
      <c r="N894" s="37">
        <f>(YEAR(TablaMadre[[#This Row],[ALTA]])-YEAR(M894))</f>
        <v>21</v>
      </c>
      <c r="O894" s="34" t="s">
        <v>293</v>
      </c>
      <c r="P894" s="34" t="s">
        <v>19</v>
      </c>
      <c r="Q894" s="34" t="s">
        <v>229</v>
      </c>
      <c r="R894" s="34" t="s">
        <v>30</v>
      </c>
      <c r="S894" s="34" t="s">
        <v>229</v>
      </c>
      <c r="T894" s="34"/>
      <c r="U894" s="34"/>
      <c r="V894" s="34" t="s">
        <v>137</v>
      </c>
      <c r="W894" s="34" t="s">
        <v>23</v>
      </c>
      <c r="X894" s="38" t="s">
        <v>164</v>
      </c>
      <c r="Y894" s="62"/>
      <c r="Z894" s="62" t="e">
        <f t="shared" si="40"/>
        <v>#NUM!</v>
      </c>
      <c r="AA894" s="62"/>
      <c r="AB894" s="34"/>
      <c r="AC894" s="34"/>
      <c r="AD894" s="38"/>
      <c r="AE894" s="59" t="str">
        <f t="shared" si="41"/>
        <v>SÍ</v>
      </c>
      <c r="AF894" s="38" t="e" cm="1">
        <f t="array" aca="1" ref="AF894" ca="1">MIN(100, MAX(0, (IF(R894="ESTUDIANTE", 31, 0)) + (IF(I894&lt;=3, 30, IF(I894&lt;=6, 20, 0))) +(IF(OR(E894="413 - Control de Costes y Enlace Construcción", E894="480 - Secretaría General del Consejo", E894="132 - Civil y estructuras", E894="136 - Mecánica", E894="412 - Planificación", E894="142 - Compras"), 25, 0)) +(IF(OR(S894="GRADO ING. MECÁNICA", S894="GRADO ING. ELÉCTRICA", S894="GRADO DERECHO", S894="GRADO ECONOMÍA", S894="GRADO ING. TECNOLOGÍAS INDUSTRIALES"), 24, 0)) + (IF(AND(K894&gt;=451, K894&lt;=700), 23, 0)) + (IF(AND(AB894&gt;=5, AB894&lt;=8), 17, 0)) +(IF(_xludf.OR(_xludf.AND(AC894&gt;=8, AC894&lt;=10), _xludf.AND(AC894&gt;=0, AC894&lt;=5)), 16, 0)) + (IF(F894="Madrid", 11, 0))))</f>
        <v>#NAME?</v>
      </c>
      <c r="AG894" s="68"/>
      <c r="AH894" s="71" t="s">
        <v>164</v>
      </c>
    </row>
    <row r="895" spans="1:34" ht="14.4" x14ac:dyDescent="0.3">
      <c r="A895" s="66" t="s">
        <v>1885</v>
      </c>
      <c r="B895" s="66" t="s">
        <v>4002</v>
      </c>
      <c r="C895" s="33">
        <v>892</v>
      </c>
      <c r="D895" s="33" t="s">
        <v>5401</v>
      </c>
      <c r="E895" s="34" t="s">
        <v>5218</v>
      </c>
      <c r="F895" s="34" t="s">
        <v>18</v>
      </c>
      <c r="G895" s="57">
        <v>43138</v>
      </c>
      <c r="H895" s="57">
        <v>43343</v>
      </c>
      <c r="I895" s="34">
        <f t="shared" si="39"/>
        <v>6</v>
      </c>
      <c r="J895" s="34">
        <v>35</v>
      </c>
      <c r="K895" s="36">
        <v>650</v>
      </c>
      <c r="L895" s="34" t="s">
        <v>17</v>
      </c>
      <c r="M895" s="57">
        <v>35033</v>
      </c>
      <c r="N895" s="37">
        <f>(YEAR(TablaMadre[[#This Row],[ALTA]])-YEAR(M895))</f>
        <v>23</v>
      </c>
      <c r="O895" s="34" t="s">
        <v>282</v>
      </c>
      <c r="P895" s="34" t="s">
        <v>19</v>
      </c>
      <c r="Q895" s="34" t="s">
        <v>151</v>
      </c>
      <c r="R895" s="58" t="s">
        <v>30</v>
      </c>
      <c r="S895" s="34" t="s">
        <v>151</v>
      </c>
      <c r="T895" s="34"/>
      <c r="U895" s="34"/>
      <c r="V895" s="34" t="s">
        <v>74</v>
      </c>
      <c r="W895" s="34" t="s">
        <v>23</v>
      </c>
      <c r="X895" s="38" t="s">
        <v>164</v>
      </c>
      <c r="Y895" s="62"/>
      <c r="Z895" s="62" t="e">
        <f t="shared" si="40"/>
        <v>#NUM!</v>
      </c>
      <c r="AA895" s="62"/>
      <c r="AB895" s="34"/>
      <c r="AC895" s="34"/>
      <c r="AD895" s="38"/>
      <c r="AE895" s="59" t="str">
        <f t="shared" si="41"/>
        <v>SÍ</v>
      </c>
      <c r="AF895" s="38" t="e" cm="1">
        <f t="array" aca="1" ref="AF895" ca="1">MIN(100, MAX(0, (IF(R895="ESTUDIANTE", 31, 0)) + (IF(I895&lt;=3, 30, IF(I895&lt;=6, 20, 0))) +(IF(OR(E895="413 - Control de Costes y Enlace Construcción", E895="480 - Secretaría General del Consejo", E895="132 - Civil y estructuras", E895="136 - Mecánica", E895="412 - Planificación", E895="142 - Compras"), 25, 0)) +(IF(OR(S895="GRADO ING. MECÁNICA", S895="GRADO ING. ELÉCTRICA", S895="GRADO DERECHO", S895="GRADO ECONOMÍA", S895="GRADO ING. TECNOLOGÍAS INDUSTRIALES"), 24, 0)) + (IF(AND(K895&gt;=451, K895&lt;=700), 23, 0)) + (IF(AND(AB895&gt;=5, AB895&lt;=8), 17, 0)) +(IF(_xludf.OR(_xludf.AND(AC895&gt;=8, AC895&lt;=10), _xludf.AND(AC895&gt;=0, AC895&lt;=5)), 16, 0)) + (IF(F895="Madrid", 11, 0))))</f>
        <v>#NAME?</v>
      </c>
      <c r="AG895" s="68"/>
      <c r="AH895" s="71" t="s">
        <v>164</v>
      </c>
    </row>
    <row r="896" spans="1:34" ht="14.4" x14ac:dyDescent="0.3">
      <c r="A896" s="66" t="s">
        <v>1874</v>
      </c>
      <c r="B896" s="66" t="s">
        <v>3991</v>
      </c>
      <c r="C896" s="33">
        <v>895</v>
      </c>
      <c r="D896" s="33" t="s">
        <v>5402</v>
      </c>
      <c r="E896" s="34" t="s">
        <v>5244</v>
      </c>
      <c r="F896" s="34" t="s">
        <v>18</v>
      </c>
      <c r="G896" s="57">
        <v>43150</v>
      </c>
      <c r="H896" s="57">
        <v>43514</v>
      </c>
      <c r="I896" s="34">
        <f t="shared" si="39"/>
        <v>11</v>
      </c>
      <c r="J896" s="34">
        <v>35</v>
      </c>
      <c r="K896" s="36">
        <v>825</v>
      </c>
      <c r="L896" s="34" t="s">
        <v>17</v>
      </c>
      <c r="M896" s="57">
        <v>33510</v>
      </c>
      <c r="N896" s="37">
        <f>(YEAR(TablaMadre[[#This Row],[ALTA]])-YEAR(M896))</f>
        <v>27</v>
      </c>
      <c r="O896" s="34" t="s">
        <v>18</v>
      </c>
      <c r="P896" s="34" t="s">
        <v>19</v>
      </c>
      <c r="Q896" s="34" t="s">
        <v>330</v>
      </c>
      <c r="R896" s="34" t="s">
        <v>21</v>
      </c>
      <c r="S896" s="34" t="s">
        <v>307</v>
      </c>
      <c r="T896" s="34"/>
      <c r="U896" s="34"/>
      <c r="V896" s="34" t="s">
        <v>22</v>
      </c>
      <c r="W896" s="34" t="s">
        <v>28</v>
      </c>
      <c r="X896" s="38" t="s">
        <v>164</v>
      </c>
      <c r="Y896" s="62">
        <v>43731</v>
      </c>
      <c r="Z896" s="38">
        <f t="shared" si="40"/>
        <v>0</v>
      </c>
      <c r="AA896" s="38"/>
      <c r="AB896" s="34">
        <v>7</v>
      </c>
      <c r="AC896" s="34">
        <v>6</v>
      </c>
      <c r="AD896" s="38"/>
      <c r="AE896" s="59" t="str">
        <f t="shared" si="41"/>
        <v>NO</v>
      </c>
      <c r="AF896" s="38" t="e" cm="1">
        <f t="array" aca="1" ref="AF896" ca="1">MIN(100, MAX(0, (IF(R896="ESTUDIANTE", 31, 0)) + (IF(I896&lt;=3, 30, IF(I896&lt;=6, 20, 0))) +(IF(OR(E896="413 - Control de Costes y Enlace Construcción", E896="480 - Secretaría General del Consejo", E896="132 - Civil y estructuras", E896="136 - Mecánica", E896="412 - Planificación", E896="142 - Compras"), 25, 0)) +(IF(OR(S896="GRADO ING. MECÁNICA", S896="GRADO ING. ELÉCTRICA", S896="GRADO DERECHO", S896="GRADO ECONOMÍA", S896="GRADO ING. TECNOLOGÍAS INDUSTRIALES"), 24, 0)) + (IF(AND(K896&gt;=451, K896&lt;=700), 23, 0)) + (IF(AND(AB896&gt;=5, AB896&lt;=8), 17, 0)) +(IF(_xludf.OR(_xludf.AND(AC896&gt;=8, AC896&lt;=10), _xludf.AND(AC896&gt;=0, AC896&lt;=5)), 16, 0)) + (IF(F896="Madrid", 11, 0))))</f>
        <v>#NAME?</v>
      </c>
      <c r="AG896" s="68"/>
      <c r="AH896" s="71" t="s">
        <v>164</v>
      </c>
    </row>
    <row r="897" spans="1:34" ht="14.4" x14ac:dyDescent="0.3">
      <c r="A897" s="66" t="s">
        <v>1847</v>
      </c>
      <c r="B897" s="66" t="s">
        <v>3964</v>
      </c>
      <c r="C897" s="33">
        <v>896</v>
      </c>
      <c r="D897" s="33" t="s">
        <v>5393</v>
      </c>
      <c r="E897" s="34" t="s">
        <v>5241</v>
      </c>
      <c r="F897" s="34" t="s">
        <v>18</v>
      </c>
      <c r="G897" s="57">
        <v>43152</v>
      </c>
      <c r="H897" s="57">
        <v>43202</v>
      </c>
      <c r="I897" s="34">
        <f t="shared" si="39"/>
        <v>1</v>
      </c>
      <c r="J897" s="34">
        <v>35</v>
      </c>
      <c r="K897" s="36">
        <v>900</v>
      </c>
      <c r="L897" s="34" t="s">
        <v>17</v>
      </c>
      <c r="M897" s="57">
        <v>33456</v>
      </c>
      <c r="N897" s="37">
        <f>(YEAR(TablaMadre[[#This Row],[ALTA]])-YEAR(M897))</f>
        <v>27</v>
      </c>
      <c r="O897" s="34" t="s">
        <v>273</v>
      </c>
      <c r="P897" s="34" t="s">
        <v>19</v>
      </c>
      <c r="Q897" s="34" t="s">
        <v>409</v>
      </c>
      <c r="R897" s="34" t="s">
        <v>21</v>
      </c>
      <c r="S897" s="34" t="s">
        <v>136</v>
      </c>
      <c r="T897" s="34"/>
      <c r="U897" s="34"/>
      <c r="V897" s="34" t="s">
        <v>90</v>
      </c>
      <c r="W897" s="34" t="s">
        <v>47</v>
      </c>
      <c r="X897" s="38" t="s">
        <v>164</v>
      </c>
      <c r="Y897" s="62"/>
      <c r="Z897" s="62" t="e">
        <f t="shared" si="40"/>
        <v>#NUM!</v>
      </c>
      <c r="AA897" s="62"/>
      <c r="AB897" s="34"/>
      <c r="AC897" s="34"/>
      <c r="AD897" s="38"/>
      <c r="AE897" s="59" t="str">
        <f t="shared" si="41"/>
        <v>SÍ</v>
      </c>
      <c r="AF897" s="38" t="e" cm="1">
        <f t="array" aca="1" ref="AF897" ca="1">MIN(100, MAX(0, (IF(R897="ESTUDIANTE", 31, 0)) + (IF(I897&lt;=3, 30, IF(I897&lt;=6, 20, 0))) +(IF(OR(E897="413 - Control de Costes y Enlace Construcción", E897="480 - Secretaría General del Consejo", E897="132 - Civil y estructuras", E897="136 - Mecánica", E897="412 - Planificación", E897="142 - Compras"), 25, 0)) +(IF(OR(S897="GRADO ING. MECÁNICA", S897="GRADO ING. ELÉCTRICA", S897="GRADO DERECHO", S897="GRADO ECONOMÍA", S897="GRADO ING. TECNOLOGÍAS INDUSTRIALES"), 24, 0)) + (IF(AND(K897&gt;=451, K897&lt;=700), 23, 0)) + (IF(AND(AB897&gt;=5, AB897&lt;=8), 17, 0)) +(IF(_xludf.OR(_xludf.AND(AC897&gt;=8, AC897&lt;=10), _xludf.AND(AC897&gt;=0, AC897&lt;=5)), 16, 0)) + (IF(F897="Madrid", 11, 0))))</f>
        <v>#NAME?</v>
      </c>
      <c r="AG897" s="68"/>
      <c r="AH897" s="71" t="s">
        <v>164</v>
      </c>
    </row>
    <row r="898" spans="1:34" ht="14.4" x14ac:dyDescent="0.3">
      <c r="A898" s="66" t="s">
        <v>1876</v>
      </c>
      <c r="B898" s="66" t="s">
        <v>3993</v>
      </c>
      <c r="C898" s="33">
        <v>897</v>
      </c>
      <c r="D898" s="33" t="s">
        <v>5394</v>
      </c>
      <c r="E898" s="34" t="s">
        <v>5273</v>
      </c>
      <c r="F898" s="34" t="s">
        <v>18</v>
      </c>
      <c r="G898" s="57">
        <v>43152</v>
      </c>
      <c r="H898" s="57">
        <v>43414</v>
      </c>
      <c r="I898" s="34">
        <f t="shared" ref="I898:I961" si="42">DATEDIF(G898, H898, "M")</f>
        <v>8</v>
      </c>
      <c r="J898" s="34">
        <v>35</v>
      </c>
      <c r="K898" s="36">
        <v>825</v>
      </c>
      <c r="L898" s="34" t="s">
        <v>17</v>
      </c>
      <c r="M898" s="57">
        <v>34970</v>
      </c>
      <c r="N898" s="37">
        <f>(YEAR(TablaMadre[[#This Row],[ALTA]])-YEAR(M898))</f>
        <v>23</v>
      </c>
      <c r="O898" s="34" t="s">
        <v>249</v>
      </c>
      <c r="P898" s="34" t="s">
        <v>19</v>
      </c>
      <c r="Q898" s="34" t="s">
        <v>136</v>
      </c>
      <c r="R898" s="34" t="s">
        <v>21</v>
      </c>
      <c r="S898" s="34" t="s">
        <v>136</v>
      </c>
      <c r="T898" s="34"/>
      <c r="U898" s="34"/>
      <c r="V898" s="34" t="s">
        <v>33</v>
      </c>
      <c r="W898" s="34" t="s">
        <v>97</v>
      </c>
      <c r="X898" s="38" t="s">
        <v>164</v>
      </c>
      <c r="Y898" s="62">
        <v>44016</v>
      </c>
      <c r="Z898" s="38">
        <f t="shared" ref="Z898:Z961" si="43">DATEDIF(H898, Y898, "y")</f>
        <v>1</v>
      </c>
      <c r="AA898" s="38"/>
      <c r="AB898" s="34"/>
      <c r="AC898" s="34"/>
      <c r="AD898" s="38"/>
      <c r="AE898" s="59" t="str">
        <f t="shared" si="41"/>
        <v>SÍ</v>
      </c>
      <c r="AF898" s="38" t="e" cm="1">
        <f t="array" aca="1" ref="AF898" ca="1">MIN(100, MAX(0, (IF(R898="ESTUDIANTE", 31, 0)) + (IF(I898&lt;=3, 30, IF(I898&lt;=6, 20, 0))) +(IF(OR(E898="413 - Control de Costes y Enlace Construcción", E898="480 - Secretaría General del Consejo", E898="132 - Civil y estructuras", E898="136 - Mecánica", E898="412 - Planificación", E898="142 - Compras"), 25, 0)) +(IF(OR(S898="GRADO ING. MECÁNICA", S898="GRADO ING. ELÉCTRICA", S898="GRADO DERECHO", S898="GRADO ECONOMÍA", S898="GRADO ING. TECNOLOGÍAS INDUSTRIALES"), 24, 0)) + (IF(AND(K898&gt;=451, K898&lt;=700), 23, 0)) + (IF(AND(AB898&gt;=5, AB898&lt;=8), 17, 0)) +(IF(_xludf.OR(_xludf.AND(AC898&gt;=8, AC898&lt;=10), _xludf.AND(AC898&gt;=0, AC898&lt;=5)), 16, 0)) + (IF(F898="Madrid", 11, 0))))</f>
        <v>#NAME?</v>
      </c>
      <c r="AG898" s="68"/>
      <c r="AH898" s="71" t="s">
        <v>164</v>
      </c>
    </row>
    <row r="899" spans="1:34" ht="14.4" x14ac:dyDescent="0.3">
      <c r="A899" s="66" t="s">
        <v>1877</v>
      </c>
      <c r="B899" s="66" t="s">
        <v>3994</v>
      </c>
      <c r="C899" s="33">
        <v>898</v>
      </c>
      <c r="D899" s="33" t="s">
        <v>5395</v>
      </c>
      <c r="E899" s="34" t="s">
        <v>5241</v>
      </c>
      <c r="F899" s="34" t="s">
        <v>18</v>
      </c>
      <c r="G899" s="57">
        <v>43152</v>
      </c>
      <c r="H899" s="57">
        <v>43516</v>
      </c>
      <c r="I899" s="34">
        <f t="shared" si="42"/>
        <v>11</v>
      </c>
      <c r="J899" s="34">
        <v>35</v>
      </c>
      <c r="K899" s="36">
        <v>900</v>
      </c>
      <c r="L899" s="34" t="s">
        <v>17</v>
      </c>
      <c r="M899" s="57">
        <v>33333</v>
      </c>
      <c r="N899" s="37">
        <f>(YEAR(TablaMadre[[#This Row],[ALTA]])-YEAR(M899))</f>
        <v>27</v>
      </c>
      <c r="O899" s="34" t="s">
        <v>414</v>
      </c>
      <c r="P899" s="34" t="s">
        <v>19</v>
      </c>
      <c r="Q899" s="34" t="s">
        <v>406</v>
      </c>
      <c r="R899" s="34" t="s">
        <v>21</v>
      </c>
      <c r="S899" s="34" t="s">
        <v>297</v>
      </c>
      <c r="T899" s="34"/>
      <c r="U899" s="34"/>
      <c r="V899" s="34" t="s">
        <v>310</v>
      </c>
      <c r="W899" s="34" t="s">
        <v>28</v>
      </c>
      <c r="X899" s="38" t="s">
        <v>164</v>
      </c>
      <c r="Y899" s="62">
        <v>44639</v>
      </c>
      <c r="Z899" s="38">
        <f t="shared" si="43"/>
        <v>3</v>
      </c>
      <c r="AA899" s="38"/>
      <c r="AB899" s="34">
        <v>8</v>
      </c>
      <c r="AC899" s="34">
        <v>8</v>
      </c>
      <c r="AD899" s="38"/>
      <c r="AE899" s="59" t="str">
        <f t="shared" ref="AE899:AE962" si="44">IF(F899=O899, "NO", "SÍ")</f>
        <v>SÍ</v>
      </c>
      <c r="AF899" s="38" t="e" cm="1">
        <f t="array" aca="1" ref="AF899" ca="1">MIN(100, MAX(0, (IF(R899="ESTUDIANTE", 31, 0)) + (IF(I899&lt;=3, 30, IF(I899&lt;=6, 20, 0))) +(IF(OR(E899="413 - Control de Costes y Enlace Construcción", E899="480 - Secretaría General del Consejo", E899="132 - Civil y estructuras", E899="136 - Mecánica", E899="412 - Planificación", E899="142 - Compras"), 25, 0)) +(IF(OR(S899="GRADO ING. MECÁNICA", S899="GRADO ING. ELÉCTRICA", S899="GRADO DERECHO", S899="GRADO ECONOMÍA", S899="GRADO ING. TECNOLOGÍAS INDUSTRIALES"), 24, 0)) + (IF(AND(K899&gt;=451, K899&lt;=700), 23, 0)) + (IF(AND(AB899&gt;=5, AB899&lt;=8), 17, 0)) +(IF(_xludf.OR(_xludf.AND(AC899&gt;=8, AC899&lt;=10), _xludf.AND(AC899&gt;=0, AC899&lt;=5)), 16, 0)) + (IF(F899="Madrid", 11, 0))))</f>
        <v>#NAME?</v>
      </c>
      <c r="AG899" s="68"/>
      <c r="AH899" s="71" t="s">
        <v>164</v>
      </c>
    </row>
    <row r="900" spans="1:34" ht="14.4" x14ac:dyDescent="0.3">
      <c r="A900" s="66" t="s">
        <v>1861</v>
      </c>
      <c r="B900" s="66" t="s">
        <v>3978</v>
      </c>
      <c r="C900" s="33">
        <v>899</v>
      </c>
      <c r="D900" s="33" t="s">
        <v>5396</v>
      </c>
      <c r="E900" s="34" t="s">
        <v>5222</v>
      </c>
      <c r="F900" s="34" t="s">
        <v>18</v>
      </c>
      <c r="G900" s="57">
        <v>43163</v>
      </c>
      <c r="H900" s="57">
        <v>43410</v>
      </c>
      <c r="I900" s="34">
        <f t="shared" si="42"/>
        <v>8</v>
      </c>
      <c r="J900" s="34">
        <v>40</v>
      </c>
      <c r="K900" s="36">
        <v>450</v>
      </c>
      <c r="L900" s="34" t="s">
        <v>17</v>
      </c>
      <c r="M900" s="57">
        <v>27729</v>
      </c>
      <c r="N900" s="37">
        <f>(YEAR(TablaMadre[[#This Row],[ALTA]])-YEAR(M900))</f>
        <v>43</v>
      </c>
      <c r="O900" s="34" t="s">
        <v>226</v>
      </c>
      <c r="P900" s="34" t="s">
        <v>19</v>
      </c>
      <c r="Q900" s="34" t="s">
        <v>422</v>
      </c>
      <c r="R900" s="58" t="s">
        <v>30</v>
      </c>
      <c r="S900" s="34" t="s">
        <v>26</v>
      </c>
      <c r="T900" s="34"/>
      <c r="U900" s="34"/>
      <c r="V900" s="34" t="s">
        <v>27</v>
      </c>
      <c r="W900" s="34" t="s">
        <v>380</v>
      </c>
      <c r="X900" s="38" t="s">
        <v>164</v>
      </c>
      <c r="Y900" s="62"/>
      <c r="Z900" s="62" t="e">
        <f t="shared" si="43"/>
        <v>#NUM!</v>
      </c>
      <c r="AA900" s="62"/>
      <c r="AB900" s="34"/>
      <c r="AC900" s="34"/>
      <c r="AD900" s="38"/>
      <c r="AE900" s="59" t="str">
        <f t="shared" si="44"/>
        <v>SÍ</v>
      </c>
      <c r="AF900" s="38" t="e" cm="1">
        <f t="array" aca="1" ref="AF900" ca="1">MIN(100, MAX(0, (IF(R900="ESTUDIANTE", 31, 0)) + (IF(I900&lt;=3, 30, IF(I900&lt;=6, 20, 0))) +(IF(OR(E900="413 - Control de Costes y Enlace Construcción", E900="480 - Secretaría General del Consejo", E900="132 - Civil y estructuras", E900="136 - Mecánica", E900="412 - Planificación", E900="142 - Compras"), 25, 0)) +(IF(OR(S900="GRADO ING. MECÁNICA", S900="GRADO ING. ELÉCTRICA", S900="GRADO DERECHO", S900="GRADO ECONOMÍA", S900="GRADO ING. TECNOLOGÍAS INDUSTRIALES"), 24, 0)) + (IF(AND(K900&gt;=451, K900&lt;=700), 23, 0)) + (IF(AND(AB900&gt;=5, AB900&lt;=8), 17, 0)) +(IF(_xludf.OR(_xludf.AND(AC900&gt;=8, AC900&lt;=10), _xludf.AND(AC900&gt;=0, AC900&lt;=5)), 16, 0)) + (IF(F900="Madrid", 11, 0))))</f>
        <v>#NAME?</v>
      </c>
      <c r="AG900" s="68"/>
      <c r="AH900" s="71" t="s">
        <v>164</v>
      </c>
    </row>
    <row r="901" spans="1:34" ht="14.4" x14ac:dyDescent="0.3">
      <c r="A901" s="66" t="s">
        <v>1879</v>
      </c>
      <c r="B901" s="66" t="s">
        <v>3996</v>
      </c>
      <c r="C901" s="33">
        <v>900</v>
      </c>
      <c r="D901" s="33" t="s">
        <v>5397</v>
      </c>
      <c r="E901" s="34" t="s">
        <v>5222</v>
      </c>
      <c r="F901" s="34" t="s">
        <v>18</v>
      </c>
      <c r="G901" s="57">
        <v>43163</v>
      </c>
      <c r="H901" s="57">
        <v>43683</v>
      </c>
      <c r="I901" s="34">
        <f t="shared" si="42"/>
        <v>17</v>
      </c>
      <c r="J901" s="34">
        <v>35</v>
      </c>
      <c r="K901" s="36">
        <v>650</v>
      </c>
      <c r="L901" s="34" t="s">
        <v>17</v>
      </c>
      <c r="M901" s="57">
        <v>34516</v>
      </c>
      <c r="N901" s="37">
        <f>(YEAR(TablaMadre[[#This Row],[ALTA]])-YEAR(M901))</f>
        <v>24</v>
      </c>
      <c r="O901" s="34" t="s">
        <v>18</v>
      </c>
      <c r="P901" s="34" t="s">
        <v>19</v>
      </c>
      <c r="Q901" s="34" t="s">
        <v>437</v>
      </c>
      <c r="R901" s="58" t="s">
        <v>30</v>
      </c>
      <c r="S901" s="34" t="s">
        <v>26</v>
      </c>
      <c r="T901" s="34"/>
      <c r="U901" s="34"/>
      <c r="V901" s="34" t="s">
        <v>27</v>
      </c>
      <c r="W901" s="34" t="s">
        <v>28</v>
      </c>
      <c r="X901" s="38" t="s">
        <v>173</v>
      </c>
      <c r="Y901" s="62"/>
      <c r="Z901" s="38" t="e">
        <f t="shared" si="43"/>
        <v>#NUM!</v>
      </c>
      <c r="AA901" s="38"/>
      <c r="AB901" s="34">
        <v>9</v>
      </c>
      <c r="AC901" s="34" t="s">
        <v>438</v>
      </c>
      <c r="AD901" s="38"/>
      <c r="AE901" s="59" t="str">
        <f t="shared" si="44"/>
        <v>NO</v>
      </c>
      <c r="AF901" s="38" t="e" cm="1">
        <f t="array" aca="1" ref="AF901" ca="1">MIN(100, MAX(0, (IF(R901="ESTUDIANTE", 31, 0)) + (IF(I901&lt;=3, 30, IF(I901&lt;=6, 20, 0))) +(IF(OR(E901="413 - Control de Costes y Enlace Construcción", E901="480 - Secretaría General del Consejo", E901="132 - Civil y estructuras", E901="136 - Mecánica", E901="412 - Planificación", E901="142 - Compras"), 25, 0)) +(IF(OR(S901="GRADO ING. MECÁNICA", S901="GRADO ING. ELÉCTRICA", S901="GRADO DERECHO", S901="GRADO ECONOMÍA", S901="GRADO ING. TECNOLOGÍAS INDUSTRIALES"), 24, 0)) + (IF(AND(K901&gt;=451, K901&lt;=700), 23, 0)) + (IF(AND(AB901&gt;=5, AB901&lt;=8), 17, 0)) +(IF(_xludf.OR(_xludf.AND(AC901&gt;=8, AC901&lt;=10), _xludf.AND(AC901&gt;=0, AC901&lt;=5)), 16, 0)) + (IF(F901="Madrid", 11, 0))))</f>
        <v>#NAME?</v>
      </c>
      <c r="AG901" s="68"/>
      <c r="AH901" s="71" t="s">
        <v>164</v>
      </c>
    </row>
    <row r="902" spans="1:34" ht="14.4" x14ac:dyDescent="0.3">
      <c r="A902" s="66" t="s">
        <v>1863</v>
      </c>
      <c r="B902" s="66" t="s">
        <v>3980</v>
      </c>
      <c r="C902" s="33">
        <v>901</v>
      </c>
      <c r="D902" s="33" t="s">
        <v>5398</v>
      </c>
      <c r="E902" s="34" t="s">
        <v>5230</v>
      </c>
      <c r="F902" s="34" t="s">
        <v>118</v>
      </c>
      <c r="G902" s="57">
        <v>43164</v>
      </c>
      <c r="H902" s="57">
        <v>43585</v>
      </c>
      <c r="I902" s="34">
        <f t="shared" si="42"/>
        <v>13</v>
      </c>
      <c r="J902" s="34">
        <v>35</v>
      </c>
      <c r="K902" s="36">
        <v>825</v>
      </c>
      <c r="L902" s="34" t="s">
        <v>17</v>
      </c>
      <c r="M902" s="57">
        <v>35176</v>
      </c>
      <c r="N902" s="37">
        <f>(YEAR(TablaMadre[[#This Row],[ALTA]])-YEAR(M902))</f>
        <v>22</v>
      </c>
      <c r="O902" s="34" t="s">
        <v>18</v>
      </c>
      <c r="P902" s="34" t="s">
        <v>19</v>
      </c>
      <c r="Q902" s="34" t="s">
        <v>297</v>
      </c>
      <c r="R902" s="34" t="s">
        <v>21</v>
      </c>
      <c r="S902" s="34" t="s">
        <v>297</v>
      </c>
      <c r="T902" s="34"/>
      <c r="U902" s="34"/>
      <c r="V902" s="34" t="s">
        <v>37</v>
      </c>
      <c r="W902" s="34" t="s">
        <v>181</v>
      </c>
      <c r="X902" s="38" t="s">
        <v>173</v>
      </c>
      <c r="Y902" s="62"/>
      <c r="Z902" s="62" t="e">
        <f t="shared" si="43"/>
        <v>#NUM!</v>
      </c>
      <c r="AA902" s="62"/>
      <c r="AB902" s="34">
        <v>9.5</v>
      </c>
      <c r="AC902" s="34">
        <v>8</v>
      </c>
      <c r="AD902" s="38"/>
      <c r="AE902" s="59" t="str">
        <f t="shared" si="44"/>
        <v>SÍ</v>
      </c>
      <c r="AF902" s="38" t="e" cm="1">
        <f t="array" aca="1" ref="AF902" ca="1">MIN(100, MAX(0, (IF(R902="ESTUDIANTE", 31, 0)) + (IF(I902&lt;=3, 30, IF(I902&lt;=6, 20, 0))) +(IF(OR(E902="413 - Control de Costes y Enlace Construcción", E902="480 - Secretaría General del Consejo", E902="132 - Civil y estructuras", E902="136 - Mecánica", E902="412 - Planificación", E902="142 - Compras"), 25, 0)) +(IF(OR(S902="GRADO ING. MECÁNICA", S902="GRADO ING. ELÉCTRICA", S902="GRADO DERECHO", S902="GRADO ECONOMÍA", S902="GRADO ING. TECNOLOGÍAS INDUSTRIALES"), 24, 0)) + (IF(AND(K902&gt;=451, K902&lt;=700), 23, 0)) + (IF(AND(AB902&gt;=5, AB902&lt;=8), 17, 0)) +(IF(_xludf.OR(_xludf.AND(AC902&gt;=8, AC902&lt;=10), _xludf.AND(AC902&gt;=0, AC902&lt;=5)), 16, 0)) + (IF(F902="Madrid", 11, 0))))</f>
        <v>#NAME?</v>
      </c>
      <c r="AG902" s="68"/>
      <c r="AH902" s="71" t="s">
        <v>164</v>
      </c>
    </row>
    <row r="903" spans="1:34" ht="14.4" x14ac:dyDescent="0.3">
      <c r="A903" s="66" t="s">
        <v>1560</v>
      </c>
      <c r="B903" s="66" t="s">
        <v>3677</v>
      </c>
      <c r="C903" s="33">
        <v>902</v>
      </c>
      <c r="D903" s="33" t="s">
        <v>5399</v>
      </c>
      <c r="E903" s="34" t="s">
        <v>5302</v>
      </c>
      <c r="F903" s="34" t="s">
        <v>18</v>
      </c>
      <c r="G903" s="57">
        <v>43168</v>
      </c>
      <c r="H903" s="57">
        <v>43708</v>
      </c>
      <c r="I903" s="34">
        <f t="shared" si="42"/>
        <v>17</v>
      </c>
      <c r="J903" s="34">
        <v>30</v>
      </c>
      <c r="K903" s="36">
        <v>705</v>
      </c>
      <c r="L903" s="34" t="s">
        <v>17</v>
      </c>
      <c r="M903" s="57">
        <v>33343</v>
      </c>
      <c r="N903" s="37">
        <f>(YEAR(TablaMadre[[#This Row],[ALTA]])-YEAR(M903))</f>
        <v>27</v>
      </c>
      <c r="O903" s="34" t="s">
        <v>18</v>
      </c>
      <c r="P903" s="34" t="s">
        <v>19</v>
      </c>
      <c r="Q903" s="34" t="s">
        <v>431</v>
      </c>
      <c r="R903" s="34" t="s">
        <v>21</v>
      </c>
      <c r="S903" s="34" t="s">
        <v>321</v>
      </c>
      <c r="T903" s="34"/>
      <c r="U903" s="34"/>
      <c r="V903" s="34" t="s">
        <v>22</v>
      </c>
      <c r="W903" s="34" t="s">
        <v>23</v>
      </c>
      <c r="X903" s="38" t="s">
        <v>173</v>
      </c>
      <c r="Y903" s="62"/>
      <c r="Z903" s="62" t="e">
        <f t="shared" si="43"/>
        <v>#NUM!</v>
      </c>
      <c r="AA903" s="62" t="s">
        <v>173</v>
      </c>
      <c r="AB903" s="34">
        <v>9</v>
      </c>
      <c r="AC903" s="34">
        <v>9</v>
      </c>
      <c r="AD903" s="38"/>
      <c r="AE903" s="59" t="str">
        <f t="shared" si="44"/>
        <v>NO</v>
      </c>
      <c r="AF903" s="38" t="e" cm="1">
        <f t="array" aca="1" ref="AF903" ca="1">MIN(100, MAX(0, (IF(R903="ESTUDIANTE", 31, 0)) + (IF(I903&lt;=3, 30, IF(I903&lt;=6, 20, 0))) +(IF(OR(E903="413 - Control de Costes y Enlace Construcción", E903="480 - Secretaría General del Consejo", E903="132 - Civil y estructuras", E903="136 - Mecánica", E903="412 - Planificación", E903="142 - Compras"), 25, 0)) +(IF(OR(S903="GRADO ING. MECÁNICA", S903="GRADO ING. ELÉCTRICA", S903="GRADO DERECHO", S903="GRADO ECONOMÍA", S903="GRADO ING. TECNOLOGÍAS INDUSTRIALES"), 24, 0)) + (IF(AND(K903&gt;=451, K903&lt;=700), 23, 0)) + (IF(AND(AB903&gt;=5, AB903&lt;=8), 17, 0)) +(IF(_xludf.OR(_xludf.AND(AC903&gt;=8, AC903&lt;=10), _xludf.AND(AC903&gt;=0, AC903&lt;=5)), 16, 0)) + (IF(F903="Madrid", 11, 0))))</f>
        <v>#NAME?</v>
      </c>
      <c r="AG903" s="68"/>
      <c r="AH903" s="71" t="s">
        <v>164</v>
      </c>
    </row>
    <row r="904" spans="1:34" ht="14.4" x14ac:dyDescent="0.3">
      <c r="A904" s="66" t="s">
        <v>1882</v>
      </c>
      <c r="B904" s="66" t="s">
        <v>3999</v>
      </c>
      <c r="C904" s="33">
        <v>903</v>
      </c>
      <c r="D904" s="33" t="s">
        <v>5393</v>
      </c>
      <c r="E904" s="34" t="s">
        <v>5256</v>
      </c>
      <c r="F904" s="34" t="s">
        <v>18</v>
      </c>
      <c r="G904" s="57">
        <v>43168</v>
      </c>
      <c r="H904" s="57">
        <v>43708</v>
      </c>
      <c r="I904" s="34">
        <f t="shared" si="42"/>
        <v>17</v>
      </c>
      <c r="J904" s="34">
        <v>35</v>
      </c>
      <c r="K904" s="36">
        <v>900</v>
      </c>
      <c r="L904" s="34" t="s">
        <v>17</v>
      </c>
      <c r="M904" s="57">
        <v>33633</v>
      </c>
      <c r="N904" s="37">
        <f>(YEAR(TablaMadre[[#This Row],[ALTA]])-YEAR(M904))</f>
        <v>26</v>
      </c>
      <c r="O904" s="34" t="s">
        <v>18</v>
      </c>
      <c r="P904" s="34" t="s">
        <v>19</v>
      </c>
      <c r="Q904" s="34" t="s">
        <v>406</v>
      </c>
      <c r="R904" s="34" t="s">
        <v>21</v>
      </c>
      <c r="S904" s="34" t="s">
        <v>297</v>
      </c>
      <c r="T904" s="34"/>
      <c r="U904" s="34"/>
      <c r="V904" s="34" t="s">
        <v>56</v>
      </c>
      <c r="W904" s="34" t="s">
        <v>28</v>
      </c>
      <c r="X904" s="38" t="s">
        <v>173</v>
      </c>
      <c r="Y904" s="62"/>
      <c r="Z904" s="38" t="e">
        <f t="shared" si="43"/>
        <v>#NUM!</v>
      </c>
      <c r="AA904" s="38"/>
      <c r="AB904" s="34">
        <v>9</v>
      </c>
      <c r="AC904" s="34" t="s">
        <v>443</v>
      </c>
      <c r="AD904" s="38"/>
      <c r="AE904" s="59" t="str">
        <f t="shared" si="44"/>
        <v>NO</v>
      </c>
      <c r="AF904" s="38" t="e" cm="1">
        <f t="array" aca="1" ref="AF904" ca="1">MIN(100, MAX(0, (IF(R904="ESTUDIANTE", 31, 0)) + (IF(I904&lt;=3, 30, IF(I904&lt;=6, 20, 0))) +(IF(OR(E904="413 - Control de Costes y Enlace Construcción", E904="480 - Secretaría General del Consejo", E904="132 - Civil y estructuras", E904="136 - Mecánica", E904="412 - Planificación", E904="142 - Compras"), 25, 0)) +(IF(OR(S904="GRADO ING. MECÁNICA", S904="GRADO ING. ELÉCTRICA", S904="GRADO DERECHO", S904="GRADO ECONOMÍA", S904="GRADO ING. TECNOLOGÍAS INDUSTRIALES"), 24, 0)) + (IF(AND(K904&gt;=451, K904&lt;=700), 23, 0)) + (IF(AND(AB904&gt;=5, AB904&lt;=8), 17, 0)) +(IF(_xludf.OR(_xludf.AND(AC904&gt;=8, AC904&lt;=10), _xludf.AND(AC904&gt;=0, AC904&lt;=5)), 16, 0)) + (IF(F904="Madrid", 11, 0))))</f>
        <v>#NAME?</v>
      </c>
      <c r="AG904" s="68"/>
      <c r="AH904" s="71" t="s">
        <v>164</v>
      </c>
    </row>
    <row r="905" spans="1:34" ht="14.4" x14ac:dyDescent="0.3">
      <c r="A905" s="66" t="s">
        <v>1857</v>
      </c>
      <c r="B905" s="66" t="s">
        <v>3974</v>
      </c>
      <c r="C905" s="33">
        <v>904</v>
      </c>
      <c r="D905" s="33" t="s">
        <v>5394</v>
      </c>
      <c r="E905" s="34" t="s">
        <v>5273</v>
      </c>
      <c r="F905" s="34" t="s">
        <v>18</v>
      </c>
      <c r="G905" s="57">
        <v>43173</v>
      </c>
      <c r="H905" s="57">
        <v>43224</v>
      </c>
      <c r="I905" s="34">
        <f t="shared" si="42"/>
        <v>1</v>
      </c>
      <c r="J905" s="34">
        <v>35</v>
      </c>
      <c r="K905" s="36">
        <v>900</v>
      </c>
      <c r="L905" s="34" t="s">
        <v>17</v>
      </c>
      <c r="M905" s="57">
        <v>33538</v>
      </c>
      <c r="N905" s="37">
        <f>(YEAR(TablaMadre[[#This Row],[ALTA]])-YEAR(M905))</f>
        <v>27</v>
      </c>
      <c r="O905" s="34" t="s">
        <v>18</v>
      </c>
      <c r="P905" s="34" t="s">
        <v>19</v>
      </c>
      <c r="Q905" s="34" t="s">
        <v>412</v>
      </c>
      <c r="R905" s="34" t="s">
        <v>21</v>
      </c>
      <c r="S905" s="34" t="s">
        <v>151</v>
      </c>
      <c r="T905" s="34"/>
      <c r="U905" s="34"/>
      <c r="V905" s="34" t="s">
        <v>22</v>
      </c>
      <c r="W905" s="34" t="s">
        <v>181</v>
      </c>
      <c r="X905" s="38" t="s">
        <v>164</v>
      </c>
      <c r="Y905" s="62"/>
      <c r="Z905" s="62" t="e">
        <f t="shared" si="43"/>
        <v>#NUM!</v>
      </c>
      <c r="AA905" s="62"/>
      <c r="AB905" s="34"/>
      <c r="AC905" s="34"/>
      <c r="AD905" s="38"/>
      <c r="AE905" s="59" t="str">
        <f t="shared" si="44"/>
        <v>NO</v>
      </c>
      <c r="AF905" s="38" t="e" cm="1">
        <f t="array" aca="1" ref="AF905" ca="1">MIN(100, MAX(0, (IF(R905="ESTUDIANTE", 31, 0)) + (IF(I905&lt;=3, 30, IF(I905&lt;=6, 20, 0))) +(IF(OR(E905="413 - Control de Costes y Enlace Construcción", E905="480 - Secretaría General del Consejo", E905="132 - Civil y estructuras", E905="136 - Mecánica", E905="412 - Planificación", E905="142 - Compras"), 25, 0)) +(IF(OR(S905="GRADO ING. MECÁNICA", S905="GRADO ING. ELÉCTRICA", S905="GRADO DERECHO", S905="GRADO ECONOMÍA", S905="GRADO ING. TECNOLOGÍAS INDUSTRIALES"), 24, 0)) + (IF(AND(K905&gt;=451, K905&lt;=700), 23, 0)) + (IF(AND(AB905&gt;=5, AB905&lt;=8), 17, 0)) +(IF(_xludf.OR(_xludf.AND(AC905&gt;=8, AC905&lt;=10), _xludf.AND(AC905&gt;=0, AC905&lt;=5)), 16, 0)) + (IF(F905="Madrid", 11, 0))))</f>
        <v>#NAME?</v>
      </c>
      <c r="AG905" s="68"/>
      <c r="AH905" s="71" t="s">
        <v>164</v>
      </c>
    </row>
    <row r="906" spans="1:34" ht="14.4" x14ac:dyDescent="0.3">
      <c r="A906" s="66" t="s">
        <v>1884</v>
      </c>
      <c r="B906" s="66" t="s">
        <v>4001</v>
      </c>
      <c r="C906" s="33">
        <v>905</v>
      </c>
      <c r="D906" s="33" t="s">
        <v>5395</v>
      </c>
      <c r="E906" s="34" t="s">
        <v>5244</v>
      </c>
      <c r="F906" s="34" t="s">
        <v>18</v>
      </c>
      <c r="G906" s="57">
        <v>43178</v>
      </c>
      <c r="H906" s="57">
        <v>43542</v>
      </c>
      <c r="I906" s="34">
        <f t="shared" si="42"/>
        <v>11</v>
      </c>
      <c r="J906" s="34">
        <v>35</v>
      </c>
      <c r="K906" s="36">
        <v>825</v>
      </c>
      <c r="L906" s="34" t="s">
        <v>17</v>
      </c>
      <c r="M906" s="57">
        <v>34109</v>
      </c>
      <c r="N906" s="37">
        <f>(YEAR(TablaMadre[[#This Row],[ALTA]])-YEAR(M906))</f>
        <v>25</v>
      </c>
      <c r="O906" s="34" t="s">
        <v>18</v>
      </c>
      <c r="P906" s="34" t="s">
        <v>19</v>
      </c>
      <c r="Q906" s="34" t="s">
        <v>151</v>
      </c>
      <c r="R906" s="34" t="s">
        <v>21</v>
      </c>
      <c r="S906" s="34" t="s">
        <v>151</v>
      </c>
      <c r="T906" s="34"/>
      <c r="U906" s="34"/>
      <c r="V906" s="34" t="s">
        <v>22</v>
      </c>
      <c r="W906" s="34" t="s">
        <v>28</v>
      </c>
      <c r="X906" s="38" t="s">
        <v>164</v>
      </c>
      <c r="Y906" s="62">
        <v>44138</v>
      </c>
      <c r="Z906" s="38">
        <f t="shared" si="43"/>
        <v>1</v>
      </c>
      <c r="AA906" s="38"/>
      <c r="AB906" s="34">
        <v>6</v>
      </c>
      <c r="AC906" s="34">
        <v>8</v>
      </c>
      <c r="AD906" s="38"/>
      <c r="AE906" s="59" t="str">
        <f t="shared" si="44"/>
        <v>NO</v>
      </c>
      <c r="AF906" s="38" t="e" cm="1">
        <f t="array" aca="1" ref="AF906" ca="1">MIN(100, MAX(0, (IF(R906="ESTUDIANTE", 31, 0)) + (IF(I906&lt;=3, 30, IF(I906&lt;=6, 20, 0))) +(IF(OR(E906="413 - Control de Costes y Enlace Construcción", E906="480 - Secretaría General del Consejo", E906="132 - Civil y estructuras", E906="136 - Mecánica", E906="412 - Planificación", E906="142 - Compras"), 25, 0)) +(IF(OR(S906="GRADO ING. MECÁNICA", S906="GRADO ING. ELÉCTRICA", S906="GRADO DERECHO", S906="GRADO ECONOMÍA", S906="GRADO ING. TECNOLOGÍAS INDUSTRIALES"), 24, 0)) + (IF(AND(K906&gt;=451, K906&lt;=700), 23, 0)) + (IF(AND(AB906&gt;=5, AB906&lt;=8), 17, 0)) +(IF(_xludf.OR(_xludf.AND(AC906&gt;=8, AC906&lt;=10), _xludf.AND(AC906&gt;=0, AC906&lt;=5)), 16, 0)) + (IF(F906="Madrid", 11, 0))))</f>
        <v>#NAME?</v>
      </c>
      <c r="AG906" s="68"/>
      <c r="AH906" s="71" t="s">
        <v>164</v>
      </c>
    </row>
    <row r="907" spans="1:34" ht="14.4" x14ac:dyDescent="0.3">
      <c r="A907" s="66" t="s">
        <v>1858</v>
      </c>
      <c r="B907" s="66" t="s">
        <v>3975</v>
      </c>
      <c r="C907" s="33">
        <v>906</v>
      </c>
      <c r="D907" s="33" t="s">
        <v>5396</v>
      </c>
      <c r="E907" s="34" t="s">
        <v>5252</v>
      </c>
      <c r="F907" s="34" t="s">
        <v>18</v>
      </c>
      <c r="G907" s="57">
        <v>43180</v>
      </c>
      <c r="H907" s="57">
        <v>43551</v>
      </c>
      <c r="I907" s="34">
        <f t="shared" si="42"/>
        <v>12</v>
      </c>
      <c r="J907" s="34">
        <v>35</v>
      </c>
      <c r="K907" s="36">
        <v>650</v>
      </c>
      <c r="L907" s="34" t="s">
        <v>17</v>
      </c>
      <c r="M907" s="57">
        <v>33876</v>
      </c>
      <c r="N907" s="37">
        <f>(YEAR(TablaMadre[[#This Row],[ALTA]])-YEAR(M907))</f>
        <v>26</v>
      </c>
      <c r="O907" s="34" t="s">
        <v>18</v>
      </c>
      <c r="P907" s="34" t="s">
        <v>19</v>
      </c>
      <c r="Q907" s="34" t="s">
        <v>359</v>
      </c>
      <c r="R907" s="58" t="s">
        <v>30</v>
      </c>
      <c r="S907" s="34" t="s">
        <v>26</v>
      </c>
      <c r="T907" s="34"/>
      <c r="U907" s="34"/>
      <c r="V907" s="34" t="s">
        <v>27</v>
      </c>
      <c r="W907" s="34" t="s">
        <v>47</v>
      </c>
      <c r="X907" s="38" t="s">
        <v>164</v>
      </c>
      <c r="Y907" s="62"/>
      <c r="Z907" s="62" t="e">
        <f t="shared" si="43"/>
        <v>#NUM!</v>
      </c>
      <c r="AA907" s="62"/>
      <c r="AB907" s="34">
        <v>9</v>
      </c>
      <c r="AC907" s="34">
        <v>8</v>
      </c>
      <c r="AD907" s="38"/>
      <c r="AE907" s="59" t="str">
        <f t="shared" si="44"/>
        <v>NO</v>
      </c>
      <c r="AF907" s="38" t="e" cm="1">
        <f t="array" aca="1" ref="AF907" ca="1">MIN(100, MAX(0, (IF(R907="ESTUDIANTE", 31, 0)) + (IF(I907&lt;=3, 30, IF(I907&lt;=6, 20, 0))) +(IF(OR(E907="413 - Control de Costes y Enlace Construcción", E907="480 - Secretaría General del Consejo", E907="132 - Civil y estructuras", E907="136 - Mecánica", E907="412 - Planificación", E907="142 - Compras"), 25, 0)) +(IF(OR(S907="GRADO ING. MECÁNICA", S907="GRADO ING. ELÉCTRICA", S907="GRADO DERECHO", S907="GRADO ECONOMÍA", S907="GRADO ING. TECNOLOGÍAS INDUSTRIALES"), 24, 0)) + (IF(AND(K907&gt;=451, K907&lt;=700), 23, 0)) + (IF(AND(AB907&gt;=5, AB907&lt;=8), 17, 0)) +(IF(_xludf.OR(_xludf.AND(AC907&gt;=8, AC907&lt;=10), _xludf.AND(AC907&gt;=0, AC907&lt;=5)), 16, 0)) + (IF(F907="Madrid", 11, 0))))</f>
        <v>#NAME?</v>
      </c>
      <c r="AG907" s="68"/>
      <c r="AH907" s="71" t="s">
        <v>164</v>
      </c>
    </row>
    <row r="908" spans="1:34" ht="14.4" x14ac:dyDescent="0.3">
      <c r="A908" s="66" t="s">
        <v>1886</v>
      </c>
      <c r="B908" s="66" t="s">
        <v>4003</v>
      </c>
      <c r="C908" s="33">
        <v>907</v>
      </c>
      <c r="D908" s="33" t="s">
        <v>5397</v>
      </c>
      <c r="E908" s="34" t="s">
        <v>5252</v>
      </c>
      <c r="F908" s="34" t="s">
        <v>18</v>
      </c>
      <c r="G908" s="57">
        <v>43180</v>
      </c>
      <c r="H908" s="57">
        <v>43624</v>
      </c>
      <c r="I908" s="34">
        <f t="shared" si="42"/>
        <v>14</v>
      </c>
      <c r="J908" s="34">
        <v>35</v>
      </c>
      <c r="K908" s="36">
        <v>650</v>
      </c>
      <c r="L908" s="34" t="s">
        <v>17</v>
      </c>
      <c r="M908" s="57">
        <v>34927</v>
      </c>
      <c r="N908" s="37">
        <f>(YEAR(TablaMadre[[#This Row],[ALTA]])-YEAR(M908))</f>
        <v>23</v>
      </c>
      <c r="O908" s="34" t="s">
        <v>302</v>
      </c>
      <c r="P908" s="34" t="s">
        <v>19</v>
      </c>
      <c r="Q908" s="34" t="s">
        <v>359</v>
      </c>
      <c r="R908" s="58" t="s">
        <v>30</v>
      </c>
      <c r="S908" s="34" t="s">
        <v>26</v>
      </c>
      <c r="T908" s="34"/>
      <c r="U908" s="34"/>
      <c r="V908" s="34" t="s">
        <v>27</v>
      </c>
      <c r="W908" s="34" t="s">
        <v>127</v>
      </c>
      <c r="X908" s="38" t="s">
        <v>164</v>
      </c>
      <c r="Y908" s="62">
        <v>43971</v>
      </c>
      <c r="Z908" s="38">
        <f t="shared" si="43"/>
        <v>0</v>
      </c>
      <c r="AA908" s="38"/>
      <c r="AB908" s="34">
        <v>9</v>
      </c>
      <c r="AC908" s="34">
        <v>8</v>
      </c>
      <c r="AD908" s="38"/>
      <c r="AE908" s="59" t="str">
        <f t="shared" si="44"/>
        <v>SÍ</v>
      </c>
      <c r="AF908" s="38" t="e" cm="1">
        <f t="array" aca="1" ref="AF908" ca="1">MIN(100, MAX(0, (IF(R908="ESTUDIANTE", 31, 0)) + (IF(I908&lt;=3, 30, IF(I908&lt;=6, 20, 0))) +(IF(OR(E908="413 - Control de Costes y Enlace Construcción", E908="480 - Secretaría General del Consejo", E908="132 - Civil y estructuras", E908="136 - Mecánica", E908="412 - Planificación", E908="142 - Compras"), 25, 0)) +(IF(OR(S908="GRADO ING. MECÁNICA", S908="GRADO ING. ELÉCTRICA", S908="GRADO DERECHO", S908="GRADO ECONOMÍA", S908="GRADO ING. TECNOLOGÍAS INDUSTRIALES"), 24, 0)) + (IF(AND(K908&gt;=451, K908&lt;=700), 23, 0)) + (IF(AND(AB908&gt;=5, AB908&lt;=8), 17, 0)) +(IF(_xludf.OR(_xludf.AND(AC908&gt;=8, AC908&lt;=10), _xludf.AND(AC908&gt;=0, AC908&lt;=5)), 16, 0)) + (IF(F908="Madrid", 11, 0))))</f>
        <v>#NAME?</v>
      </c>
      <c r="AG908" s="68"/>
      <c r="AH908" s="71" t="s">
        <v>164</v>
      </c>
    </row>
    <row r="909" spans="1:34" ht="14.4" x14ac:dyDescent="0.3">
      <c r="A909" s="66" t="s">
        <v>1871</v>
      </c>
      <c r="B909" s="66" t="s">
        <v>3988</v>
      </c>
      <c r="C909" s="33">
        <v>909</v>
      </c>
      <c r="D909" s="33" t="s">
        <v>5393</v>
      </c>
      <c r="E909" s="34" t="s">
        <v>5303</v>
      </c>
      <c r="F909" s="34" t="s">
        <v>18</v>
      </c>
      <c r="G909" s="57">
        <v>43196</v>
      </c>
      <c r="H909" s="57">
        <v>43496</v>
      </c>
      <c r="I909" s="34">
        <f t="shared" si="42"/>
        <v>9</v>
      </c>
      <c r="J909" s="34">
        <v>35</v>
      </c>
      <c r="K909" s="36">
        <v>650</v>
      </c>
      <c r="L909" s="34" t="s">
        <v>17</v>
      </c>
      <c r="M909" s="57">
        <v>35223</v>
      </c>
      <c r="N909" s="37">
        <f>(YEAR(TablaMadre[[#This Row],[ALTA]])-YEAR(M909))</f>
        <v>22</v>
      </c>
      <c r="O909" s="34" t="s">
        <v>257</v>
      </c>
      <c r="P909" s="34" t="s">
        <v>19</v>
      </c>
      <c r="Q909" s="34" t="s">
        <v>354</v>
      </c>
      <c r="R909" s="58" t="s">
        <v>30</v>
      </c>
      <c r="S909" s="34" t="s">
        <v>354</v>
      </c>
      <c r="T909" s="34"/>
      <c r="U909" s="34"/>
      <c r="V909" s="34" t="s">
        <v>142</v>
      </c>
      <c r="W909" s="34" t="s">
        <v>91</v>
      </c>
      <c r="X909" s="38" t="s">
        <v>164</v>
      </c>
      <c r="Y909" s="62"/>
      <c r="Z909" s="62" t="e">
        <f t="shared" si="43"/>
        <v>#NUM!</v>
      </c>
      <c r="AA909" s="62"/>
      <c r="AB909" s="34">
        <v>9</v>
      </c>
      <c r="AC909" s="34">
        <v>10</v>
      </c>
      <c r="AD909" s="38"/>
      <c r="AE909" s="59" t="str">
        <f t="shared" si="44"/>
        <v>SÍ</v>
      </c>
      <c r="AF909" s="38" t="e" cm="1">
        <f t="array" aca="1" ref="AF909" ca="1">MIN(100, MAX(0, (IF(R909="ESTUDIANTE", 31, 0)) + (IF(I909&lt;=3, 30, IF(I909&lt;=6, 20, 0))) +(IF(OR(E909="413 - Control de Costes y Enlace Construcción", E909="480 - Secretaría General del Consejo", E909="132 - Civil y estructuras", E909="136 - Mecánica", E909="412 - Planificación", E909="142 - Compras"), 25, 0)) +(IF(OR(S909="GRADO ING. MECÁNICA", S909="GRADO ING. ELÉCTRICA", S909="GRADO DERECHO", S909="GRADO ECONOMÍA", S909="GRADO ING. TECNOLOGÍAS INDUSTRIALES"), 24, 0)) + (IF(AND(K909&gt;=451, K909&lt;=700), 23, 0)) + (IF(AND(AB909&gt;=5, AB909&lt;=8), 17, 0)) +(IF(_xludf.OR(_xludf.AND(AC909&gt;=8, AC909&lt;=10), _xludf.AND(AC909&gt;=0, AC909&lt;=5)), 16, 0)) + (IF(F909="Madrid", 11, 0))))</f>
        <v>#NAME?</v>
      </c>
      <c r="AG909" s="68"/>
      <c r="AH909" s="71" t="s">
        <v>164</v>
      </c>
    </row>
    <row r="910" spans="1:34" ht="14.4" x14ac:dyDescent="0.3">
      <c r="A910" s="66" t="s">
        <v>1872</v>
      </c>
      <c r="B910" s="66" t="s">
        <v>3989</v>
      </c>
      <c r="C910" s="33">
        <v>908</v>
      </c>
      <c r="D910" s="33" t="s">
        <v>5394</v>
      </c>
      <c r="E910" s="34" t="s">
        <v>5235</v>
      </c>
      <c r="F910" s="34" t="s">
        <v>18</v>
      </c>
      <c r="G910" s="57">
        <v>43196</v>
      </c>
      <c r="H910" s="57">
        <v>43312</v>
      </c>
      <c r="I910" s="34">
        <f t="shared" si="42"/>
        <v>3</v>
      </c>
      <c r="J910" s="34">
        <v>35</v>
      </c>
      <c r="K910" s="36">
        <v>650</v>
      </c>
      <c r="L910" s="34" t="s">
        <v>17</v>
      </c>
      <c r="M910" s="57">
        <v>35582</v>
      </c>
      <c r="N910" s="37">
        <f>(YEAR(TablaMadre[[#This Row],[ALTA]])-YEAR(M910))</f>
        <v>21</v>
      </c>
      <c r="O910" s="34" t="s">
        <v>18</v>
      </c>
      <c r="P910" s="34" t="s">
        <v>19</v>
      </c>
      <c r="Q910" s="34" t="s">
        <v>418</v>
      </c>
      <c r="R910" s="58" t="s">
        <v>30</v>
      </c>
      <c r="S910" s="34" t="s">
        <v>322</v>
      </c>
      <c r="T910" s="34"/>
      <c r="U910" s="34"/>
      <c r="V910" s="34" t="s">
        <v>137</v>
      </c>
      <c r="W910" s="34" t="s">
        <v>23</v>
      </c>
      <c r="X910" s="38" t="s">
        <v>164</v>
      </c>
      <c r="Y910" s="62"/>
      <c r="Z910" s="62" t="e">
        <f t="shared" si="43"/>
        <v>#NUM!</v>
      </c>
      <c r="AA910" s="62"/>
      <c r="AB910" s="34"/>
      <c r="AC910" s="34"/>
      <c r="AD910" s="38"/>
      <c r="AE910" s="59" t="str">
        <f t="shared" si="44"/>
        <v>NO</v>
      </c>
      <c r="AF910" s="38" t="e" cm="1">
        <f t="array" aca="1" ref="AF910" ca="1">MIN(100, MAX(0, (IF(R910="ESTUDIANTE", 31, 0)) + (IF(I910&lt;=3, 30, IF(I910&lt;=6, 20, 0))) +(IF(OR(E910="413 - Control de Costes y Enlace Construcción", E910="480 - Secretaría General del Consejo", E910="132 - Civil y estructuras", E910="136 - Mecánica", E910="412 - Planificación", E910="142 - Compras"), 25, 0)) +(IF(OR(S910="GRADO ING. MECÁNICA", S910="GRADO ING. ELÉCTRICA", S910="GRADO DERECHO", S910="GRADO ECONOMÍA", S910="GRADO ING. TECNOLOGÍAS INDUSTRIALES"), 24, 0)) + (IF(AND(K910&gt;=451, K910&lt;=700), 23, 0)) + (IF(AND(AB910&gt;=5, AB910&lt;=8), 17, 0)) +(IF(_xludf.OR(_xludf.AND(AC910&gt;=8, AC910&lt;=10), _xludf.AND(AC910&gt;=0, AC910&lt;=5)), 16, 0)) + (IF(F910="Madrid", 11, 0))))</f>
        <v>#NAME?</v>
      </c>
      <c r="AG910" s="68"/>
      <c r="AH910" s="71" t="s">
        <v>164</v>
      </c>
    </row>
    <row r="911" spans="1:34" ht="14.4" x14ac:dyDescent="0.3">
      <c r="A911" s="66" t="s">
        <v>1854</v>
      </c>
      <c r="B911" s="66" t="s">
        <v>3971</v>
      </c>
      <c r="C911" s="33">
        <v>910</v>
      </c>
      <c r="D911" s="33" t="s">
        <v>5395</v>
      </c>
      <c r="E911" s="34" t="s">
        <v>5273</v>
      </c>
      <c r="F911" s="34" t="s">
        <v>18</v>
      </c>
      <c r="G911" s="57">
        <v>43223</v>
      </c>
      <c r="H911" s="57">
        <v>43578</v>
      </c>
      <c r="I911" s="34">
        <f t="shared" si="42"/>
        <v>11</v>
      </c>
      <c r="J911" s="34">
        <v>35</v>
      </c>
      <c r="K911" s="36">
        <v>900</v>
      </c>
      <c r="L911" s="34" t="s">
        <v>17</v>
      </c>
      <c r="M911" s="57">
        <v>33960</v>
      </c>
      <c r="N911" s="37">
        <f>(YEAR(TablaMadre[[#This Row],[ALTA]])-YEAR(M911))</f>
        <v>26</v>
      </c>
      <c r="O911" s="34" t="s">
        <v>18</v>
      </c>
      <c r="P911" s="34" t="s">
        <v>19</v>
      </c>
      <c r="Q911" s="34" t="s">
        <v>399</v>
      </c>
      <c r="R911" s="34" t="s">
        <v>21</v>
      </c>
      <c r="S911" s="34" t="s">
        <v>322</v>
      </c>
      <c r="T911" s="34"/>
      <c r="U911" s="34"/>
      <c r="V911" s="34" t="s">
        <v>22</v>
      </c>
      <c r="W911" s="34" t="s">
        <v>47</v>
      </c>
      <c r="X911" s="38" t="s">
        <v>164</v>
      </c>
      <c r="Y911" s="62"/>
      <c r="Z911" s="62" t="e">
        <f t="shared" si="43"/>
        <v>#NUM!</v>
      </c>
      <c r="AA911" s="62"/>
      <c r="AB911" s="34"/>
      <c r="AC911" s="34"/>
      <c r="AD911" s="38"/>
      <c r="AE911" s="59" t="str">
        <f t="shared" si="44"/>
        <v>NO</v>
      </c>
      <c r="AF911" s="38" t="e" cm="1">
        <f t="array" aca="1" ref="AF911" ca="1">MIN(100, MAX(0, (IF(R911="ESTUDIANTE", 31, 0)) + (IF(I911&lt;=3, 30, IF(I911&lt;=6, 20, 0))) +(IF(OR(E911="413 - Control de Costes y Enlace Construcción", E911="480 - Secretaría General del Consejo", E911="132 - Civil y estructuras", E911="136 - Mecánica", E911="412 - Planificación", E911="142 - Compras"), 25, 0)) +(IF(OR(S911="GRADO ING. MECÁNICA", S911="GRADO ING. ELÉCTRICA", S911="GRADO DERECHO", S911="GRADO ECONOMÍA", S911="GRADO ING. TECNOLOGÍAS INDUSTRIALES"), 24, 0)) + (IF(AND(K911&gt;=451, K911&lt;=700), 23, 0)) + (IF(AND(AB911&gt;=5, AB911&lt;=8), 17, 0)) +(IF(_xludf.OR(_xludf.AND(AC911&gt;=8, AC911&lt;=10), _xludf.AND(AC911&gt;=0, AC911&lt;=5)), 16, 0)) + (IF(F911="Madrid", 11, 0))))</f>
        <v>#NAME?</v>
      </c>
      <c r="AG911" s="68"/>
      <c r="AH911" s="71" t="s">
        <v>164</v>
      </c>
    </row>
    <row r="912" spans="1:34" ht="14.4" x14ac:dyDescent="0.3">
      <c r="A912" s="66" t="s">
        <v>1890</v>
      </c>
      <c r="B912" s="66" t="s">
        <v>4007</v>
      </c>
      <c r="C912" s="33">
        <v>911</v>
      </c>
      <c r="D912" s="33" t="s">
        <v>5396</v>
      </c>
      <c r="E912" s="34" t="s">
        <v>5244</v>
      </c>
      <c r="F912" s="34" t="s">
        <v>18</v>
      </c>
      <c r="G912" s="57">
        <v>43231</v>
      </c>
      <c r="H912" s="57">
        <v>43585</v>
      </c>
      <c r="I912" s="34">
        <f t="shared" si="42"/>
        <v>11</v>
      </c>
      <c r="J912" s="34">
        <v>35</v>
      </c>
      <c r="K912" s="36">
        <v>900</v>
      </c>
      <c r="L912" s="34" t="s">
        <v>17</v>
      </c>
      <c r="M912" s="57">
        <v>34144</v>
      </c>
      <c r="N912" s="37">
        <f>(YEAR(TablaMadre[[#This Row],[ALTA]])-YEAR(M912))</f>
        <v>25</v>
      </c>
      <c r="O912" s="34" t="s">
        <v>70</v>
      </c>
      <c r="P912" s="34" t="s">
        <v>19</v>
      </c>
      <c r="Q912" s="34" t="s">
        <v>151</v>
      </c>
      <c r="R912" s="34" t="s">
        <v>21</v>
      </c>
      <c r="S912" s="34" t="s">
        <v>151</v>
      </c>
      <c r="T912" s="34"/>
      <c r="U912" s="34"/>
      <c r="V912" s="34" t="s">
        <v>258</v>
      </c>
      <c r="W912" s="34" t="s">
        <v>28</v>
      </c>
      <c r="X912" s="38" t="s">
        <v>164</v>
      </c>
      <c r="Y912" s="62">
        <v>45536</v>
      </c>
      <c r="Z912" s="38">
        <f t="shared" si="43"/>
        <v>5</v>
      </c>
      <c r="AA912" s="38"/>
      <c r="AB912" s="34">
        <v>10</v>
      </c>
      <c r="AC912" s="34"/>
      <c r="AD912" s="38"/>
      <c r="AE912" s="59" t="str">
        <f t="shared" si="44"/>
        <v>SÍ</v>
      </c>
      <c r="AF912" s="38" t="e" cm="1">
        <f t="array" aca="1" ref="AF912" ca="1">MIN(100, MAX(0, (IF(R912="ESTUDIANTE", 31, 0)) + (IF(I912&lt;=3, 30, IF(I912&lt;=6, 20, 0))) +(IF(OR(E912="413 - Control de Costes y Enlace Construcción", E912="480 - Secretaría General del Consejo", E912="132 - Civil y estructuras", E912="136 - Mecánica", E912="412 - Planificación", E912="142 - Compras"), 25, 0)) +(IF(OR(S912="GRADO ING. MECÁNICA", S912="GRADO ING. ELÉCTRICA", S912="GRADO DERECHO", S912="GRADO ECONOMÍA", S912="GRADO ING. TECNOLOGÍAS INDUSTRIALES"), 24, 0)) + (IF(AND(K912&gt;=451, K912&lt;=700), 23, 0)) + (IF(AND(AB912&gt;=5, AB912&lt;=8), 17, 0)) +(IF(_xludf.OR(_xludf.AND(AC912&gt;=8, AC912&lt;=10), _xludf.AND(AC912&gt;=0, AC912&lt;=5)), 16, 0)) + (IF(F912="Madrid", 11, 0))))</f>
        <v>#NAME?</v>
      </c>
      <c r="AG912" s="68"/>
      <c r="AH912" s="71" t="s">
        <v>164</v>
      </c>
    </row>
    <row r="913" spans="1:34" ht="14.4" x14ac:dyDescent="0.3">
      <c r="A913" s="66" t="s">
        <v>1891</v>
      </c>
      <c r="B913" s="66" t="s">
        <v>4008</v>
      </c>
      <c r="C913" s="33">
        <v>912</v>
      </c>
      <c r="D913" s="33" t="s">
        <v>5397</v>
      </c>
      <c r="E913" s="34" t="s">
        <v>5244</v>
      </c>
      <c r="F913" s="34" t="s">
        <v>18</v>
      </c>
      <c r="G913" s="57">
        <v>43231</v>
      </c>
      <c r="H913" s="57">
        <v>43768</v>
      </c>
      <c r="I913" s="34">
        <f t="shared" si="42"/>
        <v>17</v>
      </c>
      <c r="J913" s="34">
        <v>35</v>
      </c>
      <c r="K913" s="36">
        <v>825</v>
      </c>
      <c r="L913" s="34" t="s">
        <v>17</v>
      </c>
      <c r="M913" s="57">
        <v>33633</v>
      </c>
      <c r="N913" s="37">
        <f>(YEAR(TablaMadre[[#This Row],[ALTA]])-YEAR(M913))</f>
        <v>26</v>
      </c>
      <c r="O913" s="34" t="s">
        <v>18</v>
      </c>
      <c r="P913" s="34" t="s">
        <v>19</v>
      </c>
      <c r="Q913" s="34" t="s">
        <v>330</v>
      </c>
      <c r="R913" s="34" t="s">
        <v>21</v>
      </c>
      <c r="S913" s="34" t="s">
        <v>307</v>
      </c>
      <c r="T913" s="34"/>
      <c r="U913" s="34"/>
      <c r="V913" s="34" t="s">
        <v>22</v>
      </c>
      <c r="W913" s="34" t="s">
        <v>28</v>
      </c>
      <c r="X913" s="38" t="s">
        <v>164</v>
      </c>
      <c r="Y913" s="62">
        <v>44135</v>
      </c>
      <c r="Z913" s="38">
        <f t="shared" si="43"/>
        <v>1</v>
      </c>
      <c r="AA913" s="38"/>
      <c r="AB913" s="34">
        <v>9</v>
      </c>
      <c r="AC913" s="34"/>
      <c r="AD913" s="38"/>
      <c r="AE913" s="59" t="str">
        <f t="shared" si="44"/>
        <v>NO</v>
      </c>
      <c r="AF913" s="38" t="e" cm="1">
        <f t="array" aca="1" ref="AF913" ca="1">MIN(100, MAX(0, (IF(R913="ESTUDIANTE", 31, 0)) + (IF(I913&lt;=3, 30, IF(I913&lt;=6, 20, 0))) +(IF(OR(E913="413 - Control de Costes y Enlace Construcción", E913="480 - Secretaría General del Consejo", E913="132 - Civil y estructuras", E913="136 - Mecánica", E913="412 - Planificación", E913="142 - Compras"), 25, 0)) +(IF(OR(S913="GRADO ING. MECÁNICA", S913="GRADO ING. ELÉCTRICA", S913="GRADO DERECHO", S913="GRADO ECONOMÍA", S913="GRADO ING. TECNOLOGÍAS INDUSTRIALES"), 24, 0)) + (IF(AND(K913&gt;=451, K913&lt;=700), 23, 0)) + (IF(AND(AB913&gt;=5, AB913&lt;=8), 17, 0)) +(IF(_xludf.OR(_xludf.AND(AC913&gt;=8, AC913&lt;=10), _xludf.AND(AC913&gt;=0, AC913&lt;=5)), 16, 0)) + (IF(F913="Madrid", 11, 0))))</f>
        <v>#NAME?</v>
      </c>
      <c r="AG913" s="68"/>
      <c r="AH913" s="71" t="s">
        <v>164</v>
      </c>
    </row>
    <row r="914" spans="1:34" ht="14.4" x14ac:dyDescent="0.3">
      <c r="A914" s="66" t="s">
        <v>1892</v>
      </c>
      <c r="B914" s="66" t="s">
        <v>4009</v>
      </c>
      <c r="C914" s="33">
        <v>913</v>
      </c>
      <c r="D914" s="33" t="s">
        <v>5398</v>
      </c>
      <c r="E914" s="34" t="s">
        <v>5233</v>
      </c>
      <c r="F914" s="34" t="s">
        <v>18</v>
      </c>
      <c r="G914" s="57">
        <v>43231</v>
      </c>
      <c r="H914" s="57">
        <v>43768</v>
      </c>
      <c r="I914" s="34">
        <f t="shared" si="42"/>
        <v>17</v>
      </c>
      <c r="J914" s="34">
        <v>35</v>
      </c>
      <c r="K914" s="36">
        <v>825</v>
      </c>
      <c r="L914" s="34" t="s">
        <v>17</v>
      </c>
      <c r="M914" s="57">
        <v>33616</v>
      </c>
      <c r="N914" s="37">
        <f>(YEAR(TablaMadre[[#This Row],[ALTA]])-YEAR(M914))</f>
        <v>26</v>
      </c>
      <c r="O914" s="34" t="s">
        <v>18</v>
      </c>
      <c r="P914" s="34" t="s">
        <v>19</v>
      </c>
      <c r="Q914" s="34" t="s">
        <v>136</v>
      </c>
      <c r="R914" s="34" t="s">
        <v>21</v>
      </c>
      <c r="S914" s="34" t="s">
        <v>136</v>
      </c>
      <c r="T914" s="34"/>
      <c r="U914" s="34"/>
      <c r="V914" s="34" t="s">
        <v>67</v>
      </c>
      <c r="W914" s="34" t="s">
        <v>28</v>
      </c>
      <c r="X914" s="38" t="s">
        <v>173</v>
      </c>
      <c r="Y914" s="62"/>
      <c r="Z914" s="38" t="e">
        <f t="shared" si="43"/>
        <v>#NUM!</v>
      </c>
      <c r="AA914" s="38"/>
      <c r="AB914" s="34">
        <v>8</v>
      </c>
      <c r="AC914" s="34">
        <v>10</v>
      </c>
      <c r="AD914" s="38"/>
      <c r="AE914" s="59" t="str">
        <f t="shared" si="44"/>
        <v>NO</v>
      </c>
      <c r="AF914" s="38" t="e" cm="1">
        <f t="array" aca="1" ref="AF914" ca="1">MIN(100, MAX(0, (IF(R914="ESTUDIANTE", 31, 0)) + (IF(I914&lt;=3, 30, IF(I914&lt;=6, 20, 0))) +(IF(OR(E914="413 - Control de Costes y Enlace Construcción", E914="480 - Secretaría General del Consejo", E914="132 - Civil y estructuras", E914="136 - Mecánica", E914="412 - Planificación", E914="142 - Compras"), 25, 0)) +(IF(OR(S914="GRADO ING. MECÁNICA", S914="GRADO ING. ELÉCTRICA", S914="GRADO DERECHO", S914="GRADO ECONOMÍA", S914="GRADO ING. TECNOLOGÍAS INDUSTRIALES"), 24, 0)) + (IF(AND(K914&gt;=451, K914&lt;=700), 23, 0)) + (IF(AND(AB914&gt;=5, AB914&lt;=8), 17, 0)) +(IF(_xludf.OR(_xludf.AND(AC914&gt;=8, AC914&lt;=10), _xludf.AND(AC914&gt;=0, AC914&lt;=5)), 16, 0)) + (IF(F914="Madrid", 11, 0))))</f>
        <v>#NAME?</v>
      </c>
      <c r="AG914" s="68"/>
      <c r="AH914" s="71" t="s">
        <v>164</v>
      </c>
    </row>
    <row r="915" spans="1:34" ht="14.4" x14ac:dyDescent="0.3">
      <c r="A915" s="66" t="s">
        <v>1893</v>
      </c>
      <c r="B915" s="66" t="s">
        <v>4010</v>
      </c>
      <c r="C915" s="33">
        <v>914</v>
      </c>
      <c r="D915" s="33" t="s">
        <v>5399</v>
      </c>
      <c r="E915" s="34" t="s">
        <v>5231</v>
      </c>
      <c r="F915" s="34" t="s">
        <v>18</v>
      </c>
      <c r="G915" s="57">
        <v>43231</v>
      </c>
      <c r="H915" s="57">
        <v>43769</v>
      </c>
      <c r="I915" s="34">
        <f t="shared" si="42"/>
        <v>17</v>
      </c>
      <c r="J915" s="34">
        <v>35</v>
      </c>
      <c r="K915" s="36">
        <v>825</v>
      </c>
      <c r="L915" s="34" t="s">
        <v>29</v>
      </c>
      <c r="M915" s="57">
        <v>34394</v>
      </c>
      <c r="N915" s="37">
        <f>(YEAR(TablaMadre[[#This Row],[ALTA]])-YEAR(M915))</f>
        <v>24</v>
      </c>
      <c r="O915" s="34" t="s">
        <v>146</v>
      </c>
      <c r="P915" s="34" t="s">
        <v>19</v>
      </c>
      <c r="Q915" s="34" t="s">
        <v>384</v>
      </c>
      <c r="R915" s="34" t="s">
        <v>21</v>
      </c>
      <c r="S915" s="34" t="s">
        <v>384</v>
      </c>
      <c r="T915" s="34"/>
      <c r="U915" s="34"/>
      <c r="V915" s="34" t="s">
        <v>22</v>
      </c>
      <c r="W915" s="34" t="s">
        <v>97</v>
      </c>
      <c r="X915" s="38" t="s">
        <v>173</v>
      </c>
      <c r="Y915" s="62"/>
      <c r="Z915" s="62" t="e">
        <f t="shared" si="43"/>
        <v>#NUM!</v>
      </c>
      <c r="AA915" s="62"/>
      <c r="AB915" s="34">
        <v>9</v>
      </c>
      <c r="AC915" s="34">
        <v>10</v>
      </c>
      <c r="AD915" s="38"/>
      <c r="AE915" s="59" t="str">
        <f t="shared" si="44"/>
        <v>SÍ</v>
      </c>
      <c r="AF915" s="38" t="e" cm="1">
        <f t="array" aca="1" ref="AF915" ca="1">MIN(100, MAX(0, (IF(R915="ESTUDIANTE", 31, 0)) + (IF(I915&lt;=3, 30, IF(I915&lt;=6, 20, 0))) +(IF(OR(E915="413 - Control de Costes y Enlace Construcción", E915="480 - Secretaría General del Consejo", E915="132 - Civil y estructuras", E915="136 - Mecánica", E915="412 - Planificación", E915="142 - Compras"), 25, 0)) +(IF(OR(S915="GRADO ING. MECÁNICA", S915="GRADO ING. ELÉCTRICA", S915="GRADO DERECHO", S915="GRADO ECONOMÍA", S915="GRADO ING. TECNOLOGÍAS INDUSTRIALES"), 24, 0)) + (IF(AND(K915&gt;=451, K915&lt;=700), 23, 0)) + (IF(AND(AB915&gt;=5, AB915&lt;=8), 17, 0)) +(IF(_xludf.OR(_xludf.AND(AC915&gt;=8, AC915&lt;=10), _xludf.AND(AC915&gt;=0, AC915&lt;=5)), 16, 0)) + (IF(F915="Madrid", 11, 0))))</f>
        <v>#NAME?</v>
      </c>
      <c r="AG915" s="68"/>
      <c r="AH915" s="71" t="s">
        <v>164</v>
      </c>
    </row>
    <row r="916" spans="1:34" ht="14.4" x14ac:dyDescent="0.3">
      <c r="A916" s="66" t="s">
        <v>1894</v>
      </c>
      <c r="B916" s="66" t="s">
        <v>4011</v>
      </c>
      <c r="C916" s="33">
        <v>915</v>
      </c>
      <c r="D916" s="33" t="s">
        <v>5400</v>
      </c>
      <c r="E916" s="34" t="s">
        <v>5241</v>
      </c>
      <c r="F916" s="34" t="s">
        <v>18</v>
      </c>
      <c r="G916" s="57">
        <v>43236</v>
      </c>
      <c r="H916" s="57">
        <v>43600</v>
      </c>
      <c r="I916" s="34">
        <f t="shared" si="42"/>
        <v>11</v>
      </c>
      <c r="J916" s="34">
        <v>35</v>
      </c>
      <c r="K916" s="36">
        <v>900</v>
      </c>
      <c r="L916" s="34" t="s">
        <v>17</v>
      </c>
      <c r="M916" s="57">
        <v>32972</v>
      </c>
      <c r="N916" s="37">
        <f>(YEAR(TablaMadre[[#This Row],[ALTA]])-YEAR(M916))</f>
        <v>28</v>
      </c>
      <c r="O916" s="34" t="s">
        <v>233</v>
      </c>
      <c r="P916" s="34" t="s">
        <v>19</v>
      </c>
      <c r="Q916" s="34" t="s">
        <v>406</v>
      </c>
      <c r="R916" s="34" t="s">
        <v>21</v>
      </c>
      <c r="S916" s="34" t="s">
        <v>297</v>
      </c>
      <c r="T916" s="34"/>
      <c r="U916" s="34"/>
      <c r="V916" s="34" t="s">
        <v>40</v>
      </c>
      <c r="W916" s="34" t="s">
        <v>28</v>
      </c>
      <c r="X916" s="38" t="s">
        <v>173</v>
      </c>
      <c r="Y916" s="62"/>
      <c r="Z916" s="38" t="e">
        <f t="shared" si="43"/>
        <v>#NUM!</v>
      </c>
      <c r="AA916" s="38"/>
      <c r="AB916" s="34">
        <v>8.5</v>
      </c>
      <c r="AC916" s="34">
        <v>10</v>
      </c>
      <c r="AD916" s="38"/>
      <c r="AE916" s="59" t="str">
        <f t="shared" si="44"/>
        <v>SÍ</v>
      </c>
      <c r="AF916" s="38" t="e" cm="1">
        <f t="array" aca="1" ref="AF916" ca="1">MIN(100, MAX(0, (IF(R916="ESTUDIANTE", 31, 0)) + (IF(I916&lt;=3, 30, IF(I916&lt;=6, 20, 0))) +(IF(OR(E916="413 - Control de Costes y Enlace Construcción", E916="480 - Secretaría General del Consejo", E916="132 - Civil y estructuras", E916="136 - Mecánica", E916="412 - Planificación", E916="142 - Compras"), 25, 0)) +(IF(OR(S916="GRADO ING. MECÁNICA", S916="GRADO ING. ELÉCTRICA", S916="GRADO DERECHO", S916="GRADO ECONOMÍA", S916="GRADO ING. TECNOLOGÍAS INDUSTRIALES"), 24, 0)) + (IF(AND(K916&gt;=451, K916&lt;=700), 23, 0)) + (IF(AND(AB916&gt;=5, AB916&lt;=8), 17, 0)) +(IF(_xludf.OR(_xludf.AND(AC916&gt;=8, AC916&lt;=10), _xludf.AND(AC916&gt;=0, AC916&lt;=5)), 16, 0)) + (IF(F916="Madrid", 11, 0))))</f>
        <v>#NAME?</v>
      </c>
      <c r="AG916" s="68"/>
      <c r="AH916" s="71" t="s">
        <v>164</v>
      </c>
    </row>
    <row r="917" spans="1:34" ht="14.4" x14ac:dyDescent="0.3">
      <c r="A917" s="66" t="s">
        <v>1867</v>
      </c>
      <c r="B917" s="66" t="s">
        <v>3984</v>
      </c>
      <c r="C917" s="33">
        <v>916</v>
      </c>
      <c r="D917" s="33" t="s">
        <v>5401</v>
      </c>
      <c r="E917" s="34" t="s">
        <v>5260</v>
      </c>
      <c r="F917" s="34" t="s">
        <v>18</v>
      </c>
      <c r="G917" s="57">
        <v>43237</v>
      </c>
      <c r="H917" s="57">
        <v>43677</v>
      </c>
      <c r="I917" s="34">
        <f t="shared" si="42"/>
        <v>14</v>
      </c>
      <c r="J917" s="34">
        <v>35</v>
      </c>
      <c r="K917" s="36">
        <v>650</v>
      </c>
      <c r="L917" s="34" t="s">
        <v>17</v>
      </c>
      <c r="M917" s="57">
        <v>34529</v>
      </c>
      <c r="N917" s="37">
        <f>(YEAR(TablaMadre[[#This Row],[ALTA]])-YEAR(M917))</f>
        <v>24</v>
      </c>
      <c r="O917" s="34" t="s">
        <v>18</v>
      </c>
      <c r="P917" s="34" t="s">
        <v>19</v>
      </c>
      <c r="Q917" s="34" t="s">
        <v>434</v>
      </c>
      <c r="R917" s="58" t="s">
        <v>30</v>
      </c>
      <c r="S917" s="34" t="s">
        <v>151</v>
      </c>
      <c r="T917" s="34"/>
      <c r="U917" s="34"/>
      <c r="V917" s="34" t="s">
        <v>40</v>
      </c>
      <c r="W917" s="34" t="s">
        <v>181</v>
      </c>
      <c r="X917" s="38" t="s">
        <v>173</v>
      </c>
      <c r="Y917" s="62"/>
      <c r="Z917" s="62" t="e">
        <f t="shared" si="43"/>
        <v>#NUM!</v>
      </c>
      <c r="AA917" s="62"/>
      <c r="AB917" s="34">
        <v>9</v>
      </c>
      <c r="AC917" s="34">
        <v>9</v>
      </c>
      <c r="AD917" s="38"/>
      <c r="AE917" s="59" t="str">
        <f t="shared" si="44"/>
        <v>NO</v>
      </c>
      <c r="AF917" s="38" t="e" cm="1">
        <f t="array" aca="1" ref="AF917" ca="1">MIN(100, MAX(0, (IF(R917="ESTUDIANTE", 31, 0)) + (IF(I917&lt;=3, 30, IF(I917&lt;=6, 20, 0))) +(IF(OR(E917="413 - Control de Costes y Enlace Construcción", E917="480 - Secretaría General del Consejo", E917="132 - Civil y estructuras", E917="136 - Mecánica", E917="412 - Planificación", E917="142 - Compras"), 25, 0)) +(IF(OR(S917="GRADO ING. MECÁNICA", S917="GRADO ING. ELÉCTRICA", S917="GRADO DERECHO", S917="GRADO ECONOMÍA", S917="GRADO ING. TECNOLOGÍAS INDUSTRIALES"), 24, 0)) + (IF(AND(K917&gt;=451, K917&lt;=700), 23, 0)) + (IF(AND(AB917&gt;=5, AB917&lt;=8), 17, 0)) +(IF(_xludf.OR(_xludf.AND(AC917&gt;=8, AC917&lt;=10), _xludf.AND(AC917&gt;=0, AC917&lt;=5)), 16, 0)) + (IF(F917="Madrid", 11, 0))))</f>
        <v>#NAME?</v>
      </c>
      <c r="AG917" s="68"/>
      <c r="AH917" s="71" t="s">
        <v>164</v>
      </c>
    </row>
    <row r="918" spans="1:34" ht="14.4" x14ac:dyDescent="0.3">
      <c r="A918" s="66" t="s">
        <v>1896</v>
      </c>
      <c r="B918" s="66" t="s">
        <v>4013</v>
      </c>
      <c r="C918" s="33">
        <v>917</v>
      </c>
      <c r="D918" s="33" t="s">
        <v>5402</v>
      </c>
      <c r="E918" s="34" t="s">
        <v>5252</v>
      </c>
      <c r="F918" s="34" t="s">
        <v>931</v>
      </c>
      <c r="G918" s="57">
        <v>43238</v>
      </c>
      <c r="H918" s="57">
        <v>43616</v>
      </c>
      <c r="I918" s="34">
        <f t="shared" si="42"/>
        <v>12</v>
      </c>
      <c r="J918" s="34">
        <v>40</v>
      </c>
      <c r="K918" s="36">
        <v>1000</v>
      </c>
      <c r="L918" s="34" t="s">
        <v>17</v>
      </c>
      <c r="M918" s="57">
        <v>34334</v>
      </c>
      <c r="N918" s="37">
        <f>(YEAR(TablaMadre[[#This Row],[ALTA]])-YEAR(M918))</f>
        <v>25</v>
      </c>
      <c r="O918" s="34" t="s">
        <v>95</v>
      </c>
      <c r="P918" s="34" t="s">
        <v>95</v>
      </c>
      <c r="Q918" s="34" t="s">
        <v>136</v>
      </c>
      <c r="R918" s="34" t="s">
        <v>21</v>
      </c>
      <c r="S918" s="34" t="s">
        <v>136</v>
      </c>
      <c r="T918" s="34"/>
      <c r="U918" s="34"/>
      <c r="V918" s="34" t="s">
        <v>90</v>
      </c>
      <c r="W918" s="34" t="s">
        <v>97</v>
      </c>
      <c r="X918" s="38" t="s">
        <v>164</v>
      </c>
      <c r="Y918" s="62"/>
      <c r="Z918" s="62" t="e">
        <f t="shared" si="43"/>
        <v>#NUM!</v>
      </c>
      <c r="AA918" s="62"/>
      <c r="AB918" s="34"/>
      <c r="AC918" s="34">
        <v>9</v>
      </c>
      <c r="AD918" s="38"/>
      <c r="AE918" s="59" t="str">
        <f t="shared" si="44"/>
        <v>SÍ</v>
      </c>
      <c r="AF918" s="38" t="e" cm="1">
        <f t="array" aca="1" ref="AF918" ca="1">MIN(100, MAX(0, (IF(R918="ESTUDIANTE", 31, 0)) + (IF(I918&lt;=3, 30, IF(I918&lt;=6, 20, 0))) +(IF(OR(E918="413 - Control de Costes y Enlace Construcción", E918="480 - Secretaría General del Consejo", E918="132 - Civil y estructuras", E918="136 - Mecánica", E918="412 - Planificación", E918="142 - Compras"), 25, 0)) +(IF(OR(S918="GRADO ING. MECÁNICA", S918="GRADO ING. ELÉCTRICA", S918="GRADO DERECHO", S918="GRADO ECONOMÍA", S918="GRADO ING. TECNOLOGÍAS INDUSTRIALES"), 24, 0)) + (IF(AND(K918&gt;=451, K918&lt;=700), 23, 0)) + (IF(AND(AB918&gt;=5, AB918&lt;=8), 17, 0)) +(IF(_xludf.OR(_xludf.AND(AC918&gt;=8, AC918&lt;=10), _xludf.AND(AC918&gt;=0, AC918&lt;=5)), 16, 0)) + (IF(F918="Madrid", 11, 0))))</f>
        <v>#NAME?</v>
      </c>
      <c r="AG918" s="68"/>
      <c r="AH918" s="71" t="s">
        <v>164</v>
      </c>
    </row>
    <row r="919" spans="1:34" ht="14.4" x14ac:dyDescent="0.3">
      <c r="A919" s="66" t="s">
        <v>1897</v>
      </c>
      <c r="B919" s="66" t="s">
        <v>4014</v>
      </c>
      <c r="C919" s="33">
        <v>918</v>
      </c>
      <c r="D919" s="33" t="s">
        <v>5393</v>
      </c>
      <c r="E919" s="34" t="s">
        <v>5235</v>
      </c>
      <c r="F919" s="34" t="s">
        <v>931</v>
      </c>
      <c r="G919" s="57">
        <v>43238</v>
      </c>
      <c r="H919" s="57">
        <v>43644</v>
      </c>
      <c r="I919" s="34">
        <f t="shared" si="42"/>
        <v>13</v>
      </c>
      <c r="J919" s="34">
        <v>40</v>
      </c>
      <c r="K919" s="36">
        <v>1000</v>
      </c>
      <c r="L919" s="34" t="s">
        <v>17</v>
      </c>
      <c r="M919" s="57">
        <v>34504</v>
      </c>
      <c r="N919" s="37">
        <f>(YEAR(TablaMadre[[#This Row],[ALTA]])-YEAR(M919))</f>
        <v>24</v>
      </c>
      <c r="O919" s="34" t="s">
        <v>95</v>
      </c>
      <c r="P919" s="34" t="s">
        <v>95</v>
      </c>
      <c r="Q919" s="34" t="s">
        <v>326</v>
      </c>
      <c r="R919" s="34" t="s">
        <v>21</v>
      </c>
      <c r="S919" s="34" t="s">
        <v>151</v>
      </c>
      <c r="T919" s="34"/>
      <c r="U919" s="34"/>
      <c r="V919" s="34" t="s">
        <v>90</v>
      </c>
      <c r="W919" s="34" t="s">
        <v>97</v>
      </c>
      <c r="X919" s="38" t="s">
        <v>164</v>
      </c>
      <c r="Y919" s="62"/>
      <c r="Z919" s="62" t="e">
        <f t="shared" si="43"/>
        <v>#NUM!</v>
      </c>
      <c r="AA919" s="62"/>
      <c r="AB919" s="34"/>
      <c r="AC919" s="34">
        <v>8</v>
      </c>
      <c r="AD919" s="38"/>
      <c r="AE919" s="59" t="str">
        <f t="shared" si="44"/>
        <v>SÍ</v>
      </c>
      <c r="AF919" s="38" t="e" cm="1">
        <f t="array" aca="1" ref="AF919" ca="1">MIN(100, MAX(0, (IF(R919="ESTUDIANTE", 31, 0)) + (IF(I919&lt;=3, 30, IF(I919&lt;=6, 20, 0))) +(IF(OR(E919="413 - Control de Costes y Enlace Construcción", E919="480 - Secretaría General del Consejo", E919="132 - Civil y estructuras", E919="136 - Mecánica", E919="412 - Planificación", E919="142 - Compras"), 25, 0)) +(IF(OR(S919="GRADO ING. MECÁNICA", S919="GRADO ING. ELÉCTRICA", S919="GRADO DERECHO", S919="GRADO ECONOMÍA", S919="GRADO ING. TECNOLOGÍAS INDUSTRIALES"), 24, 0)) + (IF(AND(K919&gt;=451, K919&lt;=700), 23, 0)) + (IF(AND(AB919&gt;=5, AB919&lt;=8), 17, 0)) +(IF(_xludf.OR(_xludf.AND(AC919&gt;=8, AC919&lt;=10), _xludf.AND(AC919&gt;=0, AC919&lt;=5)), 16, 0)) + (IF(F919="Madrid", 11, 0))))</f>
        <v>#NAME?</v>
      </c>
      <c r="AG919" s="68"/>
      <c r="AH919" s="71" t="s">
        <v>164</v>
      </c>
    </row>
    <row r="920" spans="1:34" ht="14.4" x14ac:dyDescent="0.3">
      <c r="A920" s="66" t="s">
        <v>1898</v>
      </c>
      <c r="B920" s="66" t="s">
        <v>4015</v>
      </c>
      <c r="C920" s="33">
        <v>919</v>
      </c>
      <c r="D920" s="33" t="s">
        <v>5394</v>
      </c>
      <c r="E920" s="34" t="s">
        <v>5235</v>
      </c>
      <c r="F920" s="34" t="s">
        <v>931</v>
      </c>
      <c r="G920" s="57">
        <v>43238</v>
      </c>
      <c r="H920" s="57">
        <v>43644</v>
      </c>
      <c r="I920" s="34">
        <f t="shared" si="42"/>
        <v>13</v>
      </c>
      <c r="J920" s="34">
        <v>40</v>
      </c>
      <c r="K920" s="36">
        <v>1000</v>
      </c>
      <c r="L920" s="34" t="s">
        <v>17</v>
      </c>
      <c r="M920" s="57">
        <v>34602</v>
      </c>
      <c r="N920" s="37">
        <f>(YEAR(TablaMadre[[#This Row],[ALTA]])-YEAR(M920))</f>
        <v>24</v>
      </c>
      <c r="O920" s="34" t="s">
        <v>95</v>
      </c>
      <c r="P920" s="34" t="s">
        <v>95</v>
      </c>
      <c r="Q920" s="34" t="s">
        <v>326</v>
      </c>
      <c r="R920" s="34" t="s">
        <v>21</v>
      </c>
      <c r="S920" s="34" t="s">
        <v>151</v>
      </c>
      <c r="T920" s="34"/>
      <c r="U920" s="34"/>
      <c r="V920" s="34" t="s">
        <v>90</v>
      </c>
      <c r="W920" s="34" t="s">
        <v>97</v>
      </c>
      <c r="X920" s="38" t="s">
        <v>164</v>
      </c>
      <c r="Y920" s="62"/>
      <c r="Z920" s="62" t="e">
        <f t="shared" si="43"/>
        <v>#NUM!</v>
      </c>
      <c r="AA920" s="62"/>
      <c r="AB920" s="34"/>
      <c r="AC920" s="34">
        <v>8</v>
      </c>
      <c r="AD920" s="38"/>
      <c r="AE920" s="59" t="str">
        <f t="shared" si="44"/>
        <v>SÍ</v>
      </c>
      <c r="AF920" s="38" t="e" cm="1">
        <f t="array" aca="1" ref="AF920" ca="1">MIN(100, MAX(0, (IF(R920="ESTUDIANTE", 31, 0)) + (IF(I920&lt;=3, 30, IF(I920&lt;=6, 20, 0))) +(IF(OR(E920="413 - Control de Costes y Enlace Construcción", E920="480 - Secretaría General del Consejo", E920="132 - Civil y estructuras", E920="136 - Mecánica", E920="412 - Planificación", E920="142 - Compras"), 25, 0)) +(IF(OR(S920="GRADO ING. MECÁNICA", S920="GRADO ING. ELÉCTRICA", S920="GRADO DERECHO", S920="GRADO ECONOMÍA", S920="GRADO ING. TECNOLOGÍAS INDUSTRIALES"), 24, 0)) + (IF(AND(K920&gt;=451, K920&lt;=700), 23, 0)) + (IF(AND(AB920&gt;=5, AB920&lt;=8), 17, 0)) +(IF(_xludf.OR(_xludf.AND(AC920&gt;=8, AC920&lt;=10), _xludf.AND(AC920&gt;=0, AC920&lt;=5)), 16, 0)) + (IF(F920="Madrid", 11, 0))))</f>
        <v>#NAME?</v>
      </c>
      <c r="AG920" s="68"/>
      <c r="AH920" s="71" t="s">
        <v>164</v>
      </c>
    </row>
    <row r="921" spans="1:34" ht="14.4" x14ac:dyDescent="0.3">
      <c r="A921" s="66" t="s">
        <v>1899</v>
      </c>
      <c r="B921" s="66" t="s">
        <v>4016</v>
      </c>
      <c r="C921" s="33">
        <v>920</v>
      </c>
      <c r="D921" s="33" t="s">
        <v>5395</v>
      </c>
      <c r="E921" s="34" t="s">
        <v>5233</v>
      </c>
      <c r="F921" s="34" t="s">
        <v>931</v>
      </c>
      <c r="G921" s="57">
        <v>43238</v>
      </c>
      <c r="H921" s="57">
        <v>43644</v>
      </c>
      <c r="I921" s="34">
        <f t="shared" si="42"/>
        <v>13</v>
      </c>
      <c r="J921" s="34">
        <v>40</v>
      </c>
      <c r="K921" s="36">
        <v>1000</v>
      </c>
      <c r="L921" s="34" t="s">
        <v>17</v>
      </c>
      <c r="M921" s="57">
        <v>34039</v>
      </c>
      <c r="N921" s="37">
        <f>(YEAR(TablaMadre[[#This Row],[ALTA]])-YEAR(M921))</f>
        <v>25</v>
      </c>
      <c r="O921" s="34" t="s">
        <v>95</v>
      </c>
      <c r="P921" s="34" t="s">
        <v>95</v>
      </c>
      <c r="Q921" s="34" t="s">
        <v>136</v>
      </c>
      <c r="R921" s="34" t="s">
        <v>21</v>
      </c>
      <c r="S921" s="34" t="s">
        <v>136</v>
      </c>
      <c r="T921" s="34"/>
      <c r="U921" s="34"/>
      <c r="V921" s="34" t="s">
        <v>90</v>
      </c>
      <c r="W921" s="34" t="s">
        <v>97</v>
      </c>
      <c r="X921" s="38" t="s">
        <v>164</v>
      </c>
      <c r="Y921" s="62"/>
      <c r="Z921" s="62" t="e">
        <f t="shared" si="43"/>
        <v>#NUM!</v>
      </c>
      <c r="AA921" s="62"/>
      <c r="AB921" s="34"/>
      <c r="AC921" s="34">
        <v>5</v>
      </c>
      <c r="AD921" s="38"/>
      <c r="AE921" s="59" t="str">
        <f t="shared" si="44"/>
        <v>SÍ</v>
      </c>
      <c r="AF921" s="38" t="e" cm="1">
        <f t="array" aca="1" ref="AF921" ca="1">MIN(100, MAX(0, (IF(R921="ESTUDIANTE", 31, 0)) + (IF(I921&lt;=3, 30, IF(I921&lt;=6, 20, 0))) +(IF(OR(E921="413 - Control de Costes y Enlace Construcción", E921="480 - Secretaría General del Consejo", E921="132 - Civil y estructuras", E921="136 - Mecánica", E921="412 - Planificación", E921="142 - Compras"), 25, 0)) +(IF(OR(S921="GRADO ING. MECÁNICA", S921="GRADO ING. ELÉCTRICA", S921="GRADO DERECHO", S921="GRADO ECONOMÍA", S921="GRADO ING. TECNOLOGÍAS INDUSTRIALES"), 24, 0)) + (IF(AND(K921&gt;=451, K921&lt;=700), 23, 0)) + (IF(AND(AB921&gt;=5, AB921&lt;=8), 17, 0)) +(IF(_xludf.OR(_xludf.AND(AC921&gt;=8, AC921&lt;=10), _xludf.AND(AC921&gt;=0, AC921&lt;=5)), 16, 0)) + (IF(F921="Madrid", 11, 0))))</f>
        <v>#NAME?</v>
      </c>
      <c r="AG921" s="68"/>
      <c r="AH921" s="71" t="s">
        <v>164</v>
      </c>
    </row>
    <row r="922" spans="1:34" ht="14.4" x14ac:dyDescent="0.3">
      <c r="A922" s="66" t="s">
        <v>1900</v>
      </c>
      <c r="B922" s="66" t="s">
        <v>4017</v>
      </c>
      <c r="C922" s="33">
        <v>921</v>
      </c>
      <c r="D922" s="33" t="s">
        <v>5396</v>
      </c>
      <c r="E922" s="34" t="s">
        <v>5231</v>
      </c>
      <c r="F922" s="34" t="s">
        <v>931</v>
      </c>
      <c r="G922" s="57">
        <v>43238</v>
      </c>
      <c r="H922" s="57">
        <v>43644</v>
      </c>
      <c r="I922" s="34">
        <f t="shared" si="42"/>
        <v>13</v>
      </c>
      <c r="J922" s="34">
        <v>40</v>
      </c>
      <c r="K922" s="36">
        <v>1000</v>
      </c>
      <c r="L922" s="34" t="s">
        <v>17</v>
      </c>
      <c r="M922" s="57">
        <v>33227</v>
      </c>
      <c r="N922" s="37">
        <f>(YEAR(TablaMadre[[#This Row],[ALTA]])-YEAR(M922))</f>
        <v>28</v>
      </c>
      <c r="O922" s="34" t="s">
        <v>95</v>
      </c>
      <c r="P922" s="34" t="s">
        <v>95</v>
      </c>
      <c r="Q922" s="34" t="s">
        <v>136</v>
      </c>
      <c r="R922" s="34" t="s">
        <v>21</v>
      </c>
      <c r="S922" s="34" t="s">
        <v>136</v>
      </c>
      <c r="T922" s="34"/>
      <c r="U922" s="34"/>
      <c r="V922" s="34" t="s">
        <v>90</v>
      </c>
      <c r="W922" s="34" t="s">
        <v>97</v>
      </c>
      <c r="X922" s="38" t="s">
        <v>164</v>
      </c>
      <c r="Y922" s="62"/>
      <c r="Z922" s="62" t="e">
        <f t="shared" si="43"/>
        <v>#NUM!</v>
      </c>
      <c r="AA922" s="62"/>
      <c r="AB922" s="34"/>
      <c r="AC922" s="34">
        <v>9</v>
      </c>
      <c r="AD922" s="38"/>
      <c r="AE922" s="59" t="str">
        <f t="shared" si="44"/>
        <v>SÍ</v>
      </c>
      <c r="AF922" s="38" t="e" cm="1">
        <f t="array" aca="1" ref="AF922" ca="1">MIN(100, MAX(0, (IF(R922="ESTUDIANTE", 31, 0)) + (IF(I922&lt;=3, 30, IF(I922&lt;=6, 20, 0))) +(IF(OR(E922="413 - Control de Costes y Enlace Construcción", E922="480 - Secretaría General del Consejo", E922="132 - Civil y estructuras", E922="136 - Mecánica", E922="412 - Planificación", E922="142 - Compras"), 25, 0)) +(IF(OR(S922="GRADO ING. MECÁNICA", S922="GRADO ING. ELÉCTRICA", S922="GRADO DERECHO", S922="GRADO ECONOMÍA", S922="GRADO ING. TECNOLOGÍAS INDUSTRIALES"), 24, 0)) + (IF(AND(K922&gt;=451, K922&lt;=700), 23, 0)) + (IF(AND(AB922&gt;=5, AB922&lt;=8), 17, 0)) +(IF(_xludf.OR(_xludf.AND(AC922&gt;=8, AC922&lt;=10), _xludf.AND(AC922&gt;=0, AC922&lt;=5)), 16, 0)) + (IF(F922="Madrid", 11, 0))))</f>
        <v>#NAME?</v>
      </c>
      <c r="AG922" s="68"/>
      <c r="AH922" s="71" t="s">
        <v>164</v>
      </c>
    </row>
    <row r="923" spans="1:34" ht="14.4" x14ac:dyDescent="0.3">
      <c r="A923" s="66" t="s">
        <v>1901</v>
      </c>
      <c r="B923" s="66" t="s">
        <v>4018</v>
      </c>
      <c r="C923" s="33">
        <v>922</v>
      </c>
      <c r="D923" s="33" t="s">
        <v>5397</v>
      </c>
      <c r="E923" s="34" t="s">
        <v>5222</v>
      </c>
      <c r="F923" s="34" t="s">
        <v>931</v>
      </c>
      <c r="G923" s="57">
        <v>43238</v>
      </c>
      <c r="H923" s="57">
        <v>43692</v>
      </c>
      <c r="I923" s="34">
        <f t="shared" si="42"/>
        <v>14</v>
      </c>
      <c r="J923" s="34">
        <v>40</v>
      </c>
      <c r="K923" s="36">
        <v>1000</v>
      </c>
      <c r="L923" s="34" t="s">
        <v>17</v>
      </c>
      <c r="M923" s="57">
        <v>33519</v>
      </c>
      <c r="N923" s="37">
        <f>(YEAR(TablaMadre[[#This Row],[ALTA]])-YEAR(M923))</f>
        <v>27</v>
      </c>
      <c r="O923" s="34" t="s">
        <v>95</v>
      </c>
      <c r="P923" s="34" t="s">
        <v>95</v>
      </c>
      <c r="Q923" s="34" t="s">
        <v>277</v>
      </c>
      <c r="R923" s="34" t="s">
        <v>21</v>
      </c>
      <c r="S923" s="34" t="s">
        <v>277</v>
      </c>
      <c r="T923" s="34"/>
      <c r="U923" s="34"/>
      <c r="V923" s="34" t="s">
        <v>90</v>
      </c>
      <c r="W923" s="34" t="s">
        <v>97</v>
      </c>
      <c r="X923" s="38" t="s">
        <v>164</v>
      </c>
      <c r="Y923" s="62"/>
      <c r="Z923" s="62" t="e">
        <f t="shared" si="43"/>
        <v>#NUM!</v>
      </c>
      <c r="AA923" s="62"/>
      <c r="AB923" s="34"/>
      <c r="AC923" s="34">
        <v>7</v>
      </c>
      <c r="AD923" s="38"/>
      <c r="AE923" s="59" t="str">
        <f t="shared" si="44"/>
        <v>SÍ</v>
      </c>
      <c r="AF923" s="38" t="e" cm="1">
        <f t="array" aca="1" ref="AF923" ca="1">MIN(100, MAX(0, (IF(R923="ESTUDIANTE", 31, 0)) + (IF(I923&lt;=3, 30, IF(I923&lt;=6, 20, 0))) +(IF(OR(E923="413 - Control de Costes y Enlace Construcción", E923="480 - Secretaría General del Consejo", E923="132 - Civil y estructuras", E923="136 - Mecánica", E923="412 - Planificación", E923="142 - Compras"), 25, 0)) +(IF(OR(S923="GRADO ING. MECÁNICA", S923="GRADO ING. ELÉCTRICA", S923="GRADO DERECHO", S923="GRADO ECONOMÍA", S923="GRADO ING. TECNOLOGÍAS INDUSTRIALES"), 24, 0)) + (IF(AND(K923&gt;=451, K923&lt;=700), 23, 0)) + (IF(AND(AB923&gt;=5, AB923&lt;=8), 17, 0)) +(IF(_xludf.OR(_xludf.AND(AC923&gt;=8, AC923&lt;=10), _xludf.AND(AC923&gt;=0, AC923&lt;=5)), 16, 0)) + (IF(F923="Madrid", 11, 0))))</f>
        <v>#NAME?</v>
      </c>
      <c r="AG923" s="68"/>
      <c r="AH923" s="71" t="s">
        <v>164</v>
      </c>
    </row>
    <row r="924" spans="1:34" ht="14.4" x14ac:dyDescent="0.3">
      <c r="A924" s="66" t="s">
        <v>1902</v>
      </c>
      <c r="B924" s="66" t="s">
        <v>4019</v>
      </c>
      <c r="C924" s="33">
        <v>923</v>
      </c>
      <c r="D924" s="33" t="s">
        <v>5398</v>
      </c>
      <c r="E924" s="34" t="s">
        <v>5222</v>
      </c>
      <c r="F924" s="34" t="s">
        <v>931</v>
      </c>
      <c r="G924" s="57">
        <v>43238</v>
      </c>
      <c r="H924" s="57">
        <v>43692</v>
      </c>
      <c r="I924" s="34">
        <f t="shared" si="42"/>
        <v>14</v>
      </c>
      <c r="J924" s="34">
        <v>40</v>
      </c>
      <c r="K924" s="36">
        <v>1000</v>
      </c>
      <c r="L924" s="34" t="s">
        <v>17</v>
      </c>
      <c r="M924" s="57">
        <v>30951</v>
      </c>
      <c r="N924" s="37">
        <f>(YEAR(TablaMadre[[#This Row],[ALTA]])-YEAR(M924))</f>
        <v>34</v>
      </c>
      <c r="O924" s="34" t="s">
        <v>95</v>
      </c>
      <c r="P924" s="34" t="s">
        <v>95</v>
      </c>
      <c r="Q924" s="34" t="s">
        <v>277</v>
      </c>
      <c r="R924" s="34" t="s">
        <v>21</v>
      </c>
      <c r="S924" s="34" t="s">
        <v>277</v>
      </c>
      <c r="T924" s="34"/>
      <c r="U924" s="34"/>
      <c r="V924" s="34" t="s">
        <v>90</v>
      </c>
      <c r="W924" s="34" t="s">
        <v>97</v>
      </c>
      <c r="X924" s="38" t="s">
        <v>164</v>
      </c>
      <c r="Y924" s="62"/>
      <c r="Z924" s="62" t="e">
        <f t="shared" si="43"/>
        <v>#NUM!</v>
      </c>
      <c r="AA924" s="62"/>
      <c r="AB924" s="34"/>
      <c r="AC924" s="34">
        <v>7</v>
      </c>
      <c r="AD924" s="38"/>
      <c r="AE924" s="59" t="str">
        <f t="shared" si="44"/>
        <v>SÍ</v>
      </c>
      <c r="AF924" s="38" t="e" cm="1">
        <f t="array" aca="1" ref="AF924" ca="1">MIN(100, MAX(0, (IF(R924="ESTUDIANTE", 31, 0)) + (IF(I924&lt;=3, 30, IF(I924&lt;=6, 20, 0))) +(IF(OR(E924="413 - Control de Costes y Enlace Construcción", E924="480 - Secretaría General del Consejo", E924="132 - Civil y estructuras", E924="136 - Mecánica", E924="412 - Planificación", E924="142 - Compras"), 25, 0)) +(IF(OR(S924="GRADO ING. MECÁNICA", S924="GRADO ING. ELÉCTRICA", S924="GRADO DERECHO", S924="GRADO ECONOMÍA", S924="GRADO ING. TECNOLOGÍAS INDUSTRIALES"), 24, 0)) + (IF(AND(K924&gt;=451, K924&lt;=700), 23, 0)) + (IF(AND(AB924&gt;=5, AB924&lt;=8), 17, 0)) +(IF(_xludf.OR(_xludf.AND(AC924&gt;=8, AC924&lt;=10), _xludf.AND(AC924&gt;=0, AC924&lt;=5)), 16, 0)) + (IF(F924="Madrid", 11, 0))))</f>
        <v>#NAME?</v>
      </c>
      <c r="AG924" s="68"/>
      <c r="AH924" s="71" t="s">
        <v>164</v>
      </c>
    </row>
    <row r="925" spans="1:34" ht="14.4" x14ac:dyDescent="0.3">
      <c r="A925" s="66" t="s">
        <v>1903</v>
      </c>
      <c r="B925" s="66" t="s">
        <v>4020</v>
      </c>
      <c r="C925" s="33">
        <v>924</v>
      </c>
      <c r="D925" s="33" t="s">
        <v>5399</v>
      </c>
      <c r="E925" s="34" t="s">
        <v>5218</v>
      </c>
      <c r="F925" s="34" t="s">
        <v>931</v>
      </c>
      <c r="G925" s="57">
        <v>43238</v>
      </c>
      <c r="H925" s="57">
        <v>43708</v>
      </c>
      <c r="I925" s="34">
        <f t="shared" si="42"/>
        <v>15</v>
      </c>
      <c r="J925" s="34">
        <v>40</v>
      </c>
      <c r="K925" s="36">
        <v>1000</v>
      </c>
      <c r="L925" s="34" t="s">
        <v>17</v>
      </c>
      <c r="M925" s="57">
        <v>34318</v>
      </c>
      <c r="N925" s="37">
        <f>(YEAR(TablaMadre[[#This Row],[ALTA]])-YEAR(M925))</f>
        <v>25</v>
      </c>
      <c r="O925" s="34" t="s">
        <v>95</v>
      </c>
      <c r="P925" s="34" t="s">
        <v>95</v>
      </c>
      <c r="Q925" s="34" t="s">
        <v>151</v>
      </c>
      <c r="R925" s="34" t="s">
        <v>21</v>
      </c>
      <c r="S925" s="34" t="s">
        <v>151</v>
      </c>
      <c r="T925" s="34"/>
      <c r="U925" s="34"/>
      <c r="V925" s="34" t="s">
        <v>90</v>
      </c>
      <c r="W925" s="34" t="s">
        <v>97</v>
      </c>
      <c r="X925" s="38" t="s">
        <v>164</v>
      </c>
      <c r="Y925" s="62"/>
      <c r="Z925" s="62" t="e">
        <f t="shared" si="43"/>
        <v>#NUM!</v>
      </c>
      <c r="AA925" s="62"/>
      <c r="AB925" s="34"/>
      <c r="AC925" s="34">
        <v>7</v>
      </c>
      <c r="AD925" s="38"/>
      <c r="AE925" s="59" t="str">
        <f t="shared" si="44"/>
        <v>SÍ</v>
      </c>
      <c r="AF925" s="38" t="e" cm="1">
        <f t="array" aca="1" ref="AF925" ca="1">MIN(100, MAX(0, (IF(R925="ESTUDIANTE", 31, 0)) + (IF(I925&lt;=3, 30, IF(I925&lt;=6, 20, 0))) +(IF(OR(E925="413 - Control de Costes y Enlace Construcción", E925="480 - Secretaría General del Consejo", E925="132 - Civil y estructuras", E925="136 - Mecánica", E925="412 - Planificación", E925="142 - Compras"), 25, 0)) +(IF(OR(S925="GRADO ING. MECÁNICA", S925="GRADO ING. ELÉCTRICA", S925="GRADO DERECHO", S925="GRADO ECONOMÍA", S925="GRADO ING. TECNOLOGÍAS INDUSTRIALES"), 24, 0)) + (IF(AND(K925&gt;=451, K925&lt;=700), 23, 0)) + (IF(AND(AB925&gt;=5, AB925&lt;=8), 17, 0)) +(IF(_xludf.OR(_xludf.AND(AC925&gt;=8, AC925&lt;=10), _xludf.AND(AC925&gt;=0, AC925&lt;=5)), 16, 0)) + (IF(F925="Madrid", 11, 0))))</f>
        <v>#NAME?</v>
      </c>
      <c r="AG925" s="68"/>
      <c r="AH925" s="71" t="s">
        <v>164</v>
      </c>
    </row>
    <row r="926" spans="1:34" ht="14.4" x14ac:dyDescent="0.3">
      <c r="A926" s="66" t="s">
        <v>1904</v>
      </c>
      <c r="B926" s="66" t="s">
        <v>4021</v>
      </c>
      <c r="C926" s="33">
        <v>925</v>
      </c>
      <c r="D926" s="33" t="s">
        <v>5393</v>
      </c>
      <c r="E926" s="34" t="s">
        <v>5218</v>
      </c>
      <c r="F926" s="34" t="s">
        <v>931</v>
      </c>
      <c r="G926" s="57">
        <v>43238</v>
      </c>
      <c r="H926" s="57">
        <v>43708</v>
      </c>
      <c r="I926" s="34">
        <f t="shared" si="42"/>
        <v>15</v>
      </c>
      <c r="J926" s="34">
        <v>40</v>
      </c>
      <c r="K926" s="36">
        <v>1000</v>
      </c>
      <c r="L926" s="34" t="s">
        <v>17</v>
      </c>
      <c r="M926" s="57">
        <v>34199</v>
      </c>
      <c r="N926" s="37">
        <f>(YEAR(TablaMadre[[#This Row],[ALTA]])-YEAR(M926))</f>
        <v>25</v>
      </c>
      <c r="O926" s="34" t="s">
        <v>95</v>
      </c>
      <c r="P926" s="34" t="s">
        <v>95</v>
      </c>
      <c r="Q926" s="34" t="s">
        <v>151</v>
      </c>
      <c r="R926" s="34" t="s">
        <v>21</v>
      </c>
      <c r="S926" s="34" t="s">
        <v>151</v>
      </c>
      <c r="T926" s="34"/>
      <c r="U926" s="34"/>
      <c r="V926" s="34" t="s">
        <v>90</v>
      </c>
      <c r="W926" s="34" t="s">
        <v>97</v>
      </c>
      <c r="X926" s="38" t="s">
        <v>164</v>
      </c>
      <c r="Y926" s="62"/>
      <c r="Z926" s="62" t="e">
        <f t="shared" si="43"/>
        <v>#NUM!</v>
      </c>
      <c r="AA926" s="62"/>
      <c r="AB926" s="34"/>
      <c r="AC926" s="34">
        <v>7</v>
      </c>
      <c r="AD926" s="38"/>
      <c r="AE926" s="59" t="str">
        <f t="shared" si="44"/>
        <v>SÍ</v>
      </c>
      <c r="AF926" s="38" t="e" cm="1">
        <f t="array" aca="1" ref="AF926" ca="1">MIN(100, MAX(0, (IF(R926="ESTUDIANTE", 31, 0)) + (IF(I926&lt;=3, 30, IF(I926&lt;=6, 20, 0))) +(IF(OR(E926="413 - Control de Costes y Enlace Construcción", E926="480 - Secretaría General del Consejo", E926="132 - Civil y estructuras", E926="136 - Mecánica", E926="412 - Planificación", E926="142 - Compras"), 25, 0)) +(IF(OR(S926="GRADO ING. MECÁNICA", S926="GRADO ING. ELÉCTRICA", S926="GRADO DERECHO", S926="GRADO ECONOMÍA", S926="GRADO ING. TECNOLOGÍAS INDUSTRIALES"), 24, 0)) + (IF(AND(K926&gt;=451, K926&lt;=700), 23, 0)) + (IF(AND(AB926&gt;=5, AB926&lt;=8), 17, 0)) +(IF(_xludf.OR(_xludf.AND(AC926&gt;=8, AC926&lt;=10), _xludf.AND(AC926&gt;=0, AC926&lt;=5)), 16, 0)) + (IF(F926="Madrid", 11, 0))))</f>
        <v>#NAME?</v>
      </c>
      <c r="AG926" s="68"/>
      <c r="AH926" s="71" t="s">
        <v>164</v>
      </c>
    </row>
    <row r="927" spans="1:34" ht="14.4" x14ac:dyDescent="0.3">
      <c r="A927" s="66" t="s">
        <v>1905</v>
      </c>
      <c r="B927" s="66" t="s">
        <v>4022</v>
      </c>
      <c r="C927" s="33">
        <v>926</v>
      </c>
      <c r="D927" s="33" t="s">
        <v>5394</v>
      </c>
      <c r="E927" s="34" t="s">
        <v>5246</v>
      </c>
      <c r="F927" s="34" t="s">
        <v>931</v>
      </c>
      <c r="G927" s="57">
        <v>43238</v>
      </c>
      <c r="H927" s="57">
        <v>43714</v>
      </c>
      <c r="I927" s="34">
        <f t="shared" si="42"/>
        <v>15</v>
      </c>
      <c r="J927" s="34">
        <v>40</v>
      </c>
      <c r="K927" s="36">
        <v>1000</v>
      </c>
      <c r="L927" s="34" t="s">
        <v>17</v>
      </c>
      <c r="M927" s="57">
        <v>32550</v>
      </c>
      <c r="N927" s="37">
        <f>(YEAR(TablaMadre[[#This Row],[ALTA]])-YEAR(M927))</f>
        <v>29</v>
      </c>
      <c r="O927" s="34" t="s">
        <v>95</v>
      </c>
      <c r="P927" s="34" t="s">
        <v>95</v>
      </c>
      <c r="Q927" s="34" t="s">
        <v>277</v>
      </c>
      <c r="R927" s="34" t="s">
        <v>21</v>
      </c>
      <c r="S927" s="34" t="s">
        <v>277</v>
      </c>
      <c r="T927" s="34"/>
      <c r="U927" s="34"/>
      <c r="V927" s="34" t="s">
        <v>90</v>
      </c>
      <c r="W927" s="34" t="s">
        <v>97</v>
      </c>
      <c r="X927" s="38" t="s">
        <v>164</v>
      </c>
      <c r="Y927" s="62"/>
      <c r="Z927" s="62" t="e">
        <f t="shared" si="43"/>
        <v>#NUM!</v>
      </c>
      <c r="AA927" s="62"/>
      <c r="AB927" s="34"/>
      <c r="AC927" s="34">
        <v>6</v>
      </c>
      <c r="AD927" s="38"/>
      <c r="AE927" s="59" t="str">
        <f t="shared" si="44"/>
        <v>SÍ</v>
      </c>
      <c r="AF927" s="38" t="e" cm="1">
        <f t="array" aca="1" ref="AF927" ca="1">MIN(100, MAX(0, (IF(R927="ESTUDIANTE", 31, 0)) + (IF(I927&lt;=3, 30, IF(I927&lt;=6, 20, 0))) +(IF(OR(E927="413 - Control de Costes y Enlace Construcción", E927="480 - Secretaría General del Consejo", E927="132 - Civil y estructuras", E927="136 - Mecánica", E927="412 - Planificación", E927="142 - Compras"), 25, 0)) +(IF(OR(S927="GRADO ING. MECÁNICA", S927="GRADO ING. ELÉCTRICA", S927="GRADO DERECHO", S927="GRADO ECONOMÍA", S927="GRADO ING. TECNOLOGÍAS INDUSTRIALES"), 24, 0)) + (IF(AND(K927&gt;=451, K927&lt;=700), 23, 0)) + (IF(AND(AB927&gt;=5, AB927&lt;=8), 17, 0)) +(IF(_xludf.OR(_xludf.AND(AC927&gt;=8, AC927&lt;=10), _xludf.AND(AC927&gt;=0, AC927&lt;=5)), 16, 0)) + (IF(F927="Madrid", 11, 0))))</f>
        <v>#NAME?</v>
      </c>
      <c r="AG927" s="68"/>
      <c r="AH927" s="71" t="s">
        <v>164</v>
      </c>
    </row>
    <row r="928" spans="1:34" ht="14.4" x14ac:dyDescent="0.3">
      <c r="A928" s="66" t="s">
        <v>1906</v>
      </c>
      <c r="B928" s="66" t="s">
        <v>4023</v>
      </c>
      <c r="C928" s="33">
        <v>927</v>
      </c>
      <c r="D928" s="33" t="s">
        <v>5395</v>
      </c>
      <c r="E928" s="34" t="s">
        <v>5246</v>
      </c>
      <c r="F928" s="34" t="s">
        <v>931</v>
      </c>
      <c r="G928" s="57">
        <v>43238</v>
      </c>
      <c r="H928" s="57">
        <v>43721</v>
      </c>
      <c r="I928" s="34">
        <f t="shared" si="42"/>
        <v>15</v>
      </c>
      <c r="J928" s="34">
        <v>40</v>
      </c>
      <c r="K928" s="36">
        <v>1000</v>
      </c>
      <c r="L928" s="34" t="s">
        <v>17</v>
      </c>
      <c r="M928" s="57">
        <v>34654</v>
      </c>
      <c r="N928" s="37">
        <f>(YEAR(TablaMadre[[#This Row],[ALTA]])-YEAR(M928))</f>
        <v>24</v>
      </c>
      <c r="O928" s="34" t="s">
        <v>95</v>
      </c>
      <c r="P928" s="34" t="s">
        <v>95</v>
      </c>
      <c r="Q928" s="34" t="s">
        <v>277</v>
      </c>
      <c r="R928" s="34" t="s">
        <v>21</v>
      </c>
      <c r="S928" s="34" t="s">
        <v>277</v>
      </c>
      <c r="T928" s="34"/>
      <c r="U928" s="34"/>
      <c r="V928" s="34" t="s">
        <v>90</v>
      </c>
      <c r="W928" s="34" t="s">
        <v>97</v>
      </c>
      <c r="X928" s="38" t="s">
        <v>164</v>
      </c>
      <c r="Y928" s="62"/>
      <c r="Z928" s="62" t="e">
        <f t="shared" si="43"/>
        <v>#NUM!</v>
      </c>
      <c r="AA928" s="62"/>
      <c r="AB928" s="34"/>
      <c r="AC928" s="34">
        <v>5</v>
      </c>
      <c r="AD928" s="38"/>
      <c r="AE928" s="59" t="str">
        <f t="shared" si="44"/>
        <v>SÍ</v>
      </c>
      <c r="AF928" s="38" t="e" cm="1">
        <f t="array" aca="1" ref="AF928" ca="1">MIN(100, MAX(0, (IF(R928="ESTUDIANTE", 31, 0)) + (IF(I928&lt;=3, 30, IF(I928&lt;=6, 20, 0))) +(IF(OR(E928="413 - Control de Costes y Enlace Construcción", E928="480 - Secretaría General del Consejo", E928="132 - Civil y estructuras", E928="136 - Mecánica", E928="412 - Planificación", E928="142 - Compras"), 25, 0)) +(IF(OR(S928="GRADO ING. MECÁNICA", S928="GRADO ING. ELÉCTRICA", S928="GRADO DERECHO", S928="GRADO ECONOMÍA", S928="GRADO ING. TECNOLOGÍAS INDUSTRIALES"), 24, 0)) + (IF(AND(K928&gt;=451, K928&lt;=700), 23, 0)) + (IF(AND(AB928&gt;=5, AB928&lt;=8), 17, 0)) +(IF(_xludf.OR(_xludf.AND(AC928&gt;=8, AC928&lt;=10), _xludf.AND(AC928&gt;=0, AC928&lt;=5)), 16, 0)) + (IF(F928="Madrid", 11, 0))))</f>
        <v>#NAME?</v>
      </c>
      <c r="AG928" s="68"/>
      <c r="AH928" s="71" t="s">
        <v>164</v>
      </c>
    </row>
    <row r="929" spans="1:34" ht="14.4" x14ac:dyDescent="0.3">
      <c r="A929" s="66" t="s">
        <v>1907</v>
      </c>
      <c r="B929" s="66" t="s">
        <v>4024</v>
      </c>
      <c r="C929" s="33">
        <v>928</v>
      </c>
      <c r="D929" s="33" t="s">
        <v>5396</v>
      </c>
      <c r="E929" s="34" t="s">
        <v>5252</v>
      </c>
      <c r="F929" s="34" t="s">
        <v>931</v>
      </c>
      <c r="G929" s="57">
        <v>43238</v>
      </c>
      <c r="H929" s="57">
        <v>43721</v>
      </c>
      <c r="I929" s="34">
        <f t="shared" si="42"/>
        <v>15</v>
      </c>
      <c r="J929" s="34">
        <v>40</v>
      </c>
      <c r="K929" s="36">
        <v>1000</v>
      </c>
      <c r="L929" s="34" t="s">
        <v>17</v>
      </c>
      <c r="M929" s="57">
        <v>34422</v>
      </c>
      <c r="N929" s="37">
        <f>(YEAR(TablaMadre[[#This Row],[ALTA]])-YEAR(M929))</f>
        <v>24</v>
      </c>
      <c r="O929" s="34" t="s">
        <v>95</v>
      </c>
      <c r="P929" s="34" t="s">
        <v>95</v>
      </c>
      <c r="Q929" s="34" t="s">
        <v>136</v>
      </c>
      <c r="R929" s="34" t="s">
        <v>21</v>
      </c>
      <c r="S929" s="34" t="s">
        <v>136</v>
      </c>
      <c r="T929" s="34"/>
      <c r="U929" s="34"/>
      <c r="V929" s="34" t="s">
        <v>90</v>
      </c>
      <c r="W929" s="34" t="s">
        <v>97</v>
      </c>
      <c r="X929" s="38" t="s">
        <v>164</v>
      </c>
      <c r="Y929" s="62"/>
      <c r="Z929" s="62" t="e">
        <f t="shared" si="43"/>
        <v>#NUM!</v>
      </c>
      <c r="AA929" s="62"/>
      <c r="AB929" s="34"/>
      <c r="AC929" s="34">
        <v>9</v>
      </c>
      <c r="AD929" s="38"/>
      <c r="AE929" s="59" t="str">
        <f t="shared" si="44"/>
        <v>SÍ</v>
      </c>
      <c r="AF929" s="38" t="e" cm="1">
        <f t="array" aca="1" ref="AF929" ca="1">MIN(100, MAX(0, (IF(R929="ESTUDIANTE", 31, 0)) + (IF(I929&lt;=3, 30, IF(I929&lt;=6, 20, 0))) +(IF(OR(E929="413 - Control de Costes y Enlace Construcción", E929="480 - Secretaría General del Consejo", E929="132 - Civil y estructuras", E929="136 - Mecánica", E929="412 - Planificación", E929="142 - Compras"), 25, 0)) +(IF(OR(S929="GRADO ING. MECÁNICA", S929="GRADO ING. ELÉCTRICA", S929="GRADO DERECHO", S929="GRADO ECONOMÍA", S929="GRADO ING. TECNOLOGÍAS INDUSTRIALES"), 24, 0)) + (IF(AND(K929&gt;=451, K929&lt;=700), 23, 0)) + (IF(AND(AB929&gt;=5, AB929&lt;=8), 17, 0)) +(IF(_xludf.OR(_xludf.AND(AC929&gt;=8, AC929&lt;=10), _xludf.AND(AC929&gt;=0, AC929&lt;=5)), 16, 0)) + (IF(F929="Madrid", 11, 0))))</f>
        <v>#NAME?</v>
      </c>
      <c r="AG929" s="68"/>
      <c r="AH929" s="71" t="s">
        <v>164</v>
      </c>
    </row>
    <row r="930" spans="1:34" ht="14.4" x14ac:dyDescent="0.3">
      <c r="A930" s="66" t="s">
        <v>1908</v>
      </c>
      <c r="B930" s="66" t="s">
        <v>4025</v>
      </c>
      <c r="C930" s="33">
        <v>929</v>
      </c>
      <c r="D930" s="33" t="s">
        <v>5397</v>
      </c>
      <c r="E930" s="34" t="s">
        <v>5252</v>
      </c>
      <c r="F930" s="34" t="s">
        <v>931</v>
      </c>
      <c r="G930" s="57">
        <v>43238</v>
      </c>
      <c r="H930" s="57">
        <v>43721</v>
      </c>
      <c r="I930" s="34">
        <f t="shared" si="42"/>
        <v>15</v>
      </c>
      <c r="J930" s="34">
        <v>40</v>
      </c>
      <c r="K930" s="36">
        <v>1000</v>
      </c>
      <c r="L930" s="34" t="s">
        <v>17</v>
      </c>
      <c r="M930" s="57">
        <v>34672</v>
      </c>
      <c r="N930" s="37">
        <f>(YEAR(TablaMadre[[#This Row],[ALTA]])-YEAR(M930))</f>
        <v>24</v>
      </c>
      <c r="O930" s="34" t="s">
        <v>95</v>
      </c>
      <c r="P930" s="34" t="s">
        <v>95</v>
      </c>
      <c r="Q930" s="34" t="s">
        <v>136</v>
      </c>
      <c r="R930" s="34" t="s">
        <v>21</v>
      </c>
      <c r="S930" s="34" t="s">
        <v>136</v>
      </c>
      <c r="T930" s="34"/>
      <c r="U930" s="34"/>
      <c r="V930" s="34" t="s">
        <v>90</v>
      </c>
      <c r="W930" s="34" t="s">
        <v>97</v>
      </c>
      <c r="X930" s="38" t="s">
        <v>164</v>
      </c>
      <c r="Y930" s="62"/>
      <c r="Z930" s="62" t="e">
        <f t="shared" si="43"/>
        <v>#NUM!</v>
      </c>
      <c r="AA930" s="62"/>
      <c r="AB930" s="34"/>
      <c r="AC930" s="34">
        <v>9</v>
      </c>
      <c r="AD930" s="38"/>
      <c r="AE930" s="59" t="str">
        <f t="shared" si="44"/>
        <v>SÍ</v>
      </c>
      <c r="AF930" s="38" t="e" cm="1">
        <f t="array" aca="1" ref="AF930" ca="1">MIN(100, MAX(0, (IF(R930="ESTUDIANTE", 31, 0)) + (IF(I930&lt;=3, 30, IF(I930&lt;=6, 20, 0))) +(IF(OR(E930="413 - Control de Costes y Enlace Construcción", E930="480 - Secretaría General del Consejo", E930="132 - Civil y estructuras", E930="136 - Mecánica", E930="412 - Planificación", E930="142 - Compras"), 25, 0)) +(IF(OR(S930="GRADO ING. MECÁNICA", S930="GRADO ING. ELÉCTRICA", S930="GRADO DERECHO", S930="GRADO ECONOMÍA", S930="GRADO ING. TECNOLOGÍAS INDUSTRIALES"), 24, 0)) + (IF(AND(K930&gt;=451, K930&lt;=700), 23, 0)) + (IF(AND(AB930&gt;=5, AB930&lt;=8), 17, 0)) +(IF(_xludf.OR(_xludf.AND(AC930&gt;=8, AC930&lt;=10), _xludf.AND(AC930&gt;=0, AC930&lt;=5)), 16, 0)) + (IF(F930="Madrid", 11, 0))))</f>
        <v>#NAME?</v>
      </c>
      <c r="AG930" s="68"/>
      <c r="AH930" s="71" t="s">
        <v>164</v>
      </c>
    </row>
    <row r="931" spans="1:34" ht="14.4" x14ac:dyDescent="0.3">
      <c r="A931" s="66" t="s">
        <v>1909</v>
      </c>
      <c r="B931" s="66" t="s">
        <v>4026</v>
      </c>
      <c r="C931" s="33">
        <v>930</v>
      </c>
      <c r="D931" s="33" t="s">
        <v>5398</v>
      </c>
      <c r="E931" s="34" t="s">
        <v>5252</v>
      </c>
      <c r="F931" s="34" t="s">
        <v>931</v>
      </c>
      <c r="G931" s="57">
        <v>43238</v>
      </c>
      <c r="H931" s="57">
        <v>43721</v>
      </c>
      <c r="I931" s="34">
        <f t="shared" si="42"/>
        <v>15</v>
      </c>
      <c r="J931" s="34">
        <v>40</v>
      </c>
      <c r="K931" s="36">
        <v>1000</v>
      </c>
      <c r="L931" s="34" t="s">
        <v>17</v>
      </c>
      <c r="M931" s="57">
        <v>33062</v>
      </c>
      <c r="N931" s="37">
        <f>(YEAR(TablaMadre[[#This Row],[ALTA]])-YEAR(M931))</f>
        <v>28</v>
      </c>
      <c r="O931" s="34" t="s">
        <v>95</v>
      </c>
      <c r="P931" s="34" t="s">
        <v>95</v>
      </c>
      <c r="Q931" s="34" t="s">
        <v>136</v>
      </c>
      <c r="R931" s="34" t="s">
        <v>21</v>
      </c>
      <c r="S931" s="34" t="s">
        <v>136</v>
      </c>
      <c r="T931" s="34"/>
      <c r="U931" s="34"/>
      <c r="V931" s="34" t="s">
        <v>90</v>
      </c>
      <c r="W931" s="34" t="s">
        <v>97</v>
      </c>
      <c r="X931" s="38" t="s">
        <v>164</v>
      </c>
      <c r="Y931" s="62"/>
      <c r="Z931" s="62" t="e">
        <f t="shared" si="43"/>
        <v>#NUM!</v>
      </c>
      <c r="AA931" s="62"/>
      <c r="AB931" s="34"/>
      <c r="AC931" s="34">
        <v>9</v>
      </c>
      <c r="AD931" s="38"/>
      <c r="AE931" s="59" t="str">
        <f t="shared" si="44"/>
        <v>SÍ</v>
      </c>
      <c r="AF931" s="38" t="e" cm="1">
        <f t="array" aca="1" ref="AF931" ca="1">MIN(100, MAX(0, (IF(R931="ESTUDIANTE", 31, 0)) + (IF(I931&lt;=3, 30, IF(I931&lt;=6, 20, 0))) +(IF(OR(E931="413 - Control de Costes y Enlace Construcción", E931="480 - Secretaría General del Consejo", E931="132 - Civil y estructuras", E931="136 - Mecánica", E931="412 - Planificación", E931="142 - Compras"), 25, 0)) +(IF(OR(S931="GRADO ING. MECÁNICA", S931="GRADO ING. ELÉCTRICA", S931="GRADO DERECHO", S931="GRADO ECONOMÍA", S931="GRADO ING. TECNOLOGÍAS INDUSTRIALES"), 24, 0)) + (IF(AND(K931&gt;=451, K931&lt;=700), 23, 0)) + (IF(AND(AB931&gt;=5, AB931&lt;=8), 17, 0)) +(IF(_xludf.OR(_xludf.AND(AC931&gt;=8, AC931&lt;=10), _xludf.AND(AC931&gt;=0, AC931&lt;=5)), 16, 0)) + (IF(F931="Madrid", 11, 0))))</f>
        <v>#NAME?</v>
      </c>
      <c r="AG931" s="68"/>
      <c r="AH931" s="71" t="s">
        <v>164</v>
      </c>
    </row>
    <row r="932" spans="1:34" ht="14.4" x14ac:dyDescent="0.3">
      <c r="A932" s="66" t="s">
        <v>1910</v>
      </c>
      <c r="B932" s="66" t="s">
        <v>4027</v>
      </c>
      <c r="C932" s="33">
        <v>931</v>
      </c>
      <c r="D932" s="33" t="s">
        <v>5399</v>
      </c>
      <c r="E932" s="34" t="s">
        <v>5246</v>
      </c>
      <c r="F932" s="34" t="s">
        <v>931</v>
      </c>
      <c r="G932" s="57">
        <v>43238</v>
      </c>
      <c r="H932" s="57">
        <v>43721</v>
      </c>
      <c r="I932" s="34">
        <f t="shared" si="42"/>
        <v>15</v>
      </c>
      <c r="J932" s="34">
        <v>40</v>
      </c>
      <c r="K932" s="36">
        <v>1000</v>
      </c>
      <c r="L932" s="34" t="s">
        <v>17</v>
      </c>
      <c r="M932" s="57">
        <v>33652</v>
      </c>
      <c r="N932" s="37">
        <f>(YEAR(TablaMadre[[#This Row],[ALTA]])-YEAR(M932))</f>
        <v>26</v>
      </c>
      <c r="O932" s="34" t="s">
        <v>95</v>
      </c>
      <c r="P932" s="34" t="s">
        <v>95</v>
      </c>
      <c r="Q932" s="34" t="s">
        <v>277</v>
      </c>
      <c r="R932" s="34" t="s">
        <v>21</v>
      </c>
      <c r="S932" s="34" t="s">
        <v>277</v>
      </c>
      <c r="T932" s="34"/>
      <c r="U932" s="34"/>
      <c r="V932" s="34" t="s">
        <v>90</v>
      </c>
      <c r="W932" s="34" t="s">
        <v>97</v>
      </c>
      <c r="X932" s="38" t="s">
        <v>164</v>
      </c>
      <c r="Y932" s="62"/>
      <c r="Z932" s="62" t="e">
        <f t="shared" si="43"/>
        <v>#NUM!</v>
      </c>
      <c r="AA932" s="62"/>
      <c r="AB932" s="34"/>
      <c r="AC932" s="34">
        <v>4</v>
      </c>
      <c r="AD932" s="38"/>
      <c r="AE932" s="59" t="str">
        <f t="shared" si="44"/>
        <v>SÍ</v>
      </c>
      <c r="AF932" s="38" t="e" cm="1">
        <f t="array" aca="1" ref="AF932" ca="1">MIN(100, MAX(0, (IF(R932="ESTUDIANTE", 31, 0)) + (IF(I932&lt;=3, 30, IF(I932&lt;=6, 20, 0))) +(IF(OR(E932="413 - Control de Costes y Enlace Construcción", E932="480 - Secretaría General del Consejo", E932="132 - Civil y estructuras", E932="136 - Mecánica", E932="412 - Planificación", E932="142 - Compras"), 25, 0)) +(IF(OR(S932="GRADO ING. MECÁNICA", S932="GRADO ING. ELÉCTRICA", S932="GRADO DERECHO", S932="GRADO ECONOMÍA", S932="GRADO ING. TECNOLOGÍAS INDUSTRIALES"), 24, 0)) + (IF(AND(K932&gt;=451, K932&lt;=700), 23, 0)) + (IF(AND(AB932&gt;=5, AB932&lt;=8), 17, 0)) +(IF(_xludf.OR(_xludf.AND(AC932&gt;=8, AC932&lt;=10), _xludf.AND(AC932&gt;=0, AC932&lt;=5)), 16, 0)) + (IF(F932="Madrid", 11, 0))))</f>
        <v>#NAME?</v>
      </c>
      <c r="AG932" s="68"/>
      <c r="AH932" s="71" t="s">
        <v>164</v>
      </c>
    </row>
    <row r="933" spans="1:34" ht="14.4" x14ac:dyDescent="0.3">
      <c r="A933" s="66" t="s">
        <v>1868</v>
      </c>
      <c r="B933" s="66" t="s">
        <v>3985</v>
      </c>
      <c r="C933" s="33">
        <v>932</v>
      </c>
      <c r="D933" s="33" t="s">
        <v>5400</v>
      </c>
      <c r="E933" s="34" t="s">
        <v>5241</v>
      </c>
      <c r="F933" s="34" t="s">
        <v>18</v>
      </c>
      <c r="G933" s="57">
        <v>43248</v>
      </c>
      <c r="H933" s="57">
        <v>43578</v>
      </c>
      <c r="I933" s="34">
        <f t="shared" si="42"/>
        <v>10</v>
      </c>
      <c r="J933" s="34">
        <v>35</v>
      </c>
      <c r="K933" s="36">
        <v>900</v>
      </c>
      <c r="L933" s="34" t="s">
        <v>17</v>
      </c>
      <c r="M933" s="57">
        <v>34581</v>
      </c>
      <c r="N933" s="37">
        <f>(YEAR(TablaMadre[[#This Row],[ALTA]])-YEAR(M933))</f>
        <v>24</v>
      </c>
      <c r="O933" s="34" t="s">
        <v>18</v>
      </c>
      <c r="P933" s="34" t="s">
        <v>19</v>
      </c>
      <c r="Q933" s="34" t="s">
        <v>406</v>
      </c>
      <c r="R933" s="34" t="s">
        <v>21</v>
      </c>
      <c r="S933" s="34" t="s">
        <v>297</v>
      </c>
      <c r="T933" s="34"/>
      <c r="U933" s="34"/>
      <c r="V933" s="34" t="s">
        <v>84</v>
      </c>
      <c r="W933" s="34" t="s">
        <v>181</v>
      </c>
      <c r="X933" s="38" t="s">
        <v>164</v>
      </c>
      <c r="Y933" s="62"/>
      <c r="Z933" s="62" t="e">
        <f t="shared" si="43"/>
        <v>#NUM!</v>
      </c>
      <c r="AA933" s="62"/>
      <c r="AB933" s="34">
        <v>9</v>
      </c>
      <c r="AC933" s="34">
        <v>10</v>
      </c>
      <c r="AD933" s="38"/>
      <c r="AE933" s="59" t="str">
        <f t="shared" si="44"/>
        <v>NO</v>
      </c>
      <c r="AF933" s="38" t="e" cm="1">
        <f t="array" aca="1" ref="AF933" ca="1">MIN(100, MAX(0, (IF(R933="ESTUDIANTE", 31, 0)) + (IF(I933&lt;=3, 30, IF(I933&lt;=6, 20, 0))) +(IF(OR(E933="413 - Control de Costes y Enlace Construcción", E933="480 - Secretaría General del Consejo", E933="132 - Civil y estructuras", E933="136 - Mecánica", E933="412 - Planificación", E933="142 - Compras"), 25, 0)) +(IF(OR(S933="GRADO ING. MECÁNICA", S933="GRADO ING. ELÉCTRICA", S933="GRADO DERECHO", S933="GRADO ECONOMÍA", S933="GRADO ING. TECNOLOGÍAS INDUSTRIALES"), 24, 0)) + (IF(AND(K933&gt;=451, K933&lt;=700), 23, 0)) + (IF(AND(AB933&gt;=5, AB933&lt;=8), 17, 0)) +(IF(_xludf.OR(_xludf.AND(AC933&gt;=8, AC933&lt;=10), _xludf.AND(AC933&gt;=0, AC933&lt;=5)), 16, 0)) + (IF(F933="Madrid", 11, 0))))</f>
        <v>#NAME?</v>
      </c>
      <c r="AG933" s="68"/>
      <c r="AH933" s="71" t="s">
        <v>164</v>
      </c>
    </row>
    <row r="934" spans="1:34" ht="14.4" x14ac:dyDescent="0.3">
      <c r="A934" s="66" t="s">
        <v>1912</v>
      </c>
      <c r="B934" s="66" t="s">
        <v>4029</v>
      </c>
      <c r="C934" s="33">
        <v>933</v>
      </c>
      <c r="D934" s="33" t="s">
        <v>5401</v>
      </c>
      <c r="E934" s="34" t="s">
        <v>5222</v>
      </c>
      <c r="F934" s="34" t="s">
        <v>18</v>
      </c>
      <c r="G934" s="57">
        <v>43276</v>
      </c>
      <c r="H934" s="57">
        <v>43458</v>
      </c>
      <c r="I934" s="34">
        <f t="shared" si="42"/>
        <v>5</v>
      </c>
      <c r="J934" s="34">
        <v>35</v>
      </c>
      <c r="K934" s="36">
        <v>650</v>
      </c>
      <c r="L934" s="34" t="s">
        <v>17</v>
      </c>
      <c r="M934" s="57">
        <v>27729</v>
      </c>
      <c r="N934" s="37">
        <f>(YEAR(TablaMadre[[#This Row],[ALTA]])-YEAR(M934))</f>
        <v>43</v>
      </c>
      <c r="O934" s="34" t="s">
        <v>226</v>
      </c>
      <c r="P934" s="34" t="s">
        <v>19</v>
      </c>
      <c r="Q934" s="34" t="s">
        <v>422</v>
      </c>
      <c r="R934" s="58" t="s">
        <v>30</v>
      </c>
      <c r="S934" s="34" t="s">
        <v>26</v>
      </c>
      <c r="T934" s="34"/>
      <c r="U934" s="34"/>
      <c r="V934" s="34" t="s">
        <v>27</v>
      </c>
      <c r="W934" s="34" t="s">
        <v>28</v>
      </c>
      <c r="X934" s="38" t="s">
        <v>164</v>
      </c>
      <c r="Y934" s="62">
        <v>44191</v>
      </c>
      <c r="Z934" s="38">
        <f t="shared" si="43"/>
        <v>2</v>
      </c>
      <c r="AA934" s="38"/>
      <c r="AB934" s="34">
        <v>9</v>
      </c>
      <c r="AC934" s="34" t="s">
        <v>423</v>
      </c>
      <c r="AD934" s="38"/>
      <c r="AE934" s="59" t="str">
        <f t="shared" si="44"/>
        <v>SÍ</v>
      </c>
      <c r="AF934" s="38" t="e" cm="1">
        <f t="array" aca="1" ref="AF934" ca="1">MIN(100, MAX(0, (IF(R934="ESTUDIANTE", 31, 0)) + (IF(I934&lt;=3, 30, IF(I934&lt;=6, 20, 0))) +(IF(OR(E934="413 - Control de Costes y Enlace Construcción", E934="480 - Secretaría General del Consejo", E934="132 - Civil y estructuras", E934="136 - Mecánica", E934="412 - Planificación", E934="142 - Compras"), 25, 0)) +(IF(OR(S934="GRADO ING. MECÁNICA", S934="GRADO ING. ELÉCTRICA", S934="GRADO DERECHO", S934="GRADO ECONOMÍA", S934="GRADO ING. TECNOLOGÍAS INDUSTRIALES"), 24, 0)) + (IF(AND(K934&gt;=451, K934&lt;=700), 23, 0)) + (IF(AND(AB934&gt;=5, AB934&lt;=8), 17, 0)) +(IF(_xludf.OR(_xludf.AND(AC934&gt;=8, AC934&lt;=10), _xludf.AND(AC934&gt;=0, AC934&lt;=5)), 16, 0)) + (IF(F934="Madrid", 11, 0))))</f>
        <v>#NAME?</v>
      </c>
      <c r="AG934" s="68"/>
      <c r="AH934" s="71" t="s">
        <v>164</v>
      </c>
    </row>
    <row r="935" spans="1:34" ht="14.4" x14ac:dyDescent="0.3">
      <c r="A935" s="66" t="s">
        <v>1855</v>
      </c>
      <c r="B935" s="66" t="s">
        <v>3972</v>
      </c>
      <c r="C935" s="33">
        <v>934</v>
      </c>
      <c r="D935" s="33" t="s">
        <v>5402</v>
      </c>
      <c r="E935" s="34" t="s">
        <v>5249</v>
      </c>
      <c r="F935" s="34" t="s">
        <v>18</v>
      </c>
      <c r="G935" s="57">
        <v>43284</v>
      </c>
      <c r="H935" s="57">
        <v>43520</v>
      </c>
      <c r="I935" s="34">
        <f t="shared" si="42"/>
        <v>7</v>
      </c>
      <c r="J935" s="34">
        <v>35</v>
      </c>
      <c r="K935" s="36">
        <v>900</v>
      </c>
      <c r="L935" s="34" t="s">
        <v>17</v>
      </c>
      <c r="M935" s="57">
        <v>34075</v>
      </c>
      <c r="N935" s="37">
        <f>(YEAR(TablaMadre[[#This Row],[ALTA]])-YEAR(M935))</f>
        <v>25</v>
      </c>
      <c r="O935" s="34" t="s">
        <v>18</v>
      </c>
      <c r="P935" s="34" t="s">
        <v>19</v>
      </c>
      <c r="Q935" s="34" t="s">
        <v>426</v>
      </c>
      <c r="R935" s="34" t="s">
        <v>21</v>
      </c>
      <c r="S935" s="34" t="s">
        <v>297</v>
      </c>
      <c r="T935" s="34"/>
      <c r="U935" s="34"/>
      <c r="V935" s="34" t="s">
        <v>40</v>
      </c>
      <c r="W935" s="34" t="s">
        <v>47</v>
      </c>
      <c r="X935" s="38" t="s">
        <v>164</v>
      </c>
      <c r="Y935" s="62"/>
      <c r="Z935" s="62" t="e">
        <f t="shared" si="43"/>
        <v>#NUM!</v>
      </c>
      <c r="AA935" s="62"/>
      <c r="AB935" s="34">
        <v>9</v>
      </c>
      <c r="AC935" s="34" t="s">
        <v>427</v>
      </c>
      <c r="AD935" s="38"/>
      <c r="AE935" s="59" t="str">
        <f t="shared" si="44"/>
        <v>NO</v>
      </c>
      <c r="AF935" s="38" t="e" cm="1">
        <f t="array" aca="1" ref="AF935" ca="1">MIN(100, MAX(0, (IF(R935="ESTUDIANTE", 31, 0)) + (IF(I935&lt;=3, 30, IF(I935&lt;=6, 20, 0))) +(IF(OR(E935="413 - Control de Costes y Enlace Construcción", E935="480 - Secretaría General del Consejo", E935="132 - Civil y estructuras", E935="136 - Mecánica", E935="412 - Planificación", E935="142 - Compras"), 25, 0)) +(IF(OR(S935="GRADO ING. MECÁNICA", S935="GRADO ING. ELÉCTRICA", S935="GRADO DERECHO", S935="GRADO ECONOMÍA", S935="GRADO ING. TECNOLOGÍAS INDUSTRIALES"), 24, 0)) + (IF(AND(K935&gt;=451, K935&lt;=700), 23, 0)) + (IF(AND(AB935&gt;=5, AB935&lt;=8), 17, 0)) +(IF(_xludf.OR(_xludf.AND(AC935&gt;=8, AC935&lt;=10), _xludf.AND(AC935&gt;=0, AC935&lt;=5)), 16, 0)) + (IF(F935="Madrid", 11, 0))))</f>
        <v>#NAME?</v>
      </c>
      <c r="AG935" s="68"/>
      <c r="AH935" s="71" t="s">
        <v>164</v>
      </c>
    </row>
    <row r="936" spans="1:34" ht="14.4" x14ac:dyDescent="0.3">
      <c r="A936" s="66" t="s">
        <v>1866</v>
      </c>
      <c r="B936" s="66" t="s">
        <v>3983</v>
      </c>
      <c r="C936" s="33">
        <v>935</v>
      </c>
      <c r="D936" s="33" t="s">
        <v>5393</v>
      </c>
      <c r="E936" s="34" t="s">
        <v>5265</v>
      </c>
      <c r="F936" s="34" t="s">
        <v>18</v>
      </c>
      <c r="G936" s="57">
        <v>43286</v>
      </c>
      <c r="H936" s="57">
        <v>43646</v>
      </c>
      <c r="I936" s="34">
        <f t="shared" si="42"/>
        <v>11</v>
      </c>
      <c r="J936" s="34">
        <v>35</v>
      </c>
      <c r="K936" s="36">
        <v>650</v>
      </c>
      <c r="L936" s="34" t="s">
        <v>29</v>
      </c>
      <c r="M936" s="57">
        <v>35717</v>
      </c>
      <c r="N936" s="37">
        <f>(YEAR(TablaMadre[[#This Row],[ALTA]])-YEAR(M936))</f>
        <v>21</v>
      </c>
      <c r="O936" s="34" t="s">
        <v>18</v>
      </c>
      <c r="P936" s="34" t="s">
        <v>19</v>
      </c>
      <c r="Q936" s="34" t="s">
        <v>229</v>
      </c>
      <c r="R936" s="58" t="s">
        <v>30</v>
      </c>
      <c r="S936" s="34" t="s">
        <v>229</v>
      </c>
      <c r="T936" s="34"/>
      <c r="U936" s="34"/>
      <c r="V936" s="34" t="s">
        <v>163</v>
      </c>
      <c r="W936" s="34" t="s">
        <v>23</v>
      </c>
      <c r="X936" s="38" t="s">
        <v>164</v>
      </c>
      <c r="Y936" s="62"/>
      <c r="Z936" s="62" t="e">
        <f t="shared" si="43"/>
        <v>#NUM!</v>
      </c>
      <c r="AA936" s="62"/>
      <c r="AB936" s="34"/>
      <c r="AC936" s="34"/>
      <c r="AD936" s="38"/>
      <c r="AE936" s="59" t="str">
        <f t="shared" si="44"/>
        <v>NO</v>
      </c>
      <c r="AF936" s="38" t="e" cm="1">
        <f t="array" aca="1" ref="AF936" ca="1">MIN(100, MAX(0, (IF(R936="ESTUDIANTE", 31, 0)) + (IF(I936&lt;=3, 30, IF(I936&lt;=6, 20, 0))) +(IF(OR(E936="413 - Control de Costes y Enlace Construcción", E936="480 - Secretaría General del Consejo", E936="132 - Civil y estructuras", E936="136 - Mecánica", E936="412 - Planificación", E936="142 - Compras"), 25, 0)) +(IF(OR(S936="GRADO ING. MECÁNICA", S936="GRADO ING. ELÉCTRICA", S936="GRADO DERECHO", S936="GRADO ECONOMÍA", S936="GRADO ING. TECNOLOGÍAS INDUSTRIALES"), 24, 0)) + (IF(AND(K936&gt;=451, K936&lt;=700), 23, 0)) + (IF(AND(AB936&gt;=5, AB936&lt;=8), 17, 0)) +(IF(_xludf.OR(_xludf.AND(AC936&gt;=8, AC936&lt;=10), _xludf.AND(AC936&gt;=0, AC936&lt;=5)), 16, 0)) + (IF(F936="Madrid", 11, 0))))</f>
        <v>#NAME?</v>
      </c>
      <c r="AG936" s="68"/>
      <c r="AH936" s="71" t="s">
        <v>164</v>
      </c>
    </row>
    <row r="937" spans="1:34" ht="14.4" x14ac:dyDescent="0.3">
      <c r="A937" s="66" t="s">
        <v>1915</v>
      </c>
      <c r="B937" s="66" t="s">
        <v>4032</v>
      </c>
      <c r="C937" s="33">
        <v>936</v>
      </c>
      <c r="D937" s="33" t="s">
        <v>5394</v>
      </c>
      <c r="E937" s="34" t="s">
        <v>5216</v>
      </c>
      <c r="F937" s="34" t="s">
        <v>18</v>
      </c>
      <c r="G937" s="57">
        <v>43290</v>
      </c>
      <c r="H937" s="57">
        <v>43830</v>
      </c>
      <c r="I937" s="34">
        <f t="shared" si="42"/>
        <v>17</v>
      </c>
      <c r="J937" s="34">
        <v>35</v>
      </c>
      <c r="K937" s="36">
        <v>825</v>
      </c>
      <c r="L937" s="34" t="s">
        <v>17</v>
      </c>
      <c r="M937" s="57">
        <v>34959</v>
      </c>
      <c r="N937" s="37">
        <f>(YEAR(TablaMadre[[#This Row],[ALTA]])-YEAR(M937))</f>
        <v>23</v>
      </c>
      <c r="O937" s="34" t="s">
        <v>18</v>
      </c>
      <c r="P937" s="34" t="s">
        <v>19</v>
      </c>
      <c r="Q937" s="34" t="s">
        <v>297</v>
      </c>
      <c r="R937" s="34" t="s">
        <v>21</v>
      </c>
      <c r="S937" s="34" t="s">
        <v>297</v>
      </c>
      <c r="T937" s="34"/>
      <c r="U937" s="34"/>
      <c r="V937" s="34" t="s">
        <v>56</v>
      </c>
      <c r="W937" s="34" t="s">
        <v>28</v>
      </c>
      <c r="X937" s="38" t="s">
        <v>173</v>
      </c>
      <c r="Y937" s="62"/>
      <c r="Z937" s="38" t="e">
        <f t="shared" si="43"/>
        <v>#NUM!</v>
      </c>
      <c r="AA937" s="38"/>
      <c r="AB937" s="34"/>
      <c r="AC937" s="34">
        <v>7.8</v>
      </c>
      <c r="AD937" s="38"/>
      <c r="AE937" s="59" t="str">
        <f t="shared" si="44"/>
        <v>NO</v>
      </c>
      <c r="AF937" s="38" t="e" cm="1">
        <f t="array" aca="1" ref="AF937" ca="1">MIN(100, MAX(0, (IF(R937="ESTUDIANTE", 31, 0)) + (IF(I937&lt;=3, 30, IF(I937&lt;=6, 20, 0))) +(IF(OR(E937="413 - Control de Costes y Enlace Construcción", E937="480 - Secretaría General del Consejo", E937="132 - Civil y estructuras", E937="136 - Mecánica", E937="412 - Planificación", E937="142 - Compras"), 25, 0)) +(IF(OR(S937="GRADO ING. MECÁNICA", S937="GRADO ING. ELÉCTRICA", S937="GRADO DERECHO", S937="GRADO ECONOMÍA", S937="GRADO ING. TECNOLOGÍAS INDUSTRIALES"), 24, 0)) + (IF(AND(K937&gt;=451, K937&lt;=700), 23, 0)) + (IF(AND(AB937&gt;=5, AB937&lt;=8), 17, 0)) +(IF(_xludf.OR(_xludf.AND(AC937&gt;=8, AC937&lt;=10), _xludf.AND(AC937&gt;=0, AC937&lt;=5)), 16, 0)) + (IF(F937="Madrid", 11, 0))))</f>
        <v>#NAME?</v>
      </c>
      <c r="AG937" s="68"/>
      <c r="AH937" s="71" t="s">
        <v>164</v>
      </c>
    </row>
    <row r="938" spans="1:34" ht="14.4" x14ac:dyDescent="0.3">
      <c r="A938" s="66" t="s">
        <v>1916</v>
      </c>
      <c r="B938" s="66" t="s">
        <v>4033</v>
      </c>
      <c r="C938" s="33">
        <v>937</v>
      </c>
      <c r="D938" s="33" t="s">
        <v>5395</v>
      </c>
      <c r="E938" s="34" t="s">
        <v>5241</v>
      </c>
      <c r="F938" s="34" t="s">
        <v>931</v>
      </c>
      <c r="G938" s="57">
        <v>43292</v>
      </c>
      <c r="H938" s="57">
        <v>43627</v>
      </c>
      <c r="I938" s="34">
        <f t="shared" si="42"/>
        <v>11</v>
      </c>
      <c r="J938" s="34">
        <v>40</v>
      </c>
      <c r="K938" s="36">
        <v>1000</v>
      </c>
      <c r="L938" s="34" t="s">
        <v>17</v>
      </c>
      <c r="M938" s="57">
        <v>33612</v>
      </c>
      <c r="N938" s="37">
        <f>(YEAR(TablaMadre[[#This Row],[ALTA]])-YEAR(M938))</f>
        <v>26</v>
      </c>
      <c r="O938" s="34" t="s">
        <v>95</v>
      </c>
      <c r="P938" s="34" t="s">
        <v>95</v>
      </c>
      <c r="Q938" s="34" t="s">
        <v>136</v>
      </c>
      <c r="R938" s="34" t="s">
        <v>21</v>
      </c>
      <c r="S938" s="34" t="s">
        <v>136</v>
      </c>
      <c r="T938" s="34"/>
      <c r="U938" s="34"/>
      <c r="V938" s="34" t="s">
        <v>90</v>
      </c>
      <c r="W938" s="34" t="s">
        <v>97</v>
      </c>
      <c r="X938" s="38" t="s">
        <v>164</v>
      </c>
      <c r="Y938" s="62"/>
      <c r="Z938" s="62" t="e">
        <f t="shared" si="43"/>
        <v>#NUM!</v>
      </c>
      <c r="AA938" s="62"/>
      <c r="AB938" s="34"/>
      <c r="AC938" s="34"/>
      <c r="AD938" s="38"/>
      <c r="AE938" s="59" t="str">
        <f t="shared" si="44"/>
        <v>SÍ</v>
      </c>
      <c r="AF938" s="38" t="e" cm="1">
        <f t="array" aca="1" ref="AF938" ca="1">MIN(100, MAX(0, (IF(R938="ESTUDIANTE", 31, 0)) + (IF(I938&lt;=3, 30, IF(I938&lt;=6, 20, 0))) +(IF(OR(E938="413 - Control de Costes y Enlace Construcción", E938="480 - Secretaría General del Consejo", E938="132 - Civil y estructuras", E938="136 - Mecánica", E938="412 - Planificación", E938="142 - Compras"), 25, 0)) +(IF(OR(S938="GRADO ING. MECÁNICA", S938="GRADO ING. ELÉCTRICA", S938="GRADO DERECHO", S938="GRADO ECONOMÍA", S938="GRADO ING. TECNOLOGÍAS INDUSTRIALES"), 24, 0)) + (IF(AND(K938&gt;=451, K938&lt;=700), 23, 0)) + (IF(AND(AB938&gt;=5, AB938&lt;=8), 17, 0)) +(IF(_xludf.OR(_xludf.AND(AC938&gt;=8, AC938&lt;=10), _xludf.AND(AC938&gt;=0, AC938&lt;=5)), 16, 0)) + (IF(F938="Madrid", 11, 0))))</f>
        <v>#NAME?</v>
      </c>
      <c r="AG938" s="68"/>
      <c r="AH938" s="71" t="s">
        <v>164</v>
      </c>
    </row>
    <row r="939" spans="1:34" ht="14.4" x14ac:dyDescent="0.3">
      <c r="A939" s="66" t="s">
        <v>1917</v>
      </c>
      <c r="B939" s="66" t="s">
        <v>4034</v>
      </c>
      <c r="C939" s="33">
        <v>938</v>
      </c>
      <c r="D939" s="33" t="s">
        <v>5396</v>
      </c>
      <c r="E939" s="34" t="s">
        <v>5256</v>
      </c>
      <c r="F939" s="34" t="s">
        <v>18</v>
      </c>
      <c r="G939" s="57">
        <v>43297</v>
      </c>
      <c r="H939" s="57">
        <v>43661</v>
      </c>
      <c r="I939" s="34">
        <f t="shared" si="42"/>
        <v>11</v>
      </c>
      <c r="J939" s="34">
        <v>35</v>
      </c>
      <c r="K939" s="36">
        <v>900</v>
      </c>
      <c r="L939" s="34" t="s">
        <v>29</v>
      </c>
      <c r="M939" s="57">
        <v>33482</v>
      </c>
      <c r="N939" s="37">
        <f>(YEAR(TablaMadre[[#This Row],[ALTA]])-YEAR(M939))</f>
        <v>27</v>
      </c>
      <c r="O939" s="34" t="s">
        <v>152</v>
      </c>
      <c r="P939" s="34" t="s">
        <v>152</v>
      </c>
      <c r="Q939" s="34" t="s">
        <v>406</v>
      </c>
      <c r="R939" s="34" t="s">
        <v>21</v>
      </c>
      <c r="S939" s="34" t="s">
        <v>297</v>
      </c>
      <c r="T939" s="34"/>
      <c r="U939" s="34"/>
      <c r="V939" s="34" t="s">
        <v>50</v>
      </c>
      <c r="W939" s="34" t="s">
        <v>28</v>
      </c>
      <c r="X939" s="38" t="s">
        <v>164</v>
      </c>
      <c r="Y939" s="62">
        <v>44361</v>
      </c>
      <c r="Z939" s="38">
        <f t="shared" si="43"/>
        <v>1</v>
      </c>
      <c r="AA939" s="38"/>
      <c r="AB939" s="34">
        <v>9</v>
      </c>
      <c r="AC939" s="34">
        <v>10</v>
      </c>
      <c r="AD939" s="38"/>
      <c r="AE939" s="59" t="str">
        <f t="shared" si="44"/>
        <v>SÍ</v>
      </c>
      <c r="AF939" s="38" t="e" cm="1">
        <f t="array" aca="1" ref="AF939" ca="1">MIN(100, MAX(0, (IF(R939="ESTUDIANTE", 31, 0)) + (IF(I939&lt;=3, 30, IF(I939&lt;=6, 20, 0))) +(IF(OR(E939="413 - Control de Costes y Enlace Construcción", E939="480 - Secretaría General del Consejo", E939="132 - Civil y estructuras", E939="136 - Mecánica", E939="412 - Planificación", E939="142 - Compras"), 25, 0)) +(IF(OR(S939="GRADO ING. MECÁNICA", S939="GRADO ING. ELÉCTRICA", S939="GRADO DERECHO", S939="GRADO ECONOMÍA", S939="GRADO ING. TECNOLOGÍAS INDUSTRIALES"), 24, 0)) + (IF(AND(K939&gt;=451, K939&lt;=700), 23, 0)) + (IF(AND(AB939&gt;=5, AB939&lt;=8), 17, 0)) +(IF(_xludf.OR(_xludf.AND(AC939&gt;=8, AC939&lt;=10), _xludf.AND(AC939&gt;=0, AC939&lt;=5)), 16, 0)) + (IF(F939="Madrid", 11, 0))))</f>
        <v>#NAME?</v>
      </c>
      <c r="AG939" s="68"/>
      <c r="AH939" s="71" t="s">
        <v>164</v>
      </c>
    </row>
    <row r="940" spans="1:34" ht="14.4" x14ac:dyDescent="0.3">
      <c r="A940" s="66" t="s">
        <v>1918</v>
      </c>
      <c r="B940" s="66" t="s">
        <v>4035</v>
      </c>
      <c r="C940" s="33">
        <v>939</v>
      </c>
      <c r="D940" s="33" t="s">
        <v>5397</v>
      </c>
      <c r="E940" s="34" t="s">
        <v>5253</v>
      </c>
      <c r="F940" s="34" t="s">
        <v>18</v>
      </c>
      <c r="G940" s="57">
        <v>43313</v>
      </c>
      <c r="H940" s="57">
        <v>43616</v>
      </c>
      <c r="I940" s="34">
        <f t="shared" si="42"/>
        <v>9</v>
      </c>
      <c r="J940" s="34">
        <v>35</v>
      </c>
      <c r="K940" s="36">
        <v>900</v>
      </c>
      <c r="L940" s="34" t="s">
        <v>17</v>
      </c>
      <c r="M940" s="57">
        <v>32678</v>
      </c>
      <c r="N940" s="37">
        <f>(YEAR(TablaMadre[[#This Row],[ALTA]])-YEAR(M940))</f>
        <v>29</v>
      </c>
      <c r="O940" s="34" t="s">
        <v>18</v>
      </c>
      <c r="P940" s="34" t="s">
        <v>19</v>
      </c>
      <c r="Q940" s="34" t="s">
        <v>336</v>
      </c>
      <c r="R940" s="34" t="s">
        <v>21</v>
      </c>
      <c r="S940" s="34" t="s">
        <v>322</v>
      </c>
      <c r="T940" s="34"/>
      <c r="U940" s="34"/>
      <c r="V940" s="34" t="s">
        <v>131</v>
      </c>
      <c r="W940" s="34" t="s">
        <v>97</v>
      </c>
      <c r="X940" s="38" t="s">
        <v>164</v>
      </c>
      <c r="Y940" s="62">
        <v>44611</v>
      </c>
      <c r="Z940" s="38">
        <f t="shared" si="43"/>
        <v>2</v>
      </c>
      <c r="AA940" s="38"/>
      <c r="AB940" s="34"/>
      <c r="AC940" s="34"/>
      <c r="AD940" s="38"/>
      <c r="AE940" s="59" t="str">
        <f t="shared" si="44"/>
        <v>NO</v>
      </c>
      <c r="AF940" s="38" t="e" cm="1">
        <f t="array" aca="1" ref="AF940" ca="1">MIN(100, MAX(0, (IF(R940="ESTUDIANTE", 31, 0)) + (IF(I940&lt;=3, 30, IF(I940&lt;=6, 20, 0))) +(IF(OR(E940="413 - Control de Costes y Enlace Construcción", E940="480 - Secretaría General del Consejo", E940="132 - Civil y estructuras", E940="136 - Mecánica", E940="412 - Planificación", E940="142 - Compras"), 25, 0)) +(IF(OR(S940="GRADO ING. MECÁNICA", S940="GRADO ING. ELÉCTRICA", S940="GRADO DERECHO", S940="GRADO ECONOMÍA", S940="GRADO ING. TECNOLOGÍAS INDUSTRIALES"), 24, 0)) + (IF(AND(K940&gt;=451, K940&lt;=700), 23, 0)) + (IF(AND(AB940&gt;=5, AB940&lt;=8), 17, 0)) +(IF(_xludf.OR(_xludf.AND(AC940&gt;=8, AC940&lt;=10), _xludf.AND(AC940&gt;=0, AC940&lt;=5)), 16, 0)) + (IF(F940="Madrid", 11, 0))))</f>
        <v>#NAME?</v>
      </c>
      <c r="AG940" s="68"/>
      <c r="AH940" s="71" t="s">
        <v>164</v>
      </c>
    </row>
    <row r="941" spans="1:34" ht="14.4" x14ac:dyDescent="0.3">
      <c r="A941" s="66" t="s">
        <v>1919</v>
      </c>
      <c r="B941" s="66" t="s">
        <v>4036</v>
      </c>
      <c r="C941" s="33">
        <v>940</v>
      </c>
      <c r="D941" s="33" t="s">
        <v>5398</v>
      </c>
      <c r="E941" s="34" t="s">
        <v>5221</v>
      </c>
      <c r="F941" s="34" t="s">
        <v>118</v>
      </c>
      <c r="G941" s="57">
        <v>43313</v>
      </c>
      <c r="H941" s="57">
        <v>43647</v>
      </c>
      <c r="I941" s="34">
        <f t="shared" si="42"/>
        <v>11</v>
      </c>
      <c r="J941" s="34">
        <v>35</v>
      </c>
      <c r="K941" s="36">
        <v>825</v>
      </c>
      <c r="L941" s="34" t="s">
        <v>17</v>
      </c>
      <c r="M941" s="57">
        <v>34980</v>
      </c>
      <c r="N941" s="37">
        <f>(YEAR(TablaMadre[[#This Row],[ALTA]])-YEAR(M941))</f>
        <v>23</v>
      </c>
      <c r="O941" s="34" t="s">
        <v>18</v>
      </c>
      <c r="P941" s="34" t="s">
        <v>19</v>
      </c>
      <c r="Q941" s="34" t="s">
        <v>297</v>
      </c>
      <c r="R941" s="34" t="s">
        <v>21</v>
      </c>
      <c r="S941" s="34" t="s">
        <v>297</v>
      </c>
      <c r="T941" s="34"/>
      <c r="U941" s="34"/>
      <c r="V941" s="34" t="s">
        <v>37</v>
      </c>
      <c r="W941" s="34" t="s">
        <v>28</v>
      </c>
      <c r="X941" s="38" t="s">
        <v>164</v>
      </c>
      <c r="Y941" s="62">
        <v>44853</v>
      </c>
      <c r="Z941" s="38">
        <f t="shared" si="43"/>
        <v>3</v>
      </c>
      <c r="AA941" s="38"/>
      <c r="AB941" s="34">
        <v>10</v>
      </c>
      <c r="AC941" s="34">
        <v>10</v>
      </c>
      <c r="AD941" s="38"/>
      <c r="AE941" s="59" t="str">
        <f t="shared" si="44"/>
        <v>SÍ</v>
      </c>
      <c r="AF941" s="38" t="e" cm="1">
        <f t="array" aca="1" ref="AF941" ca="1">MIN(100, MAX(0, (IF(R941="ESTUDIANTE", 31, 0)) + (IF(I941&lt;=3, 30, IF(I941&lt;=6, 20, 0))) +(IF(OR(E941="413 - Control de Costes y Enlace Construcción", E941="480 - Secretaría General del Consejo", E941="132 - Civil y estructuras", E941="136 - Mecánica", E941="412 - Planificación", E941="142 - Compras"), 25, 0)) +(IF(OR(S941="GRADO ING. MECÁNICA", S941="GRADO ING. ELÉCTRICA", S941="GRADO DERECHO", S941="GRADO ECONOMÍA", S941="GRADO ING. TECNOLOGÍAS INDUSTRIALES"), 24, 0)) + (IF(AND(K941&gt;=451, K941&lt;=700), 23, 0)) + (IF(AND(AB941&gt;=5, AB941&lt;=8), 17, 0)) +(IF(_xludf.OR(_xludf.AND(AC941&gt;=8, AC941&lt;=10), _xludf.AND(AC941&gt;=0, AC941&lt;=5)), 16, 0)) + (IF(F941="Madrid", 11, 0))))</f>
        <v>#NAME?</v>
      </c>
      <c r="AG941" s="68"/>
      <c r="AH941" s="71" t="s">
        <v>164</v>
      </c>
    </row>
    <row r="942" spans="1:34" ht="14.4" x14ac:dyDescent="0.3">
      <c r="A942" s="66" t="s">
        <v>1920</v>
      </c>
      <c r="B942" s="66" t="s">
        <v>4037</v>
      </c>
      <c r="C942" s="33">
        <v>941</v>
      </c>
      <c r="D942" s="33" t="s">
        <v>5399</v>
      </c>
      <c r="E942" s="34" t="s">
        <v>5273</v>
      </c>
      <c r="F942" s="34" t="s">
        <v>18</v>
      </c>
      <c r="G942" s="57">
        <v>43313</v>
      </c>
      <c r="H942" s="57">
        <v>43647</v>
      </c>
      <c r="I942" s="34">
        <f t="shared" si="42"/>
        <v>11</v>
      </c>
      <c r="J942" s="34">
        <v>35</v>
      </c>
      <c r="K942" s="36">
        <v>825</v>
      </c>
      <c r="L942" s="34" t="s">
        <v>17</v>
      </c>
      <c r="M942" s="57">
        <v>33244</v>
      </c>
      <c r="N942" s="37">
        <f>(YEAR(TablaMadre[[#This Row],[ALTA]])-YEAR(M942))</f>
        <v>27</v>
      </c>
      <c r="O942" s="34" t="s">
        <v>18</v>
      </c>
      <c r="P942" s="34" t="s">
        <v>19</v>
      </c>
      <c r="Q942" s="34" t="s">
        <v>431</v>
      </c>
      <c r="R942" s="34" t="s">
        <v>21</v>
      </c>
      <c r="S942" s="34" t="s">
        <v>321</v>
      </c>
      <c r="T942" s="34"/>
      <c r="U942" s="34"/>
      <c r="V942" s="34" t="s">
        <v>74</v>
      </c>
      <c r="W942" s="34" t="s">
        <v>28</v>
      </c>
      <c r="X942" s="38" t="s">
        <v>164</v>
      </c>
      <c r="Y942" s="62">
        <v>44204</v>
      </c>
      <c r="Z942" s="38">
        <f t="shared" si="43"/>
        <v>1</v>
      </c>
      <c r="AA942" s="38"/>
      <c r="AB942" s="34">
        <v>8</v>
      </c>
      <c r="AC942" s="34">
        <v>10</v>
      </c>
      <c r="AD942" s="38"/>
      <c r="AE942" s="59" t="str">
        <f t="shared" si="44"/>
        <v>NO</v>
      </c>
      <c r="AF942" s="38" t="e" cm="1">
        <f t="array" aca="1" ref="AF942" ca="1">MIN(100, MAX(0, (IF(R942="ESTUDIANTE", 31, 0)) + (IF(I942&lt;=3, 30, IF(I942&lt;=6, 20, 0))) +(IF(OR(E942="413 - Control de Costes y Enlace Construcción", E942="480 - Secretaría General del Consejo", E942="132 - Civil y estructuras", E942="136 - Mecánica", E942="412 - Planificación", E942="142 - Compras"), 25, 0)) +(IF(OR(S942="GRADO ING. MECÁNICA", S942="GRADO ING. ELÉCTRICA", S942="GRADO DERECHO", S942="GRADO ECONOMÍA", S942="GRADO ING. TECNOLOGÍAS INDUSTRIALES"), 24, 0)) + (IF(AND(K942&gt;=451, K942&lt;=700), 23, 0)) + (IF(AND(AB942&gt;=5, AB942&lt;=8), 17, 0)) +(IF(_xludf.OR(_xludf.AND(AC942&gt;=8, AC942&lt;=10), _xludf.AND(AC942&gt;=0, AC942&lt;=5)), 16, 0)) + (IF(F942="Madrid", 11, 0))))</f>
        <v>#NAME?</v>
      </c>
      <c r="AG942" s="68"/>
      <c r="AH942" s="71" t="s">
        <v>164</v>
      </c>
    </row>
    <row r="943" spans="1:34" ht="14.4" x14ac:dyDescent="0.3">
      <c r="A943" s="66" t="s">
        <v>1921</v>
      </c>
      <c r="B943" s="66" t="s">
        <v>4038</v>
      </c>
      <c r="C943" s="33">
        <v>942</v>
      </c>
      <c r="D943" s="33" t="s">
        <v>5393</v>
      </c>
      <c r="E943" s="34" t="s">
        <v>5273</v>
      </c>
      <c r="F943" s="34" t="s">
        <v>18</v>
      </c>
      <c r="G943" s="57">
        <v>43313</v>
      </c>
      <c r="H943" s="57">
        <v>43647</v>
      </c>
      <c r="I943" s="34">
        <f t="shared" si="42"/>
        <v>11</v>
      </c>
      <c r="J943" s="34">
        <v>35</v>
      </c>
      <c r="K943" s="36">
        <v>900</v>
      </c>
      <c r="L943" s="34" t="s">
        <v>17</v>
      </c>
      <c r="M943" s="57">
        <v>32763</v>
      </c>
      <c r="N943" s="37">
        <f>(YEAR(TablaMadre[[#This Row],[ALTA]])-YEAR(M943))</f>
        <v>29</v>
      </c>
      <c r="O943" s="34" t="s">
        <v>18</v>
      </c>
      <c r="P943" s="34" t="s">
        <v>19</v>
      </c>
      <c r="Q943" s="34" t="s">
        <v>336</v>
      </c>
      <c r="R943" s="34" t="s">
        <v>21</v>
      </c>
      <c r="S943" s="34" t="s">
        <v>322</v>
      </c>
      <c r="T943" s="34"/>
      <c r="U943" s="34"/>
      <c r="V943" s="34" t="s">
        <v>67</v>
      </c>
      <c r="W943" s="34" t="s">
        <v>28</v>
      </c>
      <c r="X943" s="38" t="s">
        <v>164</v>
      </c>
      <c r="Y943" s="62">
        <v>44739</v>
      </c>
      <c r="Z943" s="38">
        <f t="shared" si="43"/>
        <v>2</v>
      </c>
      <c r="AA943" s="38"/>
      <c r="AB943" s="34">
        <v>7</v>
      </c>
      <c r="AC943" s="34">
        <v>8</v>
      </c>
      <c r="AD943" s="38"/>
      <c r="AE943" s="59" t="str">
        <f t="shared" si="44"/>
        <v>NO</v>
      </c>
      <c r="AF943" s="38" t="e" cm="1">
        <f t="array" aca="1" ref="AF943" ca="1">MIN(100, MAX(0, (IF(R943="ESTUDIANTE", 31, 0)) + (IF(I943&lt;=3, 30, IF(I943&lt;=6, 20, 0))) +(IF(OR(E943="413 - Control de Costes y Enlace Construcción", E943="480 - Secretaría General del Consejo", E943="132 - Civil y estructuras", E943="136 - Mecánica", E943="412 - Planificación", E943="142 - Compras"), 25, 0)) +(IF(OR(S943="GRADO ING. MECÁNICA", S943="GRADO ING. ELÉCTRICA", S943="GRADO DERECHO", S943="GRADO ECONOMÍA", S943="GRADO ING. TECNOLOGÍAS INDUSTRIALES"), 24, 0)) + (IF(AND(K943&gt;=451, K943&lt;=700), 23, 0)) + (IF(AND(AB943&gt;=5, AB943&lt;=8), 17, 0)) +(IF(_xludf.OR(_xludf.AND(AC943&gt;=8, AC943&lt;=10), _xludf.AND(AC943&gt;=0, AC943&lt;=5)), 16, 0)) + (IF(F943="Madrid", 11, 0))))</f>
        <v>#NAME?</v>
      </c>
      <c r="AG943" s="68"/>
      <c r="AH943" s="71" t="s">
        <v>164</v>
      </c>
    </row>
    <row r="944" spans="1:34" ht="14.4" x14ac:dyDescent="0.3">
      <c r="A944" s="66" t="s">
        <v>1895</v>
      </c>
      <c r="B944" s="66" t="s">
        <v>4012</v>
      </c>
      <c r="C944" s="33">
        <v>943</v>
      </c>
      <c r="D944" s="33" t="s">
        <v>5394</v>
      </c>
      <c r="E944" s="34" t="s">
        <v>5229</v>
      </c>
      <c r="F944" s="34" t="s">
        <v>18</v>
      </c>
      <c r="G944" s="57">
        <v>43322</v>
      </c>
      <c r="H944" s="57">
        <v>43650</v>
      </c>
      <c r="I944" s="34">
        <f t="shared" si="42"/>
        <v>10</v>
      </c>
      <c r="J944" s="34">
        <v>35</v>
      </c>
      <c r="K944" s="36">
        <v>825</v>
      </c>
      <c r="L944" s="34" t="s">
        <v>29</v>
      </c>
      <c r="M944" s="57">
        <v>34497</v>
      </c>
      <c r="N944" s="37">
        <f>(YEAR(TablaMadre[[#This Row],[ALTA]])-YEAR(M944))</f>
        <v>24</v>
      </c>
      <c r="O944" s="34" t="s">
        <v>18</v>
      </c>
      <c r="P944" s="34" t="s">
        <v>19</v>
      </c>
      <c r="Q944" s="34" t="s">
        <v>277</v>
      </c>
      <c r="R944" s="34" t="s">
        <v>21</v>
      </c>
      <c r="S944" s="34" t="s">
        <v>277</v>
      </c>
      <c r="T944" s="34"/>
      <c r="U944" s="34"/>
      <c r="V944" s="34" t="s">
        <v>22</v>
      </c>
      <c r="W944" s="34" t="s">
        <v>380</v>
      </c>
      <c r="X944" s="38" t="s">
        <v>164</v>
      </c>
      <c r="Y944" s="62"/>
      <c r="Z944" s="62" t="e">
        <f t="shared" si="43"/>
        <v>#NUM!</v>
      </c>
      <c r="AA944" s="62"/>
      <c r="AB944" s="34">
        <v>10</v>
      </c>
      <c r="AC944" s="34"/>
      <c r="AD944" s="38"/>
      <c r="AE944" s="59" t="str">
        <f t="shared" si="44"/>
        <v>NO</v>
      </c>
      <c r="AF944" s="38" t="e" cm="1">
        <f t="array" aca="1" ref="AF944" ca="1">MIN(100, MAX(0, (IF(R944="ESTUDIANTE", 31, 0)) + (IF(I944&lt;=3, 30, IF(I944&lt;=6, 20, 0))) +(IF(OR(E944="413 - Control de Costes y Enlace Construcción", E944="480 - Secretaría General del Consejo", E944="132 - Civil y estructuras", E944="136 - Mecánica", E944="412 - Planificación", E944="142 - Compras"), 25, 0)) +(IF(OR(S944="GRADO ING. MECÁNICA", S944="GRADO ING. ELÉCTRICA", S944="GRADO DERECHO", S944="GRADO ECONOMÍA", S944="GRADO ING. TECNOLOGÍAS INDUSTRIALES"), 24, 0)) + (IF(AND(K944&gt;=451, K944&lt;=700), 23, 0)) + (IF(AND(AB944&gt;=5, AB944&lt;=8), 17, 0)) +(IF(_xludf.OR(_xludf.AND(AC944&gt;=8, AC944&lt;=10), _xludf.AND(AC944&gt;=0, AC944&lt;=5)), 16, 0)) + (IF(F944="Madrid", 11, 0))))</f>
        <v>#NAME?</v>
      </c>
      <c r="AG944" s="68"/>
      <c r="AH944" s="71" t="s">
        <v>164</v>
      </c>
    </row>
    <row r="945" spans="1:34" ht="14.4" x14ac:dyDescent="0.3">
      <c r="A945" s="66" t="s">
        <v>1923</v>
      </c>
      <c r="B945" s="66" t="s">
        <v>4040</v>
      </c>
      <c r="C945" s="33">
        <v>944</v>
      </c>
      <c r="D945" s="33" t="s">
        <v>5395</v>
      </c>
      <c r="E945" s="34" t="s">
        <v>5244</v>
      </c>
      <c r="F945" s="34" t="s">
        <v>118</v>
      </c>
      <c r="G945" s="57">
        <v>43322</v>
      </c>
      <c r="H945" s="57">
        <v>43738</v>
      </c>
      <c r="I945" s="34">
        <f t="shared" si="42"/>
        <v>13</v>
      </c>
      <c r="J945" s="34">
        <v>35</v>
      </c>
      <c r="K945" s="36">
        <v>825</v>
      </c>
      <c r="L945" s="34" t="s">
        <v>17</v>
      </c>
      <c r="M945" s="57">
        <v>34828</v>
      </c>
      <c r="N945" s="37">
        <f>(YEAR(TablaMadre[[#This Row],[ALTA]])-YEAR(M945))</f>
        <v>23</v>
      </c>
      <c r="O945" s="34" t="s">
        <v>118</v>
      </c>
      <c r="P945" s="34" t="s">
        <v>19</v>
      </c>
      <c r="Q945" s="34" t="s">
        <v>215</v>
      </c>
      <c r="R945" s="34" t="s">
        <v>21</v>
      </c>
      <c r="S945" s="34" t="s">
        <v>322</v>
      </c>
      <c r="T945" s="34"/>
      <c r="U945" s="34"/>
      <c r="V945" s="34" t="s">
        <v>37</v>
      </c>
      <c r="W945" s="34" t="s">
        <v>28</v>
      </c>
      <c r="X945" s="38" t="s">
        <v>164</v>
      </c>
      <c r="Y945" s="62">
        <v>45481</v>
      </c>
      <c r="Z945" s="38">
        <f t="shared" si="43"/>
        <v>4</v>
      </c>
      <c r="AA945" s="38"/>
      <c r="AB945" s="34"/>
      <c r="AC945" s="34"/>
      <c r="AD945" s="38"/>
      <c r="AE945" s="59" t="str">
        <f t="shared" si="44"/>
        <v>NO</v>
      </c>
      <c r="AF945" s="38" t="e" cm="1">
        <f t="array" aca="1" ref="AF945" ca="1">MIN(100, MAX(0, (IF(R945="ESTUDIANTE", 31, 0)) + (IF(I945&lt;=3, 30, IF(I945&lt;=6, 20, 0))) +(IF(OR(E945="413 - Control de Costes y Enlace Construcción", E945="480 - Secretaría General del Consejo", E945="132 - Civil y estructuras", E945="136 - Mecánica", E945="412 - Planificación", E945="142 - Compras"), 25, 0)) +(IF(OR(S945="GRADO ING. MECÁNICA", S945="GRADO ING. ELÉCTRICA", S945="GRADO DERECHO", S945="GRADO ECONOMÍA", S945="GRADO ING. TECNOLOGÍAS INDUSTRIALES"), 24, 0)) + (IF(AND(K945&gt;=451, K945&lt;=700), 23, 0)) + (IF(AND(AB945&gt;=5, AB945&lt;=8), 17, 0)) +(IF(_xludf.OR(_xludf.AND(AC945&gt;=8, AC945&lt;=10), _xludf.AND(AC945&gt;=0, AC945&lt;=5)), 16, 0)) + (IF(F945="Madrid", 11, 0))))</f>
        <v>#NAME?</v>
      </c>
      <c r="AG945" s="68"/>
      <c r="AH945" s="71" t="s">
        <v>164</v>
      </c>
    </row>
    <row r="946" spans="1:34" ht="14.4" x14ac:dyDescent="0.3">
      <c r="A946" s="66" t="s">
        <v>1924</v>
      </c>
      <c r="B946" s="66" t="s">
        <v>4041</v>
      </c>
      <c r="C946" s="33">
        <v>945</v>
      </c>
      <c r="D946" s="33" t="s">
        <v>5393</v>
      </c>
      <c r="E946" s="34" t="s">
        <v>5273</v>
      </c>
      <c r="F946" s="34" t="s">
        <v>18</v>
      </c>
      <c r="G946" s="57">
        <v>43344</v>
      </c>
      <c r="H946" s="57">
        <v>43678</v>
      </c>
      <c r="I946" s="34">
        <f t="shared" si="42"/>
        <v>11</v>
      </c>
      <c r="J946" s="34">
        <v>35</v>
      </c>
      <c r="K946" s="36">
        <v>900</v>
      </c>
      <c r="L946" s="34" t="s">
        <v>17</v>
      </c>
      <c r="M946" s="57">
        <v>33738</v>
      </c>
      <c r="N946" s="37">
        <f>(YEAR(TablaMadre[[#This Row],[ALTA]])-YEAR(M946))</f>
        <v>26</v>
      </c>
      <c r="O946" s="34" t="s">
        <v>118</v>
      </c>
      <c r="P946" s="34" t="s">
        <v>19</v>
      </c>
      <c r="Q946" s="34" t="s">
        <v>321</v>
      </c>
      <c r="R946" s="34" t="s">
        <v>21</v>
      </c>
      <c r="S946" s="34" t="s">
        <v>321</v>
      </c>
      <c r="T946" s="34"/>
      <c r="U946" s="34"/>
      <c r="V946" s="34" t="s">
        <v>142</v>
      </c>
      <c r="W946" s="34" t="s">
        <v>28</v>
      </c>
      <c r="X946" s="38" t="s">
        <v>164</v>
      </c>
      <c r="Y946" s="62">
        <v>44205</v>
      </c>
      <c r="Z946" s="38">
        <f t="shared" si="43"/>
        <v>1</v>
      </c>
      <c r="AA946" s="38"/>
      <c r="AB946" s="34">
        <v>9</v>
      </c>
      <c r="AC946" s="34">
        <v>10</v>
      </c>
      <c r="AD946" s="38"/>
      <c r="AE946" s="59" t="str">
        <f t="shared" si="44"/>
        <v>SÍ</v>
      </c>
      <c r="AF946" s="38" t="e" cm="1">
        <f t="array" aca="1" ref="AF946" ca="1">MIN(100, MAX(0, (IF(R946="ESTUDIANTE", 31, 0)) + (IF(I946&lt;=3, 30, IF(I946&lt;=6, 20, 0))) +(IF(OR(E946="413 - Control de Costes y Enlace Construcción", E946="480 - Secretaría General del Consejo", E946="132 - Civil y estructuras", E946="136 - Mecánica", E946="412 - Planificación", E946="142 - Compras"), 25, 0)) +(IF(OR(S946="GRADO ING. MECÁNICA", S946="GRADO ING. ELÉCTRICA", S946="GRADO DERECHO", S946="GRADO ECONOMÍA", S946="GRADO ING. TECNOLOGÍAS INDUSTRIALES"), 24, 0)) + (IF(AND(K946&gt;=451, K946&lt;=700), 23, 0)) + (IF(AND(AB946&gt;=5, AB946&lt;=8), 17, 0)) +(IF(_xludf.OR(_xludf.AND(AC946&gt;=8, AC946&lt;=10), _xludf.AND(AC946&gt;=0, AC946&lt;=5)), 16, 0)) + (IF(F946="Madrid", 11, 0))))</f>
        <v>#NAME?</v>
      </c>
      <c r="AG946" s="68"/>
      <c r="AH946" s="71" t="s">
        <v>164</v>
      </c>
    </row>
    <row r="947" spans="1:34" ht="14.4" x14ac:dyDescent="0.3">
      <c r="A947" s="66" t="s">
        <v>1925</v>
      </c>
      <c r="B947" s="66" t="s">
        <v>4042</v>
      </c>
      <c r="C947" s="33">
        <v>946</v>
      </c>
      <c r="D947" s="33" t="s">
        <v>5394</v>
      </c>
      <c r="E947" s="34" t="s">
        <v>5244</v>
      </c>
      <c r="F947" s="34" t="s">
        <v>18</v>
      </c>
      <c r="G947" s="57">
        <v>43344</v>
      </c>
      <c r="H947" s="57">
        <v>43678</v>
      </c>
      <c r="I947" s="34">
        <f t="shared" si="42"/>
        <v>11</v>
      </c>
      <c r="J947" s="34">
        <v>35</v>
      </c>
      <c r="K947" s="36">
        <v>900</v>
      </c>
      <c r="L947" s="34" t="s">
        <v>17</v>
      </c>
      <c r="M947" s="57">
        <v>33081</v>
      </c>
      <c r="N947" s="37">
        <f>(YEAR(TablaMadre[[#This Row],[ALTA]])-YEAR(M947))</f>
        <v>28</v>
      </c>
      <c r="O947" s="34" t="s">
        <v>18</v>
      </c>
      <c r="P947" s="34" t="s">
        <v>19</v>
      </c>
      <c r="Q947" s="34" t="s">
        <v>436</v>
      </c>
      <c r="R947" s="34" t="s">
        <v>21</v>
      </c>
      <c r="S947" s="34" t="s">
        <v>322</v>
      </c>
      <c r="T947" s="34"/>
      <c r="U947" s="34"/>
      <c r="V947" s="34" t="s">
        <v>22</v>
      </c>
      <c r="W947" s="34" t="s">
        <v>28</v>
      </c>
      <c r="X947" s="38" t="s">
        <v>173</v>
      </c>
      <c r="Y947" s="62"/>
      <c r="Z947" s="38" t="e">
        <f t="shared" si="43"/>
        <v>#NUM!</v>
      </c>
      <c r="AA947" s="38"/>
      <c r="AB947" s="34">
        <v>8</v>
      </c>
      <c r="AC947" s="34">
        <v>8</v>
      </c>
      <c r="AD947" s="38"/>
      <c r="AE947" s="59" t="str">
        <f t="shared" si="44"/>
        <v>NO</v>
      </c>
      <c r="AF947" s="38" t="e" cm="1">
        <f t="array" aca="1" ref="AF947" ca="1">MIN(100, MAX(0, (IF(R947="ESTUDIANTE", 31, 0)) + (IF(I947&lt;=3, 30, IF(I947&lt;=6, 20, 0))) +(IF(OR(E947="413 - Control de Costes y Enlace Construcción", E947="480 - Secretaría General del Consejo", E947="132 - Civil y estructuras", E947="136 - Mecánica", E947="412 - Planificación", E947="142 - Compras"), 25, 0)) +(IF(OR(S947="GRADO ING. MECÁNICA", S947="GRADO ING. ELÉCTRICA", S947="GRADO DERECHO", S947="GRADO ECONOMÍA", S947="GRADO ING. TECNOLOGÍAS INDUSTRIALES"), 24, 0)) + (IF(AND(K947&gt;=451, K947&lt;=700), 23, 0)) + (IF(AND(AB947&gt;=5, AB947&lt;=8), 17, 0)) +(IF(_xludf.OR(_xludf.AND(AC947&gt;=8, AC947&lt;=10), _xludf.AND(AC947&gt;=0, AC947&lt;=5)), 16, 0)) + (IF(F947="Madrid", 11, 0))))</f>
        <v>#NAME?</v>
      </c>
      <c r="AG947" s="68"/>
      <c r="AH947" s="71" t="s">
        <v>164</v>
      </c>
    </row>
    <row r="948" spans="1:34" ht="14.4" x14ac:dyDescent="0.3">
      <c r="A948" s="66" t="s">
        <v>1926</v>
      </c>
      <c r="B948" s="66" t="s">
        <v>4043</v>
      </c>
      <c r="C948" s="33">
        <v>947</v>
      </c>
      <c r="D948" s="33" t="s">
        <v>5395</v>
      </c>
      <c r="E948" s="34" t="s">
        <v>5236</v>
      </c>
      <c r="F948" s="34" t="s">
        <v>18</v>
      </c>
      <c r="G948" s="57">
        <v>43346</v>
      </c>
      <c r="H948" s="57">
        <v>43982</v>
      </c>
      <c r="I948" s="34">
        <f t="shared" si="42"/>
        <v>20</v>
      </c>
      <c r="J948" s="34">
        <v>35</v>
      </c>
      <c r="K948" s="36">
        <v>700</v>
      </c>
      <c r="L948" s="34" t="s">
        <v>17</v>
      </c>
      <c r="M948" s="57">
        <v>32711</v>
      </c>
      <c r="N948" s="37">
        <f>(YEAR(TablaMadre[[#This Row],[ALTA]])-YEAR(M948))</f>
        <v>29</v>
      </c>
      <c r="O948" s="34" t="s">
        <v>623</v>
      </c>
      <c r="P948" s="34" t="s">
        <v>19</v>
      </c>
      <c r="Q948" s="34" t="s">
        <v>280</v>
      </c>
      <c r="R948" s="58" t="s">
        <v>30</v>
      </c>
      <c r="S948" s="34" t="s">
        <v>280</v>
      </c>
      <c r="T948" s="34"/>
      <c r="U948" s="34"/>
      <c r="V948" s="34" t="s">
        <v>22</v>
      </c>
      <c r="W948" s="34" t="s">
        <v>28</v>
      </c>
      <c r="X948" s="38" t="s">
        <v>173</v>
      </c>
      <c r="Y948" s="62"/>
      <c r="Z948" s="38" t="e">
        <f t="shared" si="43"/>
        <v>#NUM!</v>
      </c>
      <c r="AA948" s="38"/>
      <c r="AB948" s="34">
        <v>8</v>
      </c>
      <c r="AC948" s="34" t="s">
        <v>443</v>
      </c>
      <c r="AD948" s="38"/>
      <c r="AE948" s="59" t="str">
        <f t="shared" si="44"/>
        <v>SÍ</v>
      </c>
      <c r="AF948" s="38" t="e" cm="1">
        <f t="array" aca="1" ref="AF948" ca="1">MIN(100, MAX(0, (IF(R948="ESTUDIANTE", 31, 0)) + (IF(I948&lt;=3, 30, IF(I948&lt;=6, 20, 0))) +(IF(OR(E948="413 - Control de Costes y Enlace Construcción", E948="480 - Secretaría General del Consejo", E948="132 - Civil y estructuras", E948="136 - Mecánica", E948="412 - Planificación", E948="142 - Compras"), 25, 0)) +(IF(OR(S948="GRADO ING. MECÁNICA", S948="GRADO ING. ELÉCTRICA", S948="GRADO DERECHO", S948="GRADO ECONOMÍA", S948="GRADO ING. TECNOLOGÍAS INDUSTRIALES"), 24, 0)) + (IF(AND(K948&gt;=451, K948&lt;=700), 23, 0)) + (IF(AND(AB948&gt;=5, AB948&lt;=8), 17, 0)) +(IF(_xludf.OR(_xludf.AND(AC948&gt;=8, AC948&lt;=10), _xludf.AND(AC948&gt;=0, AC948&lt;=5)), 16, 0)) + (IF(F948="Madrid", 11, 0))))</f>
        <v>#NAME?</v>
      </c>
      <c r="AG948" s="68"/>
      <c r="AH948" s="71" t="s">
        <v>164</v>
      </c>
    </row>
    <row r="949" spans="1:34" ht="14.4" x14ac:dyDescent="0.3">
      <c r="A949" s="66" t="s">
        <v>1927</v>
      </c>
      <c r="B949" s="66" t="s">
        <v>4044</v>
      </c>
      <c r="C949" s="33">
        <v>948</v>
      </c>
      <c r="D949" s="33" t="s">
        <v>5396</v>
      </c>
      <c r="E949" s="34" t="s">
        <v>5221</v>
      </c>
      <c r="F949" s="34" t="s">
        <v>118</v>
      </c>
      <c r="G949" s="57">
        <v>43350</v>
      </c>
      <c r="H949" s="57">
        <v>43684</v>
      </c>
      <c r="I949" s="34">
        <f t="shared" si="42"/>
        <v>11</v>
      </c>
      <c r="J949" s="34">
        <v>35</v>
      </c>
      <c r="K949" s="36">
        <v>825</v>
      </c>
      <c r="L949" s="34" t="s">
        <v>17</v>
      </c>
      <c r="M949" s="57">
        <v>34911</v>
      </c>
      <c r="N949" s="37">
        <f>(YEAR(TablaMadre[[#This Row],[ALTA]])-YEAR(M949))</f>
        <v>23</v>
      </c>
      <c r="O949" s="34" t="s">
        <v>217</v>
      </c>
      <c r="P949" s="34" t="s">
        <v>19</v>
      </c>
      <c r="Q949" s="34" t="s">
        <v>406</v>
      </c>
      <c r="R949" s="34" t="s">
        <v>21</v>
      </c>
      <c r="S949" s="34" t="s">
        <v>297</v>
      </c>
      <c r="T949" s="34"/>
      <c r="U949" s="34"/>
      <c r="V949" s="34" t="s">
        <v>193</v>
      </c>
      <c r="W949" s="34" t="s">
        <v>28</v>
      </c>
      <c r="X949" s="38" t="s">
        <v>173</v>
      </c>
      <c r="Y949" s="62"/>
      <c r="Z949" s="38" t="e">
        <f t="shared" si="43"/>
        <v>#NUM!</v>
      </c>
      <c r="AA949" s="38"/>
      <c r="AB949" s="34">
        <v>9</v>
      </c>
      <c r="AC949" s="34">
        <v>10</v>
      </c>
      <c r="AD949" s="38"/>
      <c r="AE949" s="59" t="str">
        <f t="shared" si="44"/>
        <v>SÍ</v>
      </c>
      <c r="AF949" s="38" t="e" cm="1">
        <f t="array" aca="1" ref="AF949" ca="1">MIN(100, MAX(0, (IF(R949="ESTUDIANTE", 31, 0)) + (IF(I949&lt;=3, 30, IF(I949&lt;=6, 20, 0))) +(IF(OR(E949="413 - Control de Costes y Enlace Construcción", E949="480 - Secretaría General del Consejo", E949="132 - Civil y estructuras", E949="136 - Mecánica", E949="412 - Planificación", E949="142 - Compras"), 25, 0)) +(IF(OR(S949="GRADO ING. MECÁNICA", S949="GRADO ING. ELÉCTRICA", S949="GRADO DERECHO", S949="GRADO ECONOMÍA", S949="GRADO ING. TECNOLOGÍAS INDUSTRIALES"), 24, 0)) + (IF(AND(K949&gt;=451, K949&lt;=700), 23, 0)) + (IF(AND(AB949&gt;=5, AB949&lt;=8), 17, 0)) +(IF(_xludf.OR(_xludf.AND(AC949&gt;=8, AC949&lt;=10), _xludf.AND(AC949&gt;=0, AC949&lt;=5)), 16, 0)) + (IF(F949="Madrid", 11, 0))))</f>
        <v>#NAME?</v>
      </c>
      <c r="AG949" s="68"/>
      <c r="AH949" s="71" t="s">
        <v>164</v>
      </c>
    </row>
    <row r="950" spans="1:34" ht="14.4" x14ac:dyDescent="0.3">
      <c r="A950" s="66" t="s">
        <v>1888</v>
      </c>
      <c r="B950" s="66" t="s">
        <v>4005</v>
      </c>
      <c r="C950" s="33">
        <v>949</v>
      </c>
      <c r="D950" s="33" t="s">
        <v>5397</v>
      </c>
      <c r="E950" s="34" t="s">
        <v>5216</v>
      </c>
      <c r="F950" s="34" t="s">
        <v>18</v>
      </c>
      <c r="G950" s="57">
        <v>43367</v>
      </c>
      <c r="H950" s="57">
        <v>43399</v>
      </c>
      <c r="I950" s="34">
        <f t="shared" si="42"/>
        <v>1</v>
      </c>
      <c r="J950" s="34">
        <v>35</v>
      </c>
      <c r="K950" s="36">
        <v>0</v>
      </c>
      <c r="L950" s="34" t="s">
        <v>29</v>
      </c>
      <c r="M950" s="57">
        <v>34267</v>
      </c>
      <c r="N950" s="37">
        <f>(YEAR(TablaMadre[[#This Row],[ALTA]])-YEAR(M950))</f>
        <v>25</v>
      </c>
      <c r="O950" s="34" t="s">
        <v>95</v>
      </c>
      <c r="P950" s="34" t="s">
        <v>420</v>
      </c>
      <c r="Q950" s="34" t="s">
        <v>297</v>
      </c>
      <c r="R950" s="34" t="s">
        <v>30</v>
      </c>
      <c r="S950" s="34" t="s">
        <v>297</v>
      </c>
      <c r="T950" s="34"/>
      <c r="U950" s="34"/>
      <c r="V950" s="34" t="s">
        <v>90</v>
      </c>
      <c r="W950" s="34" t="s">
        <v>23</v>
      </c>
      <c r="X950" s="38" t="s">
        <v>164</v>
      </c>
      <c r="Y950" s="62"/>
      <c r="Z950" s="62" t="e">
        <f t="shared" si="43"/>
        <v>#NUM!</v>
      </c>
      <c r="AA950" s="62"/>
      <c r="AB950" s="34"/>
      <c r="AC950" s="34"/>
      <c r="AD950" s="38"/>
      <c r="AE950" s="59" t="str">
        <f t="shared" si="44"/>
        <v>SÍ</v>
      </c>
      <c r="AF950" s="38" t="e" cm="1">
        <f t="array" aca="1" ref="AF950" ca="1">MIN(100, MAX(0, (IF(R950="ESTUDIANTE", 31, 0)) + (IF(I950&lt;=3, 30, IF(I950&lt;=6, 20, 0))) +(IF(OR(E950="413 - Control de Costes y Enlace Construcción", E950="480 - Secretaría General del Consejo", E950="132 - Civil y estructuras", E950="136 - Mecánica", E950="412 - Planificación", E950="142 - Compras"), 25, 0)) +(IF(OR(S950="GRADO ING. MECÁNICA", S950="GRADO ING. ELÉCTRICA", S950="GRADO DERECHO", S950="GRADO ECONOMÍA", S950="GRADO ING. TECNOLOGÍAS INDUSTRIALES"), 24, 0)) + (IF(AND(K950&gt;=451, K950&lt;=700), 23, 0)) + (IF(AND(AB950&gt;=5, AB950&lt;=8), 17, 0)) +(IF(_xludf.OR(_xludf.AND(AC950&gt;=8, AC950&lt;=10), _xludf.AND(AC950&gt;=0, AC950&lt;=5)), 16, 0)) + (IF(F950="Madrid", 11, 0))))</f>
        <v>#NAME?</v>
      </c>
      <c r="AG950" s="68"/>
      <c r="AH950" s="71" t="s">
        <v>164</v>
      </c>
    </row>
    <row r="951" spans="1:34" ht="14.4" x14ac:dyDescent="0.3">
      <c r="A951" s="66" t="s">
        <v>1929</v>
      </c>
      <c r="B951" s="66" t="s">
        <v>4046</v>
      </c>
      <c r="C951" s="33">
        <v>950</v>
      </c>
      <c r="D951" s="33" t="s">
        <v>5398</v>
      </c>
      <c r="E951" s="34" t="s">
        <v>5231</v>
      </c>
      <c r="F951" s="34" t="s">
        <v>18</v>
      </c>
      <c r="G951" s="57">
        <v>43378</v>
      </c>
      <c r="H951" s="57">
        <v>43713</v>
      </c>
      <c r="I951" s="34">
        <f t="shared" si="42"/>
        <v>11</v>
      </c>
      <c r="J951" s="34">
        <v>35</v>
      </c>
      <c r="K951" s="36">
        <v>900</v>
      </c>
      <c r="L951" s="34" t="s">
        <v>29</v>
      </c>
      <c r="M951" s="57">
        <v>34093</v>
      </c>
      <c r="N951" s="37">
        <f>(YEAR(TablaMadre[[#This Row],[ALTA]])-YEAR(M951))</f>
        <v>25</v>
      </c>
      <c r="O951" s="34" t="s">
        <v>18</v>
      </c>
      <c r="P951" s="34" t="s">
        <v>19</v>
      </c>
      <c r="Q951" s="34" t="s">
        <v>297</v>
      </c>
      <c r="R951" s="34" t="s">
        <v>21</v>
      </c>
      <c r="S951" s="34" t="s">
        <v>297</v>
      </c>
      <c r="T951" s="34"/>
      <c r="U951" s="34"/>
      <c r="V951" s="34" t="s">
        <v>22</v>
      </c>
      <c r="W951" s="34" t="s">
        <v>28</v>
      </c>
      <c r="X951" s="38" t="s">
        <v>164</v>
      </c>
      <c r="Y951" s="62">
        <v>45282</v>
      </c>
      <c r="Z951" s="38">
        <f t="shared" si="43"/>
        <v>4</v>
      </c>
      <c r="AA951" s="38"/>
      <c r="AB951" s="34">
        <v>10</v>
      </c>
      <c r="AC951" s="34">
        <v>9</v>
      </c>
      <c r="AD951" s="38"/>
      <c r="AE951" s="59" t="str">
        <f t="shared" si="44"/>
        <v>NO</v>
      </c>
      <c r="AF951" s="38" t="e" cm="1">
        <f t="array" aca="1" ref="AF951" ca="1">MIN(100, MAX(0, (IF(R951="ESTUDIANTE", 31, 0)) + (IF(I951&lt;=3, 30, IF(I951&lt;=6, 20, 0))) +(IF(OR(E951="413 - Control de Costes y Enlace Construcción", E951="480 - Secretaría General del Consejo", E951="132 - Civil y estructuras", E951="136 - Mecánica", E951="412 - Planificación", E951="142 - Compras"), 25, 0)) +(IF(OR(S951="GRADO ING. MECÁNICA", S951="GRADO ING. ELÉCTRICA", S951="GRADO DERECHO", S951="GRADO ECONOMÍA", S951="GRADO ING. TECNOLOGÍAS INDUSTRIALES"), 24, 0)) + (IF(AND(K951&gt;=451, K951&lt;=700), 23, 0)) + (IF(AND(AB951&gt;=5, AB951&lt;=8), 17, 0)) +(IF(_xludf.OR(_xludf.AND(AC951&gt;=8, AC951&lt;=10), _xludf.AND(AC951&gt;=0, AC951&lt;=5)), 16, 0)) + (IF(F951="Madrid", 11, 0))))</f>
        <v>#NAME?</v>
      </c>
      <c r="AG951" s="68"/>
      <c r="AH951" s="71" t="s">
        <v>164</v>
      </c>
    </row>
    <row r="952" spans="1:34" ht="14.4" x14ac:dyDescent="0.3">
      <c r="A952" s="66" t="s">
        <v>1930</v>
      </c>
      <c r="B952" s="66" t="s">
        <v>4047</v>
      </c>
      <c r="C952" s="33">
        <v>951</v>
      </c>
      <c r="D952" s="33" t="s">
        <v>5399</v>
      </c>
      <c r="E952" s="34" t="s">
        <v>5273</v>
      </c>
      <c r="F952" s="34" t="s">
        <v>18</v>
      </c>
      <c r="G952" s="57">
        <v>43383</v>
      </c>
      <c r="H952" s="57">
        <v>43748</v>
      </c>
      <c r="I952" s="34">
        <f t="shared" si="42"/>
        <v>12</v>
      </c>
      <c r="J952" s="34">
        <v>35</v>
      </c>
      <c r="K952" s="36">
        <v>825</v>
      </c>
      <c r="L952" s="34" t="s">
        <v>29</v>
      </c>
      <c r="M952" s="57">
        <v>33470</v>
      </c>
      <c r="N952" s="37">
        <f>(YEAR(TablaMadre[[#This Row],[ALTA]])-YEAR(M952))</f>
        <v>27</v>
      </c>
      <c r="O952" s="34" t="s">
        <v>411</v>
      </c>
      <c r="P952" s="34" t="s">
        <v>19</v>
      </c>
      <c r="Q952" s="34" t="s">
        <v>397</v>
      </c>
      <c r="R952" s="34" t="s">
        <v>21</v>
      </c>
      <c r="S952" s="34" t="s">
        <v>397</v>
      </c>
      <c r="T952" s="34"/>
      <c r="U952" s="34"/>
      <c r="V952" s="34" t="s">
        <v>179</v>
      </c>
      <c r="W952" s="34" t="s">
        <v>28</v>
      </c>
      <c r="X952" s="38" t="s">
        <v>164</v>
      </c>
      <c r="Y952" s="62">
        <v>44115</v>
      </c>
      <c r="Z952" s="38">
        <f t="shared" si="43"/>
        <v>1</v>
      </c>
      <c r="AA952" s="38"/>
      <c r="AB952" s="34">
        <v>9</v>
      </c>
      <c r="AC952" s="34">
        <v>8</v>
      </c>
      <c r="AD952" s="38"/>
      <c r="AE952" s="59" t="str">
        <f t="shared" si="44"/>
        <v>SÍ</v>
      </c>
      <c r="AF952" s="38" t="e" cm="1">
        <f t="array" aca="1" ref="AF952" ca="1">MIN(100, MAX(0, (IF(R952="ESTUDIANTE", 31, 0)) + (IF(I952&lt;=3, 30, IF(I952&lt;=6, 20, 0))) +(IF(OR(E952="413 - Control de Costes y Enlace Construcción", E952="480 - Secretaría General del Consejo", E952="132 - Civil y estructuras", E952="136 - Mecánica", E952="412 - Planificación", E952="142 - Compras"), 25, 0)) +(IF(OR(S952="GRADO ING. MECÁNICA", S952="GRADO ING. ELÉCTRICA", S952="GRADO DERECHO", S952="GRADO ECONOMÍA", S952="GRADO ING. TECNOLOGÍAS INDUSTRIALES"), 24, 0)) + (IF(AND(K952&gt;=451, K952&lt;=700), 23, 0)) + (IF(AND(AB952&gt;=5, AB952&lt;=8), 17, 0)) +(IF(_xludf.OR(_xludf.AND(AC952&gt;=8, AC952&lt;=10), _xludf.AND(AC952&gt;=0, AC952&lt;=5)), 16, 0)) + (IF(F952="Madrid", 11, 0))))</f>
        <v>#NAME?</v>
      </c>
      <c r="AG952" s="68"/>
      <c r="AH952" s="71" t="s">
        <v>164</v>
      </c>
    </row>
    <row r="953" spans="1:34" ht="14.4" x14ac:dyDescent="0.3">
      <c r="A953" s="66" t="s">
        <v>1931</v>
      </c>
      <c r="B953" s="66" t="s">
        <v>4048</v>
      </c>
      <c r="C953" s="33">
        <v>952</v>
      </c>
      <c r="D953" s="33" t="s">
        <v>5400</v>
      </c>
      <c r="E953" s="34" t="s">
        <v>5229</v>
      </c>
      <c r="F953" s="34" t="s">
        <v>18</v>
      </c>
      <c r="G953" s="57">
        <v>43388</v>
      </c>
      <c r="H953" s="57">
        <v>43752</v>
      </c>
      <c r="I953" s="34">
        <f t="shared" si="42"/>
        <v>11</v>
      </c>
      <c r="J953" s="34">
        <v>35</v>
      </c>
      <c r="K953" s="36">
        <v>900</v>
      </c>
      <c r="L953" s="34" t="s">
        <v>29</v>
      </c>
      <c r="M953" s="57">
        <v>33705</v>
      </c>
      <c r="N953" s="37">
        <f>(YEAR(TablaMadre[[#This Row],[ALTA]])-YEAR(M953))</f>
        <v>26</v>
      </c>
      <c r="O953" s="34" t="s">
        <v>226</v>
      </c>
      <c r="P953" s="34" t="s">
        <v>19</v>
      </c>
      <c r="Q953" s="34" t="s">
        <v>446</v>
      </c>
      <c r="R953" s="34" t="s">
        <v>21</v>
      </c>
      <c r="S953" s="34" t="s">
        <v>277</v>
      </c>
      <c r="T953" s="34"/>
      <c r="U953" s="34"/>
      <c r="V953" s="34" t="s">
        <v>22</v>
      </c>
      <c r="W953" s="34" t="s">
        <v>28</v>
      </c>
      <c r="X953" s="38" t="s">
        <v>164</v>
      </c>
      <c r="Y953" s="62">
        <v>44119</v>
      </c>
      <c r="Z953" s="38">
        <f t="shared" si="43"/>
        <v>1</v>
      </c>
      <c r="AA953" s="38"/>
      <c r="AB953" s="34">
        <v>9</v>
      </c>
      <c r="AC953" s="34">
        <v>8</v>
      </c>
      <c r="AD953" s="38"/>
      <c r="AE953" s="59" t="str">
        <f t="shared" si="44"/>
        <v>SÍ</v>
      </c>
      <c r="AF953" s="38" t="e" cm="1">
        <f t="array" aca="1" ref="AF953" ca="1">MIN(100, MAX(0, (IF(R953="ESTUDIANTE", 31, 0)) + (IF(I953&lt;=3, 30, IF(I953&lt;=6, 20, 0))) +(IF(OR(E953="413 - Control de Costes y Enlace Construcción", E953="480 - Secretaría General del Consejo", E953="132 - Civil y estructuras", E953="136 - Mecánica", E953="412 - Planificación", E953="142 - Compras"), 25, 0)) +(IF(OR(S953="GRADO ING. MECÁNICA", S953="GRADO ING. ELÉCTRICA", S953="GRADO DERECHO", S953="GRADO ECONOMÍA", S953="GRADO ING. TECNOLOGÍAS INDUSTRIALES"), 24, 0)) + (IF(AND(K953&gt;=451, K953&lt;=700), 23, 0)) + (IF(AND(AB953&gt;=5, AB953&lt;=8), 17, 0)) +(IF(_xludf.OR(_xludf.AND(AC953&gt;=8, AC953&lt;=10), _xludf.AND(AC953&gt;=0, AC953&lt;=5)), 16, 0)) + (IF(F953="Madrid", 11, 0))))</f>
        <v>#NAME?</v>
      </c>
      <c r="AG953" s="68"/>
      <c r="AH953" s="71" t="s">
        <v>164</v>
      </c>
    </row>
    <row r="954" spans="1:34" ht="14.4" x14ac:dyDescent="0.3">
      <c r="A954" s="66" t="s">
        <v>1932</v>
      </c>
      <c r="B954" s="66" t="s">
        <v>4049</v>
      </c>
      <c r="C954" s="33">
        <v>953</v>
      </c>
      <c r="D954" s="33" t="s">
        <v>5401</v>
      </c>
      <c r="E954" s="34" t="s">
        <v>5231</v>
      </c>
      <c r="F954" s="34" t="s">
        <v>18</v>
      </c>
      <c r="G954" s="57">
        <v>43390</v>
      </c>
      <c r="H954" s="57">
        <v>43754</v>
      </c>
      <c r="I954" s="34">
        <f t="shared" si="42"/>
        <v>11</v>
      </c>
      <c r="J954" s="34">
        <v>35</v>
      </c>
      <c r="K954" s="36">
        <v>900</v>
      </c>
      <c r="L954" s="34" t="s">
        <v>29</v>
      </c>
      <c r="M954" s="57">
        <v>33621</v>
      </c>
      <c r="N954" s="37">
        <f>(YEAR(TablaMadre[[#This Row],[ALTA]])-YEAR(M954))</f>
        <v>26</v>
      </c>
      <c r="O954" s="34" t="s">
        <v>18</v>
      </c>
      <c r="P954" s="34" t="s">
        <v>19</v>
      </c>
      <c r="Q954" s="34" t="s">
        <v>421</v>
      </c>
      <c r="R954" s="34" t="s">
        <v>21</v>
      </c>
      <c r="S954" s="34" t="s">
        <v>384</v>
      </c>
      <c r="T954" s="34"/>
      <c r="U954" s="34"/>
      <c r="V954" s="34" t="s">
        <v>22</v>
      </c>
      <c r="W954" s="34" t="s">
        <v>28</v>
      </c>
      <c r="X954" s="38" t="s">
        <v>173</v>
      </c>
      <c r="Y954" s="62"/>
      <c r="Z954" s="38" t="e">
        <f t="shared" si="43"/>
        <v>#NUM!</v>
      </c>
      <c r="AA954" s="38"/>
      <c r="AB954" s="34">
        <v>9</v>
      </c>
      <c r="AC954" s="34">
        <v>10</v>
      </c>
      <c r="AD954" s="38"/>
      <c r="AE954" s="59" t="str">
        <f t="shared" si="44"/>
        <v>NO</v>
      </c>
      <c r="AF954" s="38" t="e" cm="1">
        <f t="array" aca="1" ref="AF954" ca="1">MIN(100, MAX(0, (IF(R954="ESTUDIANTE", 31, 0)) + (IF(I954&lt;=3, 30, IF(I954&lt;=6, 20, 0))) +(IF(OR(E954="413 - Control de Costes y Enlace Construcción", E954="480 - Secretaría General del Consejo", E954="132 - Civil y estructuras", E954="136 - Mecánica", E954="412 - Planificación", E954="142 - Compras"), 25, 0)) +(IF(OR(S954="GRADO ING. MECÁNICA", S954="GRADO ING. ELÉCTRICA", S954="GRADO DERECHO", S954="GRADO ECONOMÍA", S954="GRADO ING. TECNOLOGÍAS INDUSTRIALES"), 24, 0)) + (IF(AND(K954&gt;=451, K954&lt;=700), 23, 0)) + (IF(AND(AB954&gt;=5, AB954&lt;=8), 17, 0)) +(IF(_xludf.OR(_xludf.AND(AC954&gt;=8, AC954&lt;=10), _xludf.AND(AC954&gt;=0, AC954&lt;=5)), 16, 0)) + (IF(F954="Madrid", 11, 0))))</f>
        <v>#NAME?</v>
      </c>
      <c r="AG954" s="68"/>
      <c r="AH954" s="71" t="s">
        <v>164</v>
      </c>
    </row>
    <row r="955" spans="1:34" ht="14.4" x14ac:dyDescent="0.3">
      <c r="A955" s="66" t="s">
        <v>1933</v>
      </c>
      <c r="B955" s="66" t="s">
        <v>4050</v>
      </c>
      <c r="C955" s="33">
        <v>954</v>
      </c>
      <c r="D955" s="33" t="s">
        <v>5402</v>
      </c>
      <c r="E955" s="34" t="s">
        <v>5231</v>
      </c>
      <c r="F955" s="34" t="s">
        <v>18</v>
      </c>
      <c r="G955" s="57">
        <v>43390</v>
      </c>
      <c r="H955" s="57">
        <v>43754</v>
      </c>
      <c r="I955" s="34">
        <f t="shared" si="42"/>
        <v>11</v>
      </c>
      <c r="J955" s="34">
        <v>35</v>
      </c>
      <c r="K955" s="36">
        <v>900</v>
      </c>
      <c r="L955" s="34" t="s">
        <v>17</v>
      </c>
      <c r="M955" s="57">
        <v>34525</v>
      </c>
      <c r="N955" s="37">
        <f>(YEAR(TablaMadre[[#This Row],[ALTA]])-YEAR(M955))</f>
        <v>24</v>
      </c>
      <c r="O955" s="34" t="s">
        <v>18</v>
      </c>
      <c r="P955" s="34" t="s">
        <v>19</v>
      </c>
      <c r="Q955" s="34" t="s">
        <v>406</v>
      </c>
      <c r="R955" s="34" t="s">
        <v>21</v>
      </c>
      <c r="S955" s="34" t="s">
        <v>297</v>
      </c>
      <c r="T955" s="34"/>
      <c r="U955" s="34"/>
      <c r="V955" s="34" t="s">
        <v>84</v>
      </c>
      <c r="W955" s="34" t="s">
        <v>28</v>
      </c>
      <c r="X955" s="38" t="s">
        <v>173</v>
      </c>
      <c r="Y955" s="62"/>
      <c r="Z955" s="38" t="e">
        <f t="shared" si="43"/>
        <v>#NUM!</v>
      </c>
      <c r="AA955" s="38"/>
      <c r="AB955" s="34">
        <v>9</v>
      </c>
      <c r="AC955" s="34">
        <v>10</v>
      </c>
      <c r="AD955" s="38"/>
      <c r="AE955" s="59" t="str">
        <f t="shared" si="44"/>
        <v>NO</v>
      </c>
      <c r="AF955" s="38" t="e" cm="1">
        <f t="array" aca="1" ref="AF955" ca="1">MIN(100, MAX(0, (IF(R955="ESTUDIANTE", 31, 0)) + (IF(I955&lt;=3, 30, IF(I955&lt;=6, 20, 0))) +(IF(OR(E955="413 - Control de Costes y Enlace Construcción", E955="480 - Secretaría General del Consejo", E955="132 - Civil y estructuras", E955="136 - Mecánica", E955="412 - Planificación", E955="142 - Compras"), 25, 0)) +(IF(OR(S955="GRADO ING. MECÁNICA", S955="GRADO ING. ELÉCTRICA", S955="GRADO DERECHO", S955="GRADO ECONOMÍA", S955="GRADO ING. TECNOLOGÍAS INDUSTRIALES"), 24, 0)) + (IF(AND(K955&gt;=451, K955&lt;=700), 23, 0)) + (IF(AND(AB955&gt;=5, AB955&lt;=8), 17, 0)) +(IF(_xludf.OR(_xludf.AND(AC955&gt;=8, AC955&lt;=10), _xludf.AND(AC955&gt;=0, AC955&lt;=5)), 16, 0)) + (IF(F955="Madrid", 11, 0))))</f>
        <v>#NAME?</v>
      </c>
      <c r="AG955" s="68"/>
      <c r="AH955" s="71" t="s">
        <v>164</v>
      </c>
    </row>
    <row r="956" spans="1:34" ht="14.4" x14ac:dyDescent="0.3">
      <c r="A956" s="66" t="s">
        <v>1934</v>
      </c>
      <c r="B956" s="66" t="s">
        <v>4051</v>
      </c>
      <c r="C956" s="33">
        <v>955</v>
      </c>
      <c r="D956" s="33" t="s">
        <v>5393</v>
      </c>
      <c r="E956" s="34" t="s">
        <v>5299</v>
      </c>
      <c r="F956" s="34" t="s">
        <v>931</v>
      </c>
      <c r="G956" s="57">
        <v>43390</v>
      </c>
      <c r="H956" s="57">
        <v>43756</v>
      </c>
      <c r="I956" s="34">
        <f t="shared" si="42"/>
        <v>12</v>
      </c>
      <c r="J956" s="34">
        <v>40</v>
      </c>
      <c r="K956" s="36">
        <v>1000</v>
      </c>
      <c r="L956" s="34" t="s">
        <v>17</v>
      </c>
      <c r="M956" s="57">
        <v>34604</v>
      </c>
      <c r="N956" s="37">
        <f>(YEAR(TablaMadre[[#This Row],[ALTA]])-YEAR(M956))</f>
        <v>24</v>
      </c>
      <c r="O956" s="34" t="s">
        <v>95</v>
      </c>
      <c r="P956" s="34" t="s">
        <v>95</v>
      </c>
      <c r="Q956" s="34" t="s">
        <v>136</v>
      </c>
      <c r="R956" s="34" t="s">
        <v>21</v>
      </c>
      <c r="S956" s="34" t="s">
        <v>136</v>
      </c>
      <c r="T956" s="34"/>
      <c r="U956" s="34"/>
      <c r="V956" s="34" t="s">
        <v>90</v>
      </c>
      <c r="W956" s="34" t="s">
        <v>97</v>
      </c>
      <c r="X956" s="38" t="s">
        <v>164</v>
      </c>
      <c r="Y956" s="62"/>
      <c r="Z956" s="62" t="e">
        <f t="shared" si="43"/>
        <v>#NUM!</v>
      </c>
      <c r="AA956" s="62"/>
      <c r="AB956" s="34"/>
      <c r="AC956" s="34"/>
      <c r="AD956" s="38"/>
      <c r="AE956" s="59" t="str">
        <f t="shared" si="44"/>
        <v>SÍ</v>
      </c>
      <c r="AF956" s="38" t="e" cm="1">
        <f t="array" aca="1" ref="AF956" ca="1">MIN(100, MAX(0, (IF(R956="ESTUDIANTE", 31, 0)) + (IF(I956&lt;=3, 30, IF(I956&lt;=6, 20, 0))) +(IF(OR(E956="413 - Control de Costes y Enlace Construcción", E956="480 - Secretaría General del Consejo", E956="132 - Civil y estructuras", E956="136 - Mecánica", E956="412 - Planificación", E956="142 - Compras"), 25, 0)) +(IF(OR(S956="GRADO ING. MECÁNICA", S956="GRADO ING. ELÉCTRICA", S956="GRADO DERECHO", S956="GRADO ECONOMÍA", S956="GRADO ING. TECNOLOGÍAS INDUSTRIALES"), 24, 0)) + (IF(AND(K956&gt;=451, K956&lt;=700), 23, 0)) + (IF(AND(AB956&gt;=5, AB956&lt;=8), 17, 0)) +(IF(_xludf.OR(_xludf.AND(AC956&gt;=8, AC956&lt;=10), _xludf.AND(AC956&gt;=0, AC956&lt;=5)), 16, 0)) + (IF(F956="Madrid", 11, 0))))</f>
        <v>#NAME?</v>
      </c>
      <c r="AG956" s="68"/>
      <c r="AH956" s="71" t="s">
        <v>164</v>
      </c>
    </row>
    <row r="957" spans="1:34" ht="14.4" x14ac:dyDescent="0.3">
      <c r="A957" s="66" t="s">
        <v>1935</v>
      </c>
      <c r="B957" s="66" t="s">
        <v>4052</v>
      </c>
      <c r="C957" s="33">
        <v>956</v>
      </c>
      <c r="D957" s="33" t="s">
        <v>5394</v>
      </c>
      <c r="E957" s="34" t="s">
        <v>5299</v>
      </c>
      <c r="F957" s="34" t="s">
        <v>931</v>
      </c>
      <c r="G957" s="57">
        <v>43390</v>
      </c>
      <c r="H957" s="57">
        <v>43756</v>
      </c>
      <c r="I957" s="34">
        <f t="shared" si="42"/>
        <v>12</v>
      </c>
      <c r="J957" s="34">
        <v>40</v>
      </c>
      <c r="K957" s="36">
        <v>1000</v>
      </c>
      <c r="L957" s="34" t="s">
        <v>17</v>
      </c>
      <c r="M957" s="57">
        <v>33411</v>
      </c>
      <c r="N957" s="37">
        <f>(YEAR(TablaMadre[[#This Row],[ALTA]])-YEAR(M957))</f>
        <v>27</v>
      </c>
      <c r="O957" s="34" t="s">
        <v>95</v>
      </c>
      <c r="P957" s="34" t="s">
        <v>95</v>
      </c>
      <c r="Q957" s="34" t="s">
        <v>136</v>
      </c>
      <c r="R957" s="34" t="s">
        <v>21</v>
      </c>
      <c r="S957" s="34" t="s">
        <v>136</v>
      </c>
      <c r="T957" s="34"/>
      <c r="U957" s="34"/>
      <c r="V957" s="34" t="s">
        <v>90</v>
      </c>
      <c r="W957" s="34" t="s">
        <v>97</v>
      </c>
      <c r="X957" s="38" t="s">
        <v>164</v>
      </c>
      <c r="Y957" s="62"/>
      <c r="Z957" s="62" t="e">
        <f t="shared" si="43"/>
        <v>#NUM!</v>
      </c>
      <c r="AA957" s="62"/>
      <c r="AB957" s="34"/>
      <c r="AC957" s="34"/>
      <c r="AD957" s="38"/>
      <c r="AE957" s="59" t="str">
        <f t="shared" si="44"/>
        <v>SÍ</v>
      </c>
      <c r="AF957" s="38" t="e" cm="1">
        <f t="array" aca="1" ref="AF957" ca="1">MIN(100, MAX(0, (IF(R957="ESTUDIANTE", 31, 0)) + (IF(I957&lt;=3, 30, IF(I957&lt;=6, 20, 0))) +(IF(OR(E957="413 - Control de Costes y Enlace Construcción", E957="480 - Secretaría General del Consejo", E957="132 - Civil y estructuras", E957="136 - Mecánica", E957="412 - Planificación", E957="142 - Compras"), 25, 0)) +(IF(OR(S957="GRADO ING. MECÁNICA", S957="GRADO ING. ELÉCTRICA", S957="GRADO DERECHO", S957="GRADO ECONOMÍA", S957="GRADO ING. TECNOLOGÍAS INDUSTRIALES"), 24, 0)) + (IF(AND(K957&gt;=451, K957&lt;=700), 23, 0)) + (IF(AND(AB957&gt;=5, AB957&lt;=8), 17, 0)) +(IF(_xludf.OR(_xludf.AND(AC957&gt;=8, AC957&lt;=10), _xludf.AND(AC957&gt;=0, AC957&lt;=5)), 16, 0)) + (IF(F957="Madrid", 11, 0))))</f>
        <v>#NAME?</v>
      </c>
      <c r="AG957" s="68"/>
      <c r="AH957" s="71" t="s">
        <v>164</v>
      </c>
    </row>
    <row r="958" spans="1:34" ht="14.4" x14ac:dyDescent="0.3">
      <c r="A958" s="66" t="s">
        <v>1936</v>
      </c>
      <c r="B958" s="66" t="s">
        <v>4053</v>
      </c>
      <c r="C958" s="33">
        <v>957</v>
      </c>
      <c r="D958" s="33" t="s">
        <v>5395</v>
      </c>
      <c r="E958" s="34" t="s">
        <v>5244</v>
      </c>
      <c r="F958" s="34" t="s">
        <v>931</v>
      </c>
      <c r="G958" s="57">
        <v>43390</v>
      </c>
      <c r="H958" s="57">
        <v>43756</v>
      </c>
      <c r="I958" s="34">
        <f t="shared" si="42"/>
        <v>12</v>
      </c>
      <c r="J958" s="34">
        <v>40</v>
      </c>
      <c r="K958" s="36">
        <v>1000</v>
      </c>
      <c r="L958" s="34" t="s">
        <v>17</v>
      </c>
      <c r="M958" s="57">
        <v>34274</v>
      </c>
      <c r="N958" s="37">
        <f>(YEAR(TablaMadre[[#This Row],[ALTA]])-YEAR(M958))</f>
        <v>25</v>
      </c>
      <c r="O958" s="34" t="s">
        <v>95</v>
      </c>
      <c r="P958" s="34" t="s">
        <v>95</v>
      </c>
      <c r="Q958" s="34" t="s">
        <v>151</v>
      </c>
      <c r="R958" s="34" t="s">
        <v>21</v>
      </c>
      <c r="S958" s="34" t="s">
        <v>151</v>
      </c>
      <c r="T958" s="34"/>
      <c r="U958" s="34"/>
      <c r="V958" s="34" t="s">
        <v>90</v>
      </c>
      <c r="W958" s="34" t="s">
        <v>97</v>
      </c>
      <c r="X958" s="38" t="s">
        <v>164</v>
      </c>
      <c r="Y958" s="62"/>
      <c r="Z958" s="62" t="e">
        <f t="shared" si="43"/>
        <v>#NUM!</v>
      </c>
      <c r="AA958" s="62"/>
      <c r="AB958" s="34"/>
      <c r="AC958" s="34"/>
      <c r="AD958" s="38"/>
      <c r="AE958" s="59" t="str">
        <f t="shared" si="44"/>
        <v>SÍ</v>
      </c>
      <c r="AF958" s="38" t="e" cm="1">
        <f t="array" aca="1" ref="AF958" ca="1">MIN(100, MAX(0, (IF(R958="ESTUDIANTE", 31, 0)) + (IF(I958&lt;=3, 30, IF(I958&lt;=6, 20, 0))) +(IF(OR(E958="413 - Control de Costes y Enlace Construcción", E958="480 - Secretaría General del Consejo", E958="132 - Civil y estructuras", E958="136 - Mecánica", E958="412 - Planificación", E958="142 - Compras"), 25, 0)) +(IF(OR(S958="GRADO ING. MECÁNICA", S958="GRADO ING. ELÉCTRICA", S958="GRADO DERECHO", S958="GRADO ECONOMÍA", S958="GRADO ING. TECNOLOGÍAS INDUSTRIALES"), 24, 0)) + (IF(AND(K958&gt;=451, K958&lt;=700), 23, 0)) + (IF(AND(AB958&gt;=5, AB958&lt;=8), 17, 0)) +(IF(_xludf.OR(_xludf.AND(AC958&gt;=8, AC958&lt;=10), _xludf.AND(AC958&gt;=0, AC958&lt;=5)), 16, 0)) + (IF(F958="Madrid", 11, 0))))</f>
        <v>#NAME?</v>
      </c>
      <c r="AG958" s="68"/>
      <c r="AH958" s="71" t="s">
        <v>164</v>
      </c>
    </row>
    <row r="959" spans="1:34" s="4" customFormat="1" ht="14.4" x14ac:dyDescent="0.3">
      <c r="A959" s="66" t="s">
        <v>1937</v>
      </c>
      <c r="B959" s="66" t="s">
        <v>4054</v>
      </c>
      <c r="C959" s="33">
        <v>958</v>
      </c>
      <c r="D959" s="33" t="s">
        <v>5396</v>
      </c>
      <c r="E959" s="34" t="s">
        <v>5273</v>
      </c>
      <c r="F959" s="34" t="s">
        <v>931</v>
      </c>
      <c r="G959" s="57">
        <v>43390</v>
      </c>
      <c r="H959" s="57">
        <v>43756</v>
      </c>
      <c r="I959" s="34">
        <f t="shared" si="42"/>
        <v>12</v>
      </c>
      <c r="J959" s="34">
        <v>40</v>
      </c>
      <c r="K959" s="36">
        <v>1000</v>
      </c>
      <c r="L959" s="34" t="s">
        <v>17</v>
      </c>
      <c r="M959" s="57">
        <v>34683</v>
      </c>
      <c r="N959" s="37">
        <f>(YEAR(TablaMadre[[#This Row],[ALTA]])-YEAR(M959))</f>
        <v>24</v>
      </c>
      <c r="O959" s="34" t="s">
        <v>95</v>
      </c>
      <c r="P959" s="34" t="s">
        <v>95</v>
      </c>
      <c r="Q959" s="34" t="s">
        <v>136</v>
      </c>
      <c r="R959" s="34" t="s">
        <v>21</v>
      </c>
      <c r="S959" s="34" t="s">
        <v>136</v>
      </c>
      <c r="T959" s="34"/>
      <c r="U959" s="34"/>
      <c r="V959" s="34" t="s">
        <v>90</v>
      </c>
      <c r="W959" s="34" t="s">
        <v>97</v>
      </c>
      <c r="X959" s="34" t="s">
        <v>164</v>
      </c>
      <c r="Y959" s="57"/>
      <c r="Z959" s="57" t="e">
        <f t="shared" si="43"/>
        <v>#NUM!</v>
      </c>
      <c r="AA959" s="57"/>
      <c r="AB959" s="34"/>
      <c r="AC959" s="34"/>
      <c r="AD959" s="34"/>
      <c r="AE959" s="59" t="str">
        <f t="shared" si="44"/>
        <v>SÍ</v>
      </c>
      <c r="AF959" s="34" t="e" cm="1">
        <f t="array" aca="1" ref="AF959" ca="1">MIN(100, MAX(0, (IF(R959="ESTUDIANTE", 31, 0)) + (IF(I959&lt;=3, 30, IF(I959&lt;=6, 20, 0))) +(IF(OR(E959="413 - Control de Costes y Enlace Construcción", E959="480 - Secretaría General del Consejo", E959="132 - Civil y estructuras", E959="136 - Mecánica", E959="412 - Planificación", E959="142 - Compras"), 25, 0)) +(IF(OR(S959="GRADO ING. MECÁNICA", S959="GRADO ING. ELÉCTRICA", S959="GRADO DERECHO", S959="GRADO ECONOMÍA", S959="GRADO ING. TECNOLOGÍAS INDUSTRIALES"), 24, 0)) + (IF(AND(K959&gt;=451, K959&lt;=700), 23, 0)) + (IF(AND(AB959&gt;=5, AB959&lt;=8), 17, 0)) +(IF(_xludf.OR(_xludf.AND(AC959&gt;=8, AC959&lt;=10), _xludf.AND(AC959&gt;=0, AC959&lt;=5)), 16, 0)) + (IF(F959="Madrid", 11, 0))))</f>
        <v>#NAME?</v>
      </c>
      <c r="AG959" s="69"/>
      <c r="AH959" s="71" t="s">
        <v>164</v>
      </c>
    </row>
    <row r="960" spans="1:34" ht="14.4" x14ac:dyDescent="0.3">
      <c r="A960" s="66" t="s">
        <v>1938</v>
      </c>
      <c r="B960" s="66" t="s">
        <v>4055</v>
      </c>
      <c r="C960" s="33">
        <v>959</v>
      </c>
      <c r="D960" s="33" t="s">
        <v>5397</v>
      </c>
      <c r="E960" s="34" t="s">
        <v>5241</v>
      </c>
      <c r="F960" s="34" t="s">
        <v>931</v>
      </c>
      <c r="G960" s="57">
        <v>43390</v>
      </c>
      <c r="H960" s="57">
        <v>43756</v>
      </c>
      <c r="I960" s="34">
        <f t="shared" si="42"/>
        <v>12</v>
      </c>
      <c r="J960" s="34">
        <v>40</v>
      </c>
      <c r="K960" s="36">
        <v>1000</v>
      </c>
      <c r="L960" s="34" t="s">
        <v>17</v>
      </c>
      <c r="M960" s="57">
        <v>34108</v>
      </c>
      <c r="N960" s="37">
        <f>(YEAR(TablaMadre[[#This Row],[ALTA]])-YEAR(M960))</f>
        <v>25</v>
      </c>
      <c r="O960" s="34" t="s">
        <v>95</v>
      </c>
      <c r="P960" s="34" t="s">
        <v>95</v>
      </c>
      <c r="Q960" s="34" t="s">
        <v>397</v>
      </c>
      <c r="R960" s="34" t="s">
        <v>21</v>
      </c>
      <c r="S960" s="34" t="s">
        <v>397</v>
      </c>
      <c r="T960" s="34"/>
      <c r="U960" s="34"/>
      <c r="V960" s="34" t="s">
        <v>90</v>
      </c>
      <c r="W960" s="34" t="s">
        <v>97</v>
      </c>
      <c r="X960" s="38" t="s">
        <v>164</v>
      </c>
      <c r="Y960" s="62"/>
      <c r="Z960" s="62" t="e">
        <f t="shared" si="43"/>
        <v>#NUM!</v>
      </c>
      <c r="AA960" s="62"/>
      <c r="AB960" s="34"/>
      <c r="AC960" s="34"/>
      <c r="AD960" s="38"/>
      <c r="AE960" s="59" t="str">
        <f t="shared" si="44"/>
        <v>SÍ</v>
      </c>
      <c r="AF960" s="38" t="e" cm="1">
        <f t="array" aca="1" ref="AF960" ca="1">MIN(100, MAX(0, (IF(R960="ESTUDIANTE", 31, 0)) + (IF(I960&lt;=3, 30, IF(I960&lt;=6, 20, 0))) +(IF(OR(E960="413 - Control de Costes y Enlace Construcción", E960="480 - Secretaría General del Consejo", E960="132 - Civil y estructuras", E960="136 - Mecánica", E960="412 - Planificación", E960="142 - Compras"), 25, 0)) +(IF(OR(S960="GRADO ING. MECÁNICA", S960="GRADO ING. ELÉCTRICA", S960="GRADO DERECHO", S960="GRADO ECONOMÍA", S960="GRADO ING. TECNOLOGÍAS INDUSTRIALES"), 24, 0)) + (IF(AND(K960&gt;=451, K960&lt;=700), 23, 0)) + (IF(AND(AB960&gt;=5, AB960&lt;=8), 17, 0)) +(IF(_xludf.OR(_xludf.AND(AC960&gt;=8, AC960&lt;=10), _xludf.AND(AC960&gt;=0, AC960&lt;=5)), 16, 0)) + (IF(F960="Madrid", 11, 0))))</f>
        <v>#NAME?</v>
      </c>
      <c r="AG960" s="68"/>
      <c r="AH960" s="71" t="s">
        <v>164</v>
      </c>
    </row>
    <row r="961" spans="1:34" ht="14.4" x14ac:dyDescent="0.3">
      <c r="A961" s="66" t="s">
        <v>1939</v>
      </c>
      <c r="B961" s="66" t="s">
        <v>4056</v>
      </c>
      <c r="C961" s="33">
        <v>960</v>
      </c>
      <c r="D961" s="33" t="s">
        <v>5398</v>
      </c>
      <c r="E961" s="34" t="s">
        <v>5244</v>
      </c>
      <c r="F961" s="34" t="s">
        <v>931</v>
      </c>
      <c r="G961" s="57">
        <v>43390</v>
      </c>
      <c r="H961" s="57">
        <v>43756</v>
      </c>
      <c r="I961" s="34">
        <f t="shared" si="42"/>
        <v>12</v>
      </c>
      <c r="J961" s="34">
        <v>40</v>
      </c>
      <c r="K961" s="36">
        <v>1000</v>
      </c>
      <c r="L961" s="34" t="s">
        <v>17</v>
      </c>
      <c r="M961" s="57">
        <v>32551</v>
      </c>
      <c r="N961" s="37">
        <f>(YEAR(TablaMadre[[#This Row],[ALTA]])-YEAR(M961))</f>
        <v>29</v>
      </c>
      <c r="O961" s="34" t="s">
        <v>95</v>
      </c>
      <c r="P961" s="34" t="s">
        <v>95</v>
      </c>
      <c r="Q961" s="34" t="s">
        <v>136</v>
      </c>
      <c r="R961" s="34" t="s">
        <v>21</v>
      </c>
      <c r="S961" s="34" t="s">
        <v>136</v>
      </c>
      <c r="T961" s="34"/>
      <c r="U961" s="34"/>
      <c r="V961" s="34" t="s">
        <v>90</v>
      </c>
      <c r="W961" s="34" t="s">
        <v>97</v>
      </c>
      <c r="X961" s="38" t="s">
        <v>164</v>
      </c>
      <c r="Y961" s="62"/>
      <c r="Z961" s="62" t="e">
        <f t="shared" si="43"/>
        <v>#NUM!</v>
      </c>
      <c r="AA961" s="62"/>
      <c r="AB961" s="34"/>
      <c r="AC961" s="34"/>
      <c r="AD961" s="38"/>
      <c r="AE961" s="59" t="str">
        <f t="shared" si="44"/>
        <v>SÍ</v>
      </c>
      <c r="AF961" s="38" t="e" cm="1">
        <f t="array" aca="1" ref="AF961" ca="1">MIN(100, MAX(0, (IF(R961="ESTUDIANTE", 31, 0)) + (IF(I961&lt;=3, 30, IF(I961&lt;=6, 20, 0))) +(IF(OR(E961="413 - Control de Costes y Enlace Construcción", E961="480 - Secretaría General del Consejo", E961="132 - Civil y estructuras", E961="136 - Mecánica", E961="412 - Planificación", E961="142 - Compras"), 25, 0)) +(IF(OR(S961="GRADO ING. MECÁNICA", S961="GRADO ING. ELÉCTRICA", S961="GRADO DERECHO", S961="GRADO ECONOMÍA", S961="GRADO ING. TECNOLOGÍAS INDUSTRIALES"), 24, 0)) + (IF(AND(K961&gt;=451, K961&lt;=700), 23, 0)) + (IF(AND(AB961&gt;=5, AB961&lt;=8), 17, 0)) +(IF(_xludf.OR(_xludf.AND(AC961&gt;=8, AC961&lt;=10), _xludf.AND(AC961&gt;=0, AC961&lt;=5)), 16, 0)) + (IF(F961="Madrid", 11, 0))))</f>
        <v>#NAME?</v>
      </c>
      <c r="AG961" s="68"/>
      <c r="AH961" s="71" t="s">
        <v>164</v>
      </c>
    </row>
    <row r="962" spans="1:34" ht="14.4" x14ac:dyDescent="0.3">
      <c r="A962" s="66" t="s">
        <v>1940</v>
      </c>
      <c r="B962" s="66" t="s">
        <v>4057</v>
      </c>
      <c r="C962" s="33">
        <v>961</v>
      </c>
      <c r="D962" s="33" t="s">
        <v>5399</v>
      </c>
      <c r="E962" s="34" t="s">
        <v>5216</v>
      </c>
      <c r="F962" s="34" t="s">
        <v>931</v>
      </c>
      <c r="G962" s="57">
        <v>43390</v>
      </c>
      <c r="H962" s="57">
        <v>43756</v>
      </c>
      <c r="I962" s="34">
        <f t="shared" ref="I962:I1025" si="45">DATEDIF(G962, H962, "M")</f>
        <v>12</v>
      </c>
      <c r="J962" s="34">
        <v>40</v>
      </c>
      <c r="K962" s="36">
        <v>1000</v>
      </c>
      <c r="L962" s="34" t="s">
        <v>17</v>
      </c>
      <c r="M962" s="57">
        <v>33053</v>
      </c>
      <c r="N962" s="37">
        <f>(YEAR(TablaMadre[[#This Row],[ALTA]])-YEAR(M962))</f>
        <v>28</v>
      </c>
      <c r="O962" s="34" t="s">
        <v>95</v>
      </c>
      <c r="P962" s="34" t="s">
        <v>95</v>
      </c>
      <c r="Q962" s="34" t="s">
        <v>297</v>
      </c>
      <c r="R962" s="34" t="s">
        <v>21</v>
      </c>
      <c r="S962" s="34" t="s">
        <v>297</v>
      </c>
      <c r="T962" s="34"/>
      <c r="U962" s="34"/>
      <c r="V962" s="34" t="s">
        <v>90</v>
      </c>
      <c r="W962" s="34" t="s">
        <v>97</v>
      </c>
      <c r="X962" s="38" t="s">
        <v>164</v>
      </c>
      <c r="Y962" s="62"/>
      <c r="Z962" s="62" t="e">
        <f t="shared" ref="Z962:Z1025" si="46">DATEDIF(H962, Y962, "y")</f>
        <v>#NUM!</v>
      </c>
      <c r="AA962" s="62"/>
      <c r="AB962" s="34"/>
      <c r="AC962" s="34"/>
      <c r="AD962" s="38"/>
      <c r="AE962" s="59" t="str">
        <f t="shared" si="44"/>
        <v>SÍ</v>
      </c>
      <c r="AF962" s="38" t="e" cm="1">
        <f t="array" aca="1" ref="AF962" ca="1">MIN(100, MAX(0, (IF(R962="ESTUDIANTE", 31, 0)) + (IF(I962&lt;=3, 30, IF(I962&lt;=6, 20, 0))) +(IF(OR(E962="413 - Control de Costes y Enlace Construcción", E962="480 - Secretaría General del Consejo", E962="132 - Civil y estructuras", E962="136 - Mecánica", E962="412 - Planificación", E962="142 - Compras"), 25, 0)) +(IF(OR(S962="GRADO ING. MECÁNICA", S962="GRADO ING. ELÉCTRICA", S962="GRADO DERECHO", S962="GRADO ECONOMÍA", S962="GRADO ING. TECNOLOGÍAS INDUSTRIALES"), 24, 0)) + (IF(AND(K962&gt;=451, K962&lt;=700), 23, 0)) + (IF(AND(AB962&gt;=5, AB962&lt;=8), 17, 0)) +(IF(_xludf.OR(_xludf.AND(AC962&gt;=8, AC962&lt;=10), _xludf.AND(AC962&gt;=0, AC962&lt;=5)), 16, 0)) + (IF(F962="Madrid", 11, 0))))</f>
        <v>#NAME?</v>
      </c>
      <c r="AG962" s="68"/>
      <c r="AH962" s="71" t="s">
        <v>164</v>
      </c>
    </row>
    <row r="963" spans="1:34" ht="14.4" x14ac:dyDescent="0.3">
      <c r="A963" s="66" t="s">
        <v>1941</v>
      </c>
      <c r="B963" s="66" t="s">
        <v>4058</v>
      </c>
      <c r="C963" s="33">
        <v>962</v>
      </c>
      <c r="D963" s="33" t="s">
        <v>5393</v>
      </c>
      <c r="E963" s="34" t="s">
        <v>5241</v>
      </c>
      <c r="F963" s="34" t="s">
        <v>931</v>
      </c>
      <c r="G963" s="57">
        <v>43390</v>
      </c>
      <c r="H963" s="57">
        <v>43756</v>
      </c>
      <c r="I963" s="34">
        <f t="shared" si="45"/>
        <v>12</v>
      </c>
      <c r="J963" s="34">
        <v>40</v>
      </c>
      <c r="K963" s="36">
        <v>1000</v>
      </c>
      <c r="L963" s="34" t="s">
        <v>17</v>
      </c>
      <c r="M963" s="57">
        <v>32532</v>
      </c>
      <c r="N963" s="37">
        <f>(YEAR(TablaMadre[[#This Row],[ALTA]])-YEAR(M963))</f>
        <v>29</v>
      </c>
      <c r="O963" s="34" t="s">
        <v>95</v>
      </c>
      <c r="P963" s="34" t="s">
        <v>95</v>
      </c>
      <c r="Q963" s="34" t="s">
        <v>136</v>
      </c>
      <c r="R963" s="34" t="s">
        <v>21</v>
      </c>
      <c r="S963" s="34" t="s">
        <v>136</v>
      </c>
      <c r="T963" s="34"/>
      <c r="U963" s="34"/>
      <c r="V963" s="34" t="s">
        <v>90</v>
      </c>
      <c r="W963" s="34" t="s">
        <v>97</v>
      </c>
      <c r="X963" s="38" t="s">
        <v>164</v>
      </c>
      <c r="Y963" s="62"/>
      <c r="Z963" s="62" t="e">
        <f t="shared" si="46"/>
        <v>#NUM!</v>
      </c>
      <c r="AA963" s="62"/>
      <c r="AB963" s="34"/>
      <c r="AC963" s="34"/>
      <c r="AD963" s="38"/>
      <c r="AE963" s="59" t="str">
        <f t="shared" ref="AE963:AE1026" si="47">IF(F963=O963, "NO", "SÍ")</f>
        <v>SÍ</v>
      </c>
      <c r="AF963" s="38" t="e" cm="1">
        <f t="array" aca="1" ref="AF963" ca="1">MIN(100, MAX(0, (IF(R963="ESTUDIANTE", 31, 0)) + (IF(I963&lt;=3, 30, IF(I963&lt;=6, 20, 0))) +(IF(OR(E963="413 - Control de Costes y Enlace Construcción", E963="480 - Secretaría General del Consejo", E963="132 - Civil y estructuras", E963="136 - Mecánica", E963="412 - Planificación", E963="142 - Compras"), 25, 0)) +(IF(OR(S963="GRADO ING. MECÁNICA", S963="GRADO ING. ELÉCTRICA", S963="GRADO DERECHO", S963="GRADO ECONOMÍA", S963="GRADO ING. TECNOLOGÍAS INDUSTRIALES"), 24, 0)) + (IF(AND(K963&gt;=451, K963&lt;=700), 23, 0)) + (IF(AND(AB963&gt;=5, AB963&lt;=8), 17, 0)) +(IF(_xludf.OR(_xludf.AND(AC963&gt;=8, AC963&lt;=10), _xludf.AND(AC963&gt;=0, AC963&lt;=5)), 16, 0)) + (IF(F963="Madrid", 11, 0))))</f>
        <v>#NAME?</v>
      </c>
      <c r="AG963" s="68"/>
      <c r="AH963" s="71" t="s">
        <v>164</v>
      </c>
    </row>
    <row r="964" spans="1:34" ht="14.4" x14ac:dyDescent="0.3">
      <c r="A964" s="66" t="s">
        <v>1942</v>
      </c>
      <c r="B964" s="66" t="s">
        <v>4059</v>
      </c>
      <c r="C964" s="33">
        <v>963</v>
      </c>
      <c r="D964" s="33" t="s">
        <v>5394</v>
      </c>
      <c r="E964" s="34" t="s">
        <v>5252</v>
      </c>
      <c r="F964" s="34" t="s">
        <v>931</v>
      </c>
      <c r="G964" s="57">
        <v>43390</v>
      </c>
      <c r="H964" s="57">
        <v>43756</v>
      </c>
      <c r="I964" s="34">
        <f t="shared" si="45"/>
        <v>12</v>
      </c>
      <c r="J964" s="34">
        <v>40</v>
      </c>
      <c r="K964" s="36">
        <v>1000</v>
      </c>
      <c r="L964" s="34" t="s">
        <v>17</v>
      </c>
      <c r="M964" s="57">
        <v>33786</v>
      </c>
      <c r="N964" s="37">
        <f>(YEAR(TablaMadre[[#This Row],[ALTA]])-YEAR(M964))</f>
        <v>26</v>
      </c>
      <c r="O964" s="34" t="s">
        <v>95</v>
      </c>
      <c r="P964" s="34" t="s">
        <v>95</v>
      </c>
      <c r="Q964" s="34" t="s">
        <v>136</v>
      </c>
      <c r="R964" s="34" t="s">
        <v>21</v>
      </c>
      <c r="S964" s="34" t="s">
        <v>136</v>
      </c>
      <c r="T964" s="34"/>
      <c r="U964" s="34"/>
      <c r="V964" s="34" t="s">
        <v>90</v>
      </c>
      <c r="W964" s="34" t="s">
        <v>97</v>
      </c>
      <c r="X964" s="38" t="s">
        <v>164</v>
      </c>
      <c r="Y964" s="62"/>
      <c r="Z964" s="62" t="e">
        <f t="shared" si="46"/>
        <v>#NUM!</v>
      </c>
      <c r="AA964" s="62"/>
      <c r="AB964" s="34"/>
      <c r="AC964" s="34"/>
      <c r="AD964" s="38"/>
      <c r="AE964" s="59" t="str">
        <f t="shared" si="47"/>
        <v>SÍ</v>
      </c>
      <c r="AF964" s="38" t="e" cm="1">
        <f t="array" aca="1" ref="AF964" ca="1">MIN(100, MAX(0, (IF(R964="ESTUDIANTE", 31, 0)) + (IF(I964&lt;=3, 30, IF(I964&lt;=6, 20, 0))) +(IF(OR(E964="413 - Control de Costes y Enlace Construcción", E964="480 - Secretaría General del Consejo", E964="132 - Civil y estructuras", E964="136 - Mecánica", E964="412 - Planificación", E964="142 - Compras"), 25, 0)) +(IF(OR(S964="GRADO ING. MECÁNICA", S964="GRADO ING. ELÉCTRICA", S964="GRADO DERECHO", S964="GRADO ECONOMÍA", S964="GRADO ING. TECNOLOGÍAS INDUSTRIALES"), 24, 0)) + (IF(AND(K964&gt;=451, K964&lt;=700), 23, 0)) + (IF(AND(AB964&gt;=5, AB964&lt;=8), 17, 0)) +(IF(_xludf.OR(_xludf.AND(AC964&gt;=8, AC964&lt;=10), _xludf.AND(AC964&gt;=0, AC964&lt;=5)), 16, 0)) + (IF(F964="Madrid", 11, 0))))</f>
        <v>#NAME?</v>
      </c>
      <c r="AG964" s="68"/>
      <c r="AH964" s="71" t="s">
        <v>164</v>
      </c>
    </row>
    <row r="965" spans="1:34" ht="14.4" x14ac:dyDescent="0.3">
      <c r="A965" s="66" t="s">
        <v>1943</v>
      </c>
      <c r="B965" s="66" t="s">
        <v>4060</v>
      </c>
      <c r="C965" s="33">
        <v>964</v>
      </c>
      <c r="D965" s="33" t="s">
        <v>5395</v>
      </c>
      <c r="E965" s="34" t="s">
        <v>5216</v>
      </c>
      <c r="F965" s="34" t="s">
        <v>931</v>
      </c>
      <c r="G965" s="57">
        <v>43390</v>
      </c>
      <c r="H965" s="57">
        <v>43756</v>
      </c>
      <c r="I965" s="34">
        <f t="shared" si="45"/>
        <v>12</v>
      </c>
      <c r="J965" s="34">
        <v>40</v>
      </c>
      <c r="K965" s="36">
        <v>1000</v>
      </c>
      <c r="L965" s="34" t="s">
        <v>17</v>
      </c>
      <c r="M965" s="57">
        <v>33699</v>
      </c>
      <c r="N965" s="37">
        <f>(YEAR(TablaMadre[[#This Row],[ALTA]])-YEAR(M965))</f>
        <v>26</v>
      </c>
      <c r="O965" s="34" t="s">
        <v>95</v>
      </c>
      <c r="P965" s="34" t="s">
        <v>95</v>
      </c>
      <c r="Q965" s="34" t="s">
        <v>297</v>
      </c>
      <c r="R965" s="34" t="s">
        <v>21</v>
      </c>
      <c r="S965" s="34" t="s">
        <v>297</v>
      </c>
      <c r="T965" s="34"/>
      <c r="U965" s="34"/>
      <c r="V965" s="34" t="s">
        <v>90</v>
      </c>
      <c r="W965" s="34" t="s">
        <v>97</v>
      </c>
      <c r="X965" s="38" t="s">
        <v>164</v>
      </c>
      <c r="Y965" s="62"/>
      <c r="Z965" s="62" t="e">
        <f t="shared" si="46"/>
        <v>#NUM!</v>
      </c>
      <c r="AA965" s="62"/>
      <c r="AB965" s="34"/>
      <c r="AC965" s="34"/>
      <c r="AD965" s="38"/>
      <c r="AE965" s="59" t="str">
        <f t="shared" si="47"/>
        <v>SÍ</v>
      </c>
      <c r="AF965" s="38" t="e" cm="1">
        <f t="array" aca="1" ref="AF965" ca="1">MIN(100, MAX(0, (IF(R965="ESTUDIANTE", 31, 0)) + (IF(I965&lt;=3, 30, IF(I965&lt;=6, 20, 0))) +(IF(OR(E965="413 - Control de Costes y Enlace Construcción", E965="480 - Secretaría General del Consejo", E965="132 - Civil y estructuras", E965="136 - Mecánica", E965="412 - Planificación", E965="142 - Compras"), 25, 0)) +(IF(OR(S965="GRADO ING. MECÁNICA", S965="GRADO ING. ELÉCTRICA", S965="GRADO DERECHO", S965="GRADO ECONOMÍA", S965="GRADO ING. TECNOLOGÍAS INDUSTRIALES"), 24, 0)) + (IF(AND(K965&gt;=451, K965&lt;=700), 23, 0)) + (IF(AND(AB965&gt;=5, AB965&lt;=8), 17, 0)) +(IF(_xludf.OR(_xludf.AND(AC965&gt;=8, AC965&lt;=10), _xludf.AND(AC965&gt;=0, AC965&lt;=5)), 16, 0)) + (IF(F965="Madrid", 11, 0))))</f>
        <v>#NAME?</v>
      </c>
      <c r="AG965" s="68"/>
      <c r="AH965" s="71" t="s">
        <v>164</v>
      </c>
    </row>
    <row r="966" spans="1:34" ht="14.4" x14ac:dyDescent="0.3">
      <c r="A966" s="66" t="s">
        <v>1944</v>
      </c>
      <c r="B966" s="66" t="s">
        <v>4061</v>
      </c>
      <c r="C966" s="33">
        <v>965</v>
      </c>
      <c r="D966" s="33" t="s">
        <v>5396</v>
      </c>
      <c r="E966" s="34" t="s">
        <v>5299</v>
      </c>
      <c r="F966" s="34" t="s">
        <v>931</v>
      </c>
      <c r="G966" s="57">
        <v>43390</v>
      </c>
      <c r="H966" s="57">
        <v>43756</v>
      </c>
      <c r="I966" s="34">
        <f t="shared" si="45"/>
        <v>12</v>
      </c>
      <c r="J966" s="34">
        <v>40</v>
      </c>
      <c r="K966" s="36">
        <v>1000</v>
      </c>
      <c r="L966" s="34" t="s">
        <v>17</v>
      </c>
      <c r="M966" s="57">
        <v>34362</v>
      </c>
      <c r="N966" s="37">
        <f>(YEAR(TablaMadre[[#This Row],[ALTA]])-YEAR(M966))</f>
        <v>24</v>
      </c>
      <c r="O966" s="34" t="s">
        <v>95</v>
      </c>
      <c r="P966" s="34" t="s">
        <v>95</v>
      </c>
      <c r="Q966" s="34" t="s">
        <v>136</v>
      </c>
      <c r="R966" s="34" t="s">
        <v>21</v>
      </c>
      <c r="S966" s="34" t="s">
        <v>136</v>
      </c>
      <c r="T966" s="34"/>
      <c r="U966" s="34"/>
      <c r="V966" s="34" t="s">
        <v>90</v>
      </c>
      <c r="W966" s="34" t="s">
        <v>97</v>
      </c>
      <c r="X966" s="38" t="s">
        <v>164</v>
      </c>
      <c r="Y966" s="62"/>
      <c r="Z966" s="62" t="e">
        <f t="shared" si="46"/>
        <v>#NUM!</v>
      </c>
      <c r="AA966" s="62"/>
      <c r="AB966" s="34"/>
      <c r="AC966" s="34"/>
      <c r="AD966" s="38"/>
      <c r="AE966" s="59" t="str">
        <f t="shared" si="47"/>
        <v>SÍ</v>
      </c>
      <c r="AF966" s="38" t="e" cm="1">
        <f t="array" aca="1" ref="AF966" ca="1">MIN(100, MAX(0, (IF(R966="ESTUDIANTE", 31, 0)) + (IF(I966&lt;=3, 30, IF(I966&lt;=6, 20, 0))) +(IF(OR(E966="413 - Control de Costes y Enlace Construcción", E966="480 - Secretaría General del Consejo", E966="132 - Civil y estructuras", E966="136 - Mecánica", E966="412 - Planificación", E966="142 - Compras"), 25, 0)) +(IF(OR(S966="GRADO ING. MECÁNICA", S966="GRADO ING. ELÉCTRICA", S966="GRADO DERECHO", S966="GRADO ECONOMÍA", S966="GRADO ING. TECNOLOGÍAS INDUSTRIALES"), 24, 0)) + (IF(AND(K966&gt;=451, K966&lt;=700), 23, 0)) + (IF(AND(AB966&gt;=5, AB966&lt;=8), 17, 0)) +(IF(_xludf.OR(_xludf.AND(AC966&gt;=8, AC966&lt;=10), _xludf.AND(AC966&gt;=0, AC966&lt;=5)), 16, 0)) + (IF(F966="Madrid", 11, 0))))</f>
        <v>#NAME?</v>
      </c>
      <c r="AG966" s="68"/>
      <c r="AH966" s="71" t="s">
        <v>164</v>
      </c>
    </row>
    <row r="967" spans="1:34" ht="14.4" x14ac:dyDescent="0.3">
      <c r="A967" s="66" t="s">
        <v>1945</v>
      </c>
      <c r="B967" s="66" t="s">
        <v>4062</v>
      </c>
      <c r="C967" s="33">
        <v>966</v>
      </c>
      <c r="D967" s="33" t="s">
        <v>5397</v>
      </c>
      <c r="E967" s="34" t="s">
        <v>5266</v>
      </c>
      <c r="F967" s="34" t="s">
        <v>931</v>
      </c>
      <c r="G967" s="57">
        <v>43390</v>
      </c>
      <c r="H967" s="57">
        <v>43798</v>
      </c>
      <c r="I967" s="34">
        <f t="shared" si="45"/>
        <v>13</v>
      </c>
      <c r="J967" s="34">
        <v>40</v>
      </c>
      <c r="K967" s="36">
        <v>1000</v>
      </c>
      <c r="L967" s="34" t="s">
        <v>17</v>
      </c>
      <c r="M967" s="57">
        <v>32643</v>
      </c>
      <c r="N967" s="37">
        <f>(YEAR(TablaMadre[[#This Row],[ALTA]])-YEAR(M967))</f>
        <v>29</v>
      </c>
      <c r="O967" s="34" t="s">
        <v>95</v>
      </c>
      <c r="P967" s="34" t="s">
        <v>95</v>
      </c>
      <c r="Q967" s="34" t="s">
        <v>229</v>
      </c>
      <c r="R967" s="34" t="s">
        <v>21</v>
      </c>
      <c r="S967" s="34" t="s">
        <v>229</v>
      </c>
      <c r="T967" s="34"/>
      <c r="U967" s="34"/>
      <c r="V967" s="34" t="s">
        <v>90</v>
      </c>
      <c r="W967" s="34" t="s">
        <v>97</v>
      </c>
      <c r="X967" s="38" t="s">
        <v>164</v>
      </c>
      <c r="Y967" s="62"/>
      <c r="Z967" s="62" t="e">
        <f t="shared" si="46"/>
        <v>#NUM!</v>
      </c>
      <c r="AA967" s="62"/>
      <c r="AB967" s="34"/>
      <c r="AC967" s="34" t="s">
        <v>450</v>
      </c>
      <c r="AD967" s="38"/>
      <c r="AE967" s="59" t="str">
        <f t="shared" si="47"/>
        <v>SÍ</v>
      </c>
      <c r="AF967" s="38" t="e" cm="1">
        <f t="array" aca="1" ref="AF967" ca="1">MIN(100, MAX(0, (IF(R967="ESTUDIANTE", 31, 0)) + (IF(I967&lt;=3, 30, IF(I967&lt;=6, 20, 0))) +(IF(OR(E967="413 - Control de Costes y Enlace Construcción", E967="480 - Secretaría General del Consejo", E967="132 - Civil y estructuras", E967="136 - Mecánica", E967="412 - Planificación", E967="142 - Compras"), 25, 0)) +(IF(OR(S967="GRADO ING. MECÁNICA", S967="GRADO ING. ELÉCTRICA", S967="GRADO DERECHO", S967="GRADO ECONOMÍA", S967="GRADO ING. TECNOLOGÍAS INDUSTRIALES"), 24, 0)) + (IF(AND(K967&gt;=451, K967&lt;=700), 23, 0)) + (IF(AND(AB967&gt;=5, AB967&lt;=8), 17, 0)) +(IF(_xludf.OR(_xludf.AND(AC967&gt;=8, AC967&lt;=10), _xludf.AND(AC967&gt;=0, AC967&lt;=5)), 16, 0)) + (IF(F967="Madrid", 11, 0))))</f>
        <v>#NAME?</v>
      </c>
      <c r="AG967" s="68"/>
      <c r="AH967" s="71" t="s">
        <v>164</v>
      </c>
    </row>
    <row r="968" spans="1:34" ht="14.4" x14ac:dyDescent="0.3">
      <c r="A968" s="66" t="s">
        <v>1946</v>
      </c>
      <c r="B968" s="66" t="s">
        <v>4063</v>
      </c>
      <c r="C968" s="33">
        <v>967</v>
      </c>
      <c r="D968" s="33" t="s">
        <v>5398</v>
      </c>
      <c r="E968" s="34" t="s">
        <v>5266</v>
      </c>
      <c r="F968" s="34" t="s">
        <v>931</v>
      </c>
      <c r="G968" s="57">
        <v>43390</v>
      </c>
      <c r="H968" s="57">
        <v>43798</v>
      </c>
      <c r="I968" s="34">
        <f t="shared" si="45"/>
        <v>13</v>
      </c>
      <c r="J968" s="34">
        <v>40</v>
      </c>
      <c r="K968" s="36">
        <v>1000</v>
      </c>
      <c r="L968" s="34" t="s">
        <v>17</v>
      </c>
      <c r="M968" s="57">
        <v>30292</v>
      </c>
      <c r="N968" s="37">
        <f>(YEAR(TablaMadre[[#This Row],[ALTA]])-YEAR(M968))</f>
        <v>36</v>
      </c>
      <c r="O968" s="34" t="s">
        <v>95</v>
      </c>
      <c r="P968" s="34" t="s">
        <v>95</v>
      </c>
      <c r="Q968" s="34" t="s">
        <v>229</v>
      </c>
      <c r="R968" s="34" t="s">
        <v>21</v>
      </c>
      <c r="S968" s="34" t="s">
        <v>229</v>
      </c>
      <c r="T968" s="34"/>
      <c r="U968" s="34"/>
      <c r="V968" s="34" t="s">
        <v>90</v>
      </c>
      <c r="W968" s="34" t="s">
        <v>97</v>
      </c>
      <c r="X968" s="38" t="s">
        <v>164</v>
      </c>
      <c r="Y968" s="62"/>
      <c r="Z968" s="62" t="e">
        <f t="shared" si="46"/>
        <v>#NUM!</v>
      </c>
      <c r="AA968" s="62"/>
      <c r="AB968" s="34"/>
      <c r="AC968" s="34"/>
      <c r="AD968" s="38"/>
      <c r="AE968" s="59" t="str">
        <f t="shared" si="47"/>
        <v>SÍ</v>
      </c>
      <c r="AF968" s="38" t="e" cm="1">
        <f t="array" aca="1" ref="AF968" ca="1">MIN(100, MAX(0, (IF(R968="ESTUDIANTE", 31, 0)) + (IF(I968&lt;=3, 30, IF(I968&lt;=6, 20, 0))) +(IF(OR(E968="413 - Control de Costes y Enlace Construcción", E968="480 - Secretaría General del Consejo", E968="132 - Civil y estructuras", E968="136 - Mecánica", E968="412 - Planificación", E968="142 - Compras"), 25, 0)) +(IF(OR(S968="GRADO ING. MECÁNICA", S968="GRADO ING. ELÉCTRICA", S968="GRADO DERECHO", S968="GRADO ECONOMÍA", S968="GRADO ING. TECNOLOGÍAS INDUSTRIALES"), 24, 0)) + (IF(AND(K968&gt;=451, K968&lt;=700), 23, 0)) + (IF(AND(AB968&gt;=5, AB968&lt;=8), 17, 0)) +(IF(_xludf.OR(_xludf.AND(AC968&gt;=8, AC968&lt;=10), _xludf.AND(AC968&gt;=0, AC968&lt;=5)), 16, 0)) + (IF(F968="Madrid", 11, 0))))</f>
        <v>#NAME?</v>
      </c>
      <c r="AG968" s="68"/>
      <c r="AH968" s="71" t="s">
        <v>164</v>
      </c>
    </row>
    <row r="969" spans="1:34" ht="14.4" x14ac:dyDescent="0.3">
      <c r="A969" s="66" t="s">
        <v>1947</v>
      </c>
      <c r="B969" s="66" t="s">
        <v>4064</v>
      </c>
      <c r="C969" s="33">
        <v>968</v>
      </c>
      <c r="D969" s="33" t="s">
        <v>5399</v>
      </c>
      <c r="E969" s="34" t="s">
        <v>5266</v>
      </c>
      <c r="F969" s="34" t="s">
        <v>931</v>
      </c>
      <c r="G969" s="57">
        <v>43390</v>
      </c>
      <c r="H969" s="57">
        <v>43798</v>
      </c>
      <c r="I969" s="34">
        <f t="shared" si="45"/>
        <v>13</v>
      </c>
      <c r="J969" s="34">
        <v>40</v>
      </c>
      <c r="K969" s="36">
        <v>1000</v>
      </c>
      <c r="L969" s="34" t="s">
        <v>17</v>
      </c>
      <c r="M969" s="57">
        <v>31972</v>
      </c>
      <c r="N969" s="37">
        <f>(YEAR(TablaMadre[[#This Row],[ALTA]])-YEAR(M969))</f>
        <v>31</v>
      </c>
      <c r="O969" s="34" t="s">
        <v>95</v>
      </c>
      <c r="P969" s="34" t="s">
        <v>95</v>
      </c>
      <c r="Q969" s="34" t="s">
        <v>229</v>
      </c>
      <c r="R969" s="34" t="s">
        <v>21</v>
      </c>
      <c r="S969" s="34" t="s">
        <v>229</v>
      </c>
      <c r="T969" s="34"/>
      <c r="U969" s="34"/>
      <c r="V969" s="34" t="s">
        <v>90</v>
      </c>
      <c r="W969" s="34" t="s">
        <v>97</v>
      </c>
      <c r="X969" s="38" t="s">
        <v>164</v>
      </c>
      <c r="Y969" s="62"/>
      <c r="Z969" s="62" t="e">
        <f t="shared" si="46"/>
        <v>#NUM!</v>
      </c>
      <c r="AA969" s="62"/>
      <c r="AB969" s="34"/>
      <c r="AC969" s="34" t="s">
        <v>450</v>
      </c>
      <c r="AD969" s="38"/>
      <c r="AE969" s="59" t="str">
        <f t="shared" si="47"/>
        <v>SÍ</v>
      </c>
      <c r="AF969" s="38" t="e" cm="1">
        <f t="array" aca="1" ref="AF969" ca="1">MIN(100, MAX(0, (IF(R969="ESTUDIANTE", 31, 0)) + (IF(I969&lt;=3, 30, IF(I969&lt;=6, 20, 0))) +(IF(OR(E969="413 - Control de Costes y Enlace Construcción", E969="480 - Secretaría General del Consejo", E969="132 - Civil y estructuras", E969="136 - Mecánica", E969="412 - Planificación", E969="142 - Compras"), 25, 0)) +(IF(OR(S969="GRADO ING. MECÁNICA", S969="GRADO ING. ELÉCTRICA", S969="GRADO DERECHO", S969="GRADO ECONOMÍA", S969="GRADO ING. TECNOLOGÍAS INDUSTRIALES"), 24, 0)) + (IF(AND(K969&gt;=451, K969&lt;=700), 23, 0)) + (IF(AND(AB969&gt;=5, AB969&lt;=8), 17, 0)) +(IF(_xludf.OR(_xludf.AND(AC969&gt;=8, AC969&lt;=10), _xludf.AND(AC969&gt;=0, AC969&lt;=5)), 16, 0)) + (IF(F969="Madrid", 11, 0))))</f>
        <v>#NAME?</v>
      </c>
      <c r="AG969" s="68"/>
      <c r="AH969" s="71" t="s">
        <v>164</v>
      </c>
    </row>
    <row r="970" spans="1:34" ht="14.4" x14ac:dyDescent="0.3">
      <c r="A970" s="66" t="s">
        <v>1911</v>
      </c>
      <c r="B970" s="66" t="s">
        <v>4028</v>
      </c>
      <c r="C970" s="33">
        <v>969</v>
      </c>
      <c r="D970" s="33" t="s">
        <v>5400</v>
      </c>
      <c r="E970" s="34" t="s">
        <v>5244</v>
      </c>
      <c r="F970" s="34" t="s">
        <v>931</v>
      </c>
      <c r="G970" s="57">
        <v>43397</v>
      </c>
      <c r="H970" s="57">
        <v>43455</v>
      </c>
      <c r="I970" s="34">
        <f t="shared" si="45"/>
        <v>1</v>
      </c>
      <c r="J970" s="34">
        <v>40</v>
      </c>
      <c r="K970" s="36">
        <v>1000</v>
      </c>
      <c r="L970" s="34" t="s">
        <v>17</v>
      </c>
      <c r="M970" s="57">
        <v>33563</v>
      </c>
      <c r="N970" s="37">
        <f>(YEAR(TablaMadre[[#This Row],[ALTA]])-YEAR(M970))</f>
        <v>27</v>
      </c>
      <c r="O970" s="34" t="s">
        <v>95</v>
      </c>
      <c r="P970" s="34" t="s">
        <v>95</v>
      </c>
      <c r="Q970" s="34" t="s">
        <v>277</v>
      </c>
      <c r="R970" s="34" t="s">
        <v>21</v>
      </c>
      <c r="S970" s="34" t="s">
        <v>277</v>
      </c>
      <c r="T970" s="34"/>
      <c r="U970" s="34"/>
      <c r="V970" s="34" t="s">
        <v>90</v>
      </c>
      <c r="W970" s="34" t="s">
        <v>181</v>
      </c>
      <c r="X970" s="38" t="s">
        <v>164</v>
      </c>
      <c r="Y970" s="62"/>
      <c r="Z970" s="62" t="e">
        <f t="shared" si="46"/>
        <v>#NUM!</v>
      </c>
      <c r="AA970" s="62"/>
      <c r="AB970" s="34"/>
      <c r="AC970" s="34"/>
      <c r="AD970" s="38"/>
      <c r="AE970" s="59" t="str">
        <f t="shared" si="47"/>
        <v>SÍ</v>
      </c>
      <c r="AF970" s="38" t="e" cm="1">
        <f t="array" aca="1" ref="AF970" ca="1">MIN(100, MAX(0, (IF(R970="ESTUDIANTE", 31, 0)) + (IF(I970&lt;=3, 30, IF(I970&lt;=6, 20, 0))) +(IF(OR(E970="413 - Control de Costes y Enlace Construcción", E970="480 - Secretaría General del Consejo", E970="132 - Civil y estructuras", E970="136 - Mecánica", E970="412 - Planificación", E970="142 - Compras"), 25, 0)) +(IF(OR(S970="GRADO ING. MECÁNICA", S970="GRADO ING. ELÉCTRICA", S970="GRADO DERECHO", S970="GRADO ECONOMÍA", S970="GRADO ING. TECNOLOGÍAS INDUSTRIALES"), 24, 0)) + (IF(AND(K970&gt;=451, K970&lt;=700), 23, 0)) + (IF(AND(AB970&gt;=5, AB970&lt;=8), 17, 0)) +(IF(_xludf.OR(_xludf.AND(AC970&gt;=8, AC970&lt;=10), _xludf.AND(AC970&gt;=0, AC970&lt;=5)), 16, 0)) + (IF(F970="Madrid", 11, 0))))</f>
        <v>#NAME?</v>
      </c>
      <c r="AG970" s="68"/>
      <c r="AH970" s="71" t="s">
        <v>164</v>
      </c>
    </row>
    <row r="971" spans="1:34" ht="14.4" x14ac:dyDescent="0.3">
      <c r="A971" s="66" t="s">
        <v>1913</v>
      </c>
      <c r="B971" s="66" t="s">
        <v>4030</v>
      </c>
      <c r="C971" s="33">
        <v>970</v>
      </c>
      <c r="D971" s="33" t="s">
        <v>5401</v>
      </c>
      <c r="E971" s="34" t="s">
        <v>5218</v>
      </c>
      <c r="F971" s="34" t="s">
        <v>931</v>
      </c>
      <c r="G971" s="57">
        <v>43397</v>
      </c>
      <c r="H971" s="57">
        <v>43740</v>
      </c>
      <c r="I971" s="34">
        <f t="shared" si="45"/>
        <v>11</v>
      </c>
      <c r="J971" s="34">
        <v>40</v>
      </c>
      <c r="K971" s="36">
        <v>1000</v>
      </c>
      <c r="L971" s="34" t="s">
        <v>17</v>
      </c>
      <c r="M971" s="57">
        <v>34563</v>
      </c>
      <c r="N971" s="37">
        <f>(YEAR(TablaMadre[[#This Row],[ALTA]])-YEAR(M971))</f>
        <v>24</v>
      </c>
      <c r="O971" s="34" t="s">
        <v>95</v>
      </c>
      <c r="P971" s="34" t="s">
        <v>95</v>
      </c>
      <c r="Q971" s="34" t="s">
        <v>151</v>
      </c>
      <c r="R971" s="34" t="s">
        <v>21</v>
      </c>
      <c r="S971" s="34" t="s">
        <v>151</v>
      </c>
      <c r="T971" s="34"/>
      <c r="U971" s="34"/>
      <c r="V971" s="34" t="s">
        <v>90</v>
      </c>
      <c r="W971" s="34" t="s">
        <v>181</v>
      </c>
      <c r="X971" s="38" t="s">
        <v>164</v>
      </c>
      <c r="Y971" s="62"/>
      <c r="Z971" s="62" t="e">
        <f t="shared" si="46"/>
        <v>#NUM!</v>
      </c>
      <c r="AA971" s="62"/>
      <c r="AB971" s="34"/>
      <c r="AC971" s="34"/>
      <c r="AD971" s="38"/>
      <c r="AE971" s="59" t="str">
        <f t="shared" si="47"/>
        <v>SÍ</v>
      </c>
      <c r="AF971" s="38" t="e" cm="1">
        <f t="array" aca="1" ref="AF971" ca="1">MIN(100, MAX(0, (IF(R971="ESTUDIANTE", 31, 0)) + (IF(I971&lt;=3, 30, IF(I971&lt;=6, 20, 0))) +(IF(OR(E971="413 - Control de Costes y Enlace Construcción", E971="480 - Secretaría General del Consejo", E971="132 - Civil y estructuras", E971="136 - Mecánica", E971="412 - Planificación", E971="142 - Compras"), 25, 0)) +(IF(OR(S971="GRADO ING. MECÁNICA", S971="GRADO ING. ELÉCTRICA", S971="GRADO DERECHO", S971="GRADO ECONOMÍA", S971="GRADO ING. TECNOLOGÍAS INDUSTRIALES"), 24, 0)) + (IF(AND(K971&gt;=451, K971&lt;=700), 23, 0)) + (IF(AND(AB971&gt;=5, AB971&lt;=8), 17, 0)) +(IF(_xludf.OR(_xludf.AND(AC971&gt;=8, AC971&lt;=10), _xludf.AND(AC971&gt;=0, AC971&lt;=5)), 16, 0)) + (IF(F971="Madrid", 11, 0))))</f>
        <v>#NAME?</v>
      </c>
      <c r="AG971" s="68"/>
      <c r="AH971" s="71" t="s">
        <v>164</v>
      </c>
    </row>
    <row r="972" spans="1:34" ht="14.4" x14ac:dyDescent="0.3">
      <c r="A972" s="66" t="s">
        <v>1950</v>
      </c>
      <c r="B972" s="66" t="s">
        <v>4067</v>
      </c>
      <c r="C972" s="33">
        <v>971</v>
      </c>
      <c r="D972" s="33" t="s">
        <v>5402</v>
      </c>
      <c r="E972" s="34" t="s">
        <v>5241</v>
      </c>
      <c r="F972" s="34" t="s">
        <v>931</v>
      </c>
      <c r="G972" s="57">
        <v>43397</v>
      </c>
      <c r="H972" s="57">
        <v>43756</v>
      </c>
      <c r="I972" s="34">
        <f t="shared" si="45"/>
        <v>11</v>
      </c>
      <c r="J972" s="34">
        <v>40</v>
      </c>
      <c r="K972" s="36">
        <v>1000</v>
      </c>
      <c r="L972" s="34" t="s">
        <v>17</v>
      </c>
      <c r="M972" s="57">
        <v>31731</v>
      </c>
      <c r="N972" s="37">
        <f>(YEAR(TablaMadre[[#This Row],[ALTA]])-YEAR(M972))</f>
        <v>32</v>
      </c>
      <c r="O972" s="34" t="s">
        <v>95</v>
      </c>
      <c r="P972" s="34" t="s">
        <v>95</v>
      </c>
      <c r="Q972" s="34" t="s">
        <v>277</v>
      </c>
      <c r="R972" s="34" t="s">
        <v>21</v>
      </c>
      <c r="S972" s="34" t="s">
        <v>277</v>
      </c>
      <c r="T972" s="34"/>
      <c r="U972" s="34"/>
      <c r="V972" s="34" t="s">
        <v>90</v>
      </c>
      <c r="W972" s="34" t="s">
        <v>97</v>
      </c>
      <c r="X972" s="38" t="s">
        <v>164</v>
      </c>
      <c r="Y972" s="62"/>
      <c r="Z972" s="62" t="e">
        <f t="shared" si="46"/>
        <v>#NUM!</v>
      </c>
      <c r="AA972" s="62"/>
      <c r="AB972" s="34"/>
      <c r="AC972" s="34"/>
      <c r="AD972" s="38"/>
      <c r="AE972" s="59" t="str">
        <f t="shared" si="47"/>
        <v>SÍ</v>
      </c>
      <c r="AF972" s="38" t="e" cm="1">
        <f t="array" aca="1" ref="AF972" ca="1">MIN(100, MAX(0, (IF(R972="ESTUDIANTE", 31, 0)) + (IF(I972&lt;=3, 30, IF(I972&lt;=6, 20, 0))) +(IF(OR(E972="413 - Control de Costes y Enlace Construcción", E972="480 - Secretaría General del Consejo", E972="132 - Civil y estructuras", E972="136 - Mecánica", E972="412 - Planificación", E972="142 - Compras"), 25, 0)) +(IF(OR(S972="GRADO ING. MECÁNICA", S972="GRADO ING. ELÉCTRICA", S972="GRADO DERECHO", S972="GRADO ECONOMÍA", S972="GRADO ING. TECNOLOGÍAS INDUSTRIALES"), 24, 0)) + (IF(AND(K972&gt;=451, K972&lt;=700), 23, 0)) + (IF(AND(AB972&gt;=5, AB972&lt;=8), 17, 0)) +(IF(_xludf.OR(_xludf.AND(AC972&gt;=8, AC972&lt;=10), _xludf.AND(AC972&gt;=0, AC972&lt;=5)), 16, 0)) + (IF(F972="Madrid", 11, 0))))</f>
        <v>#NAME?</v>
      </c>
      <c r="AG972" s="68"/>
      <c r="AH972" s="71" t="s">
        <v>164</v>
      </c>
    </row>
    <row r="973" spans="1:34" ht="14.4" x14ac:dyDescent="0.3">
      <c r="A973" s="66" t="s">
        <v>1951</v>
      </c>
      <c r="B973" s="66" t="s">
        <v>4068</v>
      </c>
      <c r="C973" s="33">
        <v>972</v>
      </c>
      <c r="D973" s="33" t="s">
        <v>5393</v>
      </c>
      <c r="E973" s="34" t="s">
        <v>5273</v>
      </c>
      <c r="F973" s="34" t="s">
        <v>18</v>
      </c>
      <c r="G973" s="57">
        <v>43410</v>
      </c>
      <c r="H973" s="57">
        <v>43600</v>
      </c>
      <c r="I973" s="34">
        <f t="shared" si="45"/>
        <v>6</v>
      </c>
      <c r="J973" s="34">
        <v>35</v>
      </c>
      <c r="K973" s="36">
        <v>900</v>
      </c>
      <c r="L973" s="34" t="s">
        <v>17</v>
      </c>
      <c r="M973" s="57">
        <v>34535</v>
      </c>
      <c r="N973" s="37">
        <f>(YEAR(TablaMadre[[#This Row],[ALTA]])-YEAR(M973))</f>
        <v>24</v>
      </c>
      <c r="O973" s="34" t="s">
        <v>68</v>
      </c>
      <c r="P973" s="34" t="s">
        <v>19</v>
      </c>
      <c r="Q973" s="34" t="s">
        <v>136</v>
      </c>
      <c r="R973" s="34" t="s">
        <v>21</v>
      </c>
      <c r="S973" s="34" t="s">
        <v>136</v>
      </c>
      <c r="T973" s="34"/>
      <c r="U973" s="34"/>
      <c r="V973" s="34" t="s">
        <v>131</v>
      </c>
      <c r="W973" s="34" t="s">
        <v>97</v>
      </c>
      <c r="X973" s="38" t="s">
        <v>164</v>
      </c>
      <c r="Y973" s="62">
        <v>43601</v>
      </c>
      <c r="Z973" s="38">
        <f t="shared" si="46"/>
        <v>0</v>
      </c>
      <c r="AA973" s="38"/>
      <c r="AB973" s="34">
        <v>7</v>
      </c>
      <c r="AC973" s="34">
        <v>8</v>
      </c>
      <c r="AD973" s="38"/>
      <c r="AE973" s="59" t="str">
        <f t="shared" si="47"/>
        <v>SÍ</v>
      </c>
      <c r="AF973" s="38" t="e" cm="1">
        <f t="array" aca="1" ref="AF973" ca="1">MIN(100, MAX(0, (IF(R973="ESTUDIANTE", 31, 0)) + (IF(I973&lt;=3, 30, IF(I973&lt;=6, 20, 0))) +(IF(OR(E973="413 - Control de Costes y Enlace Construcción", E973="480 - Secretaría General del Consejo", E973="132 - Civil y estructuras", E973="136 - Mecánica", E973="412 - Planificación", E973="142 - Compras"), 25, 0)) +(IF(OR(S973="GRADO ING. MECÁNICA", S973="GRADO ING. ELÉCTRICA", S973="GRADO DERECHO", S973="GRADO ECONOMÍA", S973="GRADO ING. TECNOLOGÍAS INDUSTRIALES"), 24, 0)) + (IF(AND(K973&gt;=451, K973&lt;=700), 23, 0)) + (IF(AND(AB973&gt;=5, AB973&lt;=8), 17, 0)) +(IF(_xludf.OR(_xludf.AND(AC973&gt;=8, AC973&lt;=10), _xludf.AND(AC973&gt;=0, AC973&lt;=5)), 16, 0)) + (IF(F973="Madrid", 11, 0))))</f>
        <v>#NAME?</v>
      </c>
      <c r="AG973" s="68"/>
      <c r="AH973" s="71" t="s">
        <v>164</v>
      </c>
    </row>
    <row r="974" spans="1:34" ht="14.4" x14ac:dyDescent="0.3">
      <c r="A974" s="66" t="s">
        <v>1922</v>
      </c>
      <c r="B974" s="66" t="s">
        <v>4039</v>
      </c>
      <c r="C974" s="33">
        <v>973</v>
      </c>
      <c r="D974" s="33" t="s">
        <v>5394</v>
      </c>
      <c r="E974" s="34" t="s">
        <v>5244</v>
      </c>
      <c r="F974" s="34" t="s">
        <v>118</v>
      </c>
      <c r="G974" s="57">
        <v>43423</v>
      </c>
      <c r="H974" s="57">
        <v>43585</v>
      </c>
      <c r="I974" s="34">
        <f t="shared" si="45"/>
        <v>5</v>
      </c>
      <c r="J974" s="34">
        <v>35</v>
      </c>
      <c r="K974" s="36">
        <v>825</v>
      </c>
      <c r="L974" s="34" t="s">
        <v>17</v>
      </c>
      <c r="M974" s="57">
        <v>33555</v>
      </c>
      <c r="N974" s="37">
        <f>(YEAR(TablaMadre[[#This Row],[ALTA]])-YEAR(M974))</f>
        <v>27</v>
      </c>
      <c r="O974" s="34" t="s">
        <v>118</v>
      </c>
      <c r="P974" s="34" t="s">
        <v>19</v>
      </c>
      <c r="Q974" s="34" t="s">
        <v>297</v>
      </c>
      <c r="R974" s="34" t="s">
        <v>21</v>
      </c>
      <c r="S974" s="34" t="s">
        <v>297</v>
      </c>
      <c r="T974" s="34"/>
      <c r="U974" s="34"/>
      <c r="V974" s="34" t="s">
        <v>37</v>
      </c>
      <c r="W974" s="34" t="s">
        <v>183</v>
      </c>
      <c r="X974" s="38" t="s">
        <v>164</v>
      </c>
      <c r="Y974" s="62"/>
      <c r="Z974" s="62" t="e">
        <f t="shared" si="46"/>
        <v>#NUM!</v>
      </c>
      <c r="AA974" s="62"/>
      <c r="AB974" s="34"/>
      <c r="AC974" s="34"/>
      <c r="AD974" s="38"/>
      <c r="AE974" s="59" t="str">
        <f t="shared" si="47"/>
        <v>NO</v>
      </c>
      <c r="AF974" s="38" t="e" cm="1">
        <f t="array" aca="1" ref="AF974" ca="1">MIN(100, MAX(0, (IF(R974="ESTUDIANTE", 31, 0)) + (IF(I974&lt;=3, 30, IF(I974&lt;=6, 20, 0))) +(IF(OR(E974="413 - Control de Costes y Enlace Construcción", E974="480 - Secretaría General del Consejo", E974="132 - Civil y estructuras", E974="136 - Mecánica", E974="412 - Planificación", E974="142 - Compras"), 25, 0)) +(IF(OR(S974="GRADO ING. MECÁNICA", S974="GRADO ING. ELÉCTRICA", S974="GRADO DERECHO", S974="GRADO ECONOMÍA", S974="GRADO ING. TECNOLOGÍAS INDUSTRIALES"), 24, 0)) + (IF(AND(K974&gt;=451, K974&lt;=700), 23, 0)) + (IF(AND(AB974&gt;=5, AB974&lt;=8), 17, 0)) +(IF(_xludf.OR(_xludf.AND(AC974&gt;=8, AC974&lt;=10), _xludf.AND(AC974&gt;=0, AC974&lt;=5)), 16, 0)) + (IF(F974="Madrid", 11, 0))))</f>
        <v>#NAME?</v>
      </c>
      <c r="AG974" s="68"/>
      <c r="AH974" s="71" t="s">
        <v>164</v>
      </c>
    </row>
    <row r="975" spans="1:34" ht="14.4" x14ac:dyDescent="0.3">
      <c r="A975" s="66" t="s">
        <v>1953</v>
      </c>
      <c r="B975" s="66" t="s">
        <v>4070</v>
      </c>
      <c r="C975" s="33">
        <v>974</v>
      </c>
      <c r="D975" s="33" t="s">
        <v>5395</v>
      </c>
      <c r="E975" s="34" t="s">
        <v>5244</v>
      </c>
      <c r="F975" s="34" t="s">
        <v>118</v>
      </c>
      <c r="G975" s="57">
        <v>43423</v>
      </c>
      <c r="H975" s="57">
        <v>43787</v>
      </c>
      <c r="I975" s="34">
        <f t="shared" si="45"/>
        <v>11</v>
      </c>
      <c r="J975" s="34">
        <v>35</v>
      </c>
      <c r="K975" s="36">
        <v>900</v>
      </c>
      <c r="L975" s="34" t="s">
        <v>29</v>
      </c>
      <c r="M975" s="57">
        <v>33848</v>
      </c>
      <c r="N975" s="37">
        <f>(YEAR(TablaMadre[[#This Row],[ALTA]])-YEAR(M975))</f>
        <v>26</v>
      </c>
      <c r="O975" s="34" t="s">
        <v>118</v>
      </c>
      <c r="P975" s="34" t="s">
        <v>19</v>
      </c>
      <c r="Q975" s="34" t="s">
        <v>447</v>
      </c>
      <c r="R975" s="34" t="s">
        <v>21</v>
      </c>
      <c r="S975" s="34" t="s">
        <v>297</v>
      </c>
      <c r="T975" s="34"/>
      <c r="U975" s="34"/>
      <c r="V975" s="34" t="s">
        <v>37</v>
      </c>
      <c r="W975" s="34" t="s">
        <v>28</v>
      </c>
      <c r="X975" s="38" t="s">
        <v>173</v>
      </c>
      <c r="Y975" s="62"/>
      <c r="Z975" s="38" t="e">
        <f t="shared" si="46"/>
        <v>#NUM!</v>
      </c>
      <c r="AA975" s="38"/>
      <c r="AB975" s="34">
        <v>9.5</v>
      </c>
      <c r="AC975" s="34">
        <v>9.26</v>
      </c>
      <c r="AD975" s="38"/>
      <c r="AE975" s="59" t="str">
        <f t="shared" si="47"/>
        <v>NO</v>
      </c>
      <c r="AF975" s="38" t="e" cm="1">
        <f t="array" aca="1" ref="AF975" ca="1">MIN(100, MAX(0, (IF(R975="ESTUDIANTE", 31, 0)) + (IF(I975&lt;=3, 30, IF(I975&lt;=6, 20, 0))) +(IF(OR(E975="413 - Control de Costes y Enlace Construcción", E975="480 - Secretaría General del Consejo", E975="132 - Civil y estructuras", E975="136 - Mecánica", E975="412 - Planificación", E975="142 - Compras"), 25, 0)) +(IF(OR(S975="GRADO ING. MECÁNICA", S975="GRADO ING. ELÉCTRICA", S975="GRADO DERECHO", S975="GRADO ECONOMÍA", S975="GRADO ING. TECNOLOGÍAS INDUSTRIALES"), 24, 0)) + (IF(AND(K975&gt;=451, K975&lt;=700), 23, 0)) + (IF(AND(AB975&gt;=5, AB975&lt;=8), 17, 0)) +(IF(_xludf.OR(_xludf.AND(AC975&gt;=8, AC975&lt;=10), _xludf.AND(AC975&gt;=0, AC975&lt;=5)), 16, 0)) + (IF(F975="Madrid", 11, 0))))</f>
        <v>#NAME?</v>
      </c>
      <c r="AG975" s="68"/>
      <c r="AH975" s="71" t="s">
        <v>164</v>
      </c>
    </row>
    <row r="976" spans="1:34" ht="14.4" x14ac:dyDescent="0.3">
      <c r="A976" s="66" t="s">
        <v>1954</v>
      </c>
      <c r="B976" s="66" t="s">
        <v>4071</v>
      </c>
      <c r="C976" s="33">
        <v>975</v>
      </c>
      <c r="D976" s="33" t="s">
        <v>5396</v>
      </c>
      <c r="E976" s="34" t="s">
        <v>5304</v>
      </c>
      <c r="F976" s="34" t="s">
        <v>118</v>
      </c>
      <c r="G976" s="57">
        <v>43436</v>
      </c>
      <c r="H976" s="57">
        <v>43771</v>
      </c>
      <c r="I976" s="34">
        <f t="shared" si="45"/>
        <v>11</v>
      </c>
      <c r="J976" s="34">
        <v>35</v>
      </c>
      <c r="K976" s="36">
        <v>825</v>
      </c>
      <c r="L976" s="34" t="s">
        <v>17</v>
      </c>
      <c r="M976" s="57">
        <v>33446</v>
      </c>
      <c r="N976" s="37">
        <f>(YEAR(TablaMadre[[#This Row],[ALTA]])-YEAR(M976))</f>
        <v>27</v>
      </c>
      <c r="O976" s="34" t="s">
        <v>118</v>
      </c>
      <c r="P976" s="34" t="s">
        <v>19</v>
      </c>
      <c r="Q976" s="34" t="s">
        <v>279</v>
      </c>
      <c r="R976" s="34" t="s">
        <v>21</v>
      </c>
      <c r="S976" s="34" t="s">
        <v>280</v>
      </c>
      <c r="T976" s="34"/>
      <c r="U976" s="34"/>
      <c r="V976" s="34" t="s">
        <v>37</v>
      </c>
      <c r="W976" s="34" t="s">
        <v>28</v>
      </c>
      <c r="X976" s="38" t="s">
        <v>164</v>
      </c>
      <c r="Y976" s="62">
        <v>44239</v>
      </c>
      <c r="Z976" s="38">
        <f t="shared" si="46"/>
        <v>1</v>
      </c>
      <c r="AA976" s="38"/>
      <c r="AB976" s="34">
        <v>8</v>
      </c>
      <c r="AC976" s="34">
        <v>10</v>
      </c>
      <c r="AD976" s="38"/>
      <c r="AE976" s="59" t="str">
        <f t="shared" si="47"/>
        <v>NO</v>
      </c>
      <c r="AF976" s="38" t="e" cm="1">
        <f t="array" aca="1" ref="AF976" ca="1">MIN(100, MAX(0, (IF(R976="ESTUDIANTE", 31, 0)) + (IF(I976&lt;=3, 30, IF(I976&lt;=6, 20, 0))) +(IF(OR(E976="413 - Control de Costes y Enlace Construcción", E976="480 - Secretaría General del Consejo", E976="132 - Civil y estructuras", E976="136 - Mecánica", E976="412 - Planificación", E976="142 - Compras"), 25, 0)) +(IF(OR(S976="GRADO ING. MECÁNICA", S976="GRADO ING. ELÉCTRICA", S976="GRADO DERECHO", S976="GRADO ECONOMÍA", S976="GRADO ING. TECNOLOGÍAS INDUSTRIALES"), 24, 0)) + (IF(AND(K976&gt;=451, K976&lt;=700), 23, 0)) + (IF(AND(AB976&gt;=5, AB976&lt;=8), 17, 0)) +(IF(_xludf.OR(_xludf.AND(AC976&gt;=8, AC976&lt;=10), _xludf.AND(AC976&gt;=0, AC976&lt;=5)), 16, 0)) + (IF(F976="Madrid", 11, 0))))</f>
        <v>#NAME?</v>
      </c>
      <c r="AG976" s="68"/>
      <c r="AH976" s="71" t="s">
        <v>164</v>
      </c>
    </row>
    <row r="977" spans="1:34" ht="14.4" x14ac:dyDescent="0.3">
      <c r="A977" s="66" t="s">
        <v>1856</v>
      </c>
      <c r="B977" s="66" t="s">
        <v>3973</v>
      </c>
      <c r="C977" s="33">
        <v>976</v>
      </c>
      <c r="D977" s="33" t="s">
        <v>5397</v>
      </c>
      <c r="E977" s="34" t="s">
        <v>5216</v>
      </c>
      <c r="F977" s="34" t="s">
        <v>18</v>
      </c>
      <c r="G977" s="57">
        <v>43437</v>
      </c>
      <c r="H977" s="57">
        <v>43708</v>
      </c>
      <c r="I977" s="34">
        <f t="shared" si="45"/>
        <v>8</v>
      </c>
      <c r="J977" s="34">
        <v>35</v>
      </c>
      <c r="K977" s="36">
        <v>825</v>
      </c>
      <c r="L977" s="34" t="s">
        <v>17</v>
      </c>
      <c r="M977" s="57">
        <v>35062</v>
      </c>
      <c r="N977" s="37">
        <f>(YEAR(TablaMadre[[#This Row],[ALTA]])-YEAR(M977))</f>
        <v>23</v>
      </c>
      <c r="O977" s="34" t="s">
        <v>64</v>
      </c>
      <c r="P977" s="34" t="s">
        <v>19</v>
      </c>
      <c r="Q977" s="34" t="s">
        <v>297</v>
      </c>
      <c r="R977" s="34" t="s">
        <v>21</v>
      </c>
      <c r="S977" s="34" t="s">
        <v>297</v>
      </c>
      <c r="T977" s="34"/>
      <c r="U977" s="34"/>
      <c r="V977" s="34" t="s">
        <v>40</v>
      </c>
      <c r="W977" s="34" t="s">
        <v>181</v>
      </c>
      <c r="X977" s="38" t="s">
        <v>164</v>
      </c>
      <c r="Y977" s="62"/>
      <c r="Z977" s="62" t="e">
        <f t="shared" si="46"/>
        <v>#NUM!</v>
      </c>
      <c r="AA977" s="62"/>
      <c r="AB977" s="34">
        <v>7.5</v>
      </c>
      <c r="AC977" s="34"/>
      <c r="AD977" s="38"/>
      <c r="AE977" s="59" t="str">
        <f t="shared" si="47"/>
        <v>SÍ</v>
      </c>
      <c r="AF977" s="38" t="e" cm="1">
        <f t="array" aca="1" ref="AF977" ca="1">MIN(100, MAX(0, (IF(R977="ESTUDIANTE", 31, 0)) + (IF(I977&lt;=3, 30, IF(I977&lt;=6, 20, 0))) +(IF(OR(E977="413 - Control de Costes y Enlace Construcción", E977="480 - Secretaría General del Consejo", E977="132 - Civil y estructuras", E977="136 - Mecánica", E977="412 - Planificación", E977="142 - Compras"), 25, 0)) +(IF(OR(S977="GRADO ING. MECÁNICA", S977="GRADO ING. ELÉCTRICA", S977="GRADO DERECHO", S977="GRADO ECONOMÍA", S977="GRADO ING. TECNOLOGÍAS INDUSTRIALES"), 24, 0)) + (IF(AND(K977&gt;=451, K977&lt;=700), 23, 0)) + (IF(AND(AB977&gt;=5, AB977&lt;=8), 17, 0)) +(IF(_xludf.OR(_xludf.AND(AC977&gt;=8, AC977&lt;=10), _xludf.AND(AC977&gt;=0, AC977&lt;=5)), 16, 0)) + (IF(F977="Madrid", 11, 0))))</f>
        <v>#NAME?</v>
      </c>
      <c r="AG977" s="68"/>
      <c r="AH977" s="71" t="s">
        <v>164</v>
      </c>
    </row>
    <row r="978" spans="1:34" ht="14.4" x14ac:dyDescent="0.3">
      <c r="A978" s="66" t="s">
        <v>1956</v>
      </c>
      <c r="B978" s="66" t="s">
        <v>4073</v>
      </c>
      <c r="C978" s="33">
        <v>977</v>
      </c>
      <c r="D978" s="33" t="s">
        <v>5398</v>
      </c>
      <c r="E978" s="34" t="s">
        <v>5251</v>
      </c>
      <c r="F978" s="34" t="s">
        <v>18</v>
      </c>
      <c r="G978" s="57">
        <v>43437</v>
      </c>
      <c r="H978" s="57">
        <v>43778</v>
      </c>
      <c r="I978" s="34">
        <f t="shared" si="45"/>
        <v>11</v>
      </c>
      <c r="J978" s="34">
        <v>35</v>
      </c>
      <c r="K978" s="36">
        <v>825</v>
      </c>
      <c r="L978" s="34" t="s">
        <v>29</v>
      </c>
      <c r="M978" s="57">
        <v>33694</v>
      </c>
      <c r="N978" s="37">
        <f>(YEAR(TablaMadre[[#This Row],[ALTA]])-YEAR(M978))</f>
        <v>26</v>
      </c>
      <c r="O978" s="34" t="s">
        <v>18</v>
      </c>
      <c r="P978" s="34" t="s">
        <v>19</v>
      </c>
      <c r="Q978" s="34" t="s">
        <v>384</v>
      </c>
      <c r="R978" s="34" t="s">
        <v>21</v>
      </c>
      <c r="S978" s="34" t="s">
        <v>384</v>
      </c>
      <c r="T978" s="34"/>
      <c r="U978" s="34"/>
      <c r="V978" s="34" t="s">
        <v>40</v>
      </c>
      <c r="W978" s="34" t="s">
        <v>28</v>
      </c>
      <c r="X978" s="38" t="s">
        <v>164</v>
      </c>
      <c r="Y978" s="62">
        <v>43916</v>
      </c>
      <c r="Z978" s="38">
        <f t="shared" si="46"/>
        <v>0</v>
      </c>
      <c r="AA978" s="38"/>
      <c r="AB978" s="34">
        <v>9</v>
      </c>
      <c r="AC978" s="34">
        <v>6</v>
      </c>
      <c r="AD978" s="38"/>
      <c r="AE978" s="59" t="str">
        <f t="shared" si="47"/>
        <v>NO</v>
      </c>
      <c r="AF978" s="38" t="e" cm="1">
        <f t="array" aca="1" ref="AF978" ca="1">MIN(100, MAX(0, (IF(R978="ESTUDIANTE", 31, 0)) + (IF(I978&lt;=3, 30, IF(I978&lt;=6, 20, 0))) +(IF(OR(E978="413 - Control de Costes y Enlace Construcción", E978="480 - Secretaría General del Consejo", E978="132 - Civil y estructuras", E978="136 - Mecánica", E978="412 - Planificación", E978="142 - Compras"), 25, 0)) +(IF(OR(S978="GRADO ING. MECÁNICA", S978="GRADO ING. ELÉCTRICA", S978="GRADO DERECHO", S978="GRADO ECONOMÍA", S978="GRADO ING. TECNOLOGÍAS INDUSTRIALES"), 24, 0)) + (IF(AND(K978&gt;=451, K978&lt;=700), 23, 0)) + (IF(AND(AB978&gt;=5, AB978&lt;=8), 17, 0)) +(IF(_xludf.OR(_xludf.AND(AC978&gt;=8, AC978&lt;=10), _xludf.AND(AC978&gt;=0, AC978&lt;=5)), 16, 0)) + (IF(F978="Madrid", 11, 0))))</f>
        <v>#NAME?</v>
      </c>
      <c r="AG978" s="68"/>
      <c r="AH978" s="71" t="s">
        <v>164</v>
      </c>
    </row>
    <row r="979" spans="1:34" ht="14.4" x14ac:dyDescent="0.3">
      <c r="A979" s="66" t="s">
        <v>1957</v>
      </c>
      <c r="B979" s="66" t="s">
        <v>4074</v>
      </c>
      <c r="C979" s="33">
        <v>978</v>
      </c>
      <c r="D979" s="33" t="s">
        <v>5399</v>
      </c>
      <c r="E979" s="34" t="s">
        <v>5248</v>
      </c>
      <c r="F979" s="34" t="s">
        <v>18</v>
      </c>
      <c r="G979" s="57">
        <v>43437</v>
      </c>
      <c r="H979" s="57">
        <v>44043</v>
      </c>
      <c r="I979" s="34">
        <f t="shared" si="45"/>
        <v>19</v>
      </c>
      <c r="J979" s="34">
        <v>17</v>
      </c>
      <c r="K979" s="36">
        <v>900</v>
      </c>
      <c r="L979" s="34" t="s">
        <v>29</v>
      </c>
      <c r="M979" s="57">
        <v>34160</v>
      </c>
      <c r="N979" s="37">
        <f>(YEAR(TablaMadre[[#This Row],[ALTA]])-YEAR(M979))</f>
        <v>25</v>
      </c>
      <c r="O979" s="34" t="s">
        <v>138</v>
      </c>
      <c r="P979" s="34" t="s">
        <v>138</v>
      </c>
      <c r="Q979" s="34" t="s">
        <v>215</v>
      </c>
      <c r="R979" s="34" t="s">
        <v>21</v>
      </c>
      <c r="S979" s="34" t="s">
        <v>322</v>
      </c>
      <c r="T979" s="34"/>
      <c r="U979" s="34"/>
      <c r="V979" s="34" t="s">
        <v>90</v>
      </c>
      <c r="W979" s="34" t="s">
        <v>28</v>
      </c>
      <c r="X979" s="38" t="s">
        <v>173</v>
      </c>
      <c r="Y979" s="62"/>
      <c r="Z979" s="38" t="e">
        <f t="shared" si="46"/>
        <v>#NUM!</v>
      </c>
      <c r="AA979" s="38"/>
      <c r="AB979" s="34"/>
      <c r="AC979" s="34">
        <v>8</v>
      </c>
      <c r="AD979" s="38"/>
      <c r="AE979" s="59" t="str">
        <f t="shared" si="47"/>
        <v>SÍ</v>
      </c>
      <c r="AF979" s="38" t="e" cm="1">
        <f t="array" aca="1" ref="AF979" ca="1">MIN(100, MAX(0, (IF(R979="ESTUDIANTE", 31, 0)) + (IF(I979&lt;=3, 30, IF(I979&lt;=6, 20, 0))) +(IF(OR(E979="413 - Control de Costes y Enlace Construcción", E979="480 - Secretaría General del Consejo", E979="132 - Civil y estructuras", E979="136 - Mecánica", E979="412 - Planificación", E979="142 - Compras"), 25, 0)) +(IF(OR(S979="GRADO ING. MECÁNICA", S979="GRADO ING. ELÉCTRICA", S979="GRADO DERECHO", S979="GRADO ECONOMÍA", S979="GRADO ING. TECNOLOGÍAS INDUSTRIALES"), 24, 0)) + (IF(AND(K979&gt;=451, K979&lt;=700), 23, 0)) + (IF(AND(AB979&gt;=5, AB979&lt;=8), 17, 0)) +(IF(_xludf.OR(_xludf.AND(AC979&gt;=8, AC979&lt;=10), _xludf.AND(AC979&gt;=0, AC979&lt;=5)), 16, 0)) + (IF(F979="Madrid", 11, 0))))</f>
        <v>#NAME?</v>
      </c>
      <c r="AG979" s="68"/>
      <c r="AH979" s="71" t="s">
        <v>164</v>
      </c>
    </row>
    <row r="980" spans="1:34" ht="14.4" x14ac:dyDescent="0.3">
      <c r="A980" s="66" t="s">
        <v>1914</v>
      </c>
      <c r="B980" s="66" t="s">
        <v>4031</v>
      </c>
      <c r="C980" s="33">
        <v>980</v>
      </c>
      <c r="D980" s="33" t="s">
        <v>5393</v>
      </c>
      <c r="E980" s="34" t="s">
        <v>5278</v>
      </c>
      <c r="F980" s="34" t="s">
        <v>18</v>
      </c>
      <c r="G980" s="57">
        <v>43445</v>
      </c>
      <c r="H980" s="57">
        <v>43780</v>
      </c>
      <c r="I980" s="34">
        <f t="shared" si="45"/>
        <v>11</v>
      </c>
      <c r="J980" s="34">
        <v>35</v>
      </c>
      <c r="K980" s="36">
        <v>900</v>
      </c>
      <c r="L980" s="34" t="s">
        <v>17</v>
      </c>
      <c r="M980" s="57">
        <v>33578</v>
      </c>
      <c r="N980" s="37">
        <f>(YEAR(TablaMadre[[#This Row],[ALTA]])-YEAR(M980))</f>
        <v>27</v>
      </c>
      <c r="O980" s="34" t="s">
        <v>121</v>
      </c>
      <c r="P980" s="34" t="s">
        <v>19</v>
      </c>
      <c r="Q980" s="34" t="s">
        <v>447</v>
      </c>
      <c r="R980" s="34" t="s">
        <v>21</v>
      </c>
      <c r="S980" s="34" t="s">
        <v>297</v>
      </c>
      <c r="T980" s="34"/>
      <c r="U980" s="34"/>
      <c r="V980" s="34" t="s">
        <v>122</v>
      </c>
      <c r="W980" s="34" t="s">
        <v>23</v>
      </c>
      <c r="X980" s="38" t="s">
        <v>164</v>
      </c>
      <c r="Y980" s="62"/>
      <c r="Z980" s="62" t="e">
        <f t="shared" si="46"/>
        <v>#NUM!</v>
      </c>
      <c r="AA980" s="62"/>
      <c r="AB980" s="34">
        <v>10</v>
      </c>
      <c r="AC980" s="34">
        <v>6</v>
      </c>
      <c r="AD980" s="38"/>
      <c r="AE980" s="59" t="str">
        <f t="shared" si="47"/>
        <v>SÍ</v>
      </c>
      <c r="AF980" s="38" t="e" cm="1">
        <f t="array" aca="1" ref="AF980" ca="1">MIN(100, MAX(0, (IF(R980="ESTUDIANTE", 31, 0)) + (IF(I980&lt;=3, 30, IF(I980&lt;=6, 20, 0))) +(IF(OR(E980="413 - Control de Costes y Enlace Construcción", E980="480 - Secretaría General del Consejo", E980="132 - Civil y estructuras", E980="136 - Mecánica", E980="412 - Planificación", E980="142 - Compras"), 25, 0)) +(IF(OR(S980="GRADO ING. MECÁNICA", S980="GRADO ING. ELÉCTRICA", S980="GRADO DERECHO", S980="GRADO ECONOMÍA", S980="GRADO ING. TECNOLOGÍAS INDUSTRIALES"), 24, 0)) + (IF(AND(K980&gt;=451, K980&lt;=700), 23, 0)) + (IF(AND(AB980&gt;=5, AB980&lt;=8), 17, 0)) +(IF(_xludf.OR(_xludf.AND(AC980&gt;=8, AC980&lt;=10), _xludf.AND(AC980&gt;=0, AC980&lt;=5)), 16, 0)) + (IF(F980="Madrid", 11, 0))))</f>
        <v>#NAME?</v>
      </c>
      <c r="AG980" s="68"/>
      <c r="AH980" s="71" t="s">
        <v>164</v>
      </c>
    </row>
    <row r="981" spans="1:34" ht="14.4" x14ac:dyDescent="0.3">
      <c r="A981" s="66" t="s">
        <v>1958</v>
      </c>
      <c r="B981" s="66" t="s">
        <v>4075</v>
      </c>
      <c r="C981" s="33">
        <v>979</v>
      </c>
      <c r="D981" s="33" t="s">
        <v>5394</v>
      </c>
      <c r="E981" s="34" t="s">
        <v>5244</v>
      </c>
      <c r="F981" s="34" t="s">
        <v>18</v>
      </c>
      <c r="G981" s="57">
        <v>43445</v>
      </c>
      <c r="H981" s="57">
        <v>43526</v>
      </c>
      <c r="I981" s="34">
        <f t="shared" si="45"/>
        <v>2</v>
      </c>
      <c r="J981" s="34">
        <v>35</v>
      </c>
      <c r="K981" s="36">
        <v>900</v>
      </c>
      <c r="L981" s="34" t="s">
        <v>17</v>
      </c>
      <c r="M981" s="57">
        <v>31733</v>
      </c>
      <c r="N981" s="37">
        <f>(YEAR(TablaMadre[[#This Row],[ALTA]])-YEAR(M981))</f>
        <v>32</v>
      </c>
      <c r="O981" s="34" t="s">
        <v>226</v>
      </c>
      <c r="P981" s="34" t="s">
        <v>19</v>
      </c>
      <c r="Q981" s="34" t="s">
        <v>20</v>
      </c>
      <c r="R981" s="34" t="s">
        <v>21</v>
      </c>
      <c r="S981" s="34" t="s">
        <v>151</v>
      </c>
      <c r="T981" s="34"/>
      <c r="U981" s="34"/>
      <c r="V981" s="34" t="s">
        <v>69</v>
      </c>
      <c r="W981" s="34" t="s">
        <v>97</v>
      </c>
      <c r="X981" s="38" t="s">
        <v>173</v>
      </c>
      <c r="Y981" s="62"/>
      <c r="Z981" s="62" t="e">
        <f t="shared" si="46"/>
        <v>#NUM!</v>
      </c>
      <c r="AA981" s="62"/>
      <c r="AB981" s="34">
        <v>9</v>
      </c>
      <c r="AC981" s="34"/>
      <c r="AD981" s="38"/>
      <c r="AE981" s="59" t="str">
        <f t="shared" si="47"/>
        <v>SÍ</v>
      </c>
      <c r="AF981" s="38" t="e" cm="1">
        <f t="array" aca="1" ref="AF981" ca="1">MIN(100, MAX(0, (IF(R981="ESTUDIANTE", 31, 0)) + (IF(I981&lt;=3, 30, IF(I981&lt;=6, 20, 0))) +(IF(OR(E981="413 - Control de Costes y Enlace Construcción", E981="480 - Secretaría General del Consejo", E981="132 - Civil y estructuras", E981="136 - Mecánica", E981="412 - Planificación", E981="142 - Compras"), 25, 0)) +(IF(OR(S981="GRADO ING. MECÁNICA", S981="GRADO ING. ELÉCTRICA", S981="GRADO DERECHO", S981="GRADO ECONOMÍA", S981="GRADO ING. TECNOLOGÍAS INDUSTRIALES"), 24, 0)) + (IF(AND(K981&gt;=451, K981&lt;=700), 23, 0)) + (IF(AND(AB981&gt;=5, AB981&lt;=8), 17, 0)) +(IF(_xludf.OR(_xludf.AND(AC981&gt;=8, AC981&lt;=10), _xludf.AND(AC981&gt;=0, AC981&lt;=5)), 16, 0)) + (IF(F981="Madrid", 11, 0))))</f>
        <v>#NAME?</v>
      </c>
      <c r="AG981" s="68"/>
      <c r="AH981" s="71" t="s">
        <v>164</v>
      </c>
    </row>
    <row r="982" spans="1:34" ht="14.4" x14ac:dyDescent="0.3">
      <c r="A982" s="66" t="s">
        <v>1960</v>
      </c>
      <c r="B982" s="66" t="s">
        <v>4077</v>
      </c>
      <c r="C982" s="33">
        <v>981</v>
      </c>
      <c r="D982" s="33" t="s">
        <v>5395</v>
      </c>
      <c r="E982" s="34" t="s">
        <v>5260</v>
      </c>
      <c r="F982" s="34" t="s">
        <v>18</v>
      </c>
      <c r="G982" s="57">
        <v>43445</v>
      </c>
      <c r="H982" s="57">
        <v>43780</v>
      </c>
      <c r="I982" s="34">
        <f t="shared" si="45"/>
        <v>11</v>
      </c>
      <c r="J982" s="34">
        <v>35</v>
      </c>
      <c r="K982" s="36">
        <v>900</v>
      </c>
      <c r="L982" s="34" t="s">
        <v>17</v>
      </c>
      <c r="M982" s="57">
        <v>34817</v>
      </c>
      <c r="N982" s="37">
        <f>(YEAR(TablaMadre[[#This Row],[ALTA]])-YEAR(M982))</f>
        <v>23</v>
      </c>
      <c r="O982" s="34" t="s">
        <v>18</v>
      </c>
      <c r="P982" s="34" t="s">
        <v>19</v>
      </c>
      <c r="Q982" s="34" t="s">
        <v>136</v>
      </c>
      <c r="R982" s="34" t="s">
        <v>21</v>
      </c>
      <c r="S982" s="34" t="s">
        <v>136</v>
      </c>
      <c r="T982" s="34"/>
      <c r="U982" s="34"/>
      <c r="V982" s="34" t="s">
        <v>90</v>
      </c>
      <c r="W982" s="34" t="s">
        <v>28</v>
      </c>
      <c r="X982" s="38" t="s">
        <v>164</v>
      </c>
      <c r="Y982" s="62">
        <v>45771</v>
      </c>
      <c r="Z982" s="38">
        <f t="shared" si="46"/>
        <v>5</v>
      </c>
      <c r="AA982" s="38"/>
      <c r="AB982" s="34">
        <v>8.5</v>
      </c>
      <c r="AC982" s="34"/>
      <c r="AD982" s="38"/>
      <c r="AE982" s="59" t="str">
        <f t="shared" si="47"/>
        <v>NO</v>
      </c>
      <c r="AF982" s="38" t="e" cm="1">
        <f t="array" aca="1" ref="AF982" ca="1">MIN(100, MAX(0, (IF(R982="ESTUDIANTE", 31, 0)) + (IF(I982&lt;=3, 30, IF(I982&lt;=6, 20, 0))) +(IF(OR(E982="413 - Control de Costes y Enlace Construcción", E982="480 - Secretaría General del Consejo", E982="132 - Civil y estructuras", E982="136 - Mecánica", E982="412 - Planificación", E982="142 - Compras"), 25, 0)) +(IF(OR(S982="GRADO ING. MECÁNICA", S982="GRADO ING. ELÉCTRICA", S982="GRADO DERECHO", S982="GRADO ECONOMÍA", S982="GRADO ING. TECNOLOGÍAS INDUSTRIALES"), 24, 0)) + (IF(AND(K982&gt;=451, K982&lt;=700), 23, 0)) + (IF(AND(AB982&gt;=5, AB982&lt;=8), 17, 0)) +(IF(_xludf.OR(_xludf.AND(AC982&gt;=8, AC982&lt;=10), _xludf.AND(AC982&gt;=0, AC982&lt;=5)), 16, 0)) + (IF(F982="Madrid", 11, 0))))</f>
        <v>#NAME?</v>
      </c>
      <c r="AG982" s="68"/>
      <c r="AH982" s="71" t="s">
        <v>164</v>
      </c>
    </row>
    <row r="983" spans="1:34" ht="14.4" x14ac:dyDescent="0.3">
      <c r="A983" s="66" t="s">
        <v>1997</v>
      </c>
      <c r="B983" s="66" t="s">
        <v>4114</v>
      </c>
      <c r="C983" s="33">
        <v>982</v>
      </c>
      <c r="D983" s="33" t="s">
        <v>5396</v>
      </c>
      <c r="E983" s="34" t="s">
        <v>5228</v>
      </c>
      <c r="F983" s="34" t="s">
        <v>18</v>
      </c>
      <c r="G983" s="57">
        <v>43469</v>
      </c>
      <c r="H983" s="57">
        <v>43693</v>
      </c>
      <c r="I983" s="34">
        <f t="shared" si="45"/>
        <v>7</v>
      </c>
      <c r="J983" s="34">
        <v>35</v>
      </c>
      <c r="K983" s="36">
        <v>650</v>
      </c>
      <c r="L983" s="34" t="s">
        <v>17</v>
      </c>
      <c r="M983" s="57">
        <v>35280</v>
      </c>
      <c r="N983" s="37">
        <f>(YEAR(TablaMadre[[#This Row],[ALTA]])-YEAR(M983))</f>
        <v>23</v>
      </c>
      <c r="O983" s="34" t="s">
        <v>18</v>
      </c>
      <c r="P983" s="34" t="s">
        <v>19</v>
      </c>
      <c r="Q983" s="34" t="s">
        <v>215</v>
      </c>
      <c r="R983" s="58" t="s">
        <v>30</v>
      </c>
      <c r="S983" s="34" t="s">
        <v>322</v>
      </c>
      <c r="T983" s="34"/>
      <c r="U983" s="34"/>
      <c r="V983" s="34" t="s">
        <v>137</v>
      </c>
      <c r="W983" s="34" t="s">
        <v>23</v>
      </c>
      <c r="X983" s="38" t="s">
        <v>164</v>
      </c>
      <c r="Y983" s="62"/>
      <c r="Z983" s="62" t="e">
        <f t="shared" si="46"/>
        <v>#NUM!</v>
      </c>
      <c r="AA983" s="62"/>
      <c r="AB983" s="34"/>
      <c r="AC983" s="34"/>
      <c r="AD983" s="38"/>
      <c r="AE983" s="59" t="str">
        <f t="shared" si="47"/>
        <v>NO</v>
      </c>
      <c r="AF983" s="38" t="e" cm="1">
        <f t="array" aca="1" ref="AF983" ca="1">MIN(100, MAX(0, (IF(R983="ESTUDIANTE", 31, 0)) + (IF(I983&lt;=3, 30, IF(I983&lt;=6, 20, 0))) +(IF(OR(E983="413 - Control de Costes y Enlace Construcción", E983="480 - Secretaría General del Consejo", E983="132 - Civil y estructuras", E983="136 - Mecánica", E983="412 - Planificación", E983="142 - Compras"), 25, 0)) +(IF(OR(S983="GRADO ING. MECÁNICA", S983="GRADO ING. ELÉCTRICA", S983="GRADO DERECHO", S983="GRADO ECONOMÍA", S983="GRADO ING. TECNOLOGÍAS INDUSTRIALES"), 24, 0)) + (IF(AND(K983&gt;=451, K983&lt;=700), 23, 0)) + (IF(AND(AB983&gt;=5, AB983&lt;=8), 17, 0)) +(IF(_xludf.OR(_xludf.AND(AC983&gt;=8, AC983&lt;=10), _xludf.AND(AC983&gt;=0, AC983&lt;=5)), 16, 0)) + (IF(F983="Madrid", 11, 0))))</f>
        <v>#NAME?</v>
      </c>
      <c r="AG983" s="68"/>
      <c r="AH983" s="71" t="s">
        <v>164</v>
      </c>
    </row>
    <row r="984" spans="1:34" ht="14.4" x14ac:dyDescent="0.3">
      <c r="A984" s="66" t="s">
        <v>1928</v>
      </c>
      <c r="B984" s="66" t="s">
        <v>4045</v>
      </c>
      <c r="C984" s="33">
        <v>983</v>
      </c>
      <c r="D984" s="33" t="s">
        <v>5397</v>
      </c>
      <c r="E984" s="34" t="s">
        <v>5299</v>
      </c>
      <c r="F984" s="34" t="s">
        <v>18</v>
      </c>
      <c r="G984" s="57">
        <v>43473</v>
      </c>
      <c r="H984" s="57">
        <v>43837</v>
      </c>
      <c r="I984" s="34">
        <f t="shared" si="45"/>
        <v>11</v>
      </c>
      <c r="J984" s="34">
        <v>35</v>
      </c>
      <c r="K984" s="36">
        <v>900</v>
      </c>
      <c r="L984" s="34" t="s">
        <v>17</v>
      </c>
      <c r="M984" s="57">
        <v>34957</v>
      </c>
      <c r="N984" s="37">
        <f>(YEAR(TablaMadre[[#This Row],[ALTA]])-YEAR(M984))</f>
        <v>24</v>
      </c>
      <c r="O984" s="34" t="s">
        <v>941</v>
      </c>
      <c r="P984" s="34" t="s">
        <v>19</v>
      </c>
      <c r="Q984" s="34" t="s">
        <v>409</v>
      </c>
      <c r="R984" s="34" t="s">
        <v>21</v>
      </c>
      <c r="S984" s="34" t="s">
        <v>136</v>
      </c>
      <c r="T984" s="34"/>
      <c r="U984" s="34"/>
      <c r="V984" s="34" t="s">
        <v>311</v>
      </c>
      <c r="W984" s="34" t="s">
        <v>23</v>
      </c>
      <c r="X984" s="38" t="s">
        <v>164</v>
      </c>
      <c r="Y984" s="62"/>
      <c r="Z984" s="62" t="e">
        <f t="shared" si="46"/>
        <v>#NUM!</v>
      </c>
      <c r="AA984" s="62"/>
      <c r="AB984" s="34"/>
      <c r="AC984" s="34">
        <v>8</v>
      </c>
      <c r="AD984" s="38"/>
      <c r="AE984" s="59" t="str">
        <f t="shared" si="47"/>
        <v>SÍ</v>
      </c>
      <c r="AF984" s="38" t="e" cm="1">
        <f t="array" aca="1" ref="AF984" ca="1">MIN(100, MAX(0, (IF(R984="ESTUDIANTE", 31, 0)) + (IF(I984&lt;=3, 30, IF(I984&lt;=6, 20, 0))) +(IF(OR(E984="413 - Control de Costes y Enlace Construcción", E984="480 - Secretaría General del Consejo", E984="132 - Civil y estructuras", E984="136 - Mecánica", E984="412 - Planificación", E984="142 - Compras"), 25, 0)) +(IF(OR(S984="GRADO ING. MECÁNICA", S984="GRADO ING. ELÉCTRICA", S984="GRADO DERECHO", S984="GRADO ECONOMÍA", S984="GRADO ING. TECNOLOGÍAS INDUSTRIALES"), 24, 0)) + (IF(AND(K984&gt;=451, K984&lt;=700), 23, 0)) + (IF(AND(AB984&gt;=5, AB984&lt;=8), 17, 0)) +(IF(_xludf.OR(_xludf.AND(AC984&gt;=8, AC984&lt;=10), _xludf.AND(AC984&gt;=0, AC984&lt;=5)), 16, 0)) + (IF(F984="Madrid", 11, 0))))</f>
        <v>#NAME?</v>
      </c>
      <c r="AG984" s="68"/>
      <c r="AH984" s="71" t="s">
        <v>164</v>
      </c>
    </row>
    <row r="985" spans="1:34" ht="14.4" x14ac:dyDescent="0.3">
      <c r="A985" s="66" t="s">
        <v>1963</v>
      </c>
      <c r="B985" s="66" t="s">
        <v>4080</v>
      </c>
      <c r="C985" s="33">
        <v>984</v>
      </c>
      <c r="D985" s="33" t="s">
        <v>5393</v>
      </c>
      <c r="E985" s="34" t="s">
        <v>5260</v>
      </c>
      <c r="F985" s="34" t="s">
        <v>18</v>
      </c>
      <c r="G985" s="57">
        <v>43473</v>
      </c>
      <c r="H985" s="57">
        <v>43837</v>
      </c>
      <c r="I985" s="34">
        <f t="shared" si="45"/>
        <v>11</v>
      </c>
      <c r="J985" s="34">
        <v>35</v>
      </c>
      <c r="K985" s="36">
        <v>900</v>
      </c>
      <c r="L985" s="34" t="s">
        <v>17</v>
      </c>
      <c r="M985" s="57">
        <v>35332</v>
      </c>
      <c r="N985" s="37">
        <f>(YEAR(TablaMadre[[#This Row],[ALTA]])-YEAR(M985))</f>
        <v>23</v>
      </c>
      <c r="O985" s="34" t="s">
        <v>18</v>
      </c>
      <c r="P985" s="34" t="s">
        <v>19</v>
      </c>
      <c r="Q985" s="34" t="s">
        <v>399</v>
      </c>
      <c r="R985" s="34" t="s">
        <v>21</v>
      </c>
      <c r="S985" s="34" t="s">
        <v>322</v>
      </c>
      <c r="T985" s="34"/>
      <c r="U985" s="34"/>
      <c r="V985" s="34" t="s">
        <v>22</v>
      </c>
      <c r="W985" s="34" t="s">
        <v>28</v>
      </c>
      <c r="X985" s="38" t="s">
        <v>164</v>
      </c>
      <c r="Y985" s="62">
        <v>45020</v>
      </c>
      <c r="Z985" s="38">
        <f t="shared" si="46"/>
        <v>3</v>
      </c>
      <c r="AA985" s="38"/>
      <c r="AB985" s="34"/>
      <c r="AC985" s="34">
        <v>10</v>
      </c>
      <c r="AD985" s="38"/>
      <c r="AE985" s="59" t="str">
        <f t="shared" si="47"/>
        <v>NO</v>
      </c>
      <c r="AF985" s="38" t="e" cm="1">
        <f t="array" aca="1" ref="AF985" ca="1">MIN(100, MAX(0, (IF(R985="ESTUDIANTE", 31, 0)) + (IF(I985&lt;=3, 30, IF(I985&lt;=6, 20, 0))) +(IF(OR(E985="413 - Control de Costes y Enlace Construcción", E985="480 - Secretaría General del Consejo", E985="132 - Civil y estructuras", E985="136 - Mecánica", E985="412 - Planificación", E985="142 - Compras"), 25, 0)) +(IF(OR(S985="GRADO ING. MECÁNICA", S985="GRADO ING. ELÉCTRICA", S985="GRADO DERECHO", S985="GRADO ECONOMÍA", S985="GRADO ING. TECNOLOGÍAS INDUSTRIALES"), 24, 0)) + (IF(AND(K985&gt;=451, K985&lt;=700), 23, 0)) + (IF(AND(AB985&gt;=5, AB985&lt;=8), 17, 0)) +(IF(_xludf.OR(_xludf.AND(AC985&gt;=8, AC985&lt;=10), _xludf.AND(AC985&gt;=0, AC985&lt;=5)), 16, 0)) + (IF(F985="Madrid", 11, 0))))</f>
        <v>#NAME?</v>
      </c>
      <c r="AG985" s="68"/>
      <c r="AH985" s="71" t="s">
        <v>164</v>
      </c>
    </row>
    <row r="986" spans="1:34" ht="14.4" x14ac:dyDescent="0.3">
      <c r="A986" s="66" t="s">
        <v>1964</v>
      </c>
      <c r="B986" s="66" t="s">
        <v>4081</v>
      </c>
      <c r="C986" s="33">
        <v>985</v>
      </c>
      <c r="D986" s="33" t="s">
        <v>5394</v>
      </c>
      <c r="E986" s="34" t="s">
        <v>5305</v>
      </c>
      <c r="F986" s="34" t="s">
        <v>18</v>
      </c>
      <c r="G986" s="57">
        <v>43473</v>
      </c>
      <c r="H986" s="57">
        <v>44242</v>
      </c>
      <c r="I986" s="34">
        <f t="shared" si="45"/>
        <v>25</v>
      </c>
      <c r="J986" s="34">
        <v>25</v>
      </c>
      <c r="K986" s="36">
        <v>650</v>
      </c>
      <c r="L986" s="34" t="s">
        <v>17</v>
      </c>
      <c r="M986" s="57">
        <v>34601</v>
      </c>
      <c r="N986" s="37">
        <f>(YEAR(TablaMadre[[#This Row],[ALTA]])-YEAR(M986))</f>
        <v>25</v>
      </c>
      <c r="O986" s="34" t="s">
        <v>18</v>
      </c>
      <c r="P986" s="34" t="s">
        <v>19</v>
      </c>
      <c r="Q986" s="34" t="s">
        <v>495</v>
      </c>
      <c r="R986" s="58" t="s">
        <v>30</v>
      </c>
      <c r="S986" s="34" t="s">
        <v>495</v>
      </c>
      <c r="T986" s="34"/>
      <c r="U986" s="34"/>
      <c r="V986" s="34" t="s">
        <v>22</v>
      </c>
      <c r="W986" s="34" t="s">
        <v>28</v>
      </c>
      <c r="X986" s="38" t="s">
        <v>173</v>
      </c>
      <c r="Y986" s="62"/>
      <c r="Z986" s="38" t="e">
        <f t="shared" si="46"/>
        <v>#NUM!</v>
      </c>
      <c r="AA986" s="38"/>
      <c r="AB986" s="34">
        <v>8</v>
      </c>
      <c r="AC986" s="34">
        <v>10</v>
      </c>
      <c r="AD986" s="38"/>
      <c r="AE986" s="59" t="str">
        <f t="shared" si="47"/>
        <v>NO</v>
      </c>
      <c r="AF986" s="38" t="e" cm="1">
        <f t="array" aca="1" ref="AF986" ca="1">MIN(100, MAX(0, (IF(R986="ESTUDIANTE", 31, 0)) + (IF(I986&lt;=3, 30, IF(I986&lt;=6, 20, 0))) +(IF(OR(E986="413 - Control de Costes y Enlace Construcción", E986="480 - Secretaría General del Consejo", E986="132 - Civil y estructuras", E986="136 - Mecánica", E986="412 - Planificación", E986="142 - Compras"), 25, 0)) +(IF(OR(S986="GRADO ING. MECÁNICA", S986="GRADO ING. ELÉCTRICA", S986="GRADO DERECHO", S986="GRADO ECONOMÍA", S986="GRADO ING. TECNOLOGÍAS INDUSTRIALES"), 24, 0)) + (IF(AND(K986&gt;=451, K986&lt;=700), 23, 0)) + (IF(AND(AB986&gt;=5, AB986&lt;=8), 17, 0)) +(IF(_xludf.OR(_xludf.AND(AC986&gt;=8, AC986&lt;=10), _xludf.AND(AC986&gt;=0, AC986&lt;=5)), 16, 0)) + (IF(F986="Madrid", 11, 0))))</f>
        <v>#NAME?</v>
      </c>
      <c r="AG986" s="68"/>
      <c r="AH986" s="71" t="s">
        <v>164</v>
      </c>
    </row>
    <row r="987" spans="1:34" ht="14.4" x14ac:dyDescent="0.3">
      <c r="A987" s="66" t="s">
        <v>1965</v>
      </c>
      <c r="B987" s="66" t="s">
        <v>4082</v>
      </c>
      <c r="C987" s="33">
        <v>986</v>
      </c>
      <c r="D987" s="33" t="s">
        <v>5395</v>
      </c>
      <c r="E987" s="34" t="s">
        <v>5216</v>
      </c>
      <c r="F987" s="34" t="s">
        <v>18</v>
      </c>
      <c r="G987" s="57">
        <v>43474</v>
      </c>
      <c r="H987" s="57">
        <v>43831</v>
      </c>
      <c r="I987" s="34">
        <f t="shared" si="45"/>
        <v>11</v>
      </c>
      <c r="J987" s="34">
        <v>30</v>
      </c>
      <c r="K987" s="36">
        <v>705</v>
      </c>
      <c r="L987" s="34" t="s">
        <v>17</v>
      </c>
      <c r="M987" s="57">
        <v>35306</v>
      </c>
      <c r="N987" s="37">
        <f>(YEAR(TablaMadre[[#This Row],[ALTA]])-YEAR(M987))</f>
        <v>23</v>
      </c>
      <c r="O987" s="34" t="s">
        <v>18</v>
      </c>
      <c r="P987" s="34" t="s">
        <v>19</v>
      </c>
      <c r="Q987" s="34" t="s">
        <v>406</v>
      </c>
      <c r="R987" s="34" t="s">
        <v>21</v>
      </c>
      <c r="S987" s="34" t="s">
        <v>297</v>
      </c>
      <c r="T987" s="34"/>
      <c r="U987" s="34"/>
      <c r="V987" s="34" t="s">
        <v>22</v>
      </c>
      <c r="W987" s="34" t="s">
        <v>28</v>
      </c>
      <c r="X987" s="38" t="s">
        <v>173</v>
      </c>
      <c r="Y987" s="62"/>
      <c r="Z987" s="38" t="e">
        <f t="shared" si="46"/>
        <v>#NUM!</v>
      </c>
      <c r="AA987" s="38"/>
      <c r="AB987" s="34"/>
      <c r="AC987" s="34">
        <v>9.6</v>
      </c>
      <c r="AD987" s="38"/>
      <c r="AE987" s="59" t="str">
        <f t="shared" si="47"/>
        <v>NO</v>
      </c>
      <c r="AF987" s="38" t="e" cm="1">
        <f t="array" aca="1" ref="AF987" ca="1">MIN(100, MAX(0, (IF(R987="ESTUDIANTE", 31, 0)) + (IF(I987&lt;=3, 30, IF(I987&lt;=6, 20, 0))) +(IF(OR(E987="413 - Control de Costes y Enlace Construcción", E987="480 - Secretaría General del Consejo", E987="132 - Civil y estructuras", E987="136 - Mecánica", E987="412 - Planificación", E987="142 - Compras"), 25, 0)) +(IF(OR(S987="GRADO ING. MECÁNICA", S987="GRADO ING. ELÉCTRICA", S987="GRADO DERECHO", S987="GRADO ECONOMÍA", S987="GRADO ING. TECNOLOGÍAS INDUSTRIALES"), 24, 0)) + (IF(AND(K987&gt;=451, K987&lt;=700), 23, 0)) + (IF(AND(AB987&gt;=5, AB987&lt;=8), 17, 0)) +(IF(_xludf.OR(_xludf.AND(AC987&gt;=8, AC987&lt;=10), _xludf.AND(AC987&gt;=0, AC987&lt;=5)), 16, 0)) + (IF(F987="Madrid", 11, 0))))</f>
        <v>#NAME?</v>
      </c>
      <c r="AG987" s="68"/>
      <c r="AH987" s="71" t="s">
        <v>164</v>
      </c>
    </row>
    <row r="988" spans="1:34" ht="14.4" x14ac:dyDescent="0.3">
      <c r="A988" s="66" t="s">
        <v>1966</v>
      </c>
      <c r="B988" s="66" t="s">
        <v>4083</v>
      </c>
      <c r="C988" s="33">
        <v>987</v>
      </c>
      <c r="D988" s="33" t="s">
        <v>5396</v>
      </c>
      <c r="E988" s="34" t="s">
        <v>5216</v>
      </c>
      <c r="F988" s="34" t="s">
        <v>18</v>
      </c>
      <c r="G988" s="57">
        <v>43474</v>
      </c>
      <c r="H988" s="57">
        <v>43831</v>
      </c>
      <c r="I988" s="34">
        <f t="shared" si="45"/>
        <v>11</v>
      </c>
      <c r="J988" s="34">
        <v>35</v>
      </c>
      <c r="K988" s="36">
        <v>900</v>
      </c>
      <c r="L988" s="34" t="s">
        <v>17</v>
      </c>
      <c r="M988" s="57">
        <v>36057</v>
      </c>
      <c r="N988" s="37">
        <f>(YEAR(TablaMadre[[#This Row],[ALTA]])-YEAR(M988))</f>
        <v>21</v>
      </c>
      <c r="O988" s="34" t="s">
        <v>18</v>
      </c>
      <c r="P988" s="34" t="s">
        <v>19</v>
      </c>
      <c r="Q988" s="34" t="s">
        <v>297</v>
      </c>
      <c r="R988" s="34" t="s">
        <v>21</v>
      </c>
      <c r="S988" s="34" t="s">
        <v>297</v>
      </c>
      <c r="T988" s="34"/>
      <c r="U988" s="34"/>
      <c r="V988" s="34" t="s">
        <v>22</v>
      </c>
      <c r="W988" s="34" t="s">
        <v>28</v>
      </c>
      <c r="X988" s="38" t="s">
        <v>164</v>
      </c>
      <c r="Y988" s="62">
        <v>44014</v>
      </c>
      <c r="Z988" s="38">
        <f t="shared" si="46"/>
        <v>0</v>
      </c>
      <c r="AA988" s="38"/>
      <c r="AB988" s="34"/>
      <c r="AC988" s="34">
        <v>6.8</v>
      </c>
      <c r="AD988" s="38"/>
      <c r="AE988" s="59" t="str">
        <f t="shared" si="47"/>
        <v>NO</v>
      </c>
      <c r="AF988" s="38" t="e" cm="1">
        <f t="array" aca="1" ref="AF988" ca="1">MIN(100, MAX(0, (IF(R988="ESTUDIANTE", 31, 0)) + (IF(I988&lt;=3, 30, IF(I988&lt;=6, 20, 0))) +(IF(OR(E988="413 - Control de Costes y Enlace Construcción", E988="480 - Secretaría General del Consejo", E988="132 - Civil y estructuras", E988="136 - Mecánica", E988="412 - Planificación", E988="142 - Compras"), 25, 0)) +(IF(OR(S988="GRADO ING. MECÁNICA", S988="GRADO ING. ELÉCTRICA", S988="GRADO DERECHO", S988="GRADO ECONOMÍA", S988="GRADO ING. TECNOLOGÍAS INDUSTRIALES"), 24, 0)) + (IF(AND(K988&gt;=451, K988&lt;=700), 23, 0)) + (IF(AND(AB988&gt;=5, AB988&lt;=8), 17, 0)) +(IF(_xludf.OR(_xludf.AND(AC988&gt;=8, AC988&lt;=10), _xludf.AND(AC988&gt;=0, AC988&lt;=5)), 16, 0)) + (IF(F988="Madrid", 11, 0))))</f>
        <v>#NAME?</v>
      </c>
      <c r="AG988" s="68"/>
      <c r="AH988" s="71" t="s">
        <v>164</v>
      </c>
    </row>
    <row r="989" spans="1:34" ht="14.4" x14ac:dyDescent="0.3">
      <c r="A989" s="66" t="s">
        <v>1967</v>
      </c>
      <c r="B989" s="66" t="s">
        <v>4084</v>
      </c>
      <c r="C989" s="33">
        <v>988</v>
      </c>
      <c r="D989" s="33" t="s">
        <v>5397</v>
      </c>
      <c r="E989" s="34" t="s">
        <v>5216</v>
      </c>
      <c r="F989" s="34" t="s">
        <v>18</v>
      </c>
      <c r="G989" s="57">
        <v>43474</v>
      </c>
      <c r="H989" s="57">
        <v>43831</v>
      </c>
      <c r="I989" s="34">
        <f t="shared" si="45"/>
        <v>11</v>
      </c>
      <c r="J989" s="34">
        <v>35</v>
      </c>
      <c r="K989" s="36">
        <v>900</v>
      </c>
      <c r="L989" s="34" t="s">
        <v>29</v>
      </c>
      <c r="M989" s="57">
        <v>36055</v>
      </c>
      <c r="N989" s="37">
        <f>(YEAR(TablaMadre[[#This Row],[ALTA]])-YEAR(M989))</f>
        <v>21</v>
      </c>
      <c r="O989" s="34" t="s">
        <v>18</v>
      </c>
      <c r="P989" s="34" t="s">
        <v>19</v>
      </c>
      <c r="Q989" s="34" t="s">
        <v>406</v>
      </c>
      <c r="R989" s="34" t="s">
        <v>21</v>
      </c>
      <c r="S989" s="34" t="s">
        <v>297</v>
      </c>
      <c r="T989" s="34"/>
      <c r="U989" s="34"/>
      <c r="V989" s="34" t="s">
        <v>56</v>
      </c>
      <c r="W989" s="34" t="s">
        <v>28</v>
      </c>
      <c r="X989" s="38" t="s">
        <v>164</v>
      </c>
      <c r="Y989" s="62">
        <v>44652</v>
      </c>
      <c r="Z989" s="38">
        <f t="shared" si="46"/>
        <v>2</v>
      </c>
      <c r="AA989" s="38"/>
      <c r="AB989" s="34"/>
      <c r="AC989" s="34">
        <v>9</v>
      </c>
      <c r="AD989" s="38"/>
      <c r="AE989" s="59" t="str">
        <f t="shared" si="47"/>
        <v>NO</v>
      </c>
      <c r="AF989" s="38" t="e" cm="1">
        <f t="array" aca="1" ref="AF989" ca="1">MIN(100, MAX(0, (IF(R989="ESTUDIANTE", 31, 0)) + (IF(I989&lt;=3, 30, IF(I989&lt;=6, 20, 0))) +(IF(OR(E989="413 - Control de Costes y Enlace Construcción", E989="480 - Secretaría General del Consejo", E989="132 - Civil y estructuras", E989="136 - Mecánica", E989="412 - Planificación", E989="142 - Compras"), 25, 0)) +(IF(OR(S989="GRADO ING. MECÁNICA", S989="GRADO ING. ELÉCTRICA", S989="GRADO DERECHO", S989="GRADO ECONOMÍA", S989="GRADO ING. TECNOLOGÍAS INDUSTRIALES"), 24, 0)) + (IF(AND(K989&gt;=451, K989&lt;=700), 23, 0)) + (IF(AND(AB989&gt;=5, AB989&lt;=8), 17, 0)) +(IF(_xludf.OR(_xludf.AND(AC989&gt;=8, AC989&lt;=10), _xludf.AND(AC989&gt;=0, AC989&lt;=5)), 16, 0)) + (IF(F989="Madrid", 11, 0))))</f>
        <v>#NAME?</v>
      </c>
      <c r="AG989" s="68"/>
      <c r="AH989" s="71" t="s">
        <v>164</v>
      </c>
    </row>
    <row r="990" spans="1:34" ht="14.4" x14ac:dyDescent="0.3">
      <c r="A990" s="66" t="s">
        <v>1968</v>
      </c>
      <c r="B990" s="66" t="s">
        <v>4085</v>
      </c>
      <c r="C990" s="33">
        <v>989</v>
      </c>
      <c r="D990" s="33" t="s">
        <v>5398</v>
      </c>
      <c r="E990" s="34" t="s">
        <v>5215</v>
      </c>
      <c r="F990" s="34" t="s">
        <v>118</v>
      </c>
      <c r="G990" s="57">
        <v>43479</v>
      </c>
      <c r="H990" s="57">
        <v>43843</v>
      </c>
      <c r="I990" s="34">
        <f t="shared" si="45"/>
        <v>11</v>
      </c>
      <c r="J990" s="34">
        <v>35</v>
      </c>
      <c r="K990" s="36">
        <v>825</v>
      </c>
      <c r="L990" s="34" t="s">
        <v>17</v>
      </c>
      <c r="M990" s="57">
        <v>32987</v>
      </c>
      <c r="N990" s="37">
        <f>(YEAR(TablaMadre[[#This Row],[ALTA]])-YEAR(M990))</f>
        <v>29</v>
      </c>
      <c r="O990" s="34" t="s">
        <v>18</v>
      </c>
      <c r="P990" s="34" t="s">
        <v>19</v>
      </c>
      <c r="Q990" s="34" t="s">
        <v>452</v>
      </c>
      <c r="R990" s="34" t="s">
        <v>21</v>
      </c>
      <c r="S990" s="34" t="s">
        <v>151</v>
      </c>
      <c r="T990" s="34"/>
      <c r="U990" s="34"/>
      <c r="V990" s="34" t="s">
        <v>37</v>
      </c>
      <c r="W990" s="34" t="s">
        <v>28</v>
      </c>
      <c r="X990" s="38" t="s">
        <v>173</v>
      </c>
      <c r="Y990" s="62"/>
      <c r="Z990" s="38" t="e">
        <f t="shared" si="46"/>
        <v>#NUM!</v>
      </c>
      <c r="AA990" s="38"/>
      <c r="AB990" s="34"/>
      <c r="AC990" s="34">
        <v>10</v>
      </c>
      <c r="AD990" s="38"/>
      <c r="AE990" s="59" t="str">
        <f t="shared" si="47"/>
        <v>SÍ</v>
      </c>
      <c r="AF990" s="38" t="e" cm="1">
        <f t="array" aca="1" ref="AF990" ca="1">MIN(100, MAX(0, (IF(R990="ESTUDIANTE", 31, 0)) + (IF(I990&lt;=3, 30, IF(I990&lt;=6, 20, 0))) +(IF(OR(E990="413 - Control de Costes y Enlace Construcción", E990="480 - Secretaría General del Consejo", E990="132 - Civil y estructuras", E990="136 - Mecánica", E990="412 - Planificación", E990="142 - Compras"), 25, 0)) +(IF(OR(S990="GRADO ING. MECÁNICA", S990="GRADO ING. ELÉCTRICA", S990="GRADO DERECHO", S990="GRADO ECONOMÍA", S990="GRADO ING. TECNOLOGÍAS INDUSTRIALES"), 24, 0)) + (IF(AND(K990&gt;=451, K990&lt;=700), 23, 0)) + (IF(AND(AB990&gt;=5, AB990&lt;=8), 17, 0)) +(IF(_xludf.OR(_xludf.AND(AC990&gt;=8, AC990&lt;=10), _xludf.AND(AC990&gt;=0, AC990&lt;=5)), 16, 0)) + (IF(F990="Madrid", 11, 0))))</f>
        <v>#NAME?</v>
      </c>
      <c r="AG990" s="68"/>
      <c r="AH990" s="71" t="s">
        <v>164</v>
      </c>
    </row>
    <row r="991" spans="1:34" ht="14.4" x14ac:dyDescent="0.3">
      <c r="A991" s="66" t="s">
        <v>1969</v>
      </c>
      <c r="B991" s="66" t="s">
        <v>4086</v>
      </c>
      <c r="C991" s="33">
        <v>990</v>
      </c>
      <c r="D991" s="33" t="s">
        <v>5399</v>
      </c>
      <c r="E991" s="34" t="s">
        <v>5244</v>
      </c>
      <c r="F991" s="34" t="s">
        <v>18</v>
      </c>
      <c r="G991" s="57">
        <v>43500</v>
      </c>
      <c r="H991" s="57">
        <v>43861</v>
      </c>
      <c r="I991" s="34">
        <f t="shared" si="45"/>
        <v>11</v>
      </c>
      <c r="J991" s="34">
        <v>35</v>
      </c>
      <c r="K991" s="36">
        <v>900</v>
      </c>
      <c r="L991" s="34" t="s">
        <v>17</v>
      </c>
      <c r="M991" s="57">
        <v>32150</v>
      </c>
      <c r="N991" s="37">
        <f>(YEAR(TablaMadre[[#This Row],[ALTA]])-YEAR(M991))</f>
        <v>31</v>
      </c>
      <c r="O991" s="34" t="s">
        <v>249</v>
      </c>
      <c r="P991" s="34" t="s">
        <v>19</v>
      </c>
      <c r="Q991" s="34" t="s">
        <v>386</v>
      </c>
      <c r="R991" s="34" t="s">
        <v>21</v>
      </c>
      <c r="S991" s="34" t="s">
        <v>151</v>
      </c>
      <c r="T991" s="34"/>
      <c r="U991" s="34"/>
      <c r="V991" s="34" t="s">
        <v>69</v>
      </c>
      <c r="W991" s="34" t="s">
        <v>28</v>
      </c>
      <c r="X991" s="38" t="s">
        <v>164</v>
      </c>
      <c r="Y991" s="62">
        <v>44228</v>
      </c>
      <c r="Z991" s="38">
        <f t="shared" si="46"/>
        <v>1</v>
      </c>
      <c r="AA991" s="38"/>
      <c r="AB991" s="34"/>
      <c r="AC991" s="34">
        <v>7</v>
      </c>
      <c r="AD991" s="38"/>
      <c r="AE991" s="59" t="str">
        <f t="shared" si="47"/>
        <v>SÍ</v>
      </c>
      <c r="AF991" s="38" t="e" cm="1">
        <f t="array" aca="1" ref="AF991" ca="1">MIN(100, MAX(0, (IF(R991="ESTUDIANTE", 31, 0)) + (IF(I991&lt;=3, 30, IF(I991&lt;=6, 20, 0))) +(IF(OR(E991="413 - Control de Costes y Enlace Construcción", E991="480 - Secretaría General del Consejo", E991="132 - Civil y estructuras", E991="136 - Mecánica", E991="412 - Planificación", E991="142 - Compras"), 25, 0)) +(IF(OR(S991="GRADO ING. MECÁNICA", S991="GRADO ING. ELÉCTRICA", S991="GRADO DERECHO", S991="GRADO ECONOMÍA", S991="GRADO ING. TECNOLOGÍAS INDUSTRIALES"), 24, 0)) + (IF(AND(K991&gt;=451, K991&lt;=700), 23, 0)) + (IF(AND(AB991&gt;=5, AB991&lt;=8), 17, 0)) +(IF(_xludf.OR(_xludf.AND(AC991&gt;=8, AC991&lt;=10), _xludf.AND(AC991&gt;=0, AC991&lt;=5)), 16, 0)) + (IF(F991="Madrid", 11, 0))))</f>
        <v>#NAME?</v>
      </c>
      <c r="AG991" s="68"/>
      <c r="AH991" s="71" t="s">
        <v>164</v>
      </c>
    </row>
    <row r="992" spans="1:34" ht="14.4" x14ac:dyDescent="0.3">
      <c r="A992" s="66" t="s">
        <v>2057</v>
      </c>
      <c r="B992" s="66" t="s">
        <v>4174</v>
      </c>
      <c r="C992" s="33">
        <v>991</v>
      </c>
      <c r="D992" s="33" t="s">
        <v>5400</v>
      </c>
      <c r="E992" s="34" t="s">
        <v>5235</v>
      </c>
      <c r="F992" s="34" t="s">
        <v>18</v>
      </c>
      <c r="G992" s="57">
        <v>43505</v>
      </c>
      <c r="H992" s="57">
        <v>43735</v>
      </c>
      <c r="I992" s="34">
        <f t="shared" si="45"/>
        <v>7</v>
      </c>
      <c r="J992" s="34">
        <v>35</v>
      </c>
      <c r="K992" s="36">
        <v>0</v>
      </c>
      <c r="L992" s="34" t="s">
        <v>29</v>
      </c>
      <c r="M992" s="57">
        <v>36602</v>
      </c>
      <c r="N992" s="37">
        <f>(YEAR(TablaMadre[[#This Row],[ALTA]])-YEAR(M992))</f>
        <v>19</v>
      </c>
      <c r="O992" s="34" t="s">
        <v>18</v>
      </c>
      <c r="P992" s="34" t="s">
        <v>19</v>
      </c>
      <c r="Q992" s="34" t="s">
        <v>136</v>
      </c>
      <c r="R992" s="34" t="s">
        <v>30</v>
      </c>
      <c r="S992" s="34" t="s">
        <v>136</v>
      </c>
      <c r="T992" s="34"/>
      <c r="U992" s="34"/>
      <c r="V992" s="34" t="s">
        <v>90</v>
      </c>
      <c r="W992" s="34" t="s">
        <v>23</v>
      </c>
      <c r="X992" s="38" t="s">
        <v>164</v>
      </c>
      <c r="Y992" s="62"/>
      <c r="Z992" s="62" t="e">
        <f t="shared" si="46"/>
        <v>#NUM!</v>
      </c>
      <c r="AA992" s="62"/>
      <c r="AB992" s="34"/>
      <c r="AC992" s="34"/>
      <c r="AD992" s="38"/>
      <c r="AE992" s="59" t="str">
        <f t="shared" si="47"/>
        <v>NO</v>
      </c>
      <c r="AF992" s="38" t="e" cm="1">
        <f t="array" aca="1" ref="AF992" ca="1">MIN(100, MAX(0, (IF(R992="ESTUDIANTE", 31, 0)) + (IF(I992&lt;=3, 30, IF(I992&lt;=6, 20, 0))) +(IF(OR(E992="413 - Control de Costes y Enlace Construcción", E992="480 - Secretaría General del Consejo", E992="132 - Civil y estructuras", E992="136 - Mecánica", E992="412 - Planificación", E992="142 - Compras"), 25, 0)) +(IF(OR(S992="GRADO ING. MECÁNICA", S992="GRADO ING. ELÉCTRICA", S992="GRADO DERECHO", S992="GRADO ECONOMÍA", S992="GRADO ING. TECNOLOGÍAS INDUSTRIALES"), 24, 0)) + (IF(AND(K992&gt;=451, K992&lt;=700), 23, 0)) + (IF(AND(AB992&gt;=5, AB992&lt;=8), 17, 0)) +(IF(_xludf.OR(_xludf.AND(AC992&gt;=8, AC992&lt;=10), _xludf.AND(AC992&gt;=0, AC992&lt;=5)), 16, 0)) + (IF(F992="Madrid", 11, 0))))</f>
        <v>#NAME?</v>
      </c>
      <c r="AG992" s="68"/>
      <c r="AH992" s="71" t="s">
        <v>164</v>
      </c>
    </row>
    <row r="993" spans="1:34" ht="14.4" x14ac:dyDescent="0.3">
      <c r="A993" s="66" t="s">
        <v>1971</v>
      </c>
      <c r="B993" s="66" t="s">
        <v>4088</v>
      </c>
      <c r="C993" s="33">
        <v>992</v>
      </c>
      <c r="D993" s="33" t="s">
        <v>5401</v>
      </c>
      <c r="E993" s="34" t="s">
        <v>5275</v>
      </c>
      <c r="F993" s="34" t="s">
        <v>18</v>
      </c>
      <c r="G993" s="57">
        <v>43507</v>
      </c>
      <c r="H993" s="57">
        <v>43871</v>
      </c>
      <c r="I993" s="34">
        <f t="shared" si="45"/>
        <v>11</v>
      </c>
      <c r="J993" s="34">
        <v>35</v>
      </c>
      <c r="K993" s="36">
        <v>825</v>
      </c>
      <c r="L993" s="34" t="s">
        <v>17</v>
      </c>
      <c r="M993" s="57">
        <v>33115</v>
      </c>
      <c r="N993" s="37">
        <f>(YEAR(TablaMadre[[#This Row],[ALTA]])-YEAR(M993))</f>
        <v>29</v>
      </c>
      <c r="O993" s="34" t="s">
        <v>18</v>
      </c>
      <c r="P993" s="34" t="s">
        <v>19</v>
      </c>
      <c r="Q993" s="34" t="s">
        <v>136</v>
      </c>
      <c r="R993" s="34" t="s">
        <v>21</v>
      </c>
      <c r="S993" s="34" t="s">
        <v>136</v>
      </c>
      <c r="T993" s="34"/>
      <c r="U993" s="34"/>
      <c r="V993" s="34" t="s">
        <v>158</v>
      </c>
      <c r="W993" s="34" t="s">
        <v>28</v>
      </c>
      <c r="X993" s="38" t="s">
        <v>173</v>
      </c>
      <c r="Y993" s="62"/>
      <c r="Z993" s="38" t="e">
        <f t="shared" si="46"/>
        <v>#NUM!</v>
      </c>
      <c r="AA993" s="38"/>
      <c r="AB993" s="34"/>
      <c r="AC993" s="34">
        <v>8</v>
      </c>
      <c r="AD993" s="38"/>
      <c r="AE993" s="59" t="str">
        <f t="shared" si="47"/>
        <v>NO</v>
      </c>
      <c r="AF993" s="38" t="e" cm="1">
        <f t="array" aca="1" ref="AF993" ca="1">MIN(100, MAX(0, (IF(R993="ESTUDIANTE", 31, 0)) + (IF(I993&lt;=3, 30, IF(I993&lt;=6, 20, 0))) +(IF(OR(E993="413 - Control de Costes y Enlace Construcción", E993="480 - Secretaría General del Consejo", E993="132 - Civil y estructuras", E993="136 - Mecánica", E993="412 - Planificación", E993="142 - Compras"), 25, 0)) +(IF(OR(S993="GRADO ING. MECÁNICA", S993="GRADO ING. ELÉCTRICA", S993="GRADO DERECHO", S993="GRADO ECONOMÍA", S993="GRADO ING. TECNOLOGÍAS INDUSTRIALES"), 24, 0)) + (IF(AND(K993&gt;=451, K993&lt;=700), 23, 0)) + (IF(AND(AB993&gt;=5, AB993&lt;=8), 17, 0)) +(IF(_xludf.OR(_xludf.AND(AC993&gt;=8, AC993&lt;=10), _xludf.AND(AC993&gt;=0, AC993&lt;=5)), 16, 0)) + (IF(F993="Madrid", 11, 0))))</f>
        <v>#NAME?</v>
      </c>
      <c r="AG993" s="68"/>
      <c r="AH993" s="71" t="s">
        <v>164</v>
      </c>
    </row>
    <row r="994" spans="1:34" ht="14.4" x14ac:dyDescent="0.3">
      <c r="A994" s="66" t="s">
        <v>1972</v>
      </c>
      <c r="B994" s="66" t="s">
        <v>4089</v>
      </c>
      <c r="C994" s="33">
        <v>993</v>
      </c>
      <c r="D994" s="33" t="s">
        <v>5402</v>
      </c>
      <c r="E994" s="34" t="s">
        <v>5222</v>
      </c>
      <c r="F994" s="34" t="s">
        <v>18</v>
      </c>
      <c r="G994" s="57">
        <v>43509</v>
      </c>
      <c r="H994" s="57">
        <v>43873</v>
      </c>
      <c r="I994" s="34">
        <f t="shared" si="45"/>
        <v>11</v>
      </c>
      <c r="J994" s="34">
        <v>35</v>
      </c>
      <c r="K994" s="36">
        <v>825</v>
      </c>
      <c r="L994" s="34" t="s">
        <v>17</v>
      </c>
      <c r="M994" s="57">
        <v>34744</v>
      </c>
      <c r="N994" s="37">
        <f>(YEAR(TablaMadre[[#This Row],[ALTA]])-YEAR(M994))</f>
        <v>24</v>
      </c>
      <c r="O994" s="34" t="s">
        <v>18</v>
      </c>
      <c r="P994" s="34" t="s">
        <v>19</v>
      </c>
      <c r="Q994" s="34" t="s">
        <v>330</v>
      </c>
      <c r="R994" s="34" t="s">
        <v>21</v>
      </c>
      <c r="S994" s="34" t="s">
        <v>307</v>
      </c>
      <c r="T994" s="34"/>
      <c r="U994" s="34"/>
      <c r="V994" s="34" t="s">
        <v>22</v>
      </c>
      <c r="W994" s="34" t="s">
        <v>28</v>
      </c>
      <c r="X994" s="38" t="s">
        <v>164</v>
      </c>
      <c r="Y994" s="62">
        <v>44713</v>
      </c>
      <c r="Z994" s="38">
        <f t="shared" si="46"/>
        <v>2</v>
      </c>
      <c r="AA994" s="38"/>
      <c r="AB994" s="34"/>
      <c r="AC994" s="34"/>
      <c r="AD994" s="38"/>
      <c r="AE994" s="59" t="str">
        <f t="shared" si="47"/>
        <v>NO</v>
      </c>
      <c r="AF994" s="38" t="e" cm="1">
        <f t="array" aca="1" ref="AF994" ca="1">MIN(100, MAX(0, (IF(R994="ESTUDIANTE", 31, 0)) + (IF(I994&lt;=3, 30, IF(I994&lt;=6, 20, 0))) +(IF(OR(E994="413 - Control de Costes y Enlace Construcción", E994="480 - Secretaría General del Consejo", E994="132 - Civil y estructuras", E994="136 - Mecánica", E994="412 - Planificación", E994="142 - Compras"), 25, 0)) +(IF(OR(S994="GRADO ING. MECÁNICA", S994="GRADO ING. ELÉCTRICA", S994="GRADO DERECHO", S994="GRADO ECONOMÍA", S994="GRADO ING. TECNOLOGÍAS INDUSTRIALES"), 24, 0)) + (IF(AND(K994&gt;=451, K994&lt;=700), 23, 0)) + (IF(AND(AB994&gt;=5, AB994&lt;=8), 17, 0)) +(IF(_xludf.OR(_xludf.AND(AC994&gt;=8, AC994&lt;=10), _xludf.AND(AC994&gt;=0, AC994&lt;=5)), 16, 0)) + (IF(F994="Madrid", 11, 0))))</f>
        <v>#NAME?</v>
      </c>
      <c r="AG994" s="68"/>
      <c r="AH994" s="71" t="s">
        <v>164</v>
      </c>
    </row>
    <row r="995" spans="1:34" ht="14.4" x14ac:dyDescent="0.3">
      <c r="A995" s="66" t="s">
        <v>1955</v>
      </c>
      <c r="B995" s="66" t="s">
        <v>4072</v>
      </c>
      <c r="C995" s="33">
        <v>995</v>
      </c>
      <c r="D995" s="33" t="s">
        <v>5393</v>
      </c>
      <c r="E995" s="34" t="s">
        <v>5231</v>
      </c>
      <c r="F995" s="34" t="s">
        <v>18</v>
      </c>
      <c r="G995" s="57">
        <v>43514</v>
      </c>
      <c r="H995" s="57">
        <v>43694</v>
      </c>
      <c r="I995" s="34">
        <f t="shared" si="45"/>
        <v>5</v>
      </c>
      <c r="J995" s="34">
        <v>35</v>
      </c>
      <c r="K995" s="36">
        <v>650</v>
      </c>
      <c r="L995" s="34" t="s">
        <v>17</v>
      </c>
      <c r="M995" s="57">
        <v>34660</v>
      </c>
      <c r="N995" s="37">
        <f>(YEAR(TablaMadre[[#This Row],[ALTA]])-YEAR(M995))</f>
        <v>25</v>
      </c>
      <c r="O995" s="34" t="s">
        <v>99</v>
      </c>
      <c r="P995" s="34" t="s">
        <v>439</v>
      </c>
      <c r="Q995" s="34" t="s">
        <v>330</v>
      </c>
      <c r="R995" s="58" t="s">
        <v>30</v>
      </c>
      <c r="S995" s="34" t="s">
        <v>307</v>
      </c>
      <c r="T995" s="34"/>
      <c r="U995" s="34"/>
      <c r="V995" s="34" t="s">
        <v>22</v>
      </c>
      <c r="W995" s="34" t="s">
        <v>380</v>
      </c>
      <c r="X995" s="38" t="s">
        <v>164</v>
      </c>
      <c r="Y995" s="62"/>
      <c r="Z995" s="62" t="e">
        <f t="shared" si="46"/>
        <v>#NUM!</v>
      </c>
      <c r="AA995" s="62"/>
      <c r="AB995" s="34"/>
      <c r="AC995" s="34"/>
      <c r="AD995" s="38"/>
      <c r="AE995" s="59" t="str">
        <f t="shared" si="47"/>
        <v>SÍ</v>
      </c>
      <c r="AF995" s="38" t="e" cm="1">
        <f t="array" aca="1" ref="AF995" ca="1">MIN(100, MAX(0, (IF(R995="ESTUDIANTE", 31, 0)) + (IF(I995&lt;=3, 30, IF(I995&lt;=6, 20, 0))) +(IF(OR(E995="413 - Control de Costes y Enlace Construcción", E995="480 - Secretaría General del Consejo", E995="132 - Civil y estructuras", E995="136 - Mecánica", E995="412 - Planificación", E995="142 - Compras"), 25, 0)) +(IF(OR(S995="GRADO ING. MECÁNICA", S995="GRADO ING. ELÉCTRICA", S995="GRADO DERECHO", S995="GRADO ECONOMÍA", S995="GRADO ING. TECNOLOGÍAS INDUSTRIALES"), 24, 0)) + (IF(AND(K995&gt;=451, K995&lt;=700), 23, 0)) + (IF(AND(AB995&gt;=5, AB995&lt;=8), 17, 0)) +(IF(_xludf.OR(_xludf.AND(AC995&gt;=8, AC995&lt;=10), _xludf.AND(AC995&gt;=0, AC995&lt;=5)), 16, 0)) + (IF(F995="Madrid", 11, 0))))</f>
        <v>#NAME?</v>
      </c>
      <c r="AG995" s="68"/>
      <c r="AH995" s="71" t="s">
        <v>164</v>
      </c>
    </row>
    <row r="996" spans="1:34" ht="14.4" x14ac:dyDescent="0.3">
      <c r="A996" s="66" t="s">
        <v>1961</v>
      </c>
      <c r="B996" s="66" t="s">
        <v>4078</v>
      </c>
      <c r="C996" s="33">
        <v>994</v>
      </c>
      <c r="D996" s="33" t="s">
        <v>5394</v>
      </c>
      <c r="E996" s="34" t="s">
        <v>5231</v>
      </c>
      <c r="F996" s="34" t="s">
        <v>18</v>
      </c>
      <c r="G996" s="57">
        <v>43514</v>
      </c>
      <c r="H996" s="57">
        <v>43694</v>
      </c>
      <c r="I996" s="34">
        <f t="shared" si="45"/>
        <v>5</v>
      </c>
      <c r="J996" s="34">
        <v>35</v>
      </c>
      <c r="K996" s="36">
        <v>650</v>
      </c>
      <c r="L996" s="34" t="s">
        <v>17</v>
      </c>
      <c r="M996" s="57">
        <v>35356</v>
      </c>
      <c r="N996" s="37">
        <f>(YEAR(TablaMadre[[#This Row],[ALTA]])-YEAR(M996))</f>
        <v>23</v>
      </c>
      <c r="O996" s="34" t="s">
        <v>233</v>
      </c>
      <c r="P996" s="34" t="s">
        <v>19</v>
      </c>
      <c r="Q996" s="34" t="s">
        <v>330</v>
      </c>
      <c r="R996" s="58" t="s">
        <v>30</v>
      </c>
      <c r="S996" s="34" t="s">
        <v>307</v>
      </c>
      <c r="T996" s="34"/>
      <c r="U996" s="34"/>
      <c r="V996" s="34" t="s">
        <v>22</v>
      </c>
      <c r="W996" s="34" t="s">
        <v>181</v>
      </c>
      <c r="X996" s="38" t="s">
        <v>164</v>
      </c>
      <c r="Y996" s="62"/>
      <c r="Z996" s="62" t="e">
        <f t="shared" si="46"/>
        <v>#NUM!</v>
      </c>
      <c r="AA996" s="62"/>
      <c r="AB996" s="34"/>
      <c r="AC996" s="34"/>
      <c r="AD996" s="38"/>
      <c r="AE996" s="59" t="str">
        <f t="shared" si="47"/>
        <v>SÍ</v>
      </c>
      <c r="AF996" s="38" t="e" cm="1">
        <f t="array" aca="1" ref="AF996" ca="1">MIN(100, MAX(0, (IF(R996="ESTUDIANTE", 31, 0)) + (IF(I996&lt;=3, 30, IF(I996&lt;=6, 20, 0))) +(IF(OR(E996="413 - Control de Costes y Enlace Construcción", E996="480 - Secretaría General del Consejo", E996="132 - Civil y estructuras", E996="136 - Mecánica", E996="412 - Planificación", E996="142 - Compras"), 25, 0)) +(IF(OR(S996="GRADO ING. MECÁNICA", S996="GRADO ING. ELÉCTRICA", S996="GRADO DERECHO", S996="GRADO ECONOMÍA", S996="GRADO ING. TECNOLOGÍAS INDUSTRIALES"), 24, 0)) + (IF(AND(K996&gt;=451, K996&lt;=700), 23, 0)) + (IF(AND(AB996&gt;=5, AB996&lt;=8), 17, 0)) +(IF(_xludf.OR(_xludf.AND(AC996&gt;=8, AC996&lt;=10), _xludf.AND(AC996&gt;=0, AC996&lt;=5)), 16, 0)) + (IF(F996="Madrid", 11, 0))))</f>
        <v>#NAME?</v>
      </c>
      <c r="AG996" s="68"/>
      <c r="AH996" s="71" t="s">
        <v>164</v>
      </c>
    </row>
    <row r="997" spans="1:34" ht="14.4" x14ac:dyDescent="0.3">
      <c r="A997" s="66" t="s">
        <v>1975</v>
      </c>
      <c r="B997" s="66" t="s">
        <v>4092</v>
      </c>
      <c r="C997" s="33">
        <v>996</v>
      </c>
      <c r="D997" s="33" t="s">
        <v>5395</v>
      </c>
      <c r="E997" s="34" t="s">
        <v>5249</v>
      </c>
      <c r="F997" s="34" t="s">
        <v>18</v>
      </c>
      <c r="G997" s="57">
        <v>43525</v>
      </c>
      <c r="H997" s="57">
        <v>43890</v>
      </c>
      <c r="I997" s="34">
        <f t="shared" si="45"/>
        <v>11</v>
      </c>
      <c r="J997" s="34">
        <v>35</v>
      </c>
      <c r="K997" s="36">
        <v>900</v>
      </c>
      <c r="L997" s="34" t="s">
        <v>29</v>
      </c>
      <c r="M997" s="57">
        <v>34814</v>
      </c>
      <c r="N997" s="37">
        <f>(YEAR(TablaMadre[[#This Row],[ALTA]])-YEAR(M997))</f>
        <v>24</v>
      </c>
      <c r="O997" s="34" t="s">
        <v>257</v>
      </c>
      <c r="P997" s="34" t="s">
        <v>19</v>
      </c>
      <c r="Q997" s="34" t="s">
        <v>406</v>
      </c>
      <c r="R997" s="34" t="s">
        <v>21</v>
      </c>
      <c r="S997" s="34" t="s">
        <v>297</v>
      </c>
      <c r="T997" s="34"/>
      <c r="U997" s="34"/>
      <c r="V997" s="34" t="s">
        <v>142</v>
      </c>
      <c r="W997" s="34" t="s">
        <v>28</v>
      </c>
      <c r="X997" s="38" t="s">
        <v>164</v>
      </c>
      <c r="Y997" s="62">
        <v>44075</v>
      </c>
      <c r="Z997" s="38">
        <f t="shared" si="46"/>
        <v>0</v>
      </c>
      <c r="AA997" s="38"/>
      <c r="AB997" s="34">
        <v>7</v>
      </c>
      <c r="AC997" s="34">
        <v>6</v>
      </c>
      <c r="AD997" s="38"/>
      <c r="AE997" s="59" t="str">
        <f t="shared" si="47"/>
        <v>SÍ</v>
      </c>
      <c r="AF997" s="38" t="e" cm="1">
        <f t="array" aca="1" ref="AF997" ca="1">MIN(100, MAX(0, (IF(R997="ESTUDIANTE", 31, 0)) + (IF(I997&lt;=3, 30, IF(I997&lt;=6, 20, 0))) +(IF(OR(E997="413 - Control de Costes y Enlace Construcción", E997="480 - Secretaría General del Consejo", E997="132 - Civil y estructuras", E997="136 - Mecánica", E997="412 - Planificación", E997="142 - Compras"), 25, 0)) +(IF(OR(S997="GRADO ING. MECÁNICA", S997="GRADO ING. ELÉCTRICA", S997="GRADO DERECHO", S997="GRADO ECONOMÍA", S997="GRADO ING. TECNOLOGÍAS INDUSTRIALES"), 24, 0)) + (IF(AND(K997&gt;=451, K997&lt;=700), 23, 0)) + (IF(AND(AB997&gt;=5, AB997&lt;=8), 17, 0)) +(IF(_xludf.OR(_xludf.AND(AC997&gt;=8, AC997&lt;=10), _xludf.AND(AC997&gt;=0, AC997&lt;=5)), 16, 0)) + (IF(F997="Madrid", 11, 0))))</f>
        <v>#NAME?</v>
      </c>
      <c r="AG997" s="68"/>
      <c r="AH997" s="71" t="s">
        <v>164</v>
      </c>
    </row>
    <row r="998" spans="1:34" ht="14.4" x14ac:dyDescent="0.3">
      <c r="A998" s="66" t="s">
        <v>1976</v>
      </c>
      <c r="B998" s="66" t="s">
        <v>4093</v>
      </c>
      <c r="C998" s="33">
        <v>997</v>
      </c>
      <c r="D998" s="33" t="s">
        <v>5396</v>
      </c>
      <c r="E998" s="34" t="s">
        <v>5240</v>
      </c>
      <c r="F998" s="34" t="s">
        <v>18</v>
      </c>
      <c r="G998" s="57">
        <v>43528</v>
      </c>
      <c r="H998" s="57">
        <v>43890</v>
      </c>
      <c r="I998" s="34">
        <f t="shared" si="45"/>
        <v>11</v>
      </c>
      <c r="J998" s="34">
        <v>35</v>
      </c>
      <c r="K998" s="36">
        <v>900</v>
      </c>
      <c r="L998" s="34" t="s">
        <v>29</v>
      </c>
      <c r="M998" s="57">
        <v>33973</v>
      </c>
      <c r="N998" s="37">
        <f>(YEAR(TablaMadre[[#This Row],[ALTA]])-YEAR(M998))</f>
        <v>26</v>
      </c>
      <c r="O998" s="34" t="s">
        <v>18</v>
      </c>
      <c r="P998" s="34" t="s">
        <v>19</v>
      </c>
      <c r="Q998" s="34" t="s">
        <v>406</v>
      </c>
      <c r="R998" s="34" t="s">
        <v>21</v>
      </c>
      <c r="S998" s="34" t="s">
        <v>297</v>
      </c>
      <c r="T998" s="34"/>
      <c r="U998" s="34"/>
      <c r="V998" s="34" t="s">
        <v>56</v>
      </c>
      <c r="W998" s="34" t="s">
        <v>127</v>
      </c>
      <c r="X998" s="38" t="s">
        <v>164</v>
      </c>
      <c r="Y998" s="62">
        <v>44058</v>
      </c>
      <c r="Z998" s="38">
        <f t="shared" si="46"/>
        <v>0</v>
      </c>
      <c r="AA998" s="38"/>
      <c r="AB998" s="34">
        <v>8</v>
      </c>
      <c r="AC998" s="34">
        <v>10</v>
      </c>
      <c r="AD998" s="38"/>
      <c r="AE998" s="59" t="str">
        <f t="shared" si="47"/>
        <v>NO</v>
      </c>
      <c r="AF998" s="38" t="e" cm="1">
        <f t="array" aca="1" ref="AF998" ca="1">MIN(100, MAX(0, (IF(R998="ESTUDIANTE", 31, 0)) + (IF(I998&lt;=3, 30, IF(I998&lt;=6, 20, 0))) +(IF(OR(E998="413 - Control de Costes y Enlace Construcción", E998="480 - Secretaría General del Consejo", E998="132 - Civil y estructuras", E998="136 - Mecánica", E998="412 - Planificación", E998="142 - Compras"), 25, 0)) +(IF(OR(S998="GRADO ING. MECÁNICA", S998="GRADO ING. ELÉCTRICA", S998="GRADO DERECHO", S998="GRADO ECONOMÍA", S998="GRADO ING. TECNOLOGÍAS INDUSTRIALES"), 24, 0)) + (IF(AND(K998&gt;=451, K998&lt;=700), 23, 0)) + (IF(AND(AB998&gt;=5, AB998&lt;=8), 17, 0)) +(IF(_xludf.OR(_xludf.AND(AC998&gt;=8, AC998&lt;=10), _xludf.AND(AC998&gt;=0, AC998&lt;=5)), 16, 0)) + (IF(F998="Madrid", 11, 0))))</f>
        <v>#NAME?</v>
      </c>
      <c r="AG998" s="68"/>
      <c r="AH998" s="71" t="s">
        <v>164</v>
      </c>
    </row>
    <row r="999" spans="1:34" ht="14.4" x14ac:dyDescent="0.3">
      <c r="A999" s="66" t="s">
        <v>2024</v>
      </c>
      <c r="B999" s="66" t="s">
        <v>4141</v>
      </c>
      <c r="C999" s="33">
        <v>998</v>
      </c>
      <c r="D999" s="33" t="s">
        <v>5397</v>
      </c>
      <c r="E999" s="34" t="s">
        <v>5240</v>
      </c>
      <c r="F999" s="34" t="s">
        <v>18</v>
      </c>
      <c r="G999" s="57">
        <v>43530</v>
      </c>
      <c r="H999" s="57">
        <v>43677</v>
      </c>
      <c r="I999" s="34">
        <f t="shared" si="45"/>
        <v>4</v>
      </c>
      <c r="J999" s="34">
        <v>35</v>
      </c>
      <c r="K999" s="36">
        <v>0</v>
      </c>
      <c r="L999" s="34" t="s">
        <v>29</v>
      </c>
      <c r="M999" s="57">
        <v>35434</v>
      </c>
      <c r="N999" s="37">
        <f>(YEAR(TablaMadre[[#This Row],[ALTA]])-YEAR(M999))</f>
        <v>22</v>
      </c>
      <c r="O999" s="34" t="s">
        <v>18</v>
      </c>
      <c r="P999" s="34" t="s">
        <v>19</v>
      </c>
      <c r="Q999" s="34" t="s">
        <v>322</v>
      </c>
      <c r="R999" s="34" t="s">
        <v>30</v>
      </c>
      <c r="S999" s="34" t="s">
        <v>322</v>
      </c>
      <c r="T999" s="34"/>
      <c r="U999" s="34"/>
      <c r="V999" s="34" t="s">
        <v>137</v>
      </c>
      <c r="W999" s="34" t="s">
        <v>23</v>
      </c>
      <c r="X999" s="38" t="s">
        <v>164</v>
      </c>
      <c r="Y999" s="62"/>
      <c r="Z999" s="62" t="e">
        <f t="shared" si="46"/>
        <v>#NUM!</v>
      </c>
      <c r="AA999" s="62"/>
      <c r="AB999" s="34"/>
      <c r="AC999" s="34"/>
      <c r="AD999" s="38"/>
      <c r="AE999" s="59" t="str">
        <f t="shared" si="47"/>
        <v>NO</v>
      </c>
      <c r="AF999" s="38" t="e" cm="1">
        <f t="array" aca="1" ref="AF999" ca="1">MIN(100, MAX(0, (IF(R999="ESTUDIANTE", 31, 0)) + (IF(I999&lt;=3, 30, IF(I999&lt;=6, 20, 0))) +(IF(OR(E999="413 - Control de Costes y Enlace Construcción", E999="480 - Secretaría General del Consejo", E999="132 - Civil y estructuras", E999="136 - Mecánica", E999="412 - Planificación", E999="142 - Compras"), 25, 0)) +(IF(OR(S999="GRADO ING. MECÁNICA", S999="GRADO ING. ELÉCTRICA", S999="GRADO DERECHO", S999="GRADO ECONOMÍA", S999="GRADO ING. TECNOLOGÍAS INDUSTRIALES"), 24, 0)) + (IF(AND(K999&gt;=451, K999&lt;=700), 23, 0)) + (IF(AND(AB999&gt;=5, AB999&lt;=8), 17, 0)) +(IF(_xludf.OR(_xludf.AND(AC999&gt;=8, AC999&lt;=10), _xludf.AND(AC999&gt;=0, AC999&lt;=5)), 16, 0)) + (IF(F999="Madrid", 11, 0))))</f>
        <v>#NAME?</v>
      </c>
      <c r="AG999" s="68"/>
      <c r="AH999" s="71" t="s">
        <v>164</v>
      </c>
    </row>
    <row r="1000" spans="1:34" ht="14.4" x14ac:dyDescent="0.3">
      <c r="A1000" s="66" t="s">
        <v>1973</v>
      </c>
      <c r="B1000" s="66" t="s">
        <v>4090</v>
      </c>
      <c r="C1000" s="33">
        <v>1002</v>
      </c>
      <c r="D1000" s="33" t="s">
        <v>5398</v>
      </c>
      <c r="E1000" s="34" t="s">
        <v>5229</v>
      </c>
      <c r="F1000" s="34" t="s">
        <v>18</v>
      </c>
      <c r="G1000" s="57">
        <v>43535</v>
      </c>
      <c r="H1000" s="57">
        <v>43997</v>
      </c>
      <c r="I1000" s="34">
        <f t="shared" si="45"/>
        <v>15</v>
      </c>
      <c r="J1000" s="34">
        <v>30</v>
      </c>
      <c r="K1000" s="36">
        <v>560</v>
      </c>
      <c r="L1000" s="34" t="s">
        <v>29</v>
      </c>
      <c r="M1000" s="57">
        <v>35013</v>
      </c>
      <c r="N1000" s="37">
        <f>(YEAR(TablaMadre[[#This Row],[ALTA]])-YEAR(M1000))</f>
        <v>24</v>
      </c>
      <c r="O1000" s="34" t="s">
        <v>18</v>
      </c>
      <c r="P1000" s="34" t="s">
        <v>19</v>
      </c>
      <c r="Q1000" s="34" t="s">
        <v>306</v>
      </c>
      <c r="R1000" s="58" t="s">
        <v>30</v>
      </c>
      <c r="S1000" s="34" t="s">
        <v>307</v>
      </c>
      <c r="T1000" s="34"/>
      <c r="U1000" s="34"/>
      <c r="V1000" s="34" t="s">
        <v>22</v>
      </c>
      <c r="W1000" s="34" t="s">
        <v>370</v>
      </c>
      <c r="X1000" s="38" t="s">
        <v>164</v>
      </c>
      <c r="Y1000" s="62"/>
      <c r="Z1000" s="62" t="e">
        <f t="shared" si="46"/>
        <v>#NUM!</v>
      </c>
      <c r="AA1000" s="62"/>
      <c r="AB1000" s="34"/>
      <c r="AC1000" s="34">
        <v>8</v>
      </c>
      <c r="AD1000" s="38"/>
      <c r="AE1000" s="59" t="str">
        <f t="shared" si="47"/>
        <v>NO</v>
      </c>
      <c r="AF1000" s="38" t="e" cm="1">
        <f t="array" aca="1" ref="AF1000" ca="1">MIN(100, MAX(0, (IF(R1000="ESTUDIANTE", 31, 0)) + (IF(I1000&lt;=3, 30, IF(I1000&lt;=6, 20, 0))) +(IF(OR(E1000="413 - Control de Costes y Enlace Construcción", E1000="480 - Secretaría General del Consejo", E1000="132 - Civil y estructuras", E1000="136 - Mecánica", E1000="412 - Planificación", E1000="142 - Compras"), 25, 0)) +(IF(OR(S1000="GRADO ING. MECÁNICA", S1000="GRADO ING. ELÉCTRICA", S1000="GRADO DERECHO", S1000="GRADO ECONOMÍA", S1000="GRADO ING. TECNOLOGÍAS INDUSTRIALES"), 24, 0)) + (IF(AND(K1000&gt;=451, K1000&lt;=700), 23, 0)) + (IF(AND(AB1000&gt;=5, AB1000&lt;=8), 17, 0)) +(IF(_xludf.OR(_xludf.AND(AC1000&gt;=8, AC1000&lt;=10), _xludf.AND(AC1000&gt;=0, AC1000&lt;=5)), 16, 0)) + (IF(F1000="Madrid", 11, 0))))</f>
        <v>#NAME?</v>
      </c>
      <c r="AG1000" s="68"/>
      <c r="AH1000" s="71" t="s">
        <v>164</v>
      </c>
    </row>
    <row r="1001" spans="1:34" ht="14.4" x14ac:dyDescent="0.3">
      <c r="A1001" s="66" t="s">
        <v>1974</v>
      </c>
      <c r="B1001" s="66" t="s">
        <v>4091</v>
      </c>
      <c r="C1001" s="33">
        <v>999</v>
      </c>
      <c r="D1001" s="33" t="s">
        <v>5399</v>
      </c>
      <c r="E1001" s="34" t="s">
        <v>5240</v>
      </c>
      <c r="F1001" s="34" t="s">
        <v>18</v>
      </c>
      <c r="G1001" s="57">
        <v>43535</v>
      </c>
      <c r="H1001" s="57">
        <v>43875</v>
      </c>
      <c r="I1001" s="34">
        <f t="shared" si="45"/>
        <v>11</v>
      </c>
      <c r="J1001" s="34">
        <v>35</v>
      </c>
      <c r="K1001" s="36">
        <v>825</v>
      </c>
      <c r="L1001" s="34" t="s">
        <v>17</v>
      </c>
      <c r="M1001" s="57">
        <v>34532</v>
      </c>
      <c r="N1001" s="37">
        <f>(YEAR(TablaMadre[[#This Row],[ALTA]])-YEAR(M1001))</f>
        <v>25</v>
      </c>
      <c r="O1001" s="34" t="s">
        <v>18</v>
      </c>
      <c r="P1001" s="34" t="s">
        <v>19</v>
      </c>
      <c r="Q1001" s="34" t="s">
        <v>136</v>
      </c>
      <c r="R1001" s="34" t="s">
        <v>21</v>
      </c>
      <c r="S1001" s="34" t="s">
        <v>136</v>
      </c>
      <c r="T1001" s="34"/>
      <c r="U1001" s="34"/>
      <c r="V1001" s="34" t="s">
        <v>67</v>
      </c>
      <c r="W1001" s="34" t="s">
        <v>181</v>
      </c>
      <c r="X1001" s="38" t="s">
        <v>164</v>
      </c>
      <c r="Y1001" s="62"/>
      <c r="Z1001" s="62" t="e">
        <f t="shared" si="46"/>
        <v>#NUM!</v>
      </c>
      <c r="AA1001" s="62"/>
      <c r="AB1001" s="34">
        <v>9</v>
      </c>
      <c r="AC1001" s="34"/>
      <c r="AD1001" s="38"/>
      <c r="AE1001" s="59" t="str">
        <f t="shared" si="47"/>
        <v>NO</v>
      </c>
      <c r="AF1001" s="38" t="e" cm="1">
        <f t="array" aca="1" ref="AF1001" ca="1">MIN(100, MAX(0, (IF(R1001="ESTUDIANTE", 31, 0)) + (IF(I1001&lt;=3, 30, IF(I1001&lt;=6, 20, 0))) +(IF(OR(E1001="413 - Control de Costes y Enlace Construcción", E1001="480 - Secretaría General del Consejo", E1001="132 - Civil y estructuras", E1001="136 - Mecánica", E1001="412 - Planificación", E1001="142 - Compras"), 25, 0)) +(IF(OR(S1001="GRADO ING. MECÁNICA", S1001="GRADO ING. ELÉCTRICA", S1001="GRADO DERECHO", S1001="GRADO ECONOMÍA", S1001="GRADO ING. TECNOLOGÍAS INDUSTRIALES"), 24, 0)) + (IF(AND(K1001&gt;=451, K1001&lt;=700), 23, 0)) + (IF(AND(AB1001&gt;=5, AB1001&lt;=8), 17, 0)) +(IF(_xludf.OR(_xludf.AND(AC1001&gt;=8, AC1001&lt;=10), _xludf.AND(AC1001&gt;=0, AC1001&lt;=5)), 16, 0)) + (IF(F1001="Madrid", 11, 0))))</f>
        <v>#NAME?</v>
      </c>
      <c r="AG1001" s="68"/>
      <c r="AH1001" s="71" t="s">
        <v>164</v>
      </c>
    </row>
    <row r="1002" spans="1:34" ht="14.4" x14ac:dyDescent="0.3">
      <c r="A1002" s="66" t="s">
        <v>1977</v>
      </c>
      <c r="B1002" s="66" t="s">
        <v>4094</v>
      </c>
      <c r="C1002" s="33">
        <v>1003</v>
      </c>
      <c r="D1002" s="33" t="s">
        <v>5393</v>
      </c>
      <c r="E1002" s="34" t="s">
        <v>5282</v>
      </c>
      <c r="F1002" s="34" t="s">
        <v>118</v>
      </c>
      <c r="G1002" s="57">
        <v>43535</v>
      </c>
      <c r="H1002" s="57">
        <v>44084</v>
      </c>
      <c r="I1002" s="34">
        <f t="shared" si="45"/>
        <v>17</v>
      </c>
      <c r="J1002" s="34">
        <v>35</v>
      </c>
      <c r="K1002" s="36">
        <v>650</v>
      </c>
      <c r="L1002" s="34" t="s">
        <v>17</v>
      </c>
      <c r="M1002" s="57">
        <v>34907</v>
      </c>
      <c r="N1002" s="37">
        <f>(YEAR(TablaMadre[[#This Row],[ALTA]])-YEAR(M1002))</f>
        <v>24</v>
      </c>
      <c r="O1002" s="34" t="s">
        <v>118</v>
      </c>
      <c r="P1002" s="34" t="s">
        <v>19</v>
      </c>
      <c r="Q1002" s="34" t="s">
        <v>475</v>
      </c>
      <c r="R1002" s="58" t="s">
        <v>30</v>
      </c>
      <c r="S1002" s="34" t="s">
        <v>26</v>
      </c>
      <c r="T1002" s="34"/>
      <c r="U1002" s="34"/>
      <c r="V1002" s="34" t="s">
        <v>27</v>
      </c>
      <c r="W1002" s="34" t="s">
        <v>370</v>
      </c>
      <c r="X1002" s="38" t="s">
        <v>164</v>
      </c>
      <c r="Y1002" s="62"/>
      <c r="Z1002" s="62" t="e">
        <f t="shared" si="46"/>
        <v>#NUM!</v>
      </c>
      <c r="AA1002" s="62"/>
      <c r="AB1002" s="34">
        <v>10</v>
      </c>
      <c r="AC1002" s="34">
        <v>8</v>
      </c>
      <c r="AD1002" s="38"/>
      <c r="AE1002" s="59" t="str">
        <f t="shared" si="47"/>
        <v>NO</v>
      </c>
      <c r="AF1002" s="38" t="e" cm="1">
        <f t="array" aca="1" ref="AF1002" ca="1">MIN(100, MAX(0, (IF(R1002="ESTUDIANTE", 31, 0)) + (IF(I1002&lt;=3, 30, IF(I1002&lt;=6, 20, 0))) +(IF(OR(E1002="413 - Control de Costes y Enlace Construcción", E1002="480 - Secretaría General del Consejo", E1002="132 - Civil y estructuras", E1002="136 - Mecánica", E1002="412 - Planificación", E1002="142 - Compras"), 25, 0)) +(IF(OR(S1002="GRADO ING. MECÁNICA", S1002="GRADO ING. ELÉCTRICA", S1002="GRADO DERECHO", S1002="GRADO ECONOMÍA", S1002="GRADO ING. TECNOLOGÍAS INDUSTRIALES"), 24, 0)) + (IF(AND(K1002&gt;=451, K1002&lt;=700), 23, 0)) + (IF(AND(AB1002&gt;=5, AB1002&lt;=8), 17, 0)) +(IF(_xludf.OR(_xludf.AND(AC1002&gt;=8, AC1002&lt;=10), _xludf.AND(AC1002&gt;=0, AC1002&lt;=5)), 16, 0)) + (IF(F1002="Madrid", 11, 0))))</f>
        <v>#NAME?</v>
      </c>
      <c r="AG1002" s="68"/>
      <c r="AH1002" s="71" t="s">
        <v>164</v>
      </c>
    </row>
    <row r="1003" spans="1:34" ht="14.4" x14ac:dyDescent="0.3">
      <c r="A1003" s="66" t="s">
        <v>1979</v>
      </c>
      <c r="B1003" s="66" t="s">
        <v>4096</v>
      </c>
      <c r="C1003" s="33">
        <v>1000</v>
      </c>
      <c r="D1003" s="33" t="s">
        <v>5394</v>
      </c>
      <c r="E1003" s="34" t="s">
        <v>5221</v>
      </c>
      <c r="F1003" s="34" t="s">
        <v>118</v>
      </c>
      <c r="G1003" s="57">
        <v>43535</v>
      </c>
      <c r="H1003" s="57">
        <v>43900</v>
      </c>
      <c r="I1003" s="34">
        <f t="shared" si="45"/>
        <v>11</v>
      </c>
      <c r="J1003" s="34">
        <v>35</v>
      </c>
      <c r="K1003" s="36">
        <v>900</v>
      </c>
      <c r="L1003" s="34" t="s">
        <v>29</v>
      </c>
      <c r="M1003" s="57">
        <v>35003</v>
      </c>
      <c r="N1003" s="37">
        <f>(YEAR(TablaMadre[[#This Row],[ALTA]])-YEAR(M1003))</f>
        <v>24</v>
      </c>
      <c r="O1003" s="34" t="s">
        <v>217</v>
      </c>
      <c r="P1003" s="34" t="s">
        <v>19</v>
      </c>
      <c r="Q1003" s="34" t="s">
        <v>297</v>
      </c>
      <c r="R1003" s="34" t="s">
        <v>21</v>
      </c>
      <c r="S1003" s="34" t="s">
        <v>297</v>
      </c>
      <c r="T1003" s="34"/>
      <c r="U1003" s="34"/>
      <c r="V1003" s="34" t="s">
        <v>193</v>
      </c>
      <c r="W1003" s="34" t="s">
        <v>28</v>
      </c>
      <c r="X1003" s="38" t="s">
        <v>164</v>
      </c>
      <c r="Y1003" s="62">
        <v>44044</v>
      </c>
      <c r="Z1003" s="38">
        <f t="shared" si="46"/>
        <v>0</v>
      </c>
      <c r="AA1003" s="38"/>
      <c r="AB1003" s="34">
        <v>9</v>
      </c>
      <c r="AC1003" s="34"/>
      <c r="AD1003" s="38"/>
      <c r="AE1003" s="59" t="str">
        <f t="shared" si="47"/>
        <v>SÍ</v>
      </c>
      <c r="AF1003" s="38" t="e" cm="1">
        <f t="array" aca="1" ref="AF1003" ca="1">MIN(100, MAX(0, (IF(R1003="ESTUDIANTE", 31, 0)) + (IF(I1003&lt;=3, 30, IF(I1003&lt;=6, 20, 0))) +(IF(OR(E1003="413 - Control de Costes y Enlace Construcción", E1003="480 - Secretaría General del Consejo", E1003="132 - Civil y estructuras", E1003="136 - Mecánica", E1003="412 - Planificación", E1003="142 - Compras"), 25, 0)) +(IF(OR(S1003="GRADO ING. MECÁNICA", S1003="GRADO ING. ELÉCTRICA", S1003="GRADO DERECHO", S1003="GRADO ECONOMÍA", S1003="GRADO ING. TECNOLOGÍAS INDUSTRIALES"), 24, 0)) + (IF(AND(K1003&gt;=451, K1003&lt;=700), 23, 0)) + (IF(AND(AB1003&gt;=5, AB1003&lt;=8), 17, 0)) +(IF(_xludf.OR(_xludf.AND(AC1003&gt;=8, AC1003&lt;=10), _xludf.AND(AC1003&gt;=0, AC1003&lt;=5)), 16, 0)) + (IF(F1003="Madrid", 11, 0))))</f>
        <v>#NAME?</v>
      </c>
      <c r="AG1003" s="68"/>
      <c r="AH1003" s="71" t="s">
        <v>164</v>
      </c>
    </row>
    <row r="1004" spans="1:34" ht="14.4" x14ac:dyDescent="0.3">
      <c r="A1004" s="66" t="s">
        <v>1980</v>
      </c>
      <c r="B1004" s="66" t="s">
        <v>4097</v>
      </c>
      <c r="C1004" s="33">
        <v>1001</v>
      </c>
      <c r="D1004" s="33" t="s">
        <v>5395</v>
      </c>
      <c r="E1004" s="34" t="s">
        <v>5240</v>
      </c>
      <c r="F1004" s="34" t="s">
        <v>18</v>
      </c>
      <c r="G1004" s="57">
        <v>43535</v>
      </c>
      <c r="H1004" s="57">
        <v>43900</v>
      </c>
      <c r="I1004" s="34">
        <f t="shared" si="45"/>
        <v>11</v>
      </c>
      <c r="J1004" s="34">
        <v>35</v>
      </c>
      <c r="K1004" s="36">
        <v>825</v>
      </c>
      <c r="L1004" s="34" t="s">
        <v>17</v>
      </c>
      <c r="M1004" s="57">
        <v>34317</v>
      </c>
      <c r="N1004" s="37">
        <f>(YEAR(TablaMadre[[#This Row],[ALTA]])-YEAR(M1004))</f>
        <v>26</v>
      </c>
      <c r="O1004" s="34" t="s">
        <v>18</v>
      </c>
      <c r="P1004" s="34" t="s">
        <v>19</v>
      </c>
      <c r="Q1004" s="34" t="s">
        <v>384</v>
      </c>
      <c r="R1004" s="34" t="s">
        <v>21</v>
      </c>
      <c r="S1004" s="34" t="s">
        <v>384</v>
      </c>
      <c r="T1004" s="34"/>
      <c r="U1004" s="34"/>
      <c r="V1004" s="34" t="s">
        <v>40</v>
      </c>
      <c r="W1004" s="34" t="s">
        <v>127</v>
      </c>
      <c r="X1004" s="38" t="s">
        <v>173</v>
      </c>
      <c r="Y1004" s="62"/>
      <c r="Z1004" s="38" t="e">
        <f t="shared" si="46"/>
        <v>#NUM!</v>
      </c>
      <c r="AA1004" s="38"/>
      <c r="AB1004" s="34">
        <v>9</v>
      </c>
      <c r="AC1004" s="34"/>
      <c r="AD1004" s="38"/>
      <c r="AE1004" s="59" t="str">
        <f t="shared" si="47"/>
        <v>NO</v>
      </c>
      <c r="AF1004" s="38" t="e" cm="1">
        <f t="array" aca="1" ref="AF1004" ca="1">MIN(100, MAX(0, (IF(R1004="ESTUDIANTE", 31, 0)) + (IF(I1004&lt;=3, 30, IF(I1004&lt;=6, 20, 0))) +(IF(OR(E1004="413 - Control de Costes y Enlace Construcción", E1004="480 - Secretaría General del Consejo", E1004="132 - Civil y estructuras", E1004="136 - Mecánica", E1004="412 - Planificación", E1004="142 - Compras"), 25, 0)) +(IF(OR(S1004="GRADO ING. MECÁNICA", S1004="GRADO ING. ELÉCTRICA", S1004="GRADO DERECHO", S1004="GRADO ECONOMÍA", S1004="GRADO ING. TECNOLOGÍAS INDUSTRIALES"), 24, 0)) + (IF(AND(K1004&gt;=451, K1004&lt;=700), 23, 0)) + (IF(AND(AB1004&gt;=5, AB1004&lt;=8), 17, 0)) +(IF(_xludf.OR(_xludf.AND(AC1004&gt;=8, AC1004&lt;=10), _xludf.AND(AC1004&gt;=0, AC1004&lt;=5)), 16, 0)) + (IF(F1004="Madrid", 11, 0))))</f>
        <v>#NAME?</v>
      </c>
      <c r="AG1004" s="68"/>
      <c r="AH1004" s="71" t="s">
        <v>164</v>
      </c>
    </row>
    <row r="1005" spans="1:34" ht="14.4" x14ac:dyDescent="0.3">
      <c r="A1005" s="66" t="s">
        <v>1983</v>
      </c>
      <c r="B1005" s="66" t="s">
        <v>4100</v>
      </c>
      <c r="C1005" s="33">
        <v>1004</v>
      </c>
      <c r="D1005" s="33" t="s">
        <v>5396</v>
      </c>
      <c r="E1005" s="34" t="s">
        <v>5297</v>
      </c>
      <c r="F1005" s="34" t="s">
        <v>18</v>
      </c>
      <c r="G1005" s="57">
        <v>43537</v>
      </c>
      <c r="H1005" s="57">
        <v>43902</v>
      </c>
      <c r="I1005" s="34">
        <f t="shared" si="45"/>
        <v>11</v>
      </c>
      <c r="J1005" s="34">
        <v>35</v>
      </c>
      <c r="K1005" s="36">
        <v>650</v>
      </c>
      <c r="L1005" s="34" t="s">
        <v>17</v>
      </c>
      <c r="M1005" s="57">
        <v>35372</v>
      </c>
      <c r="N1005" s="37">
        <f>(YEAR(TablaMadre[[#This Row],[ALTA]])-YEAR(M1005))</f>
        <v>23</v>
      </c>
      <c r="O1005" s="34" t="s">
        <v>18</v>
      </c>
      <c r="P1005" s="34" t="s">
        <v>19</v>
      </c>
      <c r="Q1005" s="34" t="s">
        <v>407</v>
      </c>
      <c r="R1005" s="58" t="s">
        <v>30</v>
      </c>
      <c r="S1005" s="34" t="s">
        <v>26</v>
      </c>
      <c r="T1005" s="34"/>
      <c r="U1005" s="34"/>
      <c r="V1005" s="34" t="s">
        <v>27</v>
      </c>
      <c r="W1005" s="34" t="s">
        <v>28</v>
      </c>
      <c r="X1005" s="38" t="s">
        <v>164</v>
      </c>
      <c r="Y1005" s="62">
        <v>44633</v>
      </c>
      <c r="Z1005" s="38">
        <f t="shared" si="46"/>
        <v>2</v>
      </c>
      <c r="AA1005" s="38"/>
      <c r="AB1005" s="34"/>
      <c r="AC1005" s="34"/>
      <c r="AD1005" s="38"/>
      <c r="AE1005" s="59" t="str">
        <f t="shared" si="47"/>
        <v>NO</v>
      </c>
      <c r="AF1005" s="38" t="e" cm="1">
        <f t="array" aca="1" ref="AF1005" ca="1">MIN(100, MAX(0, (IF(R1005="ESTUDIANTE", 31, 0)) + (IF(I1005&lt;=3, 30, IF(I1005&lt;=6, 20, 0))) +(IF(OR(E1005="413 - Control de Costes y Enlace Construcción", E1005="480 - Secretaría General del Consejo", E1005="132 - Civil y estructuras", E1005="136 - Mecánica", E1005="412 - Planificación", E1005="142 - Compras"), 25, 0)) +(IF(OR(S1005="GRADO ING. MECÁNICA", S1005="GRADO ING. ELÉCTRICA", S1005="GRADO DERECHO", S1005="GRADO ECONOMÍA", S1005="GRADO ING. TECNOLOGÍAS INDUSTRIALES"), 24, 0)) + (IF(AND(K1005&gt;=451, K1005&lt;=700), 23, 0)) + (IF(AND(AB1005&gt;=5, AB1005&lt;=8), 17, 0)) +(IF(_xludf.OR(_xludf.AND(AC1005&gt;=8, AC1005&lt;=10), _xludf.AND(AC1005&gt;=0, AC1005&lt;=5)), 16, 0)) + (IF(F1005="Madrid", 11, 0))))</f>
        <v>#NAME?</v>
      </c>
      <c r="AG1005" s="68"/>
      <c r="AH1005" s="71" t="s">
        <v>164</v>
      </c>
    </row>
    <row r="1006" spans="1:34" ht="14.4" x14ac:dyDescent="0.3">
      <c r="A1006" s="66" t="s">
        <v>1978</v>
      </c>
      <c r="B1006" s="66" t="s">
        <v>4095</v>
      </c>
      <c r="C1006" s="33">
        <v>1008</v>
      </c>
      <c r="D1006" s="33" t="s">
        <v>5397</v>
      </c>
      <c r="E1006" s="34" t="s">
        <v>5226</v>
      </c>
      <c r="F1006" s="34" t="s">
        <v>118</v>
      </c>
      <c r="G1006" s="57">
        <v>43542</v>
      </c>
      <c r="H1006" s="57">
        <v>44091</v>
      </c>
      <c r="I1006" s="34">
        <f t="shared" si="45"/>
        <v>17</v>
      </c>
      <c r="J1006" s="34">
        <v>35</v>
      </c>
      <c r="K1006" s="36">
        <v>825</v>
      </c>
      <c r="L1006" s="34" t="s">
        <v>17</v>
      </c>
      <c r="M1006" s="57">
        <v>32535</v>
      </c>
      <c r="N1006" s="37">
        <f>(YEAR(TablaMadre[[#This Row],[ALTA]])-YEAR(M1006))</f>
        <v>30</v>
      </c>
      <c r="O1006" s="34" t="s">
        <v>118</v>
      </c>
      <c r="P1006" s="34" t="s">
        <v>19</v>
      </c>
      <c r="Q1006" s="34" t="s">
        <v>136</v>
      </c>
      <c r="R1006" s="34" t="s">
        <v>21</v>
      </c>
      <c r="S1006" s="34" t="s">
        <v>136</v>
      </c>
      <c r="T1006" s="34"/>
      <c r="U1006" s="34"/>
      <c r="V1006" s="34" t="s">
        <v>37</v>
      </c>
      <c r="W1006" s="34" t="s">
        <v>370</v>
      </c>
      <c r="X1006" s="38" t="s">
        <v>164</v>
      </c>
      <c r="Y1006" s="62"/>
      <c r="Z1006" s="62" t="e">
        <f t="shared" si="46"/>
        <v>#NUM!</v>
      </c>
      <c r="AA1006" s="62"/>
      <c r="AB1006" s="34">
        <v>10</v>
      </c>
      <c r="AC1006" s="34">
        <v>8</v>
      </c>
      <c r="AD1006" s="38"/>
      <c r="AE1006" s="59" t="str">
        <f t="shared" si="47"/>
        <v>NO</v>
      </c>
      <c r="AF1006" s="38" t="e" cm="1">
        <f t="array" aca="1" ref="AF1006" ca="1">MIN(100, MAX(0, (IF(R1006="ESTUDIANTE", 31, 0)) + (IF(I1006&lt;=3, 30, IF(I1006&lt;=6, 20, 0))) +(IF(OR(E1006="413 - Control de Costes y Enlace Construcción", E1006="480 - Secretaría General del Consejo", E1006="132 - Civil y estructuras", E1006="136 - Mecánica", E1006="412 - Planificación", E1006="142 - Compras"), 25, 0)) +(IF(OR(S1006="GRADO ING. MECÁNICA", S1006="GRADO ING. ELÉCTRICA", S1006="GRADO DERECHO", S1006="GRADO ECONOMÍA", S1006="GRADO ING. TECNOLOGÍAS INDUSTRIALES"), 24, 0)) + (IF(AND(K1006&gt;=451, K1006&lt;=700), 23, 0)) + (IF(AND(AB1006&gt;=5, AB1006&lt;=8), 17, 0)) +(IF(_xludf.OR(_xludf.AND(AC1006&gt;=8, AC1006&lt;=10), _xludf.AND(AC1006&gt;=0, AC1006&lt;=5)), 16, 0)) + (IF(F1006="Madrid", 11, 0))))</f>
        <v>#NAME?</v>
      </c>
      <c r="AG1006" s="68"/>
      <c r="AH1006" s="71" t="s">
        <v>164</v>
      </c>
    </row>
    <row r="1007" spans="1:34" ht="14.4" x14ac:dyDescent="0.3">
      <c r="A1007" s="66" t="s">
        <v>1981</v>
      </c>
      <c r="B1007" s="66" t="s">
        <v>4098</v>
      </c>
      <c r="C1007" s="33">
        <v>1006</v>
      </c>
      <c r="D1007" s="33" t="s">
        <v>5398</v>
      </c>
      <c r="E1007" s="34" t="s">
        <v>5252</v>
      </c>
      <c r="F1007" s="34" t="s">
        <v>18</v>
      </c>
      <c r="G1007" s="57">
        <v>43542</v>
      </c>
      <c r="H1007" s="57">
        <v>43622</v>
      </c>
      <c r="I1007" s="34">
        <f t="shared" si="45"/>
        <v>2</v>
      </c>
      <c r="J1007" s="34">
        <v>40</v>
      </c>
      <c r="K1007" s="36">
        <v>450</v>
      </c>
      <c r="L1007" s="34" t="s">
        <v>17</v>
      </c>
      <c r="M1007" s="57">
        <v>36144</v>
      </c>
      <c r="N1007" s="37">
        <f>(YEAR(TablaMadre[[#This Row],[ALTA]])-YEAR(M1007))</f>
        <v>21</v>
      </c>
      <c r="O1007" s="34" t="s">
        <v>65</v>
      </c>
      <c r="P1007" s="34" t="s">
        <v>19</v>
      </c>
      <c r="Q1007" s="34" t="s">
        <v>359</v>
      </c>
      <c r="R1007" s="58" t="s">
        <v>30</v>
      </c>
      <c r="S1007" s="34" t="s">
        <v>26</v>
      </c>
      <c r="T1007" s="34"/>
      <c r="U1007" s="34"/>
      <c r="V1007" s="34" t="s">
        <v>27</v>
      </c>
      <c r="W1007" s="34" t="s">
        <v>23</v>
      </c>
      <c r="X1007" s="38" t="s">
        <v>164</v>
      </c>
      <c r="Y1007" s="62"/>
      <c r="Z1007" s="62" t="e">
        <f t="shared" si="46"/>
        <v>#NUM!</v>
      </c>
      <c r="AA1007" s="62"/>
      <c r="AB1007" s="34"/>
      <c r="AC1007" s="34"/>
      <c r="AD1007" s="38"/>
      <c r="AE1007" s="59" t="str">
        <f t="shared" si="47"/>
        <v>SÍ</v>
      </c>
      <c r="AF1007" s="38" t="e" cm="1">
        <f t="array" aca="1" ref="AF1007" ca="1">MIN(100, MAX(0, (IF(R1007="ESTUDIANTE", 31, 0)) + (IF(I1007&lt;=3, 30, IF(I1007&lt;=6, 20, 0))) +(IF(OR(E1007="413 - Control de Costes y Enlace Construcción", E1007="480 - Secretaría General del Consejo", E1007="132 - Civil y estructuras", E1007="136 - Mecánica", E1007="412 - Planificación", E1007="142 - Compras"), 25, 0)) +(IF(OR(S1007="GRADO ING. MECÁNICA", S1007="GRADO ING. ELÉCTRICA", S1007="GRADO DERECHO", S1007="GRADO ECONOMÍA", S1007="GRADO ING. TECNOLOGÍAS INDUSTRIALES"), 24, 0)) + (IF(AND(K1007&gt;=451, K1007&lt;=700), 23, 0)) + (IF(AND(AB1007&gt;=5, AB1007&lt;=8), 17, 0)) +(IF(_xludf.OR(_xludf.AND(AC1007&gt;=8, AC1007&lt;=10), _xludf.AND(AC1007&gt;=0, AC1007&lt;=5)), 16, 0)) + (IF(F1007="Madrid", 11, 0))))</f>
        <v>#NAME?</v>
      </c>
      <c r="AG1007" s="68"/>
      <c r="AH1007" s="71" t="s">
        <v>164</v>
      </c>
    </row>
    <row r="1008" spans="1:34" ht="14.4" x14ac:dyDescent="0.3">
      <c r="A1008" s="66" t="s">
        <v>1982</v>
      </c>
      <c r="B1008" s="66" t="s">
        <v>4099</v>
      </c>
      <c r="C1008" s="33">
        <v>1005</v>
      </c>
      <c r="D1008" s="33" t="s">
        <v>5399</v>
      </c>
      <c r="E1008" s="34" t="s">
        <v>5256</v>
      </c>
      <c r="F1008" s="34" t="s">
        <v>931</v>
      </c>
      <c r="G1008" s="57">
        <v>43542</v>
      </c>
      <c r="H1008" s="57">
        <v>43602</v>
      </c>
      <c r="I1008" s="34">
        <f t="shared" si="45"/>
        <v>1</v>
      </c>
      <c r="J1008" s="34">
        <v>35</v>
      </c>
      <c r="K1008" s="36">
        <v>0</v>
      </c>
      <c r="L1008" s="34" t="s">
        <v>17</v>
      </c>
      <c r="M1008" s="57">
        <v>35411</v>
      </c>
      <c r="N1008" s="37">
        <f>(YEAR(TablaMadre[[#This Row],[ALTA]])-YEAR(M1008))</f>
        <v>23</v>
      </c>
      <c r="O1008" s="34"/>
      <c r="P1008" s="34" t="s">
        <v>19</v>
      </c>
      <c r="Q1008" s="34" t="s">
        <v>429</v>
      </c>
      <c r="R1008" s="34" t="s">
        <v>30</v>
      </c>
      <c r="S1008" s="34" t="s">
        <v>429</v>
      </c>
      <c r="T1008" s="34"/>
      <c r="U1008" s="34"/>
      <c r="V1008" s="34" t="s">
        <v>40</v>
      </c>
      <c r="W1008" s="34" t="s">
        <v>23</v>
      </c>
      <c r="X1008" s="38" t="s">
        <v>164</v>
      </c>
      <c r="Y1008" s="62"/>
      <c r="Z1008" s="62" t="e">
        <f t="shared" si="46"/>
        <v>#NUM!</v>
      </c>
      <c r="AA1008" s="62"/>
      <c r="AB1008" s="34"/>
      <c r="AC1008" s="34"/>
      <c r="AD1008" s="38"/>
      <c r="AE1008" s="59" t="str">
        <f t="shared" si="47"/>
        <v>SÍ</v>
      </c>
      <c r="AF1008" s="38" t="e" cm="1">
        <f t="array" aca="1" ref="AF1008" ca="1">MIN(100, MAX(0, (IF(R1008="ESTUDIANTE", 31, 0)) + (IF(I1008&lt;=3, 30, IF(I1008&lt;=6, 20, 0))) +(IF(OR(E1008="413 - Control de Costes y Enlace Construcción", E1008="480 - Secretaría General del Consejo", E1008="132 - Civil y estructuras", E1008="136 - Mecánica", E1008="412 - Planificación", E1008="142 - Compras"), 25, 0)) +(IF(OR(S1008="GRADO ING. MECÁNICA", S1008="GRADO ING. ELÉCTRICA", S1008="GRADO DERECHO", S1008="GRADO ECONOMÍA", S1008="GRADO ING. TECNOLOGÍAS INDUSTRIALES"), 24, 0)) + (IF(AND(K1008&gt;=451, K1008&lt;=700), 23, 0)) + (IF(AND(AB1008&gt;=5, AB1008&lt;=8), 17, 0)) +(IF(_xludf.OR(_xludf.AND(AC1008&gt;=8, AC1008&lt;=10), _xludf.AND(AC1008&gt;=0, AC1008&lt;=5)), 16, 0)) + (IF(F1008="Madrid", 11, 0))))</f>
        <v>#NAME?</v>
      </c>
      <c r="AG1008" s="68"/>
      <c r="AH1008" s="71" t="s">
        <v>164</v>
      </c>
    </row>
    <row r="1009" spans="1:34" ht="14.4" x14ac:dyDescent="0.3">
      <c r="A1009" s="66" t="s">
        <v>1986</v>
      </c>
      <c r="B1009" s="66" t="s">
        <v>4103</v>
      </c>
      <c r="C1009" s="33">
        <v>1007</v>
      </c>
      <c r="D1009" s="33" t="s">
        <v>5400</v>
      </c>
      <c r="E1009" s="34" t="s">
        <v>5240</v>
      </c>
      <c r="F1009" s="34" t="s">
        <v>18</v>
      </c>
      <c r="G1009" s="57">
        <v>43542</v>
      </c>
      <c r="H1009" s="57">
        <v>43908</v>
      </c>
      <c r="I1009" s="34">
        <f t="shared" si="45"/>
        <v>12</v>
      </c>
      <c r="J1009" s="34">
        <v>35</v>
      </c>
      <c r="K1009" s="36">
        <v>825</v>
      </c>
      <c r="L1009" s="34" t="s">
        <v>17</v>
      </c>
      <c r="M1009" s="57">
        <v>34050</v>
      </c>
      <c r="N1009" s="37">
        <f>(YEAR(TablaMadre[[#This Row],[ALTA]])-YEAR(M1009))</f>
        <v>26</v>
      </c>
      <c r="O1009" s="34" t="s">
        <v>18</v>
      </c>
      <c r="P1009" s="34" t="s">
        <v>19</v>
      </c>
      <c r="Q1009" s="34" t="s">
        <v>384</v>
      </c>
      <c r="R1009" s="34" t="s">
        <v>21</v>
      </c>
      <c r="S1009" s="34" t="s">
        <v>384</v>
      </c>
      <c r="T1009" s="34"/>
      <c r="U1009" s="34"/>
      <c r="V1009" s="34" t="s">
        <v>40</v>
      </c>
      <c r="W1009" s="34" t="s">
        <v>28</v>
      </c>
      <c r="X1009" s="38" t="s">
        <v>164</v>
      </c>
      <c r="Y1009" s="62">
        <v>44274</v>
      </c>
      <c r="Z1009" s="38">
        <f t="shared" si="46"/>
        <v>1</v>
      </c>
      <c r="AA1009" s="38"/>
      <c r="AB1009" s="34">
        <v>7</v>
      </c>
      <c r="AC1009" s="34">
        <v>10</v>
      </c>
      <c r="AD1009" s="38"/>
      <c r="AE1009" s="59" t="str">
        <f t="shared" si="47"/>
        <v>NO</v>
      </c>
      <c r="AF1009" s="38" t="e" cm="1">
        <f t="array" aca="1" ref="AF1009" ca="1">MIN(100, MAX(0, (IF(R1009="ESTUDIANTE", 31, 0)) + (IF(I1009&lt;=3, 30, IF(I1009&lt;=6, 20, 0))) +(IF(OR(E1009="413 - Control de Costes y Enlace Construcción", E1009="480 - Secretaría General del Consejo", E1009="132 - Civil y estructuras", E1009="136 - Mecánica", E1009="412 - Planificación", E1009="142 - Compras"), 25, 0)) +(IF(OR(S1009="GRADO ING. MECÁNICA", S1009="GRADO ING. ELÉCTRICA", S1009="GRADO DERECHO", S1009="GRADO ECONOMÍA", S1009="GRADO ING. TECNOLOGÍAS INDUSTRIALES"), 24, 0)) + (IF(AND(K1009&gt;=451, K1009&lt;=700), 23, 0)) + (IF(AND(AB1009&gt;=5, AB1009&lt;=8), 17, 0)) +(IF(_xludf.OR(_xludf.AND(AC1009&gt;=8, AC1009&lt;=10), _xludf.AND(AC1009&gt;=0, AC1009&lt;=5)), 16, 0)) + (IF(F1009="Madrid", 11, 0))))</f>
        <v>#NAME?</v>
      </c>
      <c r="AG1009" s="68"/>
      <c r="AH1009" s="71" t="s">
        <v>164</v>
      </c>
    </row>
    <row r="1010" spans="1:34" ht="14.4" x14ac:dyDescent="0.3">
      <c r="A1010" s="66" t="s">
        <v>1988</v>
      </c>
      <c r="B1010" s="66" t="s">
        <v>4105</v>
      </c>
      <c r="C1010" s="33">
        <v>1009</v>
      </c>
      <c r="D1010" s="33" t="s">
        <v>5401</v>
      </c>
      <c r="E1010" s="34" t="s">
        <v>5218</v>
      </c>
      <c r="F1010" s="34" t="s">
        <v>931</v>
      </c>
      <c r="G1010" s="57">
        <v>43543</v>
      </c>
      <c r="H1010" s="57">
        <v>43721</v>
      </c>
      <c r="I1010" s="34">
        <f t="shared" si="45"/>
        <v>5</v>
      </c>
      <c r="J1010" s="34">
        <v>40</v>
      </c>
      <c r="K1010" s="36">
        <v>0</v>
      </c>
      <c r="L1010" s="34" t="s">
        <v>29</v>
      </c>
      <c r="M1010" s="57">
        <v>34113</v>
      </c>
      <c r="N1010" s="37">
        <f>(YEAR(TablaMadre[[#This Row],[ALTA]])-YEAR(M1010))</f>
        <v>26</v>
      </c>
      <c r="O1010" s="34" t="s">
        <v>95</v>
      </c>
      <c r="P1010" s="34" t="s">
        <v>420</v>
      </c>
      <c r="Q1010" s="34" t="s">
        <v>151</v>
      </c>
      <c r="R1010" s="34" t="s">
        <v>30</v>
      </c>
      <c r="S1010" s="34" t="s">
        <v>151</v>
      </c>
      <c r="T1010" s="34"/>
      <c r="U1010" s="34"/>
      <c r="V1010" s="34" t="s">
        <v>90</v>
      </c>
      <c r="W1010" s="34" t="s">
        <v>97</v>
      </c>
      <c r="X1010" s="38" t="s">
        <v>164</v>
      </c>
      <c r="Y1010" s="62"/>
      <c r="Z1010" s="62" t="e">
        <f t="shared" si="46"/>
        <v>#NUM!</v>
      </c>
      <c r="AA1010" s="62"/>
      <c r="AB1010" s="34"/>
      <c r="AC1010" s="34"/>
      <c r="AD1010" s="38"/>
      <c r="AE1010" s="59" t="str">
        <f t="shared" si="47"/>
        <v>SÍ</v>
      </c>
      <c r="AF1010" s="38" t="e" cm="1">
        <f t="array" aca="1" ref="AF1010" ca="1">MIN(100, MAX(0, (IF(R1010="ESTUDIANTE", 31, 0)) + (IF(I1010&lt;=3, 30, IF(I1010&lt;=6, 20, 0))) +(IF(OR(E1010="413 - Control de Costes y Enlace Construcción", E1010="480 - Secretaría General del Consejo", E1010="132 - Civil y estructuras", E1010="136 - Mecánica", E1010="412 - Planificación", E1010="142 - Compras"), 25, 0)) +(IF(OR(S1010="GRADO ING. MECÁNICA", S1010="GRADO ING. ELÉCTRICA", S1010="GRADO DERECHO", S1010="GRADO ECONOMÍA", S1010="GRADO ING. TECNOLOGÍAS INDUSTRIALES"), 24, 0)) + (IF(AND(K1010&gt;=451, K1010&lt;=700), 23, 0)) + (IF(AND(AB1010&gt;=5, AB1010&lt;=8), 17, 0)) +(IF(_xludf.OR(_xludf.AND(AC1010&gt;=8, AC1010&lt;=10), _xludf.AND(AC1010&gt;=0, AC1010&lt;=5)), 16, 0)) + (IF(F1010="Madrid", 11, 0))))</f>
        <v>#NAME?</v>
      </c>
      <c r="AG1010" s="68"/>
      <c r="AH1010" s="71" t="s">
        <v>164</v>
      </c>
    </row>
    <row r="1011" spans="1:34" ht="14.4" x14ac:dyDescent="0.3">
      <c r="A1011" s="66" t="s">
        <v>1989</v>
      </c>
      <c r="B1011" s="66" t="s">
        <v>4106</v>
      </c>
      <c r="C1011" s="33">
        <v>1010</v>
      </c>
      <c r="D1011" s="33" t="s">
        <v>5402</v>
      </c>
      <c r="E1011" s="34" t="s">
        <v>5216</v>
      </c>
      <c r="F1011" s="34" t="s">
        <v>931</v>
      </c>
      <c r="G1011" s="57">
        <v>43543</v>
      </c>
      <c r="H1011" s="57">
        <v>43721</v>
      </c>
      <c r="I1011" s="34">
        <f t="shared" si="45"/>
        <v>5</v>
      </c>
      <c r="J1011" s="34">
        <v>40</v>
      </c>
      <c r="K1011" s="36">
        <v>0</v>
      </c>
      <c r="L1011" s="34" t="s">
        <v>17</v>
      </c>
      <c r="M1011" s="57">
        <v>32826</v>
      </c>
      <c r="N1011" s="37">
        <f>(YEAR(TablaMadre[[#This Row],[ALTA]])-YEAR(M1011))</f>
        <v>30</v>
      </c>
      <c r="O1011" s="34" t="s">
        <v>95</v>
      </c>
      <c r="P1011" s="34" t="s">
        <v>420</v>
      </c>
      <c r="Q1011" s="34" t="s">
        <v>433</v>
      </c>
      <c r="R1011" s="34" t="s">
        <v>30</v>
      </c>
      <c r="S1011" s="34" t="s">
        <v>297</v>
      </c>
      <c r="T1011" s="34"/>
      <c r="U1011" s="34"/>
      <c r="V1011" s="34" t="s">
        <v>90</v>
      </c>
      <c r="W1011" s="34" t="s">
        <v>97</v>
      </c>
      <c r="X1011" s="38" t="s">
        <v>164</v>
      </c>
      <c r="Y1011" s="62"/>
      <c r="Z1011" s="62" t="e">
        <f t="shared" si="46"/>
        <v>#NUM!</v>
      </c>
      <c r="AA1011" s="62"/>
      <c r="AB1011" s="34"/>
      <c r="AC1011" s="34"/>
      <c r="AD1011" s="38"/>
      <c r="AE1011" s="59" t="str">
        <f t="shared" si="47"/>
        <v>SÍ</v>
      </c>
      <c r="AF1011" s="38" t="e" cm="1">
        <f t="array" aca="1" ref="AF1011" ca="1">MIN(100, MAX(0, (IF(R1011="ESTUDIANTE", 31, 0)) + (IF(I1011&lt;=3, 30, IF(I1011&lt;=6, 20, 0))) +(IF(OR(E1011="413 - Control de Costes y Enlace Construcción", E1011="480 - Secretaría General del Consejo", E1011="132 - Civil y estructuras", E1011="136 - Mecánica", E1011="412 - Planificación", E1011="142 - Compras"), 25, 0)) +(IF(OR(S1011="GRADO ING. MECÁNICA", S1011="GRADO ING. ELÉCTRICA", S1011="GRADO DERECHO", S1011="GRADO ECONOMÍA", S1011="GRADO ING. TECNOLOGÍAS INDUSTRIALES"), 24, 0)) + (IF(AND(K1011&gt;=451, K1011&lt;=700), 23, 0)) + (IF(AND(AB1011&gt;=5, AB1011&lt;=8), 17, 0)) +(IF(_xludf.OR(_xludf.AND(AC1011&gt;=8, AC1011&lt;=10), _xludf.AND(AC1011&gt;=0, AC1011&lt;=5)), 16, 0)) + (IF(F1011="Madrid", 11, 0))))</f>
        <v>#NAME?</v>
      </c>
      <c r="AG1011" s="68"/>
      <c r="AH1011" s="71" t="s">
        <v>164</v>
      </c>
    </row>
    <row r="1012" spans="1:34" ht="14.4" x14ac:dyDescent="0.3">
      <c r="A1012" s="66" t="s">
        <v>1990</v>
      </c>
      <c r="B1012" s="66" t="s">
        <v>4107</v>
      </c>
      <c r="C1012" s="33">
        <v>1011</v>
      </c>
      <c r="D1012" s="33" t="s">
        <v>5393</v>
      </c>
      <c r="E1012" s="34" t="s">
        <v>5218</v>
      </c>
      <c r="F1012" s="34" t="s">
        <v>931</v>
      </c>
      <c r="G1012" s="57">
        <v>43543</v>
      </c>
      <c r="H1012" s="57">
        <v>43721</v>
      </c>
      <c r="I1012" s="34">
        <f t="shared" si="45"/>
        <v>5</v>
      </c>
      <c r="J1012" s="34">
        <v>40</v>
      </c>
      <c r="K1012" s="36">
        <v>0</v>
      </c>
      <c r="L1012" s="34" t="s">
        <v>29</v>
      </c>
      <c r="M1012" s="57">
        <v>34132</v>
      </c>
      <c r="N1012" s="37">
        <f>(YEAR(TablaMadre[[#This Row],[ALTA]])-YEAR(M1012))</f>
        <v>26</v>
      </c>
      <c r="O1012" s="34" t="s">
        <v>95</v>
      </c>
      <c r="P1012" s="34" t="s">
        <v>420</v>
      </c>
      <c r="Q1012" s="34" t="s">
        <v>151</v>
      </c>
      <c r="R1012" s="34" t="s">
        <v>30</v>
      </c>
      <c r="S1012" s="34" t="s">
        <v>151</v>
      </c>
      <c r="T1012" s="34"/>
      <c r="U1012" s="34"/>
      <c r="V1012" s="34" t="s">
        <v>90</v>
      </c>
      <c r="W1012" s="34" t="s">
        <v>97</v>
      </c>
      <c r="X1012" s="38" t="s">
        <v>164</v>
      </c>
      <c r="Y1012" s="62"/>
      <c r="Z1012" s="62" t="e">
        <f t="shared" si="46"/>
        <v>#NUM!</v>
      </c>
      <c r="AA1012" s="62"/>
      <c r="AB1012" s="34"/>
      <c r="AC1012" s="34"/>
      <c r="AD1012" s="38"/>
      <c r="AE1012" s="59" t="str">
        <f t="shared" si="47"/>
        <v>SÍ</v>
      </c>
      <c r="AF1012" s="38" t="e" cm="1">
        <f t="array" aca="1" ref="AF1012" ca="1">MIN(100, MAX(0, (IF(R1012="ESTUDIANTE", 31, 0)) + (IF(I1012&lt;=3, 30, IF(I1012&lt;=6, 20, 0))) +(IF(OR(E1012="413 - Control de Costes y Enlace Construcción", E1012="480 - Secretaría General del Consejo", E1012="132 - Civil y estructuras", E1012="136 - Mecánica", E1012="412 - Planificación", E1012="142 - Compras"), 25, 0)) +(IF(OR(S1012="GRADO ING. MECÁNICA", S1012="GRADO ING. ELÉCTRICA", S1012="GRADO DERECHO", S1012="GRADO ECONOMÍA", S1012="GRADO ING. TECNOLOGÍAS INDUSTRIALES"), 24, 0)) + (IF(AND(K1012&gt;=451, K1012&lt;=700), 23, 0)) + (IF(AND(AB1012&gt;=5, AB1012&lt;=8), 17, 0)) +(IF(_xludf.OR(_xludf.AND(AC1012&gt;=8, AC1012&lt;=10), _xludf.AND(AC1012&gt;=0, AC1012&lt;=5)), 16, 0)) + (IF(F1012="Madrid", 11, 0))))</f>
        <v>#NAME?</v>
      </c>
      <c r="AG1012" s="68"/>
      <c r="AH1012" s="71" t="s">
        <v>164</v>
      </c>
    </row>
    <row r="1013" spans="1:34" ht="14.4" x14ac:dyDescent="0.3">
      <c r="A1013" s="66" t="s">
        <v>1991</v>
      </c>
      <c r="B1013" s="66" t="s">
        <v>4108</v>
      </c>
      <c r="C1013" s="33">
        <v>1012</v>
      </c>
      <c r="D1013" s="33" t="s">
        <v>5394</v>
      </c>
      <c r="E1013" s="34" t="s">
        <v>5231</v>
      </c>
      <c r="F1013" s="34" t="s">
        <v>931</v>
      </c>
      <c r="G1013" s="57">
        <v>43543</v>
      </c>
      <c r="H1013" s="57">
        <v>43721</v>
      </c>
      <c r="I1013" s="34">
        <f t="shared" si="45"/>
        <v>5</v>
      </c>
      <c r="J1013" s="34">
        <v>40</v>
      </c>
      <c r="K1013" s="36">
        <v>0</v>
      </c>
      <c r="L1013" s="34" t="s">
        <v>17</v>
      </c>
      <c r="M1013" s="57">
        <v>33235</v>
      </c>
      <c r="N1013" s="37">
        <f>(YEAR(TablaMadre[[#This Row],[ALTA]])-YEAR(M1013))</f>
        <v>29</v>
      </c>
      <c r="O1013" s="34" t="s">
        <v>95</v>
      </c>
      <c r="P1013" s="34" t="s">
        <v>420</v>
      </c>
      <c r="Q1013" s="34" t="s">
        <v>136</v>
      </c>
      <c r="R1013" s="34" t="s">
        <v>30</v>
      </c>
      <c r="S1013" s="34" t="s">
        <v>136</v>
      </c>
      <c r="T1013" s="34"/>
      <c r="U1013" s="34"/>
      <c r="V1013" s="34" t="s">
        <v>90</v>
      </c>
      <c r="W1013" s="34" t="s">
        <v>97</v>
      </c>
      <c r="X1013" s="38" t="s">
        <v>164</v>
      </c>
      <c r="Y1013" s="62"/>
      <c r="Z1013" s="62" t="e">
        <f t="shared" si="46"/>
        <v>#NUM!</v>
      </c>
      <c r="AA1013" s="62"/>
      <c r="AB1013" s="34"/>
      <c r="AC1013" s="34"/>
      <c r="AD1013" s="38"/>
      <c r="AE1013" s="59" t="str">
        <f t="shared" si="47"/>
        <v>SÍ</v>
      </c>
      <c r="AF1013" s="38" t="e" cm="1">
        <f t="array" aca="1" ref="AF1013" ca="1">MIN(100, MAX(0, (IF(R1013="ESTUDIANTE", 31, 0)) + (IF(I1013&lt;=3, 30, IF(I1013&lt;=6, 20, 0))) +(IF(OR(E1013="413 - Control de Costes y Enlace Construcción", E1013="480 - Secretaría General del Consejo", E1013="132 - Civil y estructuras", E1013="136 - Mecánica", E1013="412 - Planificación", E1013="142 - Compras"), 25, 0)) +(IF(OR(S1013="GRADO ING. MECÁNICA", S1013="GRADO ING. ELÉCTRICA", S1013="GRADO DERECHO", S1013="GRADO ECONOMÍA", S1013="GRADO ING. TECNOLOGÍAS INDUSTRIALES"), 24, 0)) + (IF(AND(K1013&gt;=451, K1013&lt;=700), 23, 0)) + (IF(AND(AB1013&gt;=5, AB1013&lt;=8), 17, 0)) +(IF(_xludf.OR(_xludf.AND(AC1013&gt;=8, AC1013&lt;=10), _xludf.AND(AC1013&gt;=0, AC1013&lt;=5)), 16, 0)) + (IF(F1013="Madrid", 11, 0))))</f>
        <v>#NAME?</v>
      </c>
      <c r="AG1013" s="68"/>
      <c r="AH1013" s="71" t="s">
        <v>164</v>
      </c>
    </row>
    <row r="1014" spans="1:34" ht="14.4" x14ac:dyDescent="0.3">
      <c r="A1014" s="66" t="s">
        <v>1992</v>
      </c>
      <c r="B1014" s="66" t="s">
        <v>4109</v>
      </c>
      <c r="C1014" s="33">
        <v>1013</v>
      </c>
      <c r="D1014" s="33" t="s">
        <v>5395</v>
      </c>
      <c r="E1014" s="34" t="s">
        <v>5233</v>
      </c>
      <c r="F1014" s="34" t="s">
        <v>931</v>
      </c>
      <c r="G1014" s="57">
        <v>43543</v>
      </c>
      <c r="H1014" s="57">
        <v>43721</v>
      </c>
      <c r="I1014" s="34">
        <f t="shared" si="45"/>
        <v>5</v>
      </c>
      <c r="J1014" s="34">
        <v>40</v>
      </c>
      <c r="K1014" s="36">
        <v>0</v>
      </c>
      <c r="L1014" s="34" t="s">
        <v>29</v>
      </c>
      <c r="M1014" s="57">
        <v>34760</v>
      </c>
      <c r="N1014" s="37">
        <f>(YEAR(TablaMadre[[#This Row],[ALTA]])-YEAR(M1014))</f>
        <v>24</v>
      </c>
      <c r="O1014" s="34" t="s">
        <v>95</v>
      </c>
      <c r="P1014" s="34" t="s">
        <v>420</v>
      </c>
      <c r="Q1014" s="34" t="s">
        <v>444</v>
      </c>
      <c r="R1014" s="34" t="s">
        <v>30</v>
      </c>
      <c r="S1014" s="34" t="s">
        <v>444</v>
      </c>
      <c r="T1014" s="34"/>
      <c r="U1014" s="34"/>
      <c r="V1014" s="34" t="s">
        <v>90</v>
      </c>
      <c r="W1014" s="34" t="s">
        <v>97</v>
      </c>
      <c r="X1014" s="38" t="s">
        <v>164</v>
      </c>
      <c r="Y1014" s="62"/>
      <c r="Z1014" s="62" t="e">
        <f t="shared" si="46"/>
        <v>#NUM!</v>
      </c>
      <c r="AA1014" s="62"/>
      <c r="AB1014" s="34"/>
      <c r="AC1014" s="34"/>
      <c r="AD1014" s="38"/>
      <c r="AE1014" s="59" t="str">
        <f t="shared" si="47"/>
        <v>SÍ</v>
      </c>
      <c r="AF1014" s="38" t="e" cm="1">
        <f t="array" aca="1" ref="AF1014" ca="1">MIN(100, MAX(0, (IF(R1014="ESTUDIANTE", 31, 0)) + (IF(I1014&lt;=3, 30, IF(I1014&lt;=6, 20, 0))) +(IF(OR(E1014="413 - Control de Costes y Enlace Construcción", E1014="480 - Secretaría General del Consejo", E1014="132 - Civil y estructuras", E1014="136 - Mecánica", E1014="412 - Planificación", E1014="142 - Compras"), 25, 0)) +(IF(OR(S1014="GRADO ING. MECÁNICA", S1014="GRADO ING. ELÉCTRICA", S1014="GRADO DERECHO", S1014="GRADO ECONOMÍA", S1014="GRADO ING. TECNOLOGÍAS INDUSTRIALES"), 24, 0)) + (IF(AND(K1014&gt;=451, K1014&lt;=700), 23, 0)) + (IF(AND(AB1014&gt;=5, AB1014&lt;=8), 17, 0)) +(IF(_xludf.OR(_xludf.AND(AC1014&gt;=8, AC1014&lt;=10), _xludf.AND(AC1014&gt;=0, AC1014&lt;=5)), 16, 0)) + (IF(F1014="Madrid", 11, 0))))</f>
        <v>#NAME?</v>
      </c>
      <c r="AG1014" s="68"/>
      <c r="AH1014" s="71" t="s">
        <v>164</v>
      </c>
    </row>
    <row r="1015" spans="1:34" ht="14.4" x14ac:dyDescent="0.3">
      <c r="A1015" s="66" t="s">
        <v>1993</v>
      </c>
      <c r="B1015" s="66" t="s">
        <v>4110</v>
      </c>
      <c r="C1015" s="33">
        <v>1014</v>
      </c>
      <c r="D1015" s="33" t="s">
        <v>5396</v>
      </c>
      <c r="E1015" s="34" t="s">
        <v>5216</v>
      </c>
      <c r="F1015" s="34" t="s">
        <v>931</v>
      </c>
      <c r="G1015" s="57">
        <v>43543</v>
      </c>
      <c r="H1015" s="57">
        <v>43721</v>
      </c>
      <c r="I1015" s="34">
        <f t="shared" si="45"/>
        <v>5</v>
      </c>
      <c r="J1015" s="34">
        <v>40</v>
      </c>
      <c r="K1015" s="36">
        <v>0</v>
      </c>
      <c r="L1015" s="34" t="s">
        <v>29</v>
      </c>
      <c r="M1015" s="57">
        <v>34277</v>
      </c>
      <c r="N1015" s="37">
        <f>(YEAR(TablaMadre[[#This Row],[ALTA]])-YEAR(M1015))</f>
        <v>26</v>
      </c>
      <c r="O1015" s="34" t="s">
        <v>95</v>
      </c>
      <c r="P1015" s="34" t="s">
        <v>420</v>
      </c>
      <c r="Q1015" s="34" t="s">
        <v>297</v>
      </c>
      <c r="R1015" s="34" t="s">
        <v>30</v>
      </c>
      <c r="S1015" s="34" t="s">
        <v>297</v>
      </c>
      <c r="T1015" s="34"/>
      <c r="U1015" s="34"/>
      <c r="V1015" s="34" t="s">
        <v>90</v>
      </c>
      <c r="W1015" s="34" t="s">
        <v>97</v>
      </c>
      <c r="X1015" s="38" t="s">
        <v>164</v>
      </c>
      <c r="Y1015" s="62"/>
      <c r="Z1015" s="62" t="e">
        <f t="shared" si="46"/>
        <v>#NUM!</v>
      </c>
      <c r="AA1015" s="62"/>
      <c r="AB1015" s="34"/>
      <c r="AC1015" s="34"/>
      <c r="AD1015" s="38"/>
      <c r="AE1015" s="59" t="str">
        <f t="shared" si="47"/>
        <v>SÍ</v>
      </c>
      <c r="AF1015" s="38" t="e" cm="1">
        <f t="array" aca="1" ref="AF1015" ca="1">MIN(100, MAX(0, (IF(R1015="ESTUDIANTE", 31, 0)) + (IF(I1015&lt;=3, 30, IF(I1015&lt;=6, 20, 0))) +(IF(OR(E1015="413 - Control de Costes y Enlace Construcción", E1015="480 - Secretaría General del Consejo", E1015="132 - Civil y estructuras", E1015="136 - Mecánica", E1015="412 - Planificación", E1015="142 - Compras"), 25, 0)) +(IF(OR(S1015="GRADO ING. MECÁNICA", S1015="GRADO ING. ELÉCTRICA", S1015="GRADO DERECHO", S1015="GRADO ECONOMÍA", S1015="GRADO ING. TECNOLOGÍAS INDUSTRIALES"), 24, 0)) + (IF(AND(K1015&gt;=451, K1015&lt;=700), 23, 0)) + (IF(AND(AB1015&gt;=5, AB1015&lt;=8), 17, 0)) +(IF(_xludf.OR(_xludf.AND(AC1015&gt;=8, AC1015&lt;=10), _xludf.AND(AC1015&gt;=0, AC1015&lt;=5)), 16, 0)) + (IF(F1015="Madrid", 11, 0))))</f>
        <v>#NAME?</v>
      </c>
      <c r="AG1015" s="68"/>
      <c r="AH1015" s="71" t="s">
        <v>164</v>
      </c>
    </row>
    <row r="1016" spans="1:34" ht="14.4" x14ac:dyDescent="0.3">
      <c r="A1016" s="66" t="s">
        <v>1994</v>
      </c>
      <c r="B1016" s="66" t="s">
        <v>4111</v>
      </c>
      <c r="C1016" s="33">
        <v>1015</v>
      </c>
      <c r="D1016" s="33" t="s">
        <v>5397</v>
      </c>
      <c r="E1016" s="34" t="s">
        <v>5218</v>
      </c>
      <c r="F1016" s="34" t="s">
        <v>931</v>
      </c>
      <c r="G1016" s="57">
        <v>43543</v>
      </c>
      <c r="H1016" s="57">
        <v>43721</v>
      </c>
      <c r="I1016" s="34">
        <f t="shared" si="45"/>
        <v>5</v>
      </c>
      <c r="J1016" s="34">
        <v>40</v>
      </c>
      <c r="K1016" s="36">
        <v>0</v>
      </c>
      <c r="L1016" s="34" t="s">
        <v>17</v>
      </c>
      <c r="M1016" s="57">
        <v>34623</v>
      </c>
      <c r="N1016" s="37">
        <f>(YEAR(TablaMadre[[#This Row],[ALTA]])-YEAR(M1016))</f>
        <v>25</v>
      </c>
      <c r="O1016" s="34" t="s">
        <v>95</v>
      </c>
      <c r="P1016" s="34" t="s">
        <v>420</v>
      </c>
      <c r="Q1016" s="34" t="s">
        <v>151</v>
      </c>
      <c r="R1016" s="34" t="s">
        <v>30</v>
      </c>
      <c r="S1016" s="34" t="s">
        <v>151</v>
      </c>
      <c r="T1016" s="34"/>
      <c r="U1016" s="34"/>
      <c r="V1016" s="34" t="s">
        <v>90</v>
      </c>
      <c r="W1016" s="34" t="s">
        <v>97</v>
      </c>
      <c r="X1016" s="38" t="s">
        <v>164</v>
      </c>
      <c r="Y1016" s="62"/>
      <c r="Z1016" s="62" t="e">
        <f t="shared" si="46"/>
        <v>#NUM!</v>
      </c>
      <c r="AA1016" s="62"/>
      <c r="AB1016" s="34"/>
      <c r="AC1016" s="34"/>
      <c r="AD1016" s="38"/>
      <c r="AE1016" s="59" t="str">
        <f t="shared" si="47"/>
        <v>SÍ</v>
      </c>
      <c r="AF1016" s="38" t="e" cm="1">
        <f t="array" aca="1" ref="AF1016" ca="1">MIN(100, MAX(0, (IF(R1016="ESTUDIANTE", 31, 0)) + (IF(I1016&lt;=3, 30, IF(I1016&lt;=6, 20, 0))) +(IF(OR(E1016="413 - Control de Costes y Enlace Construcción", E1016="480 - Secretaría General del Consejo", E1016="132 - Civil y estructuras", E1016="136 - Mecánica", E1016="412 - Planificación", E1016="142 - Compras"), 25, 0)) +(IF(OR(S1016="GRADO ING. MECÁNICA", S1016="GRADO ING. ELÉCTRICA", S1016="GRADO DERECHO", S1016="GRADO ECONOMÍA", S1016="GRADO ING. TECNOLOGÍAS INDUSTRIALES"), 24, 0)) + (IF(AND(K1016&gt;=451, K1016&lt;=700), 23, 0)) + (IF(AND(AB1016&gt;=5, AB1016&lt;=8), 17, 0)) +(IF(_xludf.OR(_xludf.AND(AC1016&gt;=8, AC1016&lt;=10), _xludf.AND(AC1016&gt;=0, AC1016&lt;=5)), 16, 0)) + (IF(F1016="Madrid", 11, 0))))</f>
        <v>#NAME?</v>
      </c>
      <c r="AG1016" s="68"/>
      <c r="AH1016" s="71" t="s">
        <v>164</v>
      </c>
    </row>
    <row r="1017" spans="1:34" ht="14.4" x14ac:dyDescent="0.3">
      <c r="A1017" s="66" t="s">
        <v>1995</v>
      </c>
      <c r="B1017" s="66" t="s">
        <v>4112</v>
      </c>
      <c r="C1017" s="33">
        <v>1016</v>
      </c>
      <c r="D1017" s="33" t="s">
        <v>5398</v>
      </c>
      <c r="E1017" s="34" t="s">
        <v>5233</v>
      </c>
      <c r="F1017" s="34" t="s">
        <v>931</v>
      </c>
      <c r="G1017" s="57">
        <v>43543</v>
      </c>
      <c r="H1017" s="57">
        <v>43721</v>
      </c>
      <c r="I1017" s="34">
        <f t="shared" si="45"/>
        <v>5</v>
      </c>
      <c r="J1017" s="34">
        <v>40</v>
      </c>
      <c r="K1017" s="36">
        <v>0</v>
      </c>
      <c r="L1017" s="34" t="s">
        <v>17</v>
      </c>
      <c r="M1017" s="57">
        <v>34077</v>
      </c>
      <c r="N1017" s="37">
        <f>(YEAR(TablaMadre[[#This Row],[ALTA]])-YEAR(M1017))</f>
        <v>26</v>
      </c>
      <c r="O1017" s="34" t="s">
        <v>95</v>
      </c>
      <c r="P1017" s="34" t="s">
        <v>19</v>
      </c>
      <c r="Q1017" s="34" t="s">
        <v>136</v>
      </c>
      <c r="R1017" s="34" t="s">
        <v>30</v>
      </c>
      <c r="S1017" s="34" t="s">
        <v>136</v>
      </c>
      <c r="T1017" s="34"/>
      <c r="U1017" s="34"/>
      <c r="V1017" s="34" t="s">
        <v>90</v>
      </c>
      <c r="W1017" s="34" t="s">
        <v>97</v>
      </c>
      <c r="X1017" s="38" t="s">
        <v>164</v>
      </c>
      <c r="Y1017" s="62"/>
      <c r="Z1017" s="62" t="e">
        <f t="shared" si="46"/>
        <v>#NUM!</v>
      </c>
      <c r="AA1017" s="62"/>
      <c r="AB1017" s="34"/>
      <c r="AC1017" s="34"/>
      <c r="AD1017" s="38"/>
      <c r="AE1017" s="59" t="str">
        <f t="shared" si="47"/>
        <v>SÍ</v>
      </c>
      <c r="AF1017" s="38" t="e" cm="1">
        <f t="array" aca="1" ref="AF1017" ca="1">MIN(100, MAX(0, (IF(R1017="ESTUDIANTE", 31, 0)) + (IF(I1017&lt;=3, 30, IF(I1017&lt;=6, 20, 0))) +(IF(OR(E1017="413 - Control de Costes y Enlace Construcción", E1017="480 - Secretaría General del Consejo", E1017="132 - Civil y estructuras", E1017="136 - Mecánica", E1017="412 - Planificación", E1017="142 - Compras"), 25, 0)) +(IF(OR(S1017="GRADO ING. MECÁNICA", S1017="GRADO ING. ELÉCTRICA", S1017="GRADO DERECHO", S1017="GRADO ECONOMÍA", S1017="GRADO ING. TECNOLOGÍAS INDUSTRIALES"), 24, 0)) + (IF(AND(K1017&gt;=451, K1017&lt;=700), 23, 0)) + (IF(AND(AB1017&gt;=5, AB1017&lt;=8), 17, 0)) +(IF(_xludf.OR(_xludf.AND(AC1017&gt;=8, AC1017&lt;=10), _xludf.AND(AC1017&gt;=0, AC1017&lt;=5)), 16, 0)) + (IF(F1017="Madrid", 11, 0))))</f>
        <v>#NAME?</v>
      </c>
      <c r="AG1017" s="68"/>
      <c r="AH1017" s="71" t="s">
        <v>164</v>
      </c>
    </row>
    <row r="1018" spans="1:34" ht="14.4" x14ac:dyDescent="0.3">
      <c r="A1018" s="66" t="s">
        <v>1984</v>
      </c>
      <c r="B1018" s="66" t="s">
        <v>4101</v>
      </c>
      <c r="C1018" s="33">
        <v>1017</v>
      </c>
      <c r="D1018" s="33" t="s">
        <v>5399</v>
      </c>
      <c r="E1018" s="34" t="s">
        <v>5226</v>
      </c>
      <c r="F1018" s="34" t="s">
        <v>118</v>
      </c>
      <c r="G1018" s="57">
        <v>43545</v>
      </c>
      <c r="H1018" s="57">
        <v>44096</v>
      </c>
      <c r="I1018" s="34">
        <f t="shared" si="45"/>
        <v>18</v>
      </c>
      <c r="J1018" s="34">
        <v>35</v>
      </c>
      <c r="K1018" s="36">
        <v>650</v>
      </c>
      <c r="L1018" s="34" t="s">
        <v>17</v>
      </c>
      <c r="M1018" s="57">
        <v>33032</v>
      </c>
      <c r="N1018" s="37">
        <f>(YEAR(TablaMadre[[#This Row],[ALTA]])-YEAR(M1018))</f>
        <v>29</v>
      </c>
      <c r="O1018" s="34" t="s">
        <v>118</v>
      </c>
      <c r="P1018" s="34" t="s">
        <v>19</v>
      </c>
      <c r="Q1018" s="34" t="s">
        <v>360</v>
      </c>
      <c r="R1018" s="58" t="s">
        <v>30</v>
      </c>
      <c r="S1018" s="34" t="s">
        <v>26</v>
      </c>
      <c r="T1018" s="34"/>
      <c r="U1018" s="34"/>
      <c r="V1018" s="34" t="s">
        <v>27</v>
      </c>
      <c r="W1018" s="34" t="s">
        <v>370</v>
      </c>
      <c r="X1018" s="38" t="s">
        <v>173</v>
      </c>
      <c r="Y1018" s="62"/>
      <c r="Z1018" s="62" t="e">
        <f t="shared" si="46"/>
        <v>#NUM!</v>
      </c>
      <c r="AA1018" s="62"/>
      <c r="AB1018" s="34">
        <v>8</v>
      </c>
      <c r="AC1018" s="34">
        <v>10</v>
      </c>
      <c r="AD1018" s="38"/>
      <c r="AE1018" s="59" t="str">
        <f t="shared" si="47"/>
        <v>NO</v>
      </c>
      <c r="AF1018" s="38" t="e" cm="1">
        <f t="array" aca="1" ref="AF1018" ca="1">MIN(100, MAX(0, (IF(R1018="ESTUDIANTE", 31, 0)) + (IF(I1018&lt;=3, 30, IF(I1018&lt;=6, 20, 0))) +(IF(OR(E1018="413 - Control de Costes y Enlace Construcción", E1018="480 - Secretaría General del Consejo", E1018="132 - Civil y estructuras", E1018="136 - Mecánica", E1018="412 - Planificación", E1018="142 - Compras"), 25, 0)) +(IF(OR(S1018="GRADO ING. MECÁNICA", S1018="GRADO ING. ELÉCTRICA", S1018="GRADO DERECHO", S1018="GRADO ECONOMÍA", S1018="GRADO ING. TECNOLOGÍAS INDUSTRIALES"), 24, 0)) + (IF(AND(K1018&gt;=451, K1018&lt;=700), 23, 0)) + (IF(AND(AB1018&gt;=5, AB1018&lt;=8), 17, 0)) +(IF(_xludf.OR(_xludf.AND(AC1018&gt;=8, AC1018&lt;=10), _xludf.AND(AC1018&gt;=0, AC1018&lt;=5)), 16, 0)) + (IF(F1018="Madrid", 11, 0))))</f>
        <v>#NAME?</v>
      </c>
      <c r="AG1018" s="68"/>
      <c r="AH1018" s="71" t="s">
        <v>164</v>
      </c>
    </row>
    <row r="1019" spans="1:34" ht="14.4" x14ac:dyDescent="0.3">
      <c r="A1019" s="66" t="s">
        <v>1985</v>
      </c>
      <c r="B1019" s="66" t="s">
        <v>4102</v>
      </c>
      <c r="C1019" s="33">
        <v>1018</v>
      </c>
      <c r="D1019" s="33" t="s">
        <v>5393</v>
      </c>
      <c r="E1019" s="34" t="s">
        <v>5299</v>
      </c>
      <c r="F1019" s="34" t="s">
        <v>18</v>
      </c>
      <c r="G1019" s="57">
        <v>43549</v>
      </c>
      <c r="H1019" s="57">
        <v>43627</v>
      </c>
      <c r="I1019" s="34">
        <f t="shared" si="45"/>
        <v>2</v>
      </c>
      <c r="J1019" s="34">
        <v>40</v>
      </c>
      <c r="K1019" s="36">
        <v>450</v>
      </c>
      <c r="L1019" s="34" t="s">
        <v>17</v>
      </c>
      <c r="M1019" s="57">
        <v>35594</v>
      </c>
      <c r="N1019" s="37">
        <f>(YEAR(TablaMadre[[#This Row],[ALTA]])-YEAR(M1019))</f>
        <v>22</v>
      </c>
      <c r="O1019" s="34" t="s">
        <v>18</v>
      </c>
      <c r="P1019" s="34" t="s">
        <v>19</v>
      </c>
      <c r="Q1019" s="34" t="s">
        <v>407</v>
      </c>
      <c r="R1019" s="58" t="s">
        <v>30</v>
      </c>
      <c r="S1019" s="34" t="s">
        <v>26</v>
      </c>
      <c r="T1019" s="34"/>
      <c r="U1019" s="34"/>
      <c r="V1019" s="34" t="s">
        <v>27</v>
      </c>
      <c r="W1019" s="34" t="s">
        <v>23</v>
      </c>
      <c r="X1019" s="38" t="s">
        <v>164</v>
      </c>
      <c r="Y1019" s="62"/>
      <c r="Z1019" s="62" t="e">
        <f t="shared" si="46"/>
        <v>#NUM!</v>
      </c>
      <c r="AA1019" s="62"/>
      <c r="AB1019" s="34"/>
      <c r="AC1019" s="34"/>
      <c r="AD1019" s="38"/>
      <c r="AE1019" s="59" t="str">
        <f t="shared" si="47"/>
        <v>NO</v>
      </c>
      <c r="AF1019" s="38" t="e" cm="1">
        <f t="array" aca="1" ref="AF1019" ca="1">MIN(100, MAX(0, (IF(R1019="ESTUDIANTE", 31, 0)) + (IF(I1019&lt;=3, 30, IF(I1019&lt;=6, 20, 0))) +(IF(OR(E1019="413 - Control de Costes y Enlace Construcción", E1019="480 - Secretaría General del Consejo", E1019="132 - Civil y estructuras", E1019="136 - Mecánica", E1019="412 - Planificación", E1019="142 - Compras"), 25, 0)) +(IF(OR(S1019="GRADO ING. MECÁNICA", S1019="GRADO ING. ELÉCTRICA", S1019="GRADO DERECHO", S1019="GRADO ECONOMÍA", S1019="GRADO ING. TECNOLOGÍAS INDUSTRIALES"), 24, 0)) + (IF(AND(K1019&gt;=451, K1019&lt;=700), 23, 0)) + (IF(AND(AB1019&gt;=5, AB1019&lt;=8), 17, 0)) +(IF(_xludf.OR(_xludf.AND(AC1019&gt;=8, AC1019&lt;=10), _xludf.AND(AC1019&gt;=0, AC1019&lt;=5)), 16, 0)) + (IF(F1019="Madrid", 11, 0))))</f>
        <v>#NAME?</v>
      </c>
      <c r="AG1019" s="68"/>
      <c r="AH1019" s="71" t="s">
        <v>164</v>
      </c>
    </row>
    <row r="1020" spans="1:34" ht="14.4" x14ac:dyDescent="0.3">
      <c r="A1020" s="66" t="s">
        <v>1987</v>
      </c>
      <c r="B1020" s="66" t="s">
        <v>4104</v>
      </c>
      <c r="C1020" s="33">
        <v>1019</v>
      </c>
      <c r="D1020" s="33" t="s">
        <v>5394</v>
      </c>
      <c r="E1020" s="34" t="s">
        <v>5222</v>
      </c>
      <c r="F1020" s="34" t="s">
        <v>18</v>
      </c>
      <c r="G1020" s="57">
        <v>43549</v>
      </c>
      <c r="H1020" s="57">
        <v>43738</v>
      </c>
      <c r="I1020" s="34">
        <f t="shared" si="45"/>
        <v>6</v>
      </c>
      <c r="J1020" s="34">
        <v>35</v>
      </c>
      <c r="K1020" s="36">
        <v>650</v>
      </c>
      <c r="L1020" s="34" t="s">
        <v>17</v>
      </c>
      <c r="M1020" s="57">
        <v>31464</v>
      </c>
      <c r="N1020" s="37">
        <f>(YEAR(TablaMadre[[#This Row],[ALTA]])-YEAR(M1020))</f>
        <v>33</v>
      </c>
      <c r="O1020" s="34" t="s">
        <v>18</v>
      </c>
      <c r="P1020" s="34" t="s">
        <v>19</v>
      </c>
      <c r="Q1020" s="34" t="s">
        <v>437</v>
      </c>
      <c r="R1020" s="58" t="s">
        <v>30</v>
      </c>
      <c r="S1020" s="34" t="s">
        <v>26</v>
      </c>
      <c r="T1020" s="34"/>
      <c r="U1020" s="34"/>
      <c r="V1020" s="34" t="s">
        <v>27</v>
      </c>
      <c r="W1020" s="34" t="s">
        <v>47</v>
      </c>
      <c r="X1020" s="38" t="s">
        <v>164</v>
      </c>
      <c r="Y1020" s="62"/>
      <c r="Z1020" s="62" t="e">
        <f t="shared" si="46"/>
        <v>#NUM!</v>
      </c>
      <c r="AA1020" s="62"/>
      <c r="AB1020" s="34"/>
      <c r="AC1020" s="34"/>
      <c r="AD1020" s="38"/>
      <c r="AE1020" s="59" t="str">
        <f t="shared" si="47"/>
        <v>NO</v>
      </c>
      <c r="AF1020" s="38" t="e" cm="1">
        <f t="array" aca="1" ref="AF1020" ca="1">MIN(100, MAX(0, (IF(R1020="ESTUDIANTE", 31, 0)) + (IF(I1020&lt;=3, 30, IF(I1020&lt;=6, 20, 0))) +(IF(OR(E1020="413 - Control de Costes y Enlace Construcción", E1020="480 - Secretaría General del Consejo", E1020="132 - Civil y estructuras", E1020="136 - Mecánica", E1020="412 - Planificación", E1020="142 - Compras"), 25, 0)) +(IF(OR(S1020="GRADO ING. MECÁNICA", S1020="GRADO ING. ELÉCTRICA", S1020="GRADO DERECHO", S1020="GRADO ECONOMÍA", S1020="GRADO ING. TECNOLOGÍAS INDUSTRIALES"), 24, 0)) + (IF(AND(K1020&gt;=451, K1020&lt;=700), 23, 0)) + (IF(AND(AB1020&gt;=5, AB1020&lt;=8), 17, 0)) +(IF(_xludf.OR(_xludf.AND(AC1020&gt;=8, AC1020&lt;=10), _xludf.AND(AC1020&gt;=0, AC1020&lt;=5)), 16, 0)) + (IF(F1020="Madrid", 11, 0))))</f>
        <v>#NAME?</v>
      </c>
      <c r="AG1020" s="68"/>
      <c r="AH1020" s="71" t="s">
        <v>164</v>
      </c>
    </row>
    <row r="1021" spans="1:34" ht="14.4" x14ac:dyDescent="0.3">
      <c r="A1021" s="66" t="s">
        <v>1996</v>
      </c>
      <c r="B1021" s="66" t="s">
        <v>4113</v>
      </c>
      <c r="C1021" s="33">
        <v>1020</v>
      </c>
      <c r="D1021" s="33" t="s">
        <v>5395</v>
      </c>
      <c r="E1021" s="34" t="s">
        <v>5249</v>
      </c>
      <c r="F1021" s="34" t="s">
        <v>18</v>
      </c>
      <c r="G1021" s="57">
        <v>43556</v>
      </c>
      <c r="H1021" s="57">
        <v>43921</v>
      </c>
      <c r="I1021" s="34">
        <f t="shared" si="45"/>
        <v>11</v>
      </c>
      <c r="J1021" s="34">
        <v>35</v>
      </c>
      <c r="K1021" s="36">
        <v>900</v>
      </c>
      <c r="L1021" s="34" t="s">
        <v>17</v>
      </c>
      <c r="M1021" s="57">
        <v>34570</v>
      </c>
      <c r="N1021" s="37">
        <f>(YEAR(TablaMadre[[#This Row],[ALTA]])-YEAR(M1021))</f>
        <v>25</v>
      </c>
      <c r="O1021" s="34" t="s">
        <v>92</v>
      </c>
      <c r="P1021" s="34" t="s">
        <v>19</v>
      </c>
      <c r="Q1021" s="34" t="s">
        <v>406</v>
      </c>
      <c r="R1021" s="34" t="s">
        <v>21</v>
      </c>
      <c r="S1021" s="34" t="s">
        <v>297</v>
      </c>
      <c r="T1021" s="34"/>
      <c r="U1021" s="34"/>
      <c r="V1021" s="34" t="s">
        <v>22</v>
      </c>
      <c r="W1021" s="34" t="s">
        <v>461</v>
      </c>
      <c r="X1021" s="38" t="s">
        <v>173</v>
      </c>
      <c r="Y1021" s="62"/>
      <c r="Z1021" s="62" t="e">
        <f t="shared" si="46"/>
        <v>#NUM!</v>
      </c>
      <c r="AA1021" s="62"/>
      <c r="AB1021" s="34">
        <v>9</v>
      </c>
      <c r="AC1021" s="34">
        <v>8</v>
      </c>
      <c r="AD1021" s="38"/>
      <c r="AE1021" s="59" t="str">
        <f t="shared" si="47"/>
        <v>SÍ</v>
      </c>
      <c r="AF1021" s="38" t="e" cm="1">
        <f t="array" aca="1" ref="AF1021" ca="1">MIN(100, MAX(0, (IF(R1021="ESTUDIANTE", 31, 0)) + (IF(I1021&lt;=3, 30, IF(I1021&lt;=6, 20, 0))) +(IF(OR(E1021="413 - Control de Costes y Enlace Construcción", E1021="480 - Secretaría General del Consejo", E1021="132 - Civil y estructuras", E1021="136 - Mecánica", E1021="412 - Planificación", E1021="142 - Compras"), 25, 0)) +(IF(OR(S1021="GRADO ING. MECÁNICA", S1021="GRADO ING. ELÉCTRICA", S1021="GRADO DERECHO", S1021="GRADO ECONOMÍA", S1021="GRADO ING. TECNOLOGÍAS INDUSTRIALES"), 24, 0)) + (IF(AND(K1021&gt;=451, K1021&lt;=700), 23, 0)) + (IF(AND(AB1021&gt;=5, AB1021&lt;=8), 17, 0)) +(IF(_xludf.OR(_xludf.AND(AC1021&gt;=8, AC1021&lt;=10), _xludf.AND(AC1021&gt;=0, AC1021&lt;=5)), 16, 0)) + (IF(F1021="Madrid", 11, 0))))</f>
        <v>#NAME?</v>
      </c>
      <c r="AG1021" s="68"/>
      <c r="AH1021" s="71" t="s">
        <v>164</v>
      </c>
    </row>
    <row r="1022" spans="1:34" ht="14.4" x14ac:dyDescent="0.3">
      <c r="A1022" s="66" t="s">
        <v>1948</v>
      </c>
      <c r="B1022" s="66" t="s">
        <v>4065</v>
      </c>
      <c r="C1022" s="33">
        <v>1021</v>
      </c>
      <c r="D1022" s="33" t="s">
        <v>5396</v>
      </c>
      <c r="E1022" s="34" t="s">
        <v>5236</v>
      </c>
      <c r="F1022" s="34" t="s">
        <v>18</v>
      </c>
      <c r="G1022" s="57">
        <v>43557</v>
      </c>
      <c r="H1022" s="57">
        <v>43616</v>
      </c>
      <c r="I1022" s="34">
        <f t="shared" si="45"/>
        <v>1</v>
      </c>
      <c r="J1022" s="34">
        <v>25</v>
      </c>
      <c r="K1022" s="36">
        <v>650</v>
      </c>
      <c r="L1022" s="34" t="s">
        <v>17</v>
      </c>
      <c r="M1022" s="57">
        <v>34675</v>
      </c>
      <c r="N1022" s="37">
        <f>(YEAR(TablaMadre[[#This Row],[ALTA]])-YEAR(M1022))</f>
        <v>25</v>
      </c>
      <c r="O1022" s="34" t="s">
        <v>18</v>
      </c>
      <c r="P1022" s="34" t="s">
        <v>19</v>
      </c>
      <c r="Q1022" s="34" t="s">
        <v>280</v>
      </c>
      <c r="R1022" s="58" t="s">
        <v>30</v>
      </c>
      <c r="S1022" s="34" t="s">
        <v>280</v>
      </c>
      <c r="T1022" s="34"/>
      <c r="U1022" s="34"/>
      <c r="V1022" s="34" t="s">
        <v>22</v>
      </c>
      <c r="W1022" s="34" t="s">
        <v>23</v>
      </c>
      <c r="X1022" s="38" t="s">
        <v>164</v>
      </c>
      <c r="Y1022" s="62"/>
      <c r="Z1022" s="62" t="e">
        <f t="shared" si="46"/>
        <v>#NUM!</v>
      </c>
      <c r="AA1022" s="62"/>
      <c r="AB1022" s="34"/>
      <c r="AC1022" s="34"/>
      <c r="AD1022" s="38"/>
      <c r="AE1022" s="59" t="str">
        <f t="shared" si="47"/>
        <v>NO</v>
      </c>
      <c r="AF1022" s="38" t="e" cm="1">
        <f t="array" aca="1" ref="AF1022" ca="1">MIN(100, MAX(0, (IF(R1022="ESTUDIANTE", 31, 0)) + (IF(I1022&lt;=3, 30, IF(I1022&lt;=6, 20, 0))) +(IF(OR(E1022="413 - Control de Costes y Enlace Construcción", E1022="480 - Secretaría General del Consejo", E1022="132 - Civil y estructuras", E1022="136 - Mecánica", E1022="412 - Planificación", E1022="142 - Compras"), 25, 0)) +(IF(OR(S1022="GRADO ING. MECÁNICA", S1022="GRADO ING. ELÉCTRICA", S1022="GRADO DERECHO", S1022="GRADO ECONOMÍA", S1022="GRADO ING. TECNOLOGÍAS INDUSTRIALES"), 24, 0)) + (IF(AND(K1022&gt;=451, K1022&lt;=700), 23, 0)) + (IF(AND(AB1022&gt;=5, AB1022&lt;=8), 17, 0)) +(IF(_xludf.OR(_xludf.AND(AC1022&gt;=8, AC1022&lt;=10), _xludf.AND(AC1022&gt;=0, AC1022&lt;=5)), 16, 0)) + (IF(F1022="Madrid", 11, 0))))</f>
        <v>#NAME?</v>
      </c>
      <c r="AG1022" s="68"/>
      <c r="AH1022" s="71" t="s">
        <v>164</v>
      </c>
    </row>
    <row r="1023" spans="1:34" ht="14.4" x14ac:dyDescent="0.3">
      <c r="A1023" s="66" t="s">
        <v>1962</v>
      </c>
      <c r="B1023" s="66" t="s">
        <v>4079</v>
      </c>
      <c r="C1023" s="33">
        <v>1022</v>
      </c>
      <c r="D1023" s="33" t="s">
        <v>5397</v>
      </c>
      <c r="E1023" s="34" t="s">
        <v>5233</v>
      </c>
      <c r="F1023" s="34" t="s">
        <v>18</v>
      </c>
      <c r="G1023" s="57">
        <v>43558</v>
      </c>
      <c r="H1023" s="57">
        <v>43646</v>
      </c>
      <c r="I1023" s="34">
        <f t="shared" si="45"/>
        <v>2</v>
      </c>
      <c r="J1023" s="34">
        <v>35</v>
      </c>
      <c r="K1023" s="36">
        <v>650</v>
      </c>
      <c r="L1023" s="34" t="s">
        <v>17</v>
      </c>
      <c r="M1023" s="57">
        <v>35890</v>
      </c>
      <c r="N1023" s="37">
        <f>(YEAR(TablaMadre[[#This Row],[ALTA]])-YEAR(M1023))</f>
        <v>21</v>
      </c>
      <c r="O1023" s="34" t="s">
        <v>18</v>
      </c>
      <c r="P1023" s="34" t="s">
        <v>19</v>
      </c>
      <c r="Q1023" s="34" t="s">
        <v>136</v>
      </c>
      <c r="R1023" s="58" t="s">
        <v>30</v>
      </c>
      <c r="S1023" s="34" t="s">
        <v>136</v>
      </c>
      <c r="T1023" s="34"/>
      <c r="U1023" s="34"/>
      <c r="V1023" s="34" t="s">
        <v>90</v>
      </c>
      <c r="W1023" s="34" t="s">
        <v>23</v>
      </c>
      <c r="X1023" s="38" t="s">
        <v>164</v>
      </c>
      <c r="Y1023" s="62"/>
      <c r="Z1023" s="62" t="e">
        <f t="shared" si="46"/>
        <v>#NUM!</v>
      </c>
      <c r="AA1023" s="62"/>
      <c r="AB1023" s="34"/>
      <c r="AC1023" s="34"/>
      <c r="AD1023" s="38"/>
      <c r="AE1023" s="59" t="str">
        <f t="shared" si="47"/>
        <v>NO</v>
      </c>
      <c r="AF1023" s="38" t="e" cm="1">
        <f t="array" aca="1" ref="AF1023" ca="1">MIN(100, MAX(0, (IF(R1023="ESTUDIANTE", 31, 0)) + (IF(I1023&lt;=3, 30, IF(I1023&lt;=6, 20, 0))) +(IF(OR(E1023="413 - Control de Costes y Enlace Construcción", E1023="480 - Secretaría General del Consejo", E1023="132 - Civil y estructuras", E1023="136 - Mecánica", E1023="412 - Planificación", E1023="142 - Compras"), 25, 0)) +(IF(OR(S1023="GRADO ING. MECÁNICA", S1023="GRADO ING. ELÉCTRICA", S1023="GRADO DERECHO", S1023="GRADO ECONOMÍA", S1023="GRADO ING. TECNOLOGÍAS INDUSTRIALES"), 24, 0)) + (IF(AND(K1023&gt;=451, K1023&lt;=700), 23, 0)) + (IF(AND(AB1023&gt;=5, AB1023&lt;=8), 17, 0)) +(IF(_xludf.OR(_xludf.AND(AC1023&gt;=8, AC1023&lt;=10), _xludf.AND(AC1023&gt;=0, AC1023&lt;=5)), 16, 0)) + (IF(F1023="Madrid", 11, 0))))</f>
        <v>#NAME?</v>
      </c>
      <c r="AG1023" s="68"/>
      <c r="AH1023" s="71" t="s">
        <v>164</v>
      </c>
    </row>
    <row r="1024" spans="1:34" ht="14.4" x14ac:dyDescent="0.3">
      <c r="A1024" s="66" t="s">
        <v>1970</v>
      </c>
      <c r="B1024" s="66" t="s">
        <v>4087</v>
      </c>
      <c r="C1024" s="33">
        <v>1023</v>
      </c>
      <c r="D1024" s="33" t="s">
        <v>5393</v>
      </c>
      <c r="E1024" s="34" t="s">
        <v>5244</v>
      </c>
      <c r="F1024" s="34" t="s">
        <v>18</v>
      </c>
      <c r="G1024" s="57">
        <v>43558</v>
      </c>
      <c r="H1024" s="57">
        <v>43751</v>
      </c>
      <c r="I1024" s="34">
        <f t="shared" si="45"/>
        <v>6</v>
      </c>
      <c r="J1024" s="34">
        <v>35</v>
      </c>
      <c r="K1024" s="36">
        <v>825</v>
      </c>
      <c r="L1024" s="34" t="s">
        <v>17</v>
      </c>
      <c r="M1024" s="57">
        <v>34434</v>
      </c>
      <c r="N1024" s="37">
        <f>(YEAR(TablaMadre[[#This Row],[ALTA]])-YEAR(M1024))</f>
        <v>25</v>
      </c>
      <c r="O1024" s="34" t="s">
        <v>18</v>
      </c>
      <c r="P1024" s="34" t="s">
        <v>19</v>
      </c>
      <c r="Q1024" s="34" t="s">
        <v>151</v>
      </c>
      <c r="R1024" s="34" t="s">
        <v>21</v>
      </c>
      <c r="S1024" s="34" t="s">
        <v>151</v>
      </c>
      <c r="T1024" s="34"/>
      <c r="U1024" s="34"/>
      <c r="V1024" s="34" t="s">
        <v>22</v>
      </c>
      <c r="W1024" s="34" t="s">
        <v>47</v>
      </c>
      <c r="X1024" s="38" t="s">
        <v>164</v>
      </c>
      <c r="Y1024" s="62"/>
      <c r="Z1024" s="62" t="e">
        <f t="shared" si="46"/>
        <v>#NUM!</v>
      </c>
      <c r="AA1024" s="62"/>
      <c r="AB1024" s="34">
        <v>6.5</v>
      </c>
      <c r="AC1024" s="34"/>
      <c r="AD1024" s="38"/>
      <c r="AE1024" s="59" t="str">
        <f t="shared" si="47"/>
        <v>NO</v>
      </c>
      <c r="AF1024" s="38" t="e" cm="1">
        <f t="array" aca="1" ref="AF1024" ca="1">MIN(100, MAX(0, (IF(R1024="ESTUDIANTE", 31, 0)) + (IF(I1024&lt;=3, 30, IF(I1024&lt;=6, 20, 0))) +(IF(OR(E1024="413 - Control de Costes y Enlace Construcción", E1024="480 - Secretaría General del Consejo", E1024="132 - Civil y estructuras", E1024="136 - Mecánica", E1024="412 - Planificación", E1024="142 - Compras"), 25, 0)) +(IF(OR(S1024="GRADO ING. MECÁNICA", S1024="GRADO ING. ELÉCTRICA", S1024="GRADO DERECHO", S1024="GRADO ECONOMÍA", S1024="GRADO ING. TECNOLOGÍAS INDUSTRIALES"), 24, 0)) + (IF(AND(K1024&gt;=451, K1024&lt;=700), 23, 0)) + (IF(AND(AB1024&gt;=5, AB1024&lt;=8), 17, 0)) +(IF(_xludf.OR(_xludf.AND(AC1024&gt;=8, AC1024&lt;=10), _xludf.AND(AC1024&gt;=0, AC1024&lt;=5)), 16, 0)) + (IF(F1024="Madrid", 11, 0))))</f>
        <v>#NAME?</v>
      </c>
      <c r="AG1024" s="68"/>
      <c r="AH1024" s="71" t="s">
        <v>164</v>
      </c>
    </row>
    <row r="1025" spans="1:34" ht="14.4" x14ac:dyDescent="0.3">
      <c r="A1025" s="66" t="s">
        <v>1998</v>
      </c>
      <c r="B1025" s="66" t="s">
        <v>4115</v>
      </c>
      <c r="C1025" s="33">
        <v>1024</v>
      </c>
      <c r="D1025" s="33" t="s">
        <v>5394</v>
      </c>
      <c r="E1025" s="34" t="s">
        <v>5252</v>
      </c>
      <c r="F1025" s="34" t="s">
        <v>18</v>
      </c>
      <c r="G1025" s="57">
        <v>43563</v>
      </c>
      <c r="H1025" s="57">
        <v>44111</v>
      </c>
      <c r="I1025" s="34">
        <f t="shared" si="45"/>
        <v>17</v>
      </c>
      <c r="J1025" s="34">
        <v>35</v>
      </c>
      <c r="K1025" s="36">
        <v>900</v>
      </c>
      <c r="L1025" s="34" t="s">
        <v>17</v>
      </c>
      <c r="M1025" s="57">
        <v>34586</v>
      </c>
      <c r="N1025" s="37">
        <f>(YEAR(TablaMadre[[#This Row],[ALTA]])-YEAR(M1025))</f>
        <v>25</v>
      </c>
      <c r="O1025" s="34" t="s">
        <v>18</v>
      </c>
      <c r="P1025" s="34" t="s">
        <v>19</v>
      </c>
      <c r="Q1025" s="34" t="s">
        <v>476</v>
      </c>
      <c r="R1025" s="34" t="s">
        <v>21</v>
      </c>
      <c r="S1025" s="34" t="s">
        <v>961</v>
      </c>
      <c r="T1025" s="34"/>
      <c r="U1025" s="34"/>
      <c r="V1025" s="34" t="s">
        <v>40</v>
      </c>
      <c r="W1025" s="34" t="s">
        <v>370</v>
      </c>
      <c r="X1025" s="38" t="s">
        <v>164</v>
      </c>
      <c r="Y1025" s="62"/>
      <c r="Z1025" s="62" t="e">
        <f t="shared" si="46"/>
        <v>#NUM!</v>
      </c>
      <c r="AA1025" s="62"/>
      <c r="AB1025" s="34">
        <v>7</v>
      </c>
      <c r="AC1025" s="34">
        <v>9</v>
      </c>
      <c r="AD1025" s="38"/>
      <c r="AE1025" s="59" t="str">
        <f t="shared" si="47"/>
        <v>NO</v>
      </c>
      <c r="AF1025" s="38" t="e" cm="1">
        <f t="array" aca="1" ref="AF1025" ca="1">MIN(100, MAX(0, (IF(R1025="ESTUDIANTE", 31, 0)) + (IF(I1025&lt;=3, 30, IF(I1025&lt;=6, 20, 0))) +(IF(OR(E1025="413 - Control de Costes y Enlace Construcción", E1025="480 - Secretaría General del Consejo", E1025="132 - Civil y estructuras", E1025="136 - Mecánica", E1025="412 - Planificación", E1025="142 - Compras"), 25, 0)) +(IF(OR(S1025="GRADO ING. MECÁNICA", S1025="GRADO ING. ELÉCTRICA", S1025="GRADO DERECHO", S1025="GRADO ECONOMÍA", S1025="GRADO ING. TECNOLOGÍAS INDUSTRIALES"), 24, 0)) + (IF(AND(K1025&gt;=451, K1025&lt;=700), 23, 0)) + (IF(AND(AB1025&gt;=5, AB1025&lt;=8), 17, 0)) +(IF(_xludf.OR(_xludf.AND(AC1025&gt;=8, AC1025&lt;=10), _xludf.AND(AC1025&gt;=0, AC1025&lt;=5)), 16, 0)) + (IF(F1025="Madrid", 11, 0))))</f>
        <v>#NAME?</v>
      </c>
      <c r="AG1025" s="68"/>
      <c r="AH1025" s="71" t="s">
        <v>164</v>
      </c>
    </row>
    <row r="1026" spans="1:34" ht="14.4" x14ac:dyDescent="0.3">
      <c r="A1026" s="66" t="s">
        <v>2004</v>
      </c>
      <c r="B1026" s="66" t="s">
        <v>4121</v>
      </c>
      <c r="C1026" s="33">
        <v>1025</v>
      </c>
      <c r="D1026" s="33" t="s">
        <v>5395</v>
      </c>
      <c r="E1026" s="34" t="s">
        <v>5229</v>
      </c>
      <c r="F1026" s="34" t="s">
        <v>18</v>
      </c>
      <c r="G1026" s="57">
        <v>43571</v>
      </c>
      <c r="H1026" s="57">
        <v>43745</v>
      </c>
      <c r="I1026" s="34">
        <f t="shared" ref="I1026:I1089" si="48">DATEDIF(G1026, H1026, "M")</f>
        <v>5</v>
      </c>
      <c r="J1026" s="34">
        <v>35</v>
      </c>
      <c r="K1026" s="36">
        <v>825</v>
      </c>
      <c r="L1026" s="34" t="s">
        <v>29</v>
      </c>
      <c r="M1026" s="57">
        <v>34497</v>
      </c>
      <c r="N1026" s="37">
        <f>(YEAR(TablaMadre[[#This Row],[ALTA]])-YEAR(M1026))</f>
        <v>25</v>
      </c>
      <c r="O1026" s="34" t="s">
        <v>18</v>
      </c>
      <c r="P1026" s="34" t="s">
        <v>19</v>
      </c>
      <c r="Q1026" s="34" t="s">
        <v>277</v>
      </c>
      <c r="R1026" s="34" t="s">
        <v>21</v>
      </c>
      <c r="S1026" s="34" t="s">
        <v>277</v>
      </c>
      <c r="T1026" s="34"/>
      <c r="U1026" s="34"/>
      <c r="V1026" s="34" t="s">
        <v>22</v>
      </c>
      <c r="W1026" s="34" t="s">
        <v>28</v>
      </c>
      <c r="X1026" s="38" t="s">
        <v>164</v>
      </c>
      <c r="Y1026" s="62">
        <v>44112</v>
      </c>
      <c r="Z1026" s="38">
        <f t="shared" ref="Z1026:Z1089" si="49">DATEDIF(H1026, Y1026, "y")</f>
        <v>1</v>
      </c>
      <c r="AA1026" s="38"/>
      <c r="AB1026" s="34">
        <v>10</v>
      </c>
      <c r="AC1026" s="34">
        <v>8</v>
      </c>
      <c r="AD1026" s="38"/>
      <c r="AE1026" s="59" t="str">
        <f t="shared" si="47"/>
        <v>NO</v>
      </c>
      <c r="AF1026" s="38" t="e" cm="1">
        <f t="array" aca="1" ref="AF1026" ca="1">MIN(100, MAX(0, (IF(R1026="ESTUDIANTE", 31, 0)) + (IF(I1026&lt;=3, 30, IF(I1026&lt;=6, 20, 0))) +(IF(OR(E1026="413 - Control de Costes y Enlace Construcción", E1026="480 - Secretaría General del Consejo", E1026="132 - Civil y estructuras", E1026="136 - Mecánica", E1026="412 - Planificación", E1026="142 - Compras"), 25, 0)) +(IF(OR(S1026="GRADO ING. MECÁNICA", S1026="GRADO ING. ELÉCTRICA", S1026="GRADO DERECHO", S1026="GRADO ECONOMÍA", S1026="GRADO ING. TECNOLOGÍAS INDUSTRIALES"), 24, 0)) + (IF(AND(K1026&gt;=451, K1026&lt;=700), 23, 0)) + (IF(AND(AB1026&gt;=5, AB1026&lt;=8), 17, 0)) +(IF(_xludf.OR(_xludf.AND(AC1026&gt;=8, AC1026&lt;=10), _xludf.AND(AC1026&gt;=0, AC1026&lt;=5)), 16, 0)) + (IF(F1026="Madrid", 11, 0))))</f>
        <v>#NAME?</v>
      </c>
      <c r="AG1026" s="68"/>
      <c r="AH1026" s="71" t="s">
        <v>164</v>
      </c>
    </row>
    <row r="1027" spans="1:34" ht="14.4" x14ac:dyDescent="0.3">
      <c r="A1027" s="66" t="s">
        <v>2001</v>
      </c>
      <c r="B1027" s="66" t="s">
        <v>4118</v>
      </c>
      <c r="C1027" s="33">
        <v>1027</v>
      </c>
      <c r="D1027" s="33" t="s">
        <v>5396</v>
      </c>
      <c r="E1027" s="34" t="s">
        <v>5306</v>
      </c>
      <c r="F1027" s="34" t="s">
        <v>18</v>
      </c>
      <c r="G1027" s="57">
        <v>43577</v>
      </c>
      <c r="H1027" s="57">
        <v>44125</v>
      </c>
      <c r="I1027" s="34">
        <f t="shared" si="48"/>
        <v>17</v>
      </c>
      <c r="J1027" s="34">
        <v>35</v>
      </c>
      <c r="K1027" s="36">
        <v>825</v>
      </c>
      <c r="L1027" s="34" t="s">
        <v>17</v>
      </c>
      <c r="M1027" s="57">
        <v>35261</v>
      </c>
      <c r="N1027" s="37">
        <f>(YEAR(TablaMadre[[#This Row],[ALTA]])-YEAR(M1027))</f>
        <v>23</v>
      </c>
      <c r="O1027" s="34" t="s">
        <v>18</v>
      </c>
      <c r="P1027" s="34" t="s">
        <v>19</v>
      </c>
      <c r="Q1027" s="34" t="s">
        <v>478</v>
      </c>
      <c r="R1027" s="34" t="s">
        <v>21</v>
      </c>
      <c r="S1027" s="34" t="s">
        <v>384</v>
      </c>
      <c r="T1027" s="34"/>
      <c r="U1027" s="34"/>
      <c r="V1027" s="34" t="s">
        <v>56</v>
      </c>
      <c r="W1027" s="34" t="s">
        <v>370</v>
      </c>
      <c r="X1027" s="38" t="s">
        <v>164</v>
      </c>
      <c r="Y1027" s="62"/>
      <c r="Z1027" s="62" t="e">
        <f t="shared" si="49"/>
        <v>#NUM!</v>
      </c>
      <c r="AA1027" s="62"/>
      <c r="AB1027" s="34">
        <v>10</v>
      </c>
      <c r="AC1027" s="34">
        <v>10</v>
      </c>
      <c r="AD1027" s="38"/>
      <c r="AE1027" s="59" t="str">
        <f t="shared" ref="AE1027:AE1090" si="50">IF(F1027=O1027, "NO", "SÍ")</f>
        <v>NO</v>
      </c>
      <c r="AF1027" s="38" t="e" cm="1">
        <f t="array" aca="1" ref="AF1027" ca="1">MIN(100, MAX(0, (IF(R1027="ESTUDIANTE", 31, 0)) + (IF(I1027&lt;=3, 30, IF(I1027&lt;=6, 20, 0))) +(IF(OR(E1027="413 - Control de Costes y Enlace Construcción", E1027="480 - Secretaría General del Consejo", E1027="132 - Civil y estructuras", E1027="136 - Mecánica", E1027="412 - Planificación", E1027="142 - Compras"), 25, 0)) +(IF(OR(S1027="GRADO ING. MECÁNICA", S1027="GRADO ING. ELÉCTRICA", S1027="GRADO DERECHO", S1027="GRADO ECONOMÍA", S1027="GRADO ING. TECNOLOGÍAS INDUSTRIALES"), 24, 0)) + (IF(AND(K1027&gt;=451, K1027&lt;=700), 23, 0)) + (IF(AND(AB1027&gt;=5, AB1027&lt;=8), 17, 0)) +(IF(_xludf.OR(_xludf.AND(AC1027&gt;=8, AC1027&lt;=10), _xludf.AND(AC1027&gt;=0, AC1027&lt;=5)), 16, 0)) + (IF(F1027="Madrid", 11, 0))))</f>
        <v>#NAME?</v>
      </c>
      <c r="AG1027" s="68"/>
      <c r="AH1027" s="71" t="s">
        <v>164</v>
      </c>
    </row>
    <row r="1028" spans="1:34" ht="14.4" x14ac:dyDescent="0.3">
      <c r="A1028" s="66" t="s">
        <v>2002</v>
      </c>
      <c r="B1028" s="66" t="s">
        <v>4119</v>
      </c>
      <c r="C1028" s="33">
        <v>1026</v>
      </c>
      <c r="D1028" s="33" t="s">
        <v>5397</v>
      </c>
      <c r="E1028" s="34" t="s">
        <v>5256</v>
      </c>
      <c r="F1028" s="34" t="s">
        <v>18</v>
      </c>
      <c r="G1028" s="57">
        <v>43577</v>
      </c>
      <c r="H1028" s="57">
        <v>43585</v>
      </c>
      <c r="I1028" s="34">
        <f t="shared" si="48"/>
        <v>0</v>
      </c>
      <c r="J1028" s="34">
        <v>35</v>
      </c>
      <c r="K1028" s="36">
        <v>900</v>
      </c>
      <c r="L1028" s="34" t="s">
        <v>17</v>
      </c>
      <c r="M1028" s="57">
        <v>33893</v>
      </c>
      <c r="N1028" s="37">
        <f>(YEAR(TablaMadre[[#This Row],[ALTA]])-YEAR(M1028))</f>
        <v>27</v>
      </c>
      <c r="O1028" s="34" t="s">
        <v>273</v>
      </c>
      <c r="P1028" s="34" t="s">
        <v>273</v>
      </c>
      <c r="Q1028" s="34" t="s">
        <v>428</v>
      </c>
      <c r="R1028" s="34" t="s">
        <v>21</v>
      </c>
      <c r="S1028" s="34" t="s">
        <v>297</v>
      </c>
      <c r="T1028" s="34"/>
      <c r="U1028" s="34"/>
      <c r="V1028" s="34" t="s">
        <v>90</v>
      </c>
      <c r="W1028" s="34" t="s">
        <v>181</v>
      </c>
      <c r="X1028" s="38" t="s">
        <v>164</v>
      </c>
      <c r="Y1028" s="62"/>
      <c r="Z1028" s="62" t="e">
        <f t="shared" si="49"/>
        <v>#NUM!</v>
      </c>
      <c r="AA1028" s="62"/>
      <c r="AB1028" s="34"/>
      <c r="AC1028" s="34"/>
      <c r="AD1028" s="38"/>
      <c r="AE1028" s="59" t="str">
        <f t="shared" si="50"/>
        <v>SÍ</v>
      </c>
      <c r="AF1028" s="38" t="e" cm="1">
        <f t="array" aca="1" ref="AF1028" ca="1">MIN(100, MAX(0, (IF(R1028="ESTUDIANTE", 31, 0)) + (IF(I1028&lt;=3, 30, IF(I1028&lt;=6, 20, 0))) +(IF(OR(E1028="413 - Control de Costes y Enlace Construcción", E1028="480 - Secretaría General del Consejo", E1028="132 - Civil y estructuras", E1028="136 - Mecánica", E1028="412 - Planificación", E1028="142 - Compras"), 25, 0)) +(IF(OR(S1028="GRADO ING. MECÁNICA", S1028="GRADO ING. ELÉCTRICA", S1028="GRADO DERECHO", S1028="GRADO ECONOMÍA", S1028="GRADO ING. TECNOLOGÍAS INDUSTRIALES"), 24, 0)) + (IF(AND(K1028&gt;=451, K1028&lt;=700), 23, 0)) + (IF(AND(AB1028&gt;=5, AB1028&lt;=8), 17, 0)) +(IF(_xludf.OR(_xludf.AND(AC1028&gt;=8, AC1028&lt;=10), _xludf.AND(AC1028&gt;=0, AC1028&lt;=5)), 16, 0)) + (IF(F1028="Madrid", 11, 0))))</f>
        <v>#NAME?</v>
      </c>
      <c r="AG1028" s="68"/>
      <c r="AH1028" s="71" t="s">
        <v>164</v>
      </c>
    </row>
    <row r="1029" spans="1:34" ht="14.4" x14ac:dyDescent="0.3">
      <c r="A1029" s="66" t="s">
        <v>2003</v>
      </c>
      <c r="B1029" s="66" t="s">
        <v>4120</v>
      </c>
      <c r="C1029" s="33">
        <v>1029</v>
      </c>
      <c r="D1029" s="33" t="s">
        <v>5398</v>
      </c>
      <c r="E1029" s="34" t="s">
        <v>5244</v>
      </c>
      <c r="F1029" s="34" t="s">
        <v>18</v>
      </c>
      <c r="G1029" s="57">
        <v>43577</v>
      </c>
      <c r="H1029" s="57">
        <v>44125</v>
      </c>
      <c r="I1029" s="34">
        <f t="shared" si="48"/>
        <v>17</v>
      </c>
      <c r="J1029" s="34">
        <v>35</v>
      </c>
      <c r="K1029" s="36">
        <v>900</v>
      </c>
      <c r="L1029" s="34" t="s">
        <v>17</v>
      </c>
      <c r="M1029" s="57">
        <v>34344</v>
      </c>
      <c r="N1029" s="37">
        <f>(YEAR(TablaMadre[[#This Row],[ALTA]])-YEAR(M1029))</f>
        <v>25</v>
      </c>
      <c r="O1029" s="34" t="s">
        <v>233</v>
      </c>
      <c r="P1029" s="34" t="s">
        <v>19</v>
      </c>
      <c r="Q1029" s="34" t="s">
        <v>479</v>
      </c>
      <c r="R1029" s="34" t="s">
        <v>21</v>
      </c>
      <c r="S1029" s="34" t="s">
        <v>151</v>
      </c>
      <c r="T1029" s="34"/>
      <c r="U1029" s="34"/>
      <c r="V1029" s="34" t="s">
        <v>22</v>
      </c>
      <c r="W1029" s="34" t="s">
        <v>370</v>
      </c>
      <c r="X1029" s="38" t="s">
        <v>164</v>
      </c>
      <c r="Y1029" s="62"/>
      <c r="Z1029" s="62" t="e">
        <f t="shared" si="49"/>
        <v>#NUM!</v>
      </c>
      <c r="AA1029" s="62"/>
      <c r="AB1029" s="34">
        <v>6</v>
      </c>
      <c r="AC1029" s="34">
        <v>8</v>
      </c>
      <c r="AD1029" s="38"/>
      <c r="AE1029" s="59" t="str">
        <f t="shared" si="50"/>
        <v>SÍ</v>
      </c>
      <c r="AF1029" s="38" t="e" cm="1">
        <f t="array" aca="1" ref="AF1029" ca="1">MIN(100, MAX(0, (IF(R1029="ESTUDIANTE", 31, 0)) + (IF(I1029&lt;=3, 30, IF(I1029&lt;=6, 20, 0))) +(IF(OR(E1029="413 - Control de Costes y Enlace Construcción", E1029="480 - Secretaría General del Consejo", E1029="132 - Civil y estructuras", E1029="136 - Mecánica", E1029="412 - Planificación", E1029="142 - Compras"), 25, 0)) +(IF(OR(S1029="GRADO ING. MECÁNICA", S1029="GRADO ING. ELÉCTRICA", S1029="GRADO DERECHO", S1029="GRADO ECONOMÍA", S1029="GRADO ING. TECNOLOGÍAS INDUSTRIALES"), 24, 0)) + (IF(AND(K1029&gt;=451, K1029&lt;=700), 23, 0)) + (IF(AND(AB1029&gt;=5, AB1029&lt;=8), 17, 0)) +(IF(_xludf.OR(_xludf.AND(AC1029&gt;=8, AC1029&lt;=10), _xludf.AND(AC1029&gt;=0, AC1029&lt;=5)), 16, 0)) + (IF(F1029="Madrid", 11, 0))))</f>
        <v>#NAME?</v>
      </c>
      <c r="AG1029" s="68"/>
      <c r="AH1029" s="71" t="s">
        <v>164</v>
      </c>
    </row>
    <row r="1030" spans="1:34" ht="14.4" x14ac:dyDescent="0.3">
      <c r="A1030" s="66" t="s">
        <v>2005</v>
      </c>
      <c r="B1030" s="66" t="s">
        <v>4122</v>
      </c>
      <c r="C1030" s="33">
        <v>1028</v>
      </c>
      <c r="D1030" s="33" t="s">
        <v>5399</v>
      </c>
      <c r="E1030" s="34" t="s">
        <v>5282</v>
      </c>
      <c r="F1030" s="34" t="s">
        <v>118</v>
      </c>
      <c r="G1030" s="57">
        <v>43577</v>
      </c>
      <c r="H1030" s="57">
        <v>44125</v>
      </c>
      <c r="I1030" s="34">
        <f t="shared" si="48"/>
        <v>17</v>
      </c>
      <c r="J1030" s="34">
        <v>35</v>
      </c>
      <c r="K1030" s="36">
        <v>650</v>
      </c>
      <c r="L1030" s="34" t="s">
        <v>29</v>
      </c>
      <c r="M1030" s="57">
        <v>34970</v>
      </c>
      <c r="N1030" s="37">
        <f>(YEAR(TablaMadre[[#This Row],[ALTA]])-YEAR(M1030))</f>
        <v>24</v>
      </c>
      <c r="O1030" s="34" t="s">
        <v>118</v>
      </c>
      <c r="P1030" s="34" t="s">
        <v>19</v>
      </c>
      <c r="Q1030" s="34" t="s">
        <v>437</v>
      </c>
      <c r="R1030" s="58" t="s">
        <v>30</v>
      </c>
      <c r="S1030" s="34" t="s">
        <v>26</v>
      </c>
      <c r="T1030" s="34"/>
      <c r="U1030" s="34"/>
      <c r="V1030" s="34" t="s">
        <v>27</v>
      </c>
      <c r="W1030" s="34" t="s">
        <v>370</v>
      </c>
      <c r="X1030" s="38" t="s">
        <v>164</v>
      </c>
      <c r="Y1030" s="62"/>
      <c r="Z1030" s="62" t="e">
        <f t="shared" si="49"/>
        <v>#NUM!</v>
      </c>
      <c r="AA1030" s="62"/>
      <c r="AB1030" s="34">
        <v>10</v>
      </c>
      <c r="AC1030" s="34">
        <v>8</v>
      </c>
      <c r="AD1030" s="38"/>
      <c r="AE1030" s="59" t="str">
        <f t="shared" si="50"/>
        <v>NO</v>
      </c>
      <c r="AF1030" s="38" t="e" cm="1">
        <f t="array" aca="1" ref="AF1030" ca="1">MIN(100, MAX(0, (IF(R1030="ESTUDIANTE", 31, 0)) + (IF(I1030&lt;=3, 30, IF(I1030&lt;=6, 20, 0))) +(IF(OR(E1030="413 - Control de Costes y Enlace Construcción", E1030="480 - Secretaría General del Consejo", E1030="132 - Civil y estructuras", E1030="136 - Mecánica", E1030="412 - Planificación", E1030="142 - Compras"), 25, 0)) +(IF(OR(S1030="GRADO ING. MECÁNICA", S1030="GRADO ING. ELÉCTRICA", S1030="GRADO DERECHO", S1030="GRADO ECONOMÍA", S1030="GRADO ING. TECNOLOGÍAS INDUSTRIALES"), 24, 0)) + (IF(AND(K1030&gt;=451, K1030&lt;=700), 23, 0)) + (IF(AND(AB1030&gt;=5, AB1030&lt;=8), 17, 0)) +(IF(_xludf.OR(_xludf.AND(AC1030&gt;=8, AC1030&lt;=10), _xludf.AND(AC1030&gt;=0, AC1030&lt;=5)), 16, 0)) + (IF(F1030="Madrid", 11, 0))))</f>
        <v>#NAME?</v>
      </c>
      <c r="AG1030" s="68"/>
      <c r="AH1030" s="71" t="s">
        <v>164</v>
      </c>
    </row>
    <row r="1031" spans="1:34" ht="14.4" x14ac:dyDescent="0.3">
      <c r="A1031" s="66" t="s">
        <v>2009</v>
      </c>
      <c r="B1031" s="66" t="s">
        <v>4126</v>
      </c>
      <c r="C1031" s="33">
        <v>1030</v>
      </c>
      <c r="D1031" s="33" t="s">
        <v>5400</v>
      </c>
      <c r="E1031" s="34" t="s">
        <v>5244</v>
      </c>
      <c r="F1031" s="34" t="s">
        <v>118</v>
      </c>
      <c r="G1031" s="57">
        <v>43587</v>
      </c>
      <c r="H1031" s="57">
        <v>43921</v>
      </c>
      <c r="I1031" s="34">
        <f t="shared" si="48"/>
        <v>10</v>
      </c>
      <c r="J1031" s="34">
        <v>35</v>
      </c>
      <c r="K1031" s="36">
        <v>825</v>
      </c>
      <c r="L1031" s="34" t="s">
        <v>17</v>
      </c>
      <c r="M1031" s="57">
        <v>35272</v>
      </c>
      <c r="N1031" s="37">
        <f>(YEAR(TablaMadre[[#This Row],[ALTA]])-YEAR(M1031))</f>
        <v>23</v>
      </c>
      <c r="O1031" s="34" t="s">
        <v>118</v>
      </c>
      <c r="P1031" s="34" t="s">
        <v>19</v>
      </c>
      <c r="Q1031" s="34" t="s">
        <v>297</v>
      </c>
      <c r="R1031" s="34" t="s">
        <v>21</v>
      </c>
      <c r="S1031" s="34" t="s">
        <v>297</v>
      </c>
      <c r="T1031" s="34"/>
      <c r="U1031" s="34"/>
      <c r="V1031" s="34" t="s">
        <v>37</v>
      </c>
      <c r="W1031" s="34" t="s">
        <v>28</v>
      </c>
      <c r="X1031" s="38" t="s">
        <v>164</v>
      </c>
      <c r="Y1031" s="62">
        <v>44287</v>
      </c>
      <c r="Z1031" s="38">
        <f t="shared" si="49"/>
        <v>1</v>
      </c>
      <c r="AA1031" s="38"/>
      <c r="AB1031" s="34">
        <v>10</v>
      </c>
      <c r="AC1031" s="34">
        <v>10</v>
      </c>
      <c r="AD1031" s="38"/>
      <c r="AE1031" s="59" t="str">
        <f t="shared" si="50"/>
        <v>NO</v>
      </c>
      <c r="AF1031" s="38" t="e" cm="1">
        <f t="array" aca="1" ref="AF1031" ca="1">MIN(100, MAX(0, (IF(R1031="ESTUDIANTE", 31, 0)) + (IF(I1031&lt;=3, 30, IF(I1031&lt;=6, 20, 0))) +(IF(OR(E1031="413 - Control de Costes y Enlace Construcción", E1031="480 - Secretaría General del Consejo", E1031="132 - Civil y estructuras", E1031="136 - Mecánica", E1031="412 - Planificación", E1031="142 - Compras"), 25, 0)) +(IF(OR(S1031="GRADO ING. MECÁNICA", S1031="GRADO ING. ELÉCTRICA", S1031="GRADO DERECHO", S1031="GRADO ECONOMÍA", S1031="GRADO ING. TECNOLOGÍAS INDUSTRIALES"), 24, 0)) + (IF(AND(K1031&gt;=451, K1031&lt;=700), 23, 0)) + (IF(AND(AB1031&gt;=5, AB1031&lt;=8), 17, 0)) +(IF(_xludf.OR(_xludf.AND(AC1031&gt;=8, AC1031&lt;=10), _xludf.AND(AC1031&gt;=0, AC1031&lt;=5)), 16, 0)) + (IF(F1031="Madrid", 11, 0))))</f>
        <v>#NAME?</v>
      </c>
      <c r="AG1031" s="68"/>
      <c r="AH1031" s="71" t="s">
        <v>164</v>
      </c>
    </row>
    <row r="1032" spans="1:34" ht="14.4" x14ac:dyDescent="0.3">
      <c r="A1032" s="66" t="s">
        <v>2010</v>
      </c>
      <c r="B1032" s="66" t="s">
        <v>4127</v>
      </c>
      <c r="C1032" s="33">
        <v>1031</v>
      </c>
      <c r="D1032" s="33" t="s">
        <v>5401</v>
      </c>
      <c r="E1032" s="34" t="s">
        <v>5218</v>
      </c>
      <c r="F1032" s="34" t="s">
        <v>18</v>
      </c>
      <c r="G1032" s="57">
        <v>43588</v>
      </c>
      <c r="H1032" s="57">
        <v>43890</v>
      </c>
      <c r="I1032" s="34">
        <f t="shared" si="48"/>
        <v>9</v>
      </c>
      <c r="J1032" s="34">
        <v>30</v>
      </c>
      <c r="K1032" s="36">
        <v>705</v>
      </c>
      <c r="L1032" s="34" t="s">
        <v>17</v>
      </c>
      <c r="M1032" s="57">
        <v>35003</v>
      </c>
      <c r="N1032" s="37">
        <f>(YEAR(TablaMadre[[#This Row],[ALTA]])-YEAR(M1032))</f>
        <v>24</v>
      </c>
      <c r="O1032" s="34" t="s">
        <v>282</v>
      </c>
      <c r="P1032" s="34" t="s">
        <v>19</v>
      </c>
      <c r="Q1032" s="34" t="s">
        <v>386</v>
      </c>
      <c r="R1032" s="34" t="s">
        <v>21</v>
      </c>
      <c r="S1032" s="34" t="s">
        <v>151</v>
      </c>
      <c r="T1032" s="34"/>
      <c r="U1032" s="34"/>
      <c r="V1032" s="34" t="s">
        <v>74</v>
      </c>
      <c r="W1032" s="34" t="s">
        <v>28</v>
      </c>
      <c r="X1032" s="38" t="s">
        <v>164</v>
      </c>
      <c r="Y1032" s="62">
        <v>44744</v>
      </c>
      <c r="Z1032" s="38">
        <f t="shared" si="49"/>
        <v>2</v>
      </c>
      <c r="AA1032" s="38"/>
      <c r="AB1032" s="34">
        <v>10</v>
      </c>
      <c r="AC1032" s="34">
        <v>8</v>
      </c>
      <c r="AD1032" s="38"/>
      <c r="AE1032" s="59" t="str">
        <f t="shared" si="50"/>
        <v>SÍ</v>
      </c>
      <c r="AF1032" s="38" t="e" cm="1">
        <f t="array" aca="1" ref="AF1032" ca="1">MIN(100, MAX(0, (IF(R1032="ESTUDIANTE", 31, 0)) + (IF(I1032&lt;=3, 30, IF(I1032&lt;=6, 20, 0))) +(IF(OR(E1032="413 - Control de Costes y Enlace Construcción", E1032="480 - Secretaría General del Consejo", E1032="132 - Civil y estructuras", E1032="136 - Mecánica", E1032="412 - Planificación", E1032="142 - Compras"), 25, 0)) +(IF(OR(S1032="GRADO ING. MECÁNICA", S1032="GRADO ING. ELÉCTRICA", S1032="GRADO DERECHO", S1032="GRADO ECONOMÍA", S1032="GRADO ING. TECNOLOGÍAS INDUSTRIALES"), 24, 0)) + (IF(AND(K1032&gt;=451, K1032&lt;=700), 23, 0)) + (IF(AND(AB1032&gt;=5, AB1032&lt;=8), 17, 0)) +(IF(_xludf.OR(_xludf.AND(AC1032&gt;=8, AC1032&lt;=10), _xludf.AND(AC1032&gt;=0, AC1032&lt;=5)), 16, 0)) + (IF(F1032="Madrid", 11, 0))))</f>
        <v>#NAME?</v>
      </c>
      <c r="AG1032" s="68"/>
      <c r="AH1032" s="71" t="s">
        <v>164</v>
      </c>
    </row>
    <row r="1033" spans="1:34" ht="14.4" x14ac:dyDescent="0.3">
      <c r="A1033" s="66" t="s">
        <v>2006</v>
      </c>
      <c r="B1033" s="66" t="s">
        <v>4123</v>
      </c>
      <c r="C1033" s="33">
        <v>1032</v>
      </c>
      <c r="D1033" s="33" t="s">
        <v>5402</v>
      </c>
      <c r="E1033" s="34" t="s">
        <v>5230</v>
      </c>
      <c r="F1033" s="34" t="s">
        <v>118</v>
      </c>
      <c r="G1033" s="57">
        <v>43591</v>
      </c>
      <c r="H1033" s="57">
        <v>44140</v>
      </c>
      <c r="I1033" s="34">
        <f t="shared" si="48"/>
        <v>17</v>
      </c>
      <c r="J1033" s="34">
        <v>35</v>
      </c>
      <c r="K1033" s="36">
        <v>900</v>
      </c>
      <c r="L1033" s="34" t="s">
        <v>17</v>
      </c>
      <c r="M1033" s="57">
        <v>33509</v>
      </c>
      <c r="N1033" s="37">
        <f>(YEAR(TablaMadre[[#This Row],[ALTA]])-YEAR(M1033))</f>
        <v>28</v>
      </c>
      <c r="O1033" s="34" t="s">
        <v>118</v>
      </c>
      <c r="P1033" s="34" t="s">
        <v>19</v>
      </c>
      <c r="Q1033" s="34" t="s">
        <v>481</v>
      </c>
      <c r="R1033" s="34" t="s">
        <v>21</v>
      </c>
      <c r="S1033" s="34" t="s">
        <v>321</v>
      </c>
      <c r="T1033" s="34"/>
      <c r="U1033" s="34"/>
      <c r="V1033" s="34" t="s">
        <v>37</v>
      </c>
      <c r="W1033" s="34" t="s">
        <v>370</v>
      </c>
      <c r="X1033" s="38" t="s">
        <v>164</v>
      </c>
      <c r="Y1033" s="62"/>
      <c r="Z1033" s="62" t="e">
        <f t="shared" si="49"/>
        <v>#NUM!</v>
      </c>
      <c r="AA1033" s="62"/>
      <c r="AB1033" s="34">
        <v>9</v>
      </c>
      <c r="AC1033" s="34">
        <v>8</v>
      </c>
      <c r="AD1033" s="38"/>
      <c r="AE1033" s="59" t="str">
        <f t="shared" si="50"/>
        <v>NO</v>
      </c>
      <c r="AF1033" s="38" t="e" cm="1">
        <f t="array" aca="1" ref="AF1033" ca="1">MIN(100, MAX(0, (IF(R1033="ESTUDIANTE", 31, 0)) + (IF(I1033&lt;=3, 30, IF(I1033&lt;=6, 20, 0))) +(IF(OR(E1033="413 - Control de Costes y Enlace Construcción", E1033="480 - Secretaría General del Consejo", E1033="132 - Civil y estructuras", E1033="136 - Mecánica", E1033="412 - Planificación", E1033="142 - Compras"), 25, 0)) +(IF(OR(S1033="GRADO ING. MECÁNICA", S1033="GRADO ING. ELÉCTRICA", S1033="GRADO DERECHO", S1033="GRADO ECONOMÍA", S1033="GRADO ING. TECNOLOGÍAS INDUSTRIALES"), 24, 0)) + (IF(AND(K1033&gt;=451, K1033&lt;=700), 23, 0)) + (IF(AND(AB1033&gt;=5, AB1033&lt;=8), 17, 0)) +(IF(_xludf.OR(_xludf.AND(AC1033&gt;=8, AC1033&lt;=10), _xludf.AND(AC1033&gt;=0, AC1033&lt;=5)), 16, 0)) + (IF(F1033="Madrid", 11, 0))))</f>
        <v>#NAME?</v>
      </c>
      <c r="AG1033" s="68"/>
      <c r="AH1033" s="71" t="s">
        <v>164</v>
      </c>
    </row>
    <row r="1034" spans="1:34" ht="14.4" x14ac:dyDescent="0.3">
      <c r="A1034" s="66" t="s">
        <v>2007</v>
      </c>
      <c r="B1034" s="66" t="s">
        <v>4124</v>
      </c>
      <c r="C1034" s="33">
        <v>1034</v>
      </c>
      <c r="D1034" s="33" t="s">
        <v>5393</v>
      </c>
      <c r="E1034" s="34" t="s">
        <v>5216</v>
      </c>
      <c r="F1034" s="34" t="s">
        <v>18</v>
      </c>
      <c r="G1034" s="57">
        <v>43598</v>
      </c>
      <c r="H1034" s="57">
        <v>43861</v>
      </c>
      <c r="I1034" s="34">
        <f t="shared" si="48"/>
        <v>8</v>
      </c>
      <c r="J1034" s="34">
        <v>35</v>
      </c>
      <c r="K1034" s="36">
        <v>900</v>
      </c>
      <c r="L1034" s="34" t="s">
        <v>29</v>
      </c>
      <c r="M1034" s="57">
        <v>33808</v>
      </c>
      <c r="N1034" s="37">
        <f>(YEAR(TablaMadre[[#This Row],[ALTA]])-YEAR(M1034))</f>
        <v>27</v>
      </c>
      <c r="O1034" s="34" t="s">
        <v>18</v>
      </c>
      <c r="P1034" s="34" t="s">
        <v>19</v>
      </c>
      <c r="Q1034" s="34" t="s">
        <v>297</v>
      </c>
      <c r="R1034" s="34" t="s">
        <v>21</v>
      </c>
      <c r="S1034" s="34" t="s">
        <v>297</v>
      </c>
      <c r="T1034" s="34"/>
      <c r="U1034" s="34"/>
      <c r="V1034" s="34" t="s">
        <v>22</v>
      </c>
      <c r="W1034" s="34" t="s">
        <v>47</v>
      </c>
      <c r="X1034" s="38" t="s">
        <v>164</v>
      </c>
      <c r="Y1034" s="62"/>
      <c r="Z1034" s="62" t="e">
        <f t="shared" si="49"/>
        <v>#NUM!</v>
      </c>
      <c r="AA1034" s="62"/>
      <c r="AB1034" s="34">
        <v>6</v>
      </c>
      <c r="AC1034" s="34">
        <v>6</v>
      </c>
      <c r="AD1034" s="38"/>
      <c r="AE1034" s="59" t="str">
        <f t="shared" si="50"/>
        <v>NO</v>
      </c>
      <c r="AF1034" s="38" t="e" cm="1">
        <f t="array" aca="1" ref="AF1034" ca="1">MIN(100, MAX(0, (IF(R1034="ESTUDIANTE", 31, 0)) + (IF(I1034&lt;=3, 30, IF(I1034&lt;=6, 20, 0))) +(IF(OR(E1034="413 - Control de Costes y Enlace Construcción", E1034="480 - Secretaría General del Consejo", E1034="132 - Civil y estructuras", E1034="136 - Mecánica", E1034="412 - Planificación", E1034="142 - Compras"), 25, 0)) +(IF(OR(S1034="GRADO ING. MECÁNICA", S1034="GRADO ING. ELÉCTRICA", S1034="GRADO DERECHO", S1034="GRADO ECONOMÍA", S1034="GRADO ING. TECNOLOGÍAS INDUSTRIALES"), 24, 0)) + (IF(AND(K1034&gt;=451, K1034&lt;=700), 23, 0)) + (IF(AND(AB1034&gt;=5, AB1034&lt;=8), 17, 0)) +(IF(_xludf.OR(_xludf.AND(AC1034&gt;=8, AC1034&lt;=10), _xludf.AND(AC1034&gt;=0, AC1034&lt;=5)), 16, 0)) + (IF(F1034="Madrid", 11, 0))))</f>
        <v>#NAME?</v>
      </c>
      <c r="AG1034" s="68"/>
      <c r="AH1034" s="71" t="s">
        <v>164</v>
      </c>
    </row>
    <row r="1035" spans="1:34" ht="14.4" x14ac:dyDescent="0.3">
      <c r="A1035" s="66" t="s">
        <v>2008</v>
      </c>
      <c r="B1035" s="66" t="s">
        <v>4125</v>
      </c>
      <c r="C1035" s="33">
        <v>1036</v>
      </c>
      <c r="D1035" s="33" t="s">
        <v>5394</v>
      </c>
      <c r="E1035" s="34" t="s">
        <v>5222</v>
      </c>
      <c r="F1035" s="34" t="s">
        <v>18</v>
      </c>
      <c r="G1035" s="57">
        <v>43598</v>
      </c>
      <c r="H1035" s="57">
        <v>44147</v>
      </c>
      <c r="I1035" s="34">
        <f t="shared" si="48"/>
        <v>17</v>
      </c>
      <c r="J1035" s="34">
        <v>35</v>
      </c>
      <c r="K1035" s="36">
        <v>900</v>
      </c>
      <c r="L1035" s="34" t="s">
        <v>17</v>
      </c>
      <c r="M1035" s="57">
        <v>34682</v>
      </c>
      <c r="N1035" s="37">
        <f>(YEAR(TablaMadre[[#This Row],[ALTA]])-YEAR(M1035))</f>
        <v>25</v>
      </c>
      <c r="O1035" s="34" t="s">
        <v>18</v>
      </c>
      <c r="P1035" s="34" t="s">
        <v>19</v>
      </c>
      <c r="Q1035" s="34" t="s">
        <v>483</v>
      </c>
      <c r="R1035" s="34" t="s">
        <v>21</v>
      </c>
      <c r="S1035" s="34" t="s">
        <v>321</v>
      </c>
      <c r="T1035" s="34"/>
      <c r="U1035" s="34"/>
      <c r="V1035" s="34" t="s">
        <v>22</v>
      </c>
      <c r="W1035" s="34" t="s">
        <v>370</v>
      </c>
      <c r="X1035" s="38" t="s">
        <v>164</v>
      </c>
      <c r="Y1035" s="62"/>
      <c r="Z1035" s="62" t="e">
        <f t="shared" si="49"/>
        <v>#NUM!</v>
      </c>
      <c r="AA1035" s="62"/>
      <c r="AB1035" s="34">
        <v>7.5</v>
      </c>
      <c r="AC1035" s="34">
        <v>7.9</v>
      </c>
      <c r="AD1035" s="38"/>
      <c r="AE1035" s="59" t="str">
        <f t="shared" si="50"/>
        <v>NO</v>
      </c>
      <c r="AF1035" s="38" t="e" cm="1">
        <f t="array" aca="1" ref="AF1035" ca="1">MIN(100, MAX(0, (IF(R1035="ESTUDIANTE", 31, 0)) + (IF(I1035&lt;=3, 30, IF(I1035&lt;=6, 20, 0))) +(IF(OR(E1035="413 - Control de Costes y Enlace Construcción", E1035="480 - Secretaría General del Consejo", E1035="132 - Civil y estructuras", E1035="136 - Mecánica", E1035="412 - Planificación", E1035="142 - Compras"), 25, 0)) +(IF(OR(S1035="GRADO ING. MECÁNICA", S1035="GRADO ING. ELÉCTRICA", S1035="GRADO DERECHO", S1035="GRADO ECONOMÍA", S1035="GRADO ING. TECNOLOGÍAS INDUSTRIALES"), 24, 0)) + (IF(AND(K1035&gt;=451, K1035&lt;=700), 23, 0)) + (IF(AND(AB1035&gt;=5, AB1035&lt;=8), 17, 0)) +(IF(_xludf.OR(_xludf.AND(AC1035&gt;=8, AC1035&lt;=10), _xludf.AND(AC1035&gt;=0, AC1035&lt;=5)), 16, 0)) + (IF(F1035="Madrid", 11, 0))))</f>
        <v>#NAME?</v>
      </c>
      <c r="AG1035" s="68"/>
      <c r="AH1035" s="71" t="s">
        <v>164</v>
      </c>
    </row>
    <row r="1036" spans="1:34" ht="14.4" x14ac:dyDescent="0.3">
      <c r="A1036" s="66" t="s">
        <v>2012</v>
      </c>
      <c r="B1036" s="66" t="s">
        <v>4129</v>
      </c>
      <c r="C1036" s="33">
        <v>1033</v>
      </c>
      <c r="D1036" s="33" t="s">
        <v>5403</v>
      </c>
      <c r="E1036" s="34" t="s">
        <v>5222</v>
      </c>
      <c r="F1036" s="34" t="s">
        <v>18</v>
      </c>
      <c r="G1036" s="57">
        <v>43598</v>
      </c>
      <c r="H1036" s="57">
        <v>43781</v>
      </c>
      <c r="I1036" s="34">
        <f t="shared" si="48"/>
        <v>5</v>
      </c>
      <c r="J1036" s="34">
        <v>35</v>
      </c>
      <c r="K1036" s="36">
        <v>900</v>
      </c>
      <c r="L1036" s="34" t="s">
        <v>17</v>
      </c>
      <c r="M1036" s="57">
        <v>33881</v>
      </c>
      <c r="N1036" s="37">
        <f>(YEAR(TablaMadre[[#This Row],[ALTA]])-YEAR(M1036))</f>
        <v>27</v>
      </c>
      <c r="O1036" s="34" t="s">
        <v>211</v>
      </c>
      <c r="P1036" s="34" t="s">
        <v>19</v>
      </c>
      <c r="Q1036" s="34" t="s">
        <v>297</v>
      </c>
      <c r="R1036" s="34" t="s">
        <v>21</v>
      </c>
      <c r="S1036" s="34" t="s">
        <v>297</v>
      </c>
      <c r="T1036" s="34"/>
      <c r="U1036" s="34"/>
      <c r="V1036" s="34" t="s">
        <v>84</v>
      </c>
      <c r="W1036" s="34" t="s">
        <v>28</v>
      </c>
      <c r="X1036" s="38" t="s">
        <v>164</v>
      </c>
      <c r="Y1036" s="62">
        <v>44835</v>
      </c>
      <c r="Z1036" s="38">
        <f t="shared" si="49"/>
        <v>2</v>
      </c>
      <c r="AA1036" s="38"/>
      <c r="AB1036" s="34"/>
      <c r="AC1036" s="34">
        <v>8.52</v>
      </c>
      <c r="AD1036" s="38"/>
      <c r="AE1036" s="59" t="str">
        <f t="shared" si="50"/>
        <v>SÍ</v>
      </c>
      <c r="AF1036" s="38" t="e" cm="1">
        <f t="array" aca="1" ref="AF1036" ca="1">MIN(100, MAX(0, (IF(R1036="ESTUDIANTE", 31, 0)) + (IF(I1036&lt;=3, 30, IF(I1036&lt;=6, 20, 0))) +(IF(OR(E1036="413 - Control de Costes y Enlace Construcción", E1036="480 - Secretaría General del Consejo", E1036="132 - Civil y estructuras", E1036="136 - Mecánica", E1036="412 - Planificación", E1036="142 - Compras"), 25, 0)) +(IF(OR(S1036="GRADO ING. MECÁNICA", S1036="GRADO ING. ELÉCTRICA", S1036="GRADO DERECHO", S1036="GRADO ECONOMÍA", S1036="GRADO ING. TECNOLOGÍAS INDUSTRIALES"), 24, 0)) + (IF(AND(K1036&gt;=451, K1036&lt;=700), 23, 0)) + (IF(AND(AB1036&gt;=5, AB1036&lt;=8), 17, 0)) +(IF(_xludf.OR(_xludf.AND(AC1036&gt;=8, AC1036&lt;=10), _xludf.AND(AC1036&gt;=0, AC1036&lt;=5)), 16, 0)) + (IF(F1036="Madrid", 11, 0))))</f>
        <v>#NAME?</v>
      </c>
      <c r="AG1036" s="68"/>
      <c r="AH1036" s="71" t="s">
        <v>164</v>
      </c>
    </row>
    <row r="1037" spans="1:34" ht="14.4" x14ac:dyDescent="0.3">
      <c r="A1037" s="66" t="s">
        <v>2014</v>
      </c>
      <c r="B1037" s="66" t="s">
        <v>4131</v>
      </c>
      <c r="C1037" s="33">
        <v>1035</v>
      </c>
      <c r="D1037" s="33" t="s">
        <v>5404</v>
      </c>
      <c r="E1037" s="34" t="s">
        <v>5216</v>
      </c>
      <c r="F1037" s="34" t="s">
        <v>18</v>
      </c>
      <c r="G1037" s="57">
        <v>43598</v>
      </c>
      <c r="H1037" s="57">
        <v>43900</v>
      </c>
      <c r="I1037" s="34">
        <f t="shared" si="48"/>
        <v>9</v>
      </c>
      <c r="J1037" s="34">
        <v>35</v>
      </c>
      <c r="K1037" s="36">
        <v>825</v>
      </c>
      <c r="L1037" s="34" t="s">
        <v>29</v>
      </c>
      <c r="M1037" s="57">
        <v>34811</v>
      </c>
      <c r="N1037" s="37">
        <f>(YEAR(TablaMadre[[#This Row],[ALTA]])-YEAR(M1037))</f>
        <v>24</v>
      </c>
      <c r="O1037" s="34" t="s">
        <v>18</v>
      </c>
      <c r="P1037" s="34" t="s">
        <v>19</v>
      </c>
      <c r="Q1037" s="34" t="s">
        <v>297</v>
      </c>
      <c r="R1037" s="34" t="s">
        <v>21</v>
      </c>
      <c r="S1037" s="34" t="s">
        <v>297</v>
      </c>
      <c r="T1037" s="34"/>
      <c r="U1037" s="34"/>
      <c r="V1037" s="34" t="s">
        <v>56</v>
      </c>
      <c r="W1037" s="34" t="s">
        <v>28</v>
      </c>
      <c r="X1037" s="38" t="s">
        <v>164</v>
      </c>
      <c r="Y1037" s="62">
        <v>44258</v>
      </c>
      <c r="Z1037" s="38">
        <f t="shared" si="49"/>
        <v>0</v>
      </c>
      <c r="AA1037" s="38"/>
      <c r="AB1037" s="34">
        <v>7</v>
      </c>
      <c r="AC1037" s="34">
        <v>8</v>
      </c>
      <c r="AD1037" s="38"/>
      <c r="AE1037" s="59" t="str">
        <f t="shared" si="50"/>
        <v>NO</v>
      </c>
      <c r="AF1037" s="38" t="e" cm="1">
        <f t="array" aca="1" ref="AF1037" ca="1">MIN(100, MAX(0, (IF(R1037="ESTUDIANTE", 31, 0)) + (IF(I1037&lt;=3, 30, IF(I1037&lt;=6, 20, 0))) +(IF(OR(E1037="413 - Control de Costes y Enlace Construcción", E1037="480 - Secretaría General del Consejo", E1037="132 - Civil y estructuras", E1037="136 - Mecánica", E1037="412 - Planificación", E1037="142 - Compras"), 25, 0)) +(IF(OR(S1037="GRADO ING. MECÁNICA", S1037="GRADO ING. ELÉCTRICA", S1037="GRADO DERECHO", S1037="GRADO ECONOMÍA", S1037="GRADO ING. TECNOLOGÍAS INDUSTRIALES"), 24, 0)) + (IF(AND(K1037&gt;=451, K1037&lt;=700), 23, 0)) + (IF(AND(AB1037&gt;=5, AB1037&lt;=8), 17, 0)) +(IF(_xludf.OR(_xludf.AND(AC1037&gt;=8, AC1037&lt;=10), _xludf.AND(AC1037&gt;=0, AC1037&lt;=5)), 16, 0)) + (IF(F1037="Madrid", 11, 0))))</f>
        <v>#NAME?</v>
      </c>
      <c r="AG1037" s="68"/>
      <c r="AH1037" s="71" t="s">
        <v>164</v>
      </c>
    </row>
    <row r="1038" spans="1:34" ht="14.4" x14ac:dyDescent="0.3">
      <c r="A1038" s="66" t="s">
        <v>2011</v>
      </c>
      <c r="B1038" s="66" t="s">
        <v>4128</v>
      </c>
      <c r="C1038" s="33">
        <v>1038</v>
      </c>
      <c r="D1038" s="33" t="s">
        <v>5405</v>
      </c>
      <c r="E1038" s="34" t="s">
        <v>5232</v>
      </c>
      <c r="F1038" s="34" t="s">
        <v>18</v>
      </c>
      <c r="G1038" s="57">
        <v>43605</v>
      </c>
      <c r="H1038" s="57">
        <v>43970</v>
      </c>
      <c r="I1038" s="34">
        <f t="shared" si="48"/>
        <v>11</v>
      </c>
      <c r="J1038" s="34">
        <v>35</v>
      </c>
      <c r="K1038" s="36">
        <v>825</v>
      </c>
      <c r="L1038" s="34" t="s">
        <v>29</v>
      </c>
      <c r="M1038" s="57">
        <v>34707</v>
      </c>
      <c r="N1038" s="37">
        <f>(YEAR(TablaMadre[[#This Row],[ALTA]])-YEAR(M1038))</f>
        <v>24</v>
      </c>
      <c r="O1038" s="34" t="s">
        <v>18</v>
      </c>
      <c r="P1038" s="34" t="s">
        <v>463</v>
      </c>
      <c r="Q1038" s="34" t="s">
        <v>297</v>
      </c>
      <c r="R1038" s="34" t="s">
        <v>21</v>
      </c>
      <c r="S1038" s="34" t="s">
        <v>297</v>
      </c>
      <c r="T1038" s="34"/>
      <c r="U1038" s="34"/>
      <c r="V1038" s="34" t="s">
        <v>22</v>
      </c>
      <c r="W1038" s="34" t="s">
        <v>370</v>
      </c>
      <c r="X1038" s="38" t="s">
        <v>173</v>
      </c>
      <c r="Y1038" s="62"/>
      <c r="Z1038" s="62" t="e">
        <f t="shared" si="49"/>
        <v>#NUM!</v>
      </c>
      <c r="AA1038" s="62"/>
      <c r="AB1038" s="34">
        <v>9</v>
      </c>
      <c r="AC1038" s="34">
        <v>8</v>
      </c>
      <c r="AD1038" s="38"/>
      <c r="AE1038" s="59" t="str">
        <f t="shared" si="50"/>
        <v>NO</v>
      </c>
      <c r="AF1038" s="38" t="e" cm="1">
        <f t="array" aca="1" ref="AF1038" ca="1">MIN(100, MAX(0, (IF(R1038="ESTUDIANTE", 31, 0)) + (IF(I1038&lt;=3, 30, IF(I1038&lt;=6, 20, 0))) +(IF(OR(E1038="413 - Control de Costes y Enlace Construcción", E1038="480 - Secretaría General del Consejo", E1038="132 - Civil y estructuras", E1038="136 - Mecánica", E1038="412 - Planificación", E1038="142 - Compras"), 25, 0)) +(IF(OR(S1038="GRADO ING. MECÁNICA", S1038="GRADO ING. ELÉCTRICA", S1038="GRADO DERECHO", S1038="GRADO ECONOMÍA", S1038="GRADO ING. TECNOLOGÍAS INDUSTRIALES"), 24, 0)) + (IF(AND(K1038&gt;=451, K1038&lt;=700), 23, 0)) + (IF(AND(AB1038&gt;=5, AB1038&lt;=8), 17, 0)) +(IF(_xludf.OR(_xludf.AND(AC1038&gt;=8, AC1038&lt;=10), _xludf.AND(AC1038&gt;=0, AC1038&lt;=5)), 16, 0)) + (IF(F1038="Madrid", 11, 0))))</f>
        <v>#NAME?</v>
      </c>
      <c r="AG1038" s="68"/>
      <c r="AH1038" s="71" t="s">
        <v>164</v>
      </c>
    </row>
    <row r="1039" spans="1:34" ht="14.4" x14ac:dyDescent="0.3">
      <c r="A1039" s="66" t="s">
        <v>2016</v>
      </c>
      <c r="B1039" s="66" t="s">
        <v>4133</v>
      </c>
      <c r="C1039" s="33">
        <v>1037</v>
      </c>
      <c r="D1039" s="33" t="s">
        <v>5403</v>
      </c>
      <c r="E1039" s="34" t="s">
        <v>5222</v>
      </c>
      <c r="F1039" s="34" t="s">
        <v>18</v>
      </c>
      <c r="G1039" s="57">
        <v>43605</v>
      </c>
      <c r="H1039" s="57">
        <v>43788</v>
      </c>
      <c r="I1039" s="34">
        <f t="shared" si="48"/>
        <v>5</v>
      </c>
      <c r="J1039" s="34">
        <v>35</v>
      </c>
      <c r="K1039" s="36">
        <v>900</v>
      </c>
      <c r="L1039" s="34" t="s">
        <v>17</v>
      </c>
      <c r="M1039" s="57">
        <v>34833</v>
      </c>
      <c r="N1039" s="37">
        <f>(YEAR(TablaMadre[[#This Row],[ALTA]])-YEAR(M1039))</f>
        <v>24</v>
      </c>
      <c r="O1039" s="34" t="s">
        <v>18</v>
      </c>
      <c r="P1039" s="34" t="s">
        <v>19</v>
      </c>
      <c r="Q1039" s="34" t="s">
        <v>297</v>
      </c>
      <c r="R1039" s="34" t="s">
        <v>21</v>
      </c>
      <c r="S1039" s="34" t="s">
        <v>297</v>
      </c>
      <c r="T1039" s="34"/>
      <c r="U1039" s="34"/>
      <c r="V1039" s="34" t="s">
        <v>22</v>
      </c>
      <c r="W1039" s="34" t="s">
        <v>28</v>
      </c>
      <c r="X1039" s="38" t="s">
        <v>164</v>
      </c>
      <c r="Y1039" s="62">
        <v>44155</v>
      </c>
      <c r="Z1039" s="38">
        <f t="shared" si="49"/>
        <v>1</v>
      </c>
      <c r="AA1039" s="38"/>
      <c r="AB1039" s="34">
        <v>9</v>
      </c>
      <c r="AC1039" s="34">
        <v>9.16</v>
      </c>
      <c r="AD1039" s="38"/>
      <c r="AE1039" s="59" t="str">
        <f t="shared" si="50"/>
        <v>NO</v>
      </c>
      <c r="AF1039" s="38" t="e" cm="1">
        <f t="array" aca="1" ref="AF1039" ca="1">MIN(100, MAX(0, (IF(R1039="ESTUDIANTE", 31, 0)) + (IF(I1039&lt;=3, 30, IF(I1039&lt;=6, 20, 0))) +(IF(OR(E1039="413 - Control de Costes y Enlace Construcción", E1039="480 - Secretaría General del Consejo", E1039="132 - Civil y estructuras", E1039="136 - Mecánica", E1039="412 - Planificación", E1039="142 - Compras"), 25, 0)) +(IF(OR(S1039="GRADO ING. MECÁNICA", S1039="GRADO ING. ELÉCTRICA", S1039="GRADO DERECHO", S1039="GRADO ECONOMÍA", S1039="GRADO ING. TECNOLOGÍAS INDUSTRIALES"), 24, 0)) + (IF(AND(K1039&gt;=451, K1039&lt;=700), 23, 0)) + (IF(AND(AB1039&gt;=5, AB1039&lt;=8), 17, 0)) +(IF(_xludf.OR(_xludf.AND(AC1039&gt;=8, AC1039&lt;=10), _xludf.AND(AC1039&gt;=0, AC1039&lt;=5)), 16, 0)) + (IF(F1039="Madrid", 11, 0))))</f>
        <v>#NAME?</v>
      </c>
      <c r="AG1039" s="68"/>
      <c r="AH1039" s="71" t="s">
        <v>164</v>
      </c>
    </row>
    <row r="1040" spans="1:34" ht="14.4" x14ac:dyDescent="0.3">
      <c r="A1040" s="66" t="s">
        <v>1817</v>
      </c>
      <c r="B1040" s="66" t="s">
        <v>3934</v>
      </c>
      <c r="C1040" s="33">
        <v>1039</v>
      </c>
      <c r="D1040" s="33" t="s">
        <v>5404</v>
      </c>
      <c r="E1040" s="34" t="s">
        <v>5292</v>
      </c>
      <c r="F1040" s="34" t="s">
        <v>18</v>
      </c>
      <c r="G1040" s="57">
        <v>43612</v>
      </c>
      <c r="H1040" s="57">
        <v>43697</v>
      </c>
      <c r="I1040" s="34">
        <f t="shared" si="48"/>
        <v>2</v>
      </c>
      <c r="J1040" s="34">
        <v>35</v>
      </c>
      <c r="K1040" s="36">
        <v>0</v>
      </c>
      <c r="L1040" s="34" t="s">
        <v>17</v>
      </c>
      <c r="M1040" s="57">
        <v>35790</v>
      </c>
      <c r="N1040" s="37">
        <f>(YEAR(TablaMadre[[#This Row],[ALTA]])-YEAR(M1040))</f>
        <v>22</v>
      </c>
      <c r="O1040" s="34" t="s">
        <v>18</v>
      </c>
      <c r="P1040" s="34" t="s">
        <v>19</v>
      </c>
      <c r="Q1040" s="34" t="s">
        <v>136</v>
      </c>
      <c r="R1040" s="34" t="s">
        <v>30</v>
      </c>
      <c r="S1040" s="34" t="s">
        <v>136</v>
      </c>
      <c r="T1040" s="34"/>
      <c r="U1040" s="34"/>
      <c r="V1040" s="34" t="s">
        <v>90</v>
      </c>
      <c r="W1040" s="34" t="s">
        <v>23</v>
      </c>
      <c r="X1040" s="38" t="s">
        <v>164</v>
      </c>
      <c r="Y1040" s="62"/>
      <c r="Z1040" s="62" t="e">
        <f t="shared" si="49"/>
        <v>#NUM!</v>
      </c>
      <c r="AA1040" s="62"/>
      <c r="AB1040" s="34"/>
      <c r="AC1040" s="34"/>
      <c r="AD1040" s="38"/>
      <c r="AE1040" s="59" t="str">
        <f t="shared" si="50"/>
        <v>NO</v>
      </c>
      <c r="AF1040" s="38" t="e" cm="1">
        <f t="array" aca="1" ref="AF1040" ca="1">MIN(100, MAX(0, (IF(R1040="ESTUDIANTE", 31, 0)) + (IF(I1040&lt;=3, 30, IF(I1040&lt;=6, 20, 0))) +(IF(OR(E1040="413 - Control de Costes y Enlace Construcción", E1040="480 - Secretaría General del Consejo", E1040="132 - Civil y estructuras", E1040="136 - Mecánica", E1040="412 - Planificación", E1040="142 - Compras"), 25, 0)) +(IF(OR(S1040="GRADO ING. MECÁNICA", S1040="GRADO ING. ELÉCTRICA", S1040="GRADO DERECHO", S1040="GRADO ECONOMÍA", S1040="GRADO ING. TECNOLOGÍAS INDUSTRIALES"), 24, 0)) + (IF(AND(K1040&gt;=451, K1040&lt;=700), 23, 0)) + (IF(AND(AB1040&gt;=5, AB1040&lt;=8), 17, 0)) +(IF(_xludf.OR(_xludf.AND(AC1040&gt;=8, AC1040&lt;=10), _xludf.AND(AC1040&gt;=0, AC1040&lt;=5)), 16, 0)) + (IF(F1040="Madrid", 11, 0))))</f>
        <v>#NAME?</v>
      </c>
      <c r="AG1040" s="68"/>
      <c r="AH1040" s="71" t="s">
        <v>164</v>
      </c>
    </row>
    <row r="1041" spans="1:34" ht="14.4" x14ac:dyDescent="0.3">
      <c r="A1041" s="66" t="s">
        <v>2013</v>
      </c>
      <c r="B1041" s="66" t="s">
        <v>4130</v>
      </c>
      <c r="C1041" s="33">
        <v>1043</v>
      </c>
      <c r="D1041" s="33" t="s">
        <v>5405</v>
      </c>
      <c r="E1041" s="34" t="s">
        <v>5222</v>
      </c>
      <c r="F1041" s="34" t="s">
        <v>18</v>
      </c>
      <c r="G1041" s="57">
        <v>43612</v>
      </c>
      <c r="H1041" s="57">
        <v>44141</v>
      </c>
      <c r="I1041" s="34">
        <f t="shared" si="48"/>
        <v>17</v>
      </c>
      <c r="J1041" s="34">
        <v>35</v>
      </c>
      <c r="K1041" s="36">
        <v>825</v>
      </c>
      <c r="L1041" s="34" t="s">
        <v>17</v>
      </c>
      <c r="M1041" s="57">
        <v>34571</v>
      </c>
      <c r="N1041" s="37">
        <f>(YEAR(TablaMadre[[#This Row],[ALTA]])-YEAR(M1041))</f>
        <v>25</v>
      </c>
      <c r="O1041" s="34" t="s">
        <v>143</v>
      </c>
      <c r="P1041" s="34" t="s">
        <v>19</v>
      </c>
      <c r="Q1041" s="34" t="s">
        <v>455</v>
      </c>
      <c r="R1041" s="34" t="s">
        <v>21</v>
      </c>
      <c r="S1041" s="34" t="s">
        <v>322</v>
      </c>
      <c r="T1041" s="34"/>
      <c r="U1041" s="34"/>
      <c r="V1041" s="34" t="s">
        <v>22</v>
      </c>
      <c r="W1041" s="34" t="s">
        <v>181</v>
      </c>
      <c r="X1041" s="38" t="s">
        <v>164</v>
      </c>
      <c r="Y1041" s="62"/>
      <c r="Z1041" s="62" t="e">
        <f t="shared" si="49"/>
        <v>#NUM!</v>
      </c>
      <c r="AA1041" s="62"/>
      <c r="AB1041" s="34">
        <v>8</v>
      </c>
      <c r="AC1041" s="34">
        <v>8.42</v>
      </c>
      <c r="AD1041" s="38"/>
      <c r="AE1041" s="59" t="str">
        <f t="shared" si="50"/>
        <v>SÍ</v>
      </c>
      <c r="AF1041" s="38" t="e" cm="1">
        <f t="array" aca="1" ref="AF1041" ca="1">MIN(100, MAX(0, (IF(R1041="ESTUDIANTE", 31, 0)) + (IF(I1041&lt;=3, 30, IF(I1041&lt;=6, 20, 0))) +(IF(OR(E1041="413 - Control de Costes y Enlace Construcción", E1041="480 - Secretaría General del Consejo", E1041="132 - Civil y estructuras", E1041="136 - Mecánica", E1041="412 - Planificación", E1041="142 - Compras"), 25, 0)) +(IF(OR(S1041="GRADO ING. MECÁNICA", S1041="GRADO ING. ELÉCTRICA", S1041="GRADO DERECHO", S1041="GRADO ECONOMÍA", S1041="GRADO ING. TECNOLOGÍAS INDUSTRIALES"), 24, 0)) + (IF(AND(K1041&gt;=451, K1041&lt;=700), 23, 0)) + (IF(AND(AB1041&gt;=5, AB1041&lt;=8), 17, 0)) +(IF(_xludf.OR(_xludf.AND(AC1041&gt;=8, AC1041&lt;=10), _xludf.AND(AC1041&gt;=0, AC1041&lt;=5)), 16, 0)) + (IF(F1041="Madrid", 11, 0))))</f>
        <v>#NAME?</v>
      </c>
      <c r="AG1041" s="68"/>
      <c r="AH1041" s="71" t="s">
        <v>164</v>
      </c>
    </row>
    <row r="1042" spans="1:34" ht="14.4" x14ac:dyDescent="0.3">
      <c r="A1042" s="66" t="s">
        <v>2015</v>
      </c>
      <c r="B1042" s="66" t="s">
        <v>4132</v>
      </c>
      <c r="C1042" s="33">
        <v>1042</v>
      </c>
      <c r="D1042" s="33" t="s">
        <v>5403</v>
      </c>
      <c r="E1042" s="34" t="s">
        <v>5222</v>
      </c>
      <c r="F1042" s="34" t="s">
        <v>18</v>
      </c>
      <c r="G1042" s="57">
        <v>43612</v>
      </c>
      <c r="H1042" s="57">
        <v>44132</v>
      </c>
      <c r="I1042" s="34">
        <f t="shared" si="48"/>
        <v>17</v>
      </c>
      <c r="J1042" s="34">
        <v>35</v>
      </c>
      <c r="K1042" s="36">
        <v>900</v>
      </c>
      <c r="L1042" s="34" t="s">
        <v>17</v>
      </c>
      <c r="M1042" s="57">
        <v>34082</v>
      </c>
      <c r="N1042" s="37">
        <f>(YEAR(TablaMadre[[#This Row],[ALTA]])-YEAR(M1042))</f>
        <v>26</v>
      </c>
      <c r="O1042" s="34" t="s">
        <v>18</v>
      </c>
      <c r="P1042" s="34" t="s">
        <v>19</v>
      </c>
      <c r="Q1042" s="34" t="s">
        <v>455</v>
      </c>
      <c r="R1042" s="34" t="s">
        <v>21</v>
      </c>
      <c r="S1042" s="34" t="s">
        <v>322</v>
      </c>
      <c r="T1042" s="34"/>
      <c r="U1042" s="34"/>
      <c r="V1042" s="34" t="s">
        <v>22</v>
      </c>
      <c r="W1042" s="34" t="s">
        <v>181</v>
      </c>
      <c r="X1042" s="38" t="s">
        <v>164</v>
      </c>
      <c r="Y1042" s="62"/>
      <c r="Z1042" s="62" t="e">
        <f t="shared" si="49"/>
        <v>#NUM!</v>
      </c>
      <c r="AA1042" s="62"/>
      <c r="AB1042" s="34">
        <v>8</v>
      </c>
      <c r="AC1042" s="34">
        <v>8.84</v>
      </c>
      <c r="AD1042" s="38"/>
      <c r="AE1042" s="59" t="str">
        <f t="shared" si="50"/>
        <v>NO</v>
      </c>
      <c r="AF1042" s="38" t="e" cm="1">
        <f t="array" aca="1" ref="AF1042" ca="1">MIN(100, MAX(0, (IF(R1042="ESTUDIANTE", 31, 0)) + (IF(I1042&lt;=3, 30, IF(I1042&lt;=6, 20, 0))) +(IF(OR(E1042="413 - Control de Costes y Enlace Construcción", E1042="480 - Secretaría General del Consejo", E1042="132 - Civil y estructuras", E1042="136 - Mecánica", E1042="412 - Planificación", E1042="142 - Compras"), 25, 0)) +(IF(OR(S1042="GRADO ING. MECÁNICA", S1042="GRADO ING. ELÉCTRICA", S1042="GRADO DERECHO", S1042="GRADO ECONOMÍA", S1042="GRADO ING. TECNOLOGÍAS INDUSTRIALES"), 24, 0)) + (IF(AND(K1042&gt;=451, K1042&lt;=700), 23, 0)) + (IF(AND(AB1042&gt;=5, AB1042&lt;=8), 17, 0)) +(IF(_xludf.OR(_xludf.AND(AC1042&gt;=8, AC1042&lt;=10), _xludf.AND(AC1042&gt;=0, AC1042&lt;=5)), 16, 0)) + (IF(F1042="Madrid", 11, 0))))</f>
        <v>#NAME?</v>
      </c>
      <c r="AG1042" s="68"/>
      <c r="AH1042" s="71" t="s">
        <v>164</v>
      </c>
    </row>
    <row r="1043" spans="1:34" ht="14.4" x14ac:dyDescent="0.3">
      <c r="A1043" s="66" t="s">
        <v>2017</v>
      </c>
      <c r="B1043" s="66" t="s">
        <v>4134</v>
      </c>
      <c r="C1043" s="33">
        <v>1044</v>
      </c>
      <c r="D1043" s="33" t="s">
        <v>5404</v>
      </c>
      <c r="E1043" s="34" t="s">
        <v>5222</v>
      </c>
      <c r="F1043" s="34" t="s">
        <v>18</v>
      </c>
      <c r="G1043" s="57">
        <v>43612</v>
      </c>
      <c r="H1043" s="57">
        <v>44161</v>
      </c>
      <c r="I1043" s="34">
        <f t="shared" si="48"/>
        <v>17</v>
      </c>
      <c r="J1043" s="34">
        <v>35</v>
      </c>
      <c r="K1043" s="36">
        <v>825</v>
      </c>
      <c r="L1043" s="34" t="s">
        <v>17</v>
      </c>
      <c r="M1043" s="57">
        <v>34298</v>
      </c>
      <c r="N1043" s="37">
        <f>(YEAR(TablaMadre[[#This Row],[ALTA]])-YEAR(M1043))</f>
        <v>26</v>
      </c>
      <c r="O1043" s="34" t="s">
        <v>185</v>
      </c>
      <c r="P1043" s="34" t="s">
        <v>19</v>
      </c>
      <c r="Q1043" s="34" t="s">
        <v>322</v>
      </c>
      <c r="R1043" s="34" t="s">
        <v>21</v>
      </c>
      <c r="S1043" s="34" t="s">
        <v>322</v>
      </c>
      <c r="T1043" s="34"/>
      <c r="U1043" s="34"/>
      <c r="V1043" s="34" t="s">
        <v>74</v>
      </c>
      <c r="W1043" s="34" t="s">
        <v>370</v>
      </c>
      <c r="X1043" s="38" t="s">
        <v>164</v>
      </c>
      <c r="Y1043" s="62"/>
      <c r="Z1043" s="62" t="e">
        <f t="shared" si="49"/>
        <v>#NUM!</v>
      </c>
      <c r="AA1043" s="62"/>
      <c r="AB1043" s="34">
        <v>9</v>
      </c>
      <c r="AC1043" s="34">
        <v>8.74</v>
      </c>
      <c r="AD1043" s="38"/>
      <c r="AE1043" s="59" t="str">
        <f t="shared" si="50"/>
        <v>SÍ</v>
      </c>
      <c r="AF1043" s="38" t="e" cm="1">
        <f t="array" aca="1" ref="AF1043" ca="1">MIN(100, MAX(0, (IF(R1043="ESTUDIANTE", 31, 0)) + (IF(I1043&lt;=3, 30, IF(I1043&lt;=6, 20, 0))) +(IF(OR(E1043="413 - Control de Costes y Enlace Construcción", E1043="480 - Secretaría General del Consejo", E1043="132 - Civil y estructuras", E1043="136 - Mecánica", E1043="412 - Planificación", E1043="142 - Compras"), 25, 0)) +(IF(OR(S1043="GRADO ING. MECÁNICA", S1043="GRADO ING. ELÉCTRICA", S1043="GRADO DERECHO", S1043="GRADO ECONOMÍA", S1043="GRADO ING. TECNOLOGÍAS INDUSTRIALES"), 24, 0)) + (IF(AND(K1043&gt;=451, K1043&lt;=700), 23, 0)) + (IF(AND(AB1043&gt;=5, AB1043&lt;=8), 17, 0)) +(IF(_xludf.OR(_xludf.AND(AC1043&gt;=8, AC1043&lt;=10), _xludf.AND(AC1043&gt;=0, AC1043&lt;=5)), 16, 0)) + (IF(F1043="Madrid", 11, 0))))</f>
        <v>#NAME?</v>
      </c>
      <c r="AG1043" s="68"/>
      <c r="AH1043" s="71" t="s">
        <v>164</v>
      </c>
    </row>
    <row r="1044" spans="1:34" ht="14.4" x14ac:dyDescent="0.3">
      <c r="A1044" s="66" t="s">
        <v>2018</v>
      </c>
      <c r="B1044" s="66" t="s">
        <v>4135</v>
      </c>
      <c r="C1044" s="33">
        <v>1045</v>
      </c>
      <c r="D1044" s="33" t="s">
        <v>5405</v>
      </c>
      <c r="E1044" s="34" t="s">
        <v>5216</v>
      </c>
      <c r="F1044" s="34" t="s">
        <v>18</v>
      </c>
      <c r="G1044" s="57">
        <v>43612</v>
      </c>
      <c r="H1044" s="57">
        <v>44161</v>
      </c>
      <c r="I1044" s="34">
        <f t="shared" si="48"/>
        <v>17</v>
      </c>
      <c r="J1044" s="34">
        <v>35</v>
      </c>
      <c r="K1044" s="36">
        <v>825</v>
      </c>
      <c r="L1044" s="34" t="s">
        <v>17</v>
      </c>
      <c r="M1044" s="57">
        <v>33772</v>
      </c>
      <c r="N1044" s="37">
        <f>(YEAR(TablaMadre[[#This Row],[ALTA]])-YEAR(M1044))</f>
        <v>27</v>
      </c>
      <c r="O1044" s="34" t="s">
        <v>191</v>
      </c>
      <c r="P1044" s="34" t="s">
        <v>191</v>
      </c>
      <c r="Q1044" s="34" t="s">
        <v>428</v>
      </c>
      <c r="R1044" s="34" t="s">
        <v>21</v>
      </c>
      <c r="S1044" s="34" t="s">
        <v>297</v>
      </c>
      <c r="T1044" s="34"/>
      <c r="U1044" s="34"/>
      <c r="V1044" s="34" t="s">
        <v>22</v>
      </c>
      <c r="W1044" s="34" t="s">
        <v>370</v>
      </c>
      <c r="X1044" s="34" t="s">
        <v>173</v>
      </c>
      <c r="Y1044" s="57"/>
      <c r="Z1044" s="57" t="e">
        <f t="shared" si="49"/>
        <v>#NUM!</v>
      </c>
      <c r="AA1044" s="57"/>
      <c r="AB1044" s="34">
        <v>7</v>
      </c>
      <c r="AC1044" s="34">
        <v>10</v>
      </c>
      <c r="AD1044" s="34"/>
      <c r="AE1044" s="59" t="str">
        <f t="shared" si="50"/>
        <v>SÍ</v>
      </c>
      <c r="AF1044" s="38" t="e" cm="1">
        <f t="array" aca="1" ref="AF1044" ca="1">MIN(100, MAX(0, (IF(R1044="ESTUDIANTE", 31, 0)) + (IF(I1044&lt;=3, 30, IF(I1044&lt;=6, 20, 0))) +(IF(OR(E1044="413 - Control de Costes y Enlace Construcción", E1044="480 - Secretaría General del Consejo", E1044="132 - Civil y estructuras", E1044="136 - Mecánica", E1044="412 - Planificación", E1044="142 - Compras"), 25, 0)) +(IF(OR(S1044="GRADO ING. MECÁNICA", S1044="GRADO ING. ELÉCTRICA", S1044="GRADO DERECHO", S1044="GRADO ECONOMÍA", S1044="GRADO ING. TECNOLOGÍAS INDUSTRIALES"), 24, 0)) + (IF(AND(K1044&gt;=451, K1044&lt;=700), 23, 0)) + (IF(AND(AB1044&gt;=5, AB1044&lt;=8), 17, 0)) +(IF(_xludf.OR(_xludf.AND(AC1044&gt;=8, AC1044&lt;=10), _xludf.AND(AC1044&gt;=0, AC1044&lt;=5)), 16, 0)) + (IF(F1044="Madrid", 11, 0))))</f>
        <v>#NAME?</v>
      </c>
      <c r="AG1044" s="68"/>
      <c r="AH1044" s="71" t="s">
        <v>164</v>
      </c>
    </row>
    <row r="1045" spans="1:34" ht="14.4" x14ac:dyDescent="0.3">
      <c r="A1045" s="66" t="s">
        <v>2019</v>
      </c>
      <c r="B1045" s="66" t="s">
        <v>4136</v>
      </c>
      <c r="C1045" s="33">
        <v>1040</v>
      </c>
      <c r="D1045" s="33" t="s">
        <v>5403</v>
      </c>
      <c r="E1045" s="34" t="s">
        <v>5252</v>
      </c>
      <c r="F1045" s="34" t="s">
        <v>18</v>
      </c>
      <c r="G1045" s="57">
        <v>43612</v>
      </c>
      <c r="H1045" s="57">
        <v>43977</v>
      </c>
      <c r="I1045" s="34">
        <f t="shared" si="48"/>
        <v>11</v>
      </c>
      <c r="J1045" s="34">
        <v>35</v>
      </c>
      <c r="K1045" s="36">
        <v>900</v>
      </c>
      <c r="L1045" s="34" t="s">
        <v>17</v>
      </c>
      <c r="M1045" s="57">
        <v>33700</v>
      </c>
      <c r="N1045" s="37">
        <f>(YEAR(TablaMadre[[#This Row],[ALTA]])-YEAR(M1045))</f>
        <v>27</v>
      </c>
      <c r="O1045" s="34" t="s">
        <v>18</v>
      </c>
      <c r="P1045" s="34" t="s">
        <v>19</v>
      </c>
      <c r="Q1045" s="34" t="s">
        <v>455</v>
      </c>
      <c r="R1045" s="34" t="s">
        <v>21</v>
      </c>
      <c r="S1045" s="34" t="s">
        <v>322</v>
      </c>
      <c r="T1045" s="34"/>
      <c r="U1045" s="34"/>
      <c r="V1045" s="34" t="s">
        <v>22</v>
      </c>
      <c r="W1045" s="34" t="s">
        <v>370</v>
      </c>
      <c r="X1045" s="38" t="s">
        <v>164</v>
      </c>
      <c r="Y1045" s="62"/>
      <c r="Z1045" s="62" t="e">
        <f t="shared" si="49"/>
        <v>#NUM!</v>
      </c>
      <c r="AA1045" s="62"/>
      <c r="AB1045" s="34">
        <v>7</v>
      </c>
      <c r="AC1045" s="34">
        <v>10</v>
      </c>
      <c r="AD1045" s="38"/>
      <c r="AE1045" s="59" t="str">
        <f t="shared" si="50"/>
        <v>NO</v>
      </c>
      <c r="AF1045" s="38" t="e" cm="1">
        <f t="array" aca="1" ref="AF1045" ca="1">MIN(100, MAX(0, (IF(R1045="ESTUDIANTE", 31, 0)) + (IF(I1045&lt;=3, 30, IF(I1045&lt;=6, 20, 0))) +(IF(OR(E1045="413 - Control de Costes y Enlace Construcción", E1045="480 - Secretaría General del Consejo", E1045="132 - Civil y estructuras", E1045="136 - Mecánica", E1045="412 - Planificación", E1045="142 - Compras"), 25, 0)) +(IF(OR(S1045="GRADO ING. MECÁNICA", S1045="GRADO ING. ELÉCTRICA", S1045="GRADO DERECHO", S1045="GRADO ECONOMÍA", S1045="GRADO ING. TECNOLOGÍAS INDUSTRIALES"), 24, 0)) + (IF(AND(K1045&gt;=451, K1045&lt;=700), 23, 0)) + (IF(AND(AB1045&gt;=5, AB1045&lt;=8), 17, 0)) +(IF(_xludf.OR(_xludf.AND(AC1045&gt;=8, AC1045&lt;=10), _xludf.AND(AC1045&gt;=0, AC1045&lt;=5)), 16, 0)) + (IF(F1045="Madrid", 11, 0))))</f>
        <v>#NAME?</v>
      </c>
      <c r="AG1045" s="68"/>
      <c r="AH1045" s="71" t="s">
        <v>164</v>
      </c>
    </row>
    <row r="1046" spans="1:34" s="4" customFormat="1" ht="14.4" x14ac:dyDescent="0.3">
      <c r="A1046" s="66" t="s">
        <v>2020</v>
      </c>
      <c r="B1046" s="66" t="s">
        <v>4137</v>
      </c>
      <c r="C1046" s="33">
        <v>1041</v>
      </c>
      <c r="D1046" s="33" t="s">
        <v>5396</v>
      </c>
      <c r="E1046" s="34" t="s">
        <v>5252</v>
      </c>
      <c r="F1046" s="34" t="s">
        <v>18</v>
      </c>
      <c r="G1046" s="57">
        <v>43612</v>
      </c>
      <c r="H1046" s="57">
        <v>43977</v>
      </c>
      <c r="I1046" s="34">
        <f t="shared" si="48"/>
        <v>11</v>
      </c>
      <c r="J1046" s="34">
        <v>35</v>
      </c>
      <c r="K1046" s="36">
        <v>825</v>
      </c>
      <c r="L1046" s="34" t="s">
        <v>17</v>
      </c>
      <c r="M1046" s="57">
        <v>33623</v>
      </c>
      <c r="N1046" s="37">
        <f>(YEAR(TablaMadre[[#This Row],[ALTA]])-YEAR(M1046))</f>
        <v>27</v>
      </c>
      <c r="O1046" s="34" t="s">
        <v>18</v>
      </c>
      <c r="P1046" s="34" t="s">
        <v>19</v>
      </c>
      <c r="Q1046" s="34" t="s">
        <v>297</v>
      </c>
      <c r="R1046" s="34" t="s">
        <v>21</v>
      </c>
      <c r="S1046" s="34" t="s">
        <v>297</v>
      </c>
      <c r="T1046" s="34"/>
      <c r="U1046" s="34"/>
      <c r="V1046" s="34" t="s">
        <v>22</v>
      </c>
      <c r="W1046" s="34" t="s">
        <v>370</v>
      </c>
      <c r="X1046" s="38" t="s">
        <v>164</v>
      </c>
      <c r="Y1046" s="62"/>
      <c r="Z1046" s="62" t="e">
        <f t="shared" si="49"/>
        <v>#NUM!</v>
      </c>
      <c r="AA1046" s="62"/>
      <c r="AB1046" s="34">
        <v>8</v>
      </c>
      <c r="AC1046" s="34">
        <v>10</v>
      </c>
      <c r="AD1046" s="38"/>
      <c r="AE1046" s="59" t="str">
        <f t="shared" si="50"/>
        <v>NO</v>
      </c>
      <c r="AF1046" s="34" t="e" cm="1">
        <f t="array" aca="1" ref="AF1046" ca="1">MIN(100, MAX(0, (IF(R1046="ESTUDIANTE", 31, 0)) + (IF(I1046&lt;=3, 30, IF(I1046&lt;=6, 20, 0))) +(IF(OR(E1046="413 - Control de Costes y Enlace Construcción", E1046="480 - Secretaría General del Consejo", E1046="132 - Civil y estructuras", E1046="136 - Mecánica", E1046="412 - Planificación", E1046="142 - Compras"), 25, 0)) +(IF(OR(S1046="GRADO ING. MECÁNICA", S1046="GRADO ING. ELÉCTRICA", S1046="GRADO DERECHO", S1046="GRADO ECONOMÍA", S1046="GRADO ING. TECNOLOGÍAS INDUSTRIALES"), 24, 0)) + (IF(AND(K1046&gt;=451, K1046&lt;=700), 23, 0)) + (IF(AND(AB1046&gt;=5, AB1046&lt;=8), 17, 0)) +(IF(_xludf.OR(_xludf.AND(AC1046&gt;=8, AC1046&lt;=10), _xludf.AND(AC1046&gt;=0, AC1046&lt;=5)), 16, 0)) + (IF(F1046="Madrid", 11, 0))))</f>
        <v>#NAME?</v>
      </c>
      <c r="AG1046" s="69"/>
      <c r="AH1046" s="71" t="s">
        <v>164</v>
      </c>
    </row>
    <row r="1047" spans="1:34" ht="14.4" x14ac:dyDescent="0.3">
      <c r="A1047" s="66" t="s">
        <v>2021</v>
      </c>
      <c r="B1047" s="66" t="s">
        <v>4138</v>
      </c>
      <c r="C1047" s="33">
        <v>1049</v>
      </c>
      <c r="D1047" s="33" t="s">
        <v>5397</v>
      </c>
      <c r="E1047" s="34" t="s">
        <v>5216</v>
      </c>
      <c r="F1047" s="34" t="s">
        <v>18</v>
      </c>
      <c r="G1047" s="57">
        <v>43619</v>
      </c>
      <c r="H1047" s="57">
        <v>44165</v>
      </c>
      <c r="I1047" s="34">
        <f t="shared" si="48"/>
        <v>17</v>
      </c>
      <c r="J1047" s="34">
        <v>35</v>
      </c>
      <c r="K1047" s="36">
        <v>900</v>
      </c>
      <c r="L1047" s="34" t="s">
        <v>17</v>
      </c>
      <c r="M1047" s="57">
        <v>34110</v>
      </c>
      <c r="N1047" s="37">
        <f>(YEAR(TablaMadre[[#This Row],[ALTA]])-YEAR(M1047))</f>
        <v>26</v>
      </c>
      <c r="O1047" s="34" t="s">
        <v>18</v>
      </c>
      <c r="P1047" s="34" t="s">
        <v>19</v>
      </c>
      <c r="Q1047" s="34" t="s">
        <v>428</v>
      </c>
      <c r="R1047" s="34" t="s">
        <v>21</v>
      </c>
      <c r="S1047" s="34" t="s">
        <v>297</v>
      </c>
      <c r="T1047" s="34"/>
      <c r="U1047" s="34"/>
      <c r="V1047" s="34" t="s">
        <v>84</v>
      </c>
      <c r="W1047" s="34" t="s">
        <v>370</v>
      </c>
      <c r="X1047" s="38" t="s">
        <v>164</v>
      </c>
      <c r="Y1047" s="62"/>
      <c r="Z1047" s="62" t="e">
        <f t="shared" si="49"/>
        <v>#NUM!</v>
      </c>
      <c r="AA1047" s="62"/>
      <c r="AB1047" s="34">
        <v>9</v>
      </c>
      <c r="AC1047" s="34">
        <v>9</v>
      </c>
      <c r="AD1047" s="38"/>
      <c r="AE1047" s="59" t="str">
        <f t="shared" si="50"/>
        <v>NO</v>
      </c>
      <c r="AF1047" s="38" t="e" cm="1">
        <f t="array" aca="1" ref="AF1047" ca="1">MIN(100, MAX(0, (IF(R1047="ESTUDIANTE", 31, 0)) + (IF(I1047&lt;=3, 30, IF(I1047&lt;=6, 20, 0))) +(IF(OR(E1047="413 - Control de Costes y Enlace Construcción", E1047="480 - Secretaría General del Consejo", E1047="132 - Civil y estructuras", E1047="136 - Mecánica", E1047="412 - Planificación", E1047="142 - Compras"), 25, 0)) +(IF(OR(S1047="GRADO ING. MECÁNICA", S1047="GRADO ING. ELÉCTRICA", S1047="GRADO DERECHO", S1047="GRADO ECONOMÍA", S1047="GRADO ING. TECNOLOGÍAS INDUSTRIALES"), 24, 0)) + (IF(AND(K1047&gt;=451, K1047&lt;=700), 23, 0)) + (IF(AND(AB1047&gt;=5, AB1047&lt;=8), 17, 0)) +(IF(_xludf.OR(_xludf.AND(AC1047&gt;=8, AC1047&lt;=10), _xludf.AND(AC1047&gt;=0, AC1047&lt;=5)), 16, 0)) + (IF(F1047="Madrid", 11, 0))))</f>
        <v>#NAME?</v>
      </c>
      <c r="AG1047" s="68"/>
      <c r="AH1047" s="71" t="s">
        <v>164</v>
      </c>
    </row>
    <row r="1048" spans="1:34" ht="14.4" x14ac:dyDescent="0.3">
      <c r="A1048" s="66" t="s">
        <v>2022</v>
      </c>
      <c r="B1048" s="66" t="s">
        <v>4139</v>
      </c>
      <c r="C1048" s="33">
        <v>1050</v>
      </c>
      <c r="D1048" s="33" t="s">
        <v>5393</v>
      </c>
      <c r="E1048" s="34" t="s">
        <v>5216</v>
      </c>
      <c r="F1048" s="34" t="s">
        <v>18</v>
      </c>
      <c r="G1048" s="57">
        <v>43619</v>
      </c>
      <c r="H1048" s="57">
        <v>44167</v>
      </c>
      <c r="I1048" s="34">
        <f t="shared" si="48"/>
        <v>17</v>
      </c>
      <c r="J1048" s="34">
        <v>30</v>
      </c>
      <c r="K1048" s="36">
        <v>705</v>
      </c>
      <c r="L1048" s="34" t="s">
        <v>17</v>
      </c>
      <c r="M1048" s="57">
        <v>35552</v>
      </c>
      <c r="N1048" s="37">
        <f>(YEAR(TablaMadre[[#This Row],[ALTA]])-YEAR(M1048))</f>
        <v>22</v>
      </c>
      <c r="O1048" s="34" t="s">
        <v>18</v>
      </c>
      <c r="P1048" s="34" t="s">
        <v>19</v>
      </c>
      <c r="Q1048" s="34" t="s">
        <v>297</v>
      </c>
      <c r="R1048" s="34" t="s">
        <v>21</v>
      </c>
      <c r="S1048" s="34" t="s">
        <v>297</v>
      </c>
      <c r="T1048" s="34"/>
      <c r="U1048" s="34"/>
      <c r="V1048" s="34" t="s">
        <v>22</v>
      </c>
      <c r="W1048" s="34" t="s">
        <v>370</v>
      </c>
      <c r="X1048" s="38" t="s">
        <v>164</v>
      </c>
      <c r="Y1048" s="62"/>
      <c r="Z1048" s="62" t="e">
        <f t="shared" si="49"/>
        <v>#NUM!</v>
      </c>
      <c r="AA1048" s="62"/>
      <c r="AB1048" s="34">
        <v>10</v>
      </c>
      <c r="AC1048" s="34">
        <v>8</v>
      </c>
      <c r="AD1048" s="38"/>
      <c r="AE1048" s="59" t="str">
        <f t="shared" si="50"/>
        <v>NO</v>
      </c>
      <c r="AF1048" s="38" t="e" cm="1">
        <f t="array" aca="1" ref="AF1048" ca="1">MIN(100, MAX(0, (IF(R1048="ESTUDIANTE", 31, 0)) + (IF(I1048&lt;=3, 30, IF(I1048&lt;=6, 20, 0))) +(IF(OR(E1048="413 - Control de Costes y Enlace Construcción", E1048="480 - Secretaría General del Consejo", E1048="132 - Civil y estructuras", E1048="136 - Mecánica", E1048="412 - Planificación", E1048="142 - Compras"), 25, 0)) +(IF(OR(S1048="GRADO ING. MECÁNICA", S1048="GRADO ING. ELÉCTRICA", S1048="GRADO DERECHO", S1048="GRADO ECONOMÍA", S1048="GRADO ING. TECNOLOGÍAS INDUSTRIALES"), 24, 0)) + (IF(AND(K1048&gt;=451, K1048&lt;=700), 23, 0)) + (IF(AND(AB1048&gt;=5, AB1048&lt;=8), 17, 0)) +(IF(_xludf.OR(_xludf.AND(AC1048&gt;=8, AC1048&lt;=10), _xludf.AND(AC1048&gt;=0, AC1048&lt;=5)), 16, 0)) + (IF(F1048="Madrid", 11, 0))))</f>
        <v>#NAME?</v>
      </c>
      <c r="AG1048" s="68"/>
      <c r="AH1048" s="71" t="s">
        <v>164</v>
      </c>
    </row>
    <row r="1049" spans="1:34" ht="14.4" x14ac:dyDescent="0.3">
      <c r="A1049" s="66" t="s">
        <v>2023</v>
      </c>
      <c r="B1049" s="66" t="s">
        <v>4140</v>
      </c>
      <c r="C1049" s="33">
        <v>1048</v>
      </c>
      <c r="D1049" s="33" t="s">
        <v>5394</v>
      </c>
      <c r="E1049" s="34" t="s">
        <v>5221</v>
      </c>
      <c r="F1049" s="34" t="s">
        <v>118</v>
      </c>
      <c r="G1049" s="57">
        <v>43619</v>
      </c>
      <c r="H1049" s="57">
        <v>44132</v>
      </c>
      <c r="I1049" s="34">
        <f t="shared" si="48"/>
        <v>16</v>
      </c>
      <c r="J1049" s="34">
        <v>35</v>
      </c>
      <c r="K1049" s="36">
        <v>900</v>
      </c>
      <c r="L1049" s="34" t="s">
        <v>17</v>
      </c>
      <c r="M1049" s="57">
        <v>34418</v>
      </c>
      <c r="N1049" s="37">
        <f>(YEAR(TablaMadre[[#This Row],[ALTA]])-YEAR(M1049))</f>
        <v>25</v>
      </c>
      <c r="O1049" s="34" t="s">
        <v>217</v>
      </c>
      <c r="P1049" s="34" t="s">
        <v>19</v>
      </c>
      <c r="Q1049" s="34" t="s">
        <v>428</v>
      </c>
      <c r="R1049" s="34" t="s">
        <v>21</v>
      </c>
      <c r="S1049" s="34" t="s">
        <v>297</v>
      </c>
      <c r="T1049" s="34"/>
      <c r="U1049" s="34"/>
      <c r="V1049" s="34" t="s">
        <v>193</v>
      </c>
      <c r="W1049" s="34" t="s">
        <v>370</v>
      </c>
      <c r="X1049" s="38" t="s">
        <v>173</v>
      </c>
      <c r="Y1049" s="62"/>
      <c r="Z1049" s="62" t="e">
        <f t="shared" si="49"/>
        <v>#NUM!</v>
      </c>
      <c r="AA1049" s="62"/>
      <c r="AB1049" s="34">
        <v>9</v>
      </c>
      <c r="AC1049" s="34">
        <v>8</v>
      </c>
      <c r="AD1049" s="38"/>
      <c r="AE1049" s="59" t="str">
        <f t="shared" si="50"/>
        <v>SÍ</v>
      </c>
      <c r="AF1049" s="38" t="e" cm="1">
        <f t="array" aca="1" ref="AF1049" ca="1">MIN(100, MAX(0, (IF(R1049="ESTUDIANTE", 31, 0)) + (IF(I1049&lt;=3, 30, IF(I1049&lt;=6, 20, 0))) +(IF(OR(E1049="413 - Control de Costes y Enlace Construcción", E1049="480 - Secretaría General del Consejo", E1049="132 - Civil y estructuras", E1049="136 - Mecánica", E1049="412 - Planificación", E1049="142 - Compras"), 25, 0)) +(IF(OR(S1049="GRADO ING. MECÁNICA", S1049="GRADO ING. ELÉCTRICA", S1049="GRADO DERECHO", S1049="GRADO ECONOMÍA", S1049="GRADO ING. TECNOLOGÍAS INDUSTRIALES"), 24, 0)) + (IF(AND(K1049&gt;=451, K1049&lt;=700), 23, 0)) + (IF(AND(AB1049&gt;=5, AB1049&lt;=8), 17, 0)) +(IF(_xludf.OR(_xludf.AND(AC1049&gt;=8, AC1049&lt;=10), _xludf.AND(AC1049&gt;=0, AC1049&lt;=5)), 16, 0)) + (IF(F1049="Madrid", 11, 0))))</f>
        <v>#NAME?</v>
      </c>
      <c r="AG1049" s="68"/>
      <c r="AH1049" s="71" t="s">
        <v>164</v>
      </c>
    </row>
    <row r="1050" spans="1:34" ht="14.4" x14ac:dyDescent="0.3">
      <c r="A1050" s="66" t="s">
        <v>2025</v>
      </c>
      <c r="B1050" s="66" t="s">
        <v>4142</v>
      </c>
      <c r="C1050" s="33">
        <v>1046</v>
      </c>
      <c r="D1050" s="33" t="s">
        <v>5395</v>
      </c>
      <c r="E1050" s="34" t="s">
        <v>5216</v>
      </c>
      <c r="F1050" s="34" t="s">
        <v>18</v>
      </c>
      <c r="G1050" s="57">
        <v>43619</v>
      </c>
      <c r="H1050" s="57">
        <v>43900</v>
      </c>
      <c r="I1050" s="34">
        <f t="shared" si="48"/>
        <v>9</v>
      </c>
      <c r="J1050" s="34">
        <v>35</v>
      </c>
      <c r="K1050" s="36">
        <v>900</v>
      </c>
      <c r="L1050" s="34" t="s">
        <v>29</v>
      </c>
      <c r="M1050" s="57">
        <v>34786</v>
      </c>
      <c r="N1050" s="37">
        <f>(YEAR(TablaMadre[[#This Row],[ALTA]])-YEAR(M1050))</f>
        <v>24</v>
      </c>
      <c r="O1050" s="34" t="s">
        <v>18</v>
      </c>
      <c r="P1050" s="34" t="s">
        <v>19</v>
      </c>
      <c r="Q1050" s="34" t="s">
        <v>449</v>
      </c>
      <c r="R1050" s="34" t="s">
        <v>21</v>
      </c>
      <c r="S1050" s="34" t="s">
        <v>297</v>
      </c>
      <c r="T1050" s="34"/>
      <c r="U1050" s="34"/>
      <c r="V1050" s="34" t="s">
        <v>90</v>
      </c>
      <c r="W1050" s="34" t="s">
        <v>28</v>
      </c>
      <c r="X1050" s="38" t="s">
        <v>164</v>
      </c>
      <c r="Y1050" s="62">
        <v>44266</v>
      </c>
      <c r="Z1050" s="38">
        <f t="shared" si="49"/>
        <v>1</v>
      </c>
      <c r="AA1050" s="38"/>
      <c r="AB1050" s="34">
        <v>10</v>
      </c>
      <c r="AC1050" s="34">
        <v>9</v>
      </c>
      <c r="AD1050" s="38"/>
      <c r="AE1050" s="59" t="str">
        <f t="shared" si="50"/>
        <v>NO</v>
      </c>
      <c r="AF1050" s="38" t="e" cm="1">
        <f t="array" aca="1" ref="AF1050" ca="1">MIN(100, MAX(0, (IF(R1050="ESTUDIANTE", 31, 0)) + (IF(I1050&lt;=3, 30, IF(I1050&lt;=6, 20, 0))) +(IF(OR(E1050="413 - Control de Costes y Enlace Construcción", E1050="480 - Secretaría General del Consejo", E1050="132 - Civil y estructuras", E1050="136 - Mecánica", E1050="412 - Planificación", E1050="142 - Compras"), 25, 0)) +(IF(OR(S1050="GRADO ING. MECÁNICA", S1050="GRADO ING. ELÉCTRICA", S1050="GRADO DERECHO", S1050="GRADO ECONOMÍA", S1050="GRADO ING. TECNOLOGÍAS INDUSTRIALES"), 24, 0)) + (IF(AND(K1050&gt;=451, K1050&lt;=700), 23, 0)) + (IF(AND(AB1050&gt;=5, AB1050&lt;=8), 17, 0)) +(IF(_xludf.OR(_xludf.AND(AC1050&gt;=8, AC1050&lt;=10), _xludf.AND(AC1050&gt;=0, AC1050&lt;=5)), 16, 0)) + (IF(F1050="Madrid", 11, 0))))</f>
        <v>#NAME?</v>
      </c>
      <c r="AG1050" s="68"/>
      <c r="AH1050" s="71" t="s">
        <v>164</v>
      </c>
    </row>
    <row r="1051" spans="1:34" ht="14.4" x14ac:dyDescent="0.3">
      <c r="A1051" s="66" t="s">
        <v>2026</v>
      </c>
      <c r="B1051" s="66" t="s">
        <v>4143</v>
      </c>
      <c r="C1051" s="33">
        <v>1047</v>
      </c>
      <c r="D1051" s="33" t="s">
        <v>5396</v>
      </c>
      <c r="E1051" s="34" t="s">
        <v>5216</v>
      </c>
      <c r="F1051" s="34" t="s">
        <v>18</v>
      </c>
      <c r="G1051" s="57">
        <v>43619</v>
      </c>
      <c r="H1051" s="57">
        <v>43900</v>
      </c>
      <c r="I1051" s="34">
        <f t="shared" si="48"/>
        <v>9</v>
      </c>
      <c r="J1051" s="34">
        <v>35</v>
      </c>
      <c r="K1051" s="36">
        <v>825</v>
      </c>
      <c r="L1051" s="34" t="s">
        <v>29</v>
      </c>
      <c r="M1051" s="57">
        <v>33790</v>
      </c>
      <c r="N1051" s="37">
        <f>(YEAR(TablaMadre[[#This Row],[ALTA]])-YEAR(M1051))</f>
        <v>27</v>
      </c>
      <c r="O1051" s="34" t="s">
        <v>945</v>
      </c>
      <c r="P1051" s="34" t="s">
        <v>19</v>
      </c>
      <c r="Q1051" s="34" t="s">
        <v>297</v>
      </c>
      <c r="R1051" s="34" t="s">
        <v>21</v>
      </c>
      <c r="S1051" s="34" t="s">
        <v>297</v>
      </c>
      <c r="T1051" s="34"/>
      <c r="U1051" s="34"/>
      <c r="V1051" s="34" t="s">
        <v>84</v>
      </c>
      <c r="W1051" s="34" t="s">
        <v>28</v>
      </c>
      <c r="X1051" s="38" t="s">
        <v>164</v>
      </c>
      <c r="Y1051" s="62">
        <v>44266</v>
      </c>
      <c r="Z1051" s="38">
        <f t="shared" si="49"/>
        <v>1</v>
      </c>
      <c r="AA1051" s="38"/>
      <c r="AB1051" s="34">
        <v>8</v>
      </c>
      <c r="AC1051" s="34">
        <v>9</v>
      </c>
      <c r="AD1051" s="38"/>
      <c r="AE1051" s="59" t="str">
        <f t="shared" si="50"/>
        <v>SÍ</v>
      </c>
      <c r="AF1051" s="38" t="e" cm="1">
        <f t="array" aca="1" ref="AF1051" ca="1">MIN(100, MAX(0, (IF(R1051="ESTUDIANTE", 31, 0)) + (IF(I1051&lt;=3, 30, IF(I1051&lt;=6, 20, 0))) +(IF(OR(E1051="413 - Control de Costes y Enlace Construcción", E1051="480 - Secretaría General del Consejo", E1051="132 - Civil y estructuras", E1051="136 - Mecánica", E1051="412 - Planificación", E1051="142 - Compras"), 25, 0)) +(IF(OR(S1051="GRADO ING. MECÁNICA", S1051="GRADO ING. ELÉCTRICA", S1051="GRADO DERECHO", S1051="GRADO ECONOMÍA", S1051="GRADO ING. TECNOLOGÍAS INDUSTRIALES"), 24, 0)) + (IF(AND(K1051&gt;=451, K1051&lt;=700), 23, 0)) + (IF(AND(AB1051&gt;=5, AB1051&lt;=8), 17, 0)) +(IF(_xludf.OR(_xludf.AND(AC1051&gt;=8, AC1051&lt;=10), _xludf.AND(AC1051&gt;=0, AC1051&lt;=5)), 16, 0)) + (IF(F1051="Madrid", 11, 0))))</f>
        <v>#NAME?</v>
      </c>
      <c r="AG1051" s="68"/>
      <c r="AH1051" s="71" t="s">
        <v>164</v>
      </c>
    </row>
    <row r="1052" spans="1:34" ht="14.4" x14ac:dyDescent="0.3">
      <c r="A1052" s="66" t="s">
        <v>2030</v>
      </c>
      <c r="B1052" s="66" t="s">
        <v>4147</v>
      </c>
      <c r="C1052" s="33">
        <v>1051</v>
      </c>
      <c r="D1052" s="33" t="s">
        <v>5397</v>
      </c>
      <c r="E1052" s="34" t="s">
        <v>5299</v>
      </c>
      <c r="F1052" s="34" t="s">
        <v>18</v>
      </c>
      <c r="G1052" s="57">
        <v>43626</v>
      </c>
      <c r="H1052" s="57">
        <v>43991</v>
      </c>
      <c r="I1052" s="34">
        <f t="shared" si="48"/>
        <v>11</v>
      </c>
      <c r="J1052" s="34">
        <v>35</v>
      </c>
      <c r="K1052" s="36">
        <v>900</v>
      </c>
      <c r="L1052" s="34" t="s">
        <v>17</v>
      </c>
      <c r="M1052" s="57">
        <v>34383</v>
      </c>
      <c r="N1052" s="37">
        <f>(YEAR(TablaMadre[[#This Row],[ALTA]])-YEAR(M1052))</f>
        <v>25</v>
      </c>
      <c r="O1052" s="34" t="s">
        <v>18</v>
      </c>
      <c r="P1052" s="34" t="s">
        <v>19</v>
      </c>
      <c r="Q1052" s="34" t="s">
        <v>297</v>
      </c>
      <c r="R1052" s="34" t="s">
        <v>21</v>
      </c>
      <c r="S1052" s="34" t="s">
        <v>297</v>
      </c>
      <c r="T1052" s="34"/>
      <c r="U1052" s="34"/>
      <c r="V1052" s="34" t="s">
        <v>22</v>
      </c>
      <c r="W1052" s="34" t="s">
        <v>28</v>
      </c>
      <c r="X1052" s="38" t="s">
        <v>164</v>
      </c>
      <c r="Y1052" s="62">
        <v>44105</v>
      </c>
      <c r="Z1052" s="38">
        <f t="shared" si="49"/>
        <v>0</v>
      </c>
      <c r="AA1052" s="38"/>
      <c r="AB1052" s="34">
        <v>8</v>
      </c>
      <c r="AC1052" s="34">
        <v>9</v>
      </c>
      <c r="AD1052" s="38"/>
      <c r="AE1052" s="59" t="str">
        <f t="shared" si="50"/>
        <v>NO</v>
      </c>
      <c r="AF1052" s="38" t="e" cm="1">
        <f t="array" aca="1" ref="AF1052" ca="1">MIN(100, MAX(0, (IF(R1052="ESTUDIANTE", 31, 0)) + (IF(I1052&lt;=3, 30, IF(I1052&lt;=6, 20, 0))) +(IF(OR(E1052="413 - Control de Costes y Enlace Construcción", E1052="480 - Secretaría General del Consejo", E1052="132 - Civil y estructuras", E1052="136 - Mecánica", E1052="412 - Planificación", E1052="142 - Compras"), 25, 0)) +(IF(OR(S1052="GRADO ING. MECÁNICA", S1052="GRADO ING. ELÉCTRICA", S1052="GRADO DERECHO", S1052="GRADO ECONOMÍA", S1052="GRADO ING. TECNOLOGÍAS INDUSTRIALES"), 24, 0)) + (IF(AND(K1052&gt;=451, K1052&lt;=700), 23, 0)) + (IF(AND(AB1052&gt;=5, AB1052&lt;=8), 17, 0)) +(IF(_xludf.OR(_xludf.AND(AC1052&gt;=8, AC1052&lt;=10), _xludf.AND(AC1052&gt;=0, AC1052&lt;=5)), 16, 0)) + (IF(F1052="Madrid", 11, 0))))</f>
        <v>#NAME?</v>
      </c>
      <c r="AG1052" s="68"/>
      <c r="AH1052" s="71" t="s">
        <v>164</v>
      </c>
    </row>
    <row r="1053" spans="1:34" ht="14.4" x14ac:dyDescent="0.3">
      <c r="A1053" s="66" t="s">
        <v>2027</v>
      </c>
      <c r="B1053" s="66" t="s">
        <v>4144</v>
      </c>
      <c r="C1053" s="33">
        <v>1052</v>
      </c>
      <c r="D1053" s="33" t="s">
        <v>5398</v>
      </c>
      <c r="E1053" s="34" t="s">
        <v>5273</v>
      </c>
      <c r="F1053" s="34" t="s">
        <v>18</v>
      </c>
      <c r="G1053" s="57">
        <v>43633</v>
      </c>
      <c r="H1053" s="57">
        <v>43998</v>
      </c>
      <c r="I1053" s="34">
        <f t="shared" si="48"/>
        <v>11</v>
      </c>
      <c r="J1053" s="34">
        <v>35</v>
      </c>
      <c r="K1053" s="36">
        <v>825</v>
      </c>
      <c r="L1053" s="34" t="s">
        <v>29</v>
      </c>
      <c r="M1053" s="57">
        <v>33258</v>
      </c>
      <c r="N1053" s="37">
        <f>(YEAR(TablaMadre[[#This Row],[ALTA]])-YEAR(M1053))</f>
        <v>28</v>
      </c>
      <c r="O1053" s="34" t="s">
        <v>118</v>
      </c>
      <c r="P1053" s="34" t="s">
        <v>19</v>
      </c>
      <c r="Q1053" s="34" t="s">
        <v>464</v>
      </c>
      <c r="R1053" s="34" t="s">
        <v>21</v>
      </c>
      <c r="S1053" s="34" t="s">
        <v>307</v>
      </c>
      <c r="T1053" s="34"/>
      <c r="U1053" s="34"/>
      <c r="V1053" s="34" t="s">
        <v>37</v>
      </c>
      <c r="W1053" s="34" t="s">
        <v>370</v>
      </c>
      <c r="X1053" s="38" t="s">
        <v>164</v>
      </c>
      <c r="Y1053" s="62"/>
      <c r="Z1053" s="62" t="e">
        <f t="shared" si="49"/>
        <v>#NUM!</v>
      </c>
      <c r="AA1053" s="62"/>
      <c r="AB1053" s="34">
        <v>9</v>
      </c>
      <c r="AC1053" s="34">
        <v>8</v>
      </c>
      <c r="AD1053" s="38"/>
      <c r="AE1053" s="59" t="str">
        <f t="shared" si="50"/>
        <v>SÍ</v>
      </c>
      <c r="AF1053" s="38" t="e" cm="1">
        <f t="array" aca="1" ref="AF1053" ca="1">MIN(100, MAX(0, (IF(R1053="ESTUDIANTE", 31, 0)) + (IF(I1053&lt;=3, 30, IF(I1053&lt;=6, 20, 0))) +(IF(OR(E1053="413 - Control de Costes y Enlace Construcción", E1053="480 - Secretaría General del Consejo", E1053="132 - Civil y estructuras", E1053="136 - Mecánica", E1053="412 - Planificación", E1053="142 - Compras"), 25, 0)) +(IF(OR(S1053="GRADO ING. MECÁNICA", S1053="GRADO ING. ELÉCTRICA", S1053="GRADO DERECHO", S1053="GRADO ECONOMÍA", S1053="GRADO ING. TECNOLOGÍAS INDUSTRIALES"), 24, 0)) + (IF(AND(K1053&gt;=451, K1053&lt;=700), 23, 0)) + (IF(AND(AB1053&gt;=5, AB1053&lt;=8), 17, 0)) +(IF(_xludf.OR(_xludf.AND(AC1053&gt;=8, AC1053&lt;=10), _xludf.AND(AC1053&gt;=0, AC1053&lt;=5)), 16, 0)) + (IF(F1053="Madrid", 11, 0))))</f>
        <v>#NAME?</v>
      </c>
      <c r="AG1053" s="68"/>
      <c r="AH1053" s="71" t="s">
        <v>164</v>
      </c>
    </row>
    <row r="1054" spans="1:34" ht="14.4" x14ac:dyDescent="0.3">
      <c r="A1054" s="66" t="s">
        <v>2028</v>
      </c>
      <c r="B1054" s="66" t="s">
        <v>4145</v>
      </c>
      <c r="C1054" s="33">
        <v>1053</v>
      </c>
      <c r="D1054" s="33" t="s">
        <v>5399</v>
      </c>
      <c r="E1054" s="34" t="s">
        <v>5273</v>
      </c>
      <c r="F1054" s="34" t="s">
        <v>18</v>
      </c>
      <c r="G1054" s="57">
        <v>43634</v>
      </c>
      <c r="H1054" s="57">
        <v>44182</v>
      </c>
      <c r="I1054" s="34">
        <f t="shared" si="48"/>
        <v>17</v>
      </c>
      <c r="J1054" s="34">
        <v>35</v>
      </c>
      <c r="K1054" s="36">
        <v>825</v>
      </c>
      <c r="L1054" s="34" t="s">
        <v>17</v>
      </c>
      <c r="M1054" s="57">
        <v>34554</v>
      </c>
      <c r="N1054" s="37">
        <f>(YEAR(TablaMadre[[#This Row],[ALTA]])-YEAR(M1054))</f>
        <v>25</v>
      </c>
      <c r="O1054" s="34" t="s">
        <v>226</v>
      </c>
      <c r="P1054" s="34" t="s">
        <v>19</v>
      </c>
      <c r="Q1054" s="34" t="s">
        <v>485</v>
      </c>
      <c r="R1054" s="34" t="s">
        <v>21</v>
      </c>
      <c r="S1054" s="34" t="s">
        <v>136</v>
      </c>
      <c r="T1054" s="34"/>
      <c r="U1054" s="34"/>
      <c r="V1054" s="34" t="s">
        <v>216</v>
      </c>
      <c r="W1054" s="34" t="s">
        <v>370</v>
      </c>
      <c r="X1054" s="38" t="s">
        <v>173</v>
      </c>
      <c r="Y1054" s="62"/>
      <c r="Z1054" s="62" t="e">
        <f t="shared" si="49"/>
        <v>#NUM!</v>
      </c>
      <c r="AA1054" s="62"/>
      <c r="AB1054" s="34">
        <v>8</v>
      </c>
      <c r="AC1054" s="34">
        <v>7</v>
      </c>
      <c r="AD1054" s="38"/>
      <c r="AE1054" s="59" t="str">
        <f t="shared" si="50"/>
        <v>SÍ</v>
      </c>
      <c r="AF1054" s="38" t="e" cm="1">
        <f t="array" aca="1" ref="AF1054" ca="1">MIN(100, MAX(0, (IF(R1054="ESTUDIANTE", 31, 0)) + (IF(I1054&lt;=3, 30, IF(I1054&lt;=6, 20, 0))) +(IF(OR(E1054="413 - Control de Costes y Enlace Construcción", E1054="480 - Secretaría General del Consejo", E1054="132 - Civil y estructuras", E1054="136 - Mecánica", E1054="412 - Planificación", E1054="142 - Compras"), 25, 0)) +(IF(OR(S1054="GRADO ING. MECÁNICA", S1054="GRADO ING. ELÉCTRICA", S1054="GRADO DERECHO", S1054="GRADO ECONOMÍA", S1054="GRADO ING. TECNOLOGÍAS INDUSTRIALES"), 24, 0)) + (IF(AND(K1054&gt;=451, K1054&lt;=700), 23, 0)) + (IF(AND(AB1054&gt;=5, AB1054&lt;=8), 17, 0)) +(IF(_xludf.OR(_xludf.AND(AC1054&gt;=8, AC1054&lt;=10), _xludf.AND(AC1054&gt;=0, AC1054&lt;=5)), 16, 0)) + (IF(F1054="Madrid", 11, 0))))</f>
        <v>#NAME?</v>
      </c>
      <c r="AG1054" s="68"/>
      <c r="AH1054" s="71" t="s">
        <v>164</v>
      </c>
    </row>
    <row r="1055" spans="1:34" ht="14.4" x14ac:dyDescent="0.3">
      <c r="A1055" s="66" t="s">
        <v>2029</v>
      </c>
      <c r="B1055" s="66" t="s">
        <v>4146</v>
      </c>
      <c r="C1055" s="33">
        <v>1054</v>
      </c>
      <c r="D1055" s="33" t="s">
        <v>5400</v>
      </c>
      <c r="E1055" s="34" t="s">
        <v>5232</v>
      </c>
      <c r="F1055" s="34" t="s">
        <v>18</v>
      </c>
      <c r="G1055" s="57">
        <v>43641</v>
      </c>
      <c r="H1055" s="57">
        <v>44071</v>
      </c>
      <c r="I1055" s="34">
        <f t="shared" si="48"/>
        <v>14</v>
      </c>
      <c r="J1055" s="34">
        <v>35</v>
      </c>
      <c r="K1055" s="36">
        <v>825</v>
      </c>
      <c r="L1055" s="34" t="s">
        <v>29</v>
      </c>
      <c r="M1055" s="57">
        <v>34302</v>
      </c>
      <c r="N1055" s="37">
        <f>(YEAR(TablaMadre[[#This Row],[ALTA]])-YEAR(M1055))</f>
        <v>26</v>
      </c>
      <c r="O1055" s="34" t="s">
        <v>18</v>
      </c>
      <c r="P1055" s="34" t="s">
        <v>19</v>
      </c>
      <c r="Q1055" s="34" t="s">
        <v>297</v>
      </c>
      <c r="R1055" s="34" t="s">
        <v>21</v>
      </c>
      <c r="S1055" s="34" t="s">
        <v>297</v>
      </c>
      <c r="T1055" s="34"/>
      <c r="U1055" s="34"/>
      <c r="V1055" s="34" t="s">
        <v>22</v>
      </c>
      <c r="W1055" s="34" t="s">
        <v>370</v>
      </c>
      <c r="X1055" s="38" t="s">
        <v>164</v>
      </c>
      <c r="Y1055" s="62"/>
      <c r="Z1055" s="62" t="e">
        <f t="shared" si="49"/>
        <v>#NUM!</v>
      </c>
      <c r="AA1055" s="62"/>
      <c r="AB1055" s="34">
        <v>7</v>
      </c>
      <c r="AC1055" s="34">
        <v>8</v>
      </c>
      <c r="AD1055" s="38"/>
      <c r="AE1055" s="59" t="str">
        <f t="shared" si="50"/>
        <v>NO</v>
      </c>
      <c r="AF1055" s="38" t="e" cm="1">
        <f t="array" aca="1" ref="AF1055" ca="1">MIN(100, MAX(0, (IF(R1055="ESTUDIANTE", 31, 0)) + (IF(I1055&lt;=3, 30, IF(I1055&lt;=6, 20, 0))) +(IF(OR(E1055="413 - Control de Costes y Enlace Construcción", E1055="480 - Secretaría General del Consejo", E1055="132 - Civil y estructuras", E1055="136 - Mecánica", E1055="412 - Planificación", E1055="142 - Compras"), 25, 0)) +(IF(OR(S1055="GRADO ING. MECÁNICA", S1055="GRADO ING. ELÉCTRICA", S1055="GRADO DERECHO", S1055="GRADO ECONOMÍA", S1055="GRADO ING. TECNOLOGÍAS INDUSTRIALES"), 24, 0)) + (IF(AND(K1055&gt;=451, K1055&lt;=700), 23, 0)) + (IF(AND(AB1055&gt;=5, AB1055&lt;=8), 17, 0)) +(IF(_xludf.OR(_xludf.AND(AC1055&gt;=8, AC1055&lt;=10), _xludf.AND(AC1055&gt;=0, AC1055&lt;=5)), 16, 0)) + (IF(F1055="Madrid", 11, 0))))</f>
        <v>#NAME?</v>
      </c>
      <c r="AG1055" s="68"/>
      <c r="AH1055" s="71" t="s">
        <v>164</v>
      </c>
    </row>
    <row r="1056" spans="1:34" ht="14.4" x14ac:dyDescent="0.3">
      <c r="A1056" s="66" t="s">
        <v>2031</v>
      </c>
      <c r="B1056" s="66" t="s">
        <v>4148</v>
      </c>
      <c r="C1056" s="33">
        <v>1058</v>
      </c>
      <c r="D1056" s="33" t="s">
        <v>5401</v>
      </c>
      <c r="E1056" s="34" t="s">
        <v>5307</v>
      </c>
      <c r="F1056" s="34" t="s">
        <v>18</v>
      </c>
      <c r="G1056" s="57">
        <v>43647</v>
      </c>
      <c r="H1056" s="57">
        <v>44377</v>
      </c>
      <c r="I1056" s="34">
        <f t="shared" si="48"/>
        <v>23</v>
      </c>
      <c r="J1056" s="34">
        <v>35</v>
      </c>
      <c r="K1056" s="36">
        <v>900</v>
      </c>
      <c r="L1056" s="34" t="s">
        <v>17</v>
      </c>
      <c r="M1056" s="57">
        <v>34359</v>
      </c>
      <c r="N1056" s="37">
        <f>(YEAR(TablaMadre[[#This Row],[ALTA]])-YEAR(M1056))</f>
        <v>25</v>
      </c>
      <c r="O1056" s="34" t="s">
        <v>18</v>
      </c>
      <c r="P1056" s="34" t="s">
        <v>19</v>
      </c>
      <c r="Q1056" s="34" t="s">
        <v>428</v>
      </c>
      <c r="R1056" s="34" t="s">
        <v>21</v>
      </c>
      <c r="S1056" s="34" t="s">
        <v>297</v>
      </c>
      <c r="T1056" s="34"/>
      <c r="U1056" s="34"/>
      <c r="V1056" s="34" t="s">
        <v>22</v>
      </c>
      <c r="W1056" s="34" t="s">
        <v>23</v>
      </c>
      <c r="X1056" s="38" t="s">
        <v>173</v>
      </c>
      <c r="Y1056" s="62"/>
      <c r="Z1056" s="62" t="e">
        <f t="shared" si="49"/>
        <v>#NUM!</v>
      </c>
      <c r="AA1056" s="62"/>
      <c r="AB1056" s="34">
        <v>9</v>
      </c>
      <c r="AC1056" s="34">
        <v>8</v>
      </c>
      <c r="AD1056" s="38"/>
      <c r="AE1056" s="59" t="str">
        <f t="shared" si="50"/>
        <v>NO</v>
      </c>
      <c r="AF1056" s="38" t="e" cm="1">
        <f t="array" aca="1" ref="AF1056" ca="1">MIN(100, MAX(0, (IF(R1056="ESTUDIANTE", 31, 0)) + (IF(I1056&lt;=3, 30, IF(I1056&lt;=6, 20, 0))) +(IF(OR(E1056="413 - Control de Costes y Enlace Construcción", E1056="480 - Secretaría General del Consejo", E1056="132 - Civil y estructuras", E1056="136 - Mecánica", E1056="412 - Planificación", E1056="142 - Compras"), 25, 0)) +(IF(OR(S1056="GRADO ING. MECÁNICA", S1056="GRADO ING. ELÉCTRICA", S1056="GRADO DERECHO", S1056="GRADO ECONOMÍA", S1056="GRADO ING. TECNOLOGÍAS INDUSTRIALES"), 24, 0)) + (IF(AND(K1056&gt;=451, K1056&lt;=700), 23, 0)) + (IF(AND(AB1056&gt;=5, AB1056&lt;=8), 17, 0)) +(IF(_xludf.OR(_xludf.AND(AC1056&gt;=8, AC1056&lt;=10), _xludf.AND(AC1056&gt;=0, AC1056&lt;=5)), 16, 0)) + (IF(F1056="Madrid", 11, 0))))</f>
        <v>#NAME?</v>
      </c>
      <c r="AG1056" s="68"/>
      <c r="AH1056" s="71" t="s">
        <v>164</v>
      </c>
    </row>
    <row r="1057" spans="1:34" ht="14.4" x14ac:dyDescent="0.3">
      <c r="A1057" s="66" t="s">
        <v>2032</v>
      </c>
      <c r="B1057" s="66" t="s">
        <v>4149</v>
      </c>
      <c r="C1057" s="33">
        <v>1057</v>
      </c>
      <c r="D1057" s="33" t="s">
        <v>5402</v>
      </c>
      <c r="E1057" s="34" t="s">
        <v>5245</v>
      </c>
      <c r="F1057" s="34" t="s">
        <v>18</v>
      </c>
      <c r="G1057" s="57">
        <v>43647</v>
      </c>
      <c r="H1057" s="57">
        <v>44196</v>
      </c>
      <c r="I1057" s="34">
        <f t="shared" si="48"/>
        <v>17</v>
      </c>
      <c r="J1057" s="34">
        <v>35</v>
      </c>
      <c r="K1057" s="36">
        <v>900</v>
      </c>
      <c r="L1057" s="34" t="s">
        <v>17</v>
      </c>
      <c r="M1057" s="57">
        <v>34587</v>
      </c>
      <c r="N1057" s="37">
        <f>(YEAR(TablaMadre[[#This Row],[ALTA]])-YEAR(M1057))</f>
        <v>25</v>
      </c>
      <c r="O1057" s="34" t="s">
        <v>486</v>
      </c>
      <c r="P1057" s="34" t="s">
        <v>19</v>
      </c>
      <c r="Q1057" s="34" t="s">
        <v>428</v>
      </c>
      <c r="R1057" s="34" t="s">
        <v>21</v>
      </c>
      <c r="S1057" s="34" t="s">
        <v>297</v>
      </c>
      <c r="T1057" s="34"/>
      <c r="U1057" s="34"/>
      <c r="V1057" s="34" t="s">
        <v>84</v>
      </c>
      <c r="W1057" s="34" t="s">
        <v>370</v>
      </c>
      <c r="X1057" s="38" t="s">
        <v>173</v>
      </c>
      <c r="Y1057" s="62"/>
      <c r="Z1057" s="62" t="e">
        <f t="shared" si="49"/>
        <v>#NUM!</v>
      </c>
      <c r="AA1057" s="62"/>
      <c r="AB1057" s="34">
        <v>9</v>
      </c>
      <c r="AC1057" s="34">
        <v>9</v>
      </c>
      <c r="AD1057" s="38"/>
      <c r="AE1057" s="59" t="str">
        <f t="shared" si="50"/>
        <v>SÍ</v>
      </c>
      <c r="AF1057" s="38" t="e" cm="1">
        <f t="array" aca="1" ref="AF1057" ca="1">MIN(100, MAX(0, (IF(R1057="ESTUDIANTE", 31, 0)) + (IF(I1057&lt;=3, 30, IF(I1057&lt;=6, 20, 0))) +(IF(OR(E1057="413 - Control de Costes y Enlace Construcción", E1057="480 - Secretaría General del Consejo", E1057="132 - Civil y estructuras", E1057="136 - Mecánica", E1057="412 - Planificación", E1057="142 - Compras"), 25, 0)) +(IF(OR(S1057="GRADO ING. MECÁNICA", S1057="GRADO ING. ELÉCTRICA", S1057="GRADO DERECHO", S1057="GRADO ECONOMÍA", S1057="GRADO ING. TECNOLOGÍAS INDUSTRIALES"), 24, 0)) + (IF(AND(K1057&gt;=451, K1057&lt;=700), 23, 0)) + (IF(AND(AB1057&gt;=5, AB1057&lt;=8), 17, 0)) +(IF(_xludf.OR(_xludf.AND(AC1057&gt;=8, AC1057&lt;=10), _xludf.AND(AC1057&gt;=0, AC1057&lt;=5)), 16, 0)) + (IF(F1057="Madrid", 11, 0))))</f>
        <v>#NAME?</v>
      </c>
      <c r="AG1057" s="68"/>
      <c r="AH1057" s="71" t="s">
        <v>164</v>
      </c>
    </row>
    <row r="1058" spans="1:34" ht="14.4" x14ac:dyDescent="0.3">
      <c r="A1058" s="66" t="s">
        <v>2033</v>
      </c>
      <c r="B1058" s="66" t="s">
        <v>4150</v>
      </c>
      <c r="C1058" s="33">
        <v>1056</v>
      </c>
      <c r="D1058" s="33" t="s">
        <v>5393</v>
      </c>
      <c r="E1058" s="34" t="s">
        <v>5256</v>
      </c>
      <c r="F1058" s="34" t="s">
        <v>18</v>
      </c>
      <c r="G1058" s="57">
        <v>43647</v>
      </c>
      <c r="H1058" s="57">
        <v>44012</v>
      </c>
      <c r="I1058" s="34">
        <f t="shared" si="48"/>
        <v>11</v>
      </c>
      <c r="J1058" s="34">
        <v>35</v>
      </c>
      <c r="K1058" s="36">
        <v>900</v>
      </c>
      <c r="L1058" s="34" t="s">
        <v>17</v>
      </c>
      <c r="M1058" s="57">
        <v>34868</v>
      </c>
      <c r="N1058" s="37">
        <f>(YEAR(TablaMadre[[#This Row],[ALTA]])-YEAR(M1058))</f>
        <v>24</v>
      </c>
      <c r="O1058" s="34" t="s">
        <v>18</v>
      </c>
      <c r="P1058" s="34" t="s">
        <v>19</v>
      </c>
      <c r="Q1058" s="34" t="s">
        <v>428</v>
      </c>
      <c r="R1058" s="34" t="s">
        <v>21</v>
      </c>
      <c r="S1058" s="34" t="s">
        <v>297</v>
      </c>
      <c r="T1058" s="34"/>
      <c r="U1058" s="34"/>
      <c r="V1058" s="34" t="s">
        <v>84</v>
      </c>
      <c r="W1058" s="34" t="s">
        <v>370</v>
      </c>
      <c r="X1058" s="38" t="s">
        <v>164</v>
      </c>
      <c r="Y1058" s="62"/>
      <c r="Z1058" s="62" t="e">
        <f t="shared" si="49"/>
        <v>#NUM!</v>
      </c>
      <c r="AA1058" s="62"/>
      <c r="AB1058" s="34">
        <v>9</v>
      </c>
      <c r="AC1058" s="34">
        <v>9</v>
      </c>
      <c r="AD1058" s="38"/>
      <c r="AE1058" s="59" t="str">
        <f t="shared" si="50"/>
        <v>NO</v>
      </c>
      <c r="AF1058" s="38" t="e" cm="1">
        <f t="array" aca="1" ref="AF1058" ca="1">MIN(100, MAX(0, (IF(R1058="ESTUDIANTE", 31, 0)) + (IF(I1058&lt;=3, 30, IF(I1058&lt;=6, 20, 0))) +(IF(OR(E1058="413 - Control de Costes y Enlace Construcción", E1058="480 - Secretaría General del Consejo", E1058="132 - Civil y estructuras", E1058="136 - Mecánica", E1058="412 - Planificación", E1058="142 - Compras"), 25, 0)) +(IF(OR(S1058="GRADO ING. MECÁNICA", S1058="GRADO ING. ELÉCTRICA", S1058="GRADO DERECHO", S1058="GRADO ECONOMÍA", S1058="GRADO ING. TECNOLOGÍAS INDUSTRIALES"), 24, 0)) + (IF(AND(K1058&gt;=451, K1058&lt;=700), 23, 0)) + (IF(AND(AB1058&gt;=5, AB1058&lt;=8), 17, 0)) +(IF(_xludf.OR(_xludf.AND(AC1058&gt;=8, AC1058&lt;=10), _xludf.AND(AC1058&gt;=0, AC1058&lt;=5)), 16, 0)) + (IF(F1058="Madrid", 11, 0))))</f>
        <v>#NAME?</v>
      </c>
      <c r="AG1058" s="68"/>
      <c r="AH1058" s="71" t="s">
        <v>164</v>
      </c>
    </row>
    <row r="1059" spans="1:34" ht="14.4" x14ac:dyDescent="0.3">
      <c r="A1059" s="66" t="s">
        <v>2034</v>
      </c>
      <c r="B1059" s="66" t="s">
        <v>4151</v>
      </c>
      <c r="C1059" s="33">
        <v>1055</v>
      </c>
      <c r="D1059" s="33" t="s">
        <v>5396</v>
      </c>
      <c r="E1059" s="34" t="s">
        <v>5263</v>
      </c>
      <c r="F1059" s="34" t="s">
        <v>18</v>
      </c>
      <c r="G1059" s="57">
        <v>43647</v>
      </c>
      <c r="H1059" s="57">
        <v>43830</v>
      </c>
      <c r="I1059" s="34">
        <f t="shared" si="48"/>
        <v>5</v>
      </c>
      <c r="J1059" s="34">
        <v>35</v>
      </c>
      <c r="K1059" s="36">
        <v>750</v>
      </c>
      <c r="L1059" s="34" t="s">
        <v>29</v>
      </c>
      <c r="M1059" s="57">
        <v>35125</v>
      </c>
      <c r="N1059" s="37">
        <f>(YEAR(TablaMadre[[#This Row],[ALTA]])-YEAR(M1059))</f>
        <v>23</v>
      </c>
      <c r="O1059" s="34" t="s">
        <v>18</v>
      </c>
      <c r="P1059" s="34" t="s">
        <v>19</v>
      </c>
      <c r="Q1059" s="34" t="s">
        <v>451</v>
      </c>
      <c r="R1059" s="34" t="s">
        <v>21</v>
      </c>
      <c r="S1059" s="34" t="s">
        <v>451</v>
      </c>
      <c r="T1059" s="34"/>
      <c r="U1059" s="34"/>
      <c r="V1059" s="34" t="s">
        <v>84</v>
      </c>
      <c r="W1059" s="34" t="s">
        <v>28</v>
      </c>
      <c r="X1059" s="38" t="s">
        <v>164</v>
      </c>
      <c r="Y1059" s="62">
        <v>43914</v>
      </c>
      <c r="Z1059" s="38">
        <f t="shared" si="49"/>
        <v>0</v>
      </c>
      <c r="AA1059" s="38"/>
      <c r="AB1059" s="34"/>
      <c r="AC1059" s="34">
        <v>9</v>
      </c>
      <c r="AD1059" s="38"/>
      <c r="AE1059" s="59" t="str">
        <f t="shared" si="50"/>
        <v>NO</v>
      </c>
      <c r="AF1059" s="38" t="e" cm="1">
        <f t="array" aca="1" ref="AF1059" ca="1">MIN(100, MAX(0, (IF(R1059="ESTUDIANTE", 31, 0)) + (IF(I1059&lt;=3, 30, IF(I1059&lt;=6, 20, 0))) +(IF(OR(E1059="413 - Control de Costes y Enlace Construcción", E1059="480 - Secretaría General del Consejo", E1059="132 - Civil y estructuras", E1059="136 - Mecánica", E1059="412 - Planificación", E1059="142 - Compras"), 25, 0)) +(IF(OR(S1059="GRADO ING. MECÁNICA", S1059="GRADO ING. ELÉCTRICA", S1059="GRADO DERECHO", S1059="GRADO ECONOMÍA", S1059="GRADO ING. TECNOLOGÍAS INDUSTRIALES"), 24, 0)) + (IF(AND(K1059&gt;=451, K1059&lt;=700), 23, 0)) + (IF(AND(AB1059&gt;=5, AB1059&lt;=8), 17, 0)) +(IF(_xludf.OR(_xludf.AND(AC1059&gt;=8, AC1059&lt;=10), _xludf.AND(AC1059&gt;=0, AC1059&lt;=5)), 16, 0)) + (IF(F1059="Madrid", 11, 0))))</f>
        <v>#NAME?</v>
      </c>
      <c r="AG1059" s="68"/>
      <c r="AH1059" s="71" t="s">
        <v>164</v>
      </c>
    </row>
    <row r="1060" spans="1:34" ht="14.4" x14ac:dyDescent="0.3">
      <c r="A1060" s="66" t="s">
        <v>1887</v>
      </c>
      <c r="B1060" s="66" t="s">
        <v>4004</v>
      </c>
      <c r="C1060" s="33">
        <v>1060</v>
      </c>
      <c r="D1060" s="33" t="s">
        <v>5397</v>
      </c>
      <c r="E1060" s="34" t="s">
        <v>5292</v>
      </c>
      <c r="F1060" s="34" t="s">
        <v>18</v>
      </c>
      <c r="G1060" s="57">
        <v>43654</v>
      </c>
      <c r="H1060" s="57">
        <v>44029</v>
      </c>
      <c r="I1060" s="34">
        <f t="shared" si="48"/>
        <v>12</v>
      </c>
      <c r="J1060" s="34">
        <v>30</v>
      </c>
      <c r="K1060" s="36">
        <v>705</v>
      </c>
      <c r="L1060" s="34" t="s">
        <v>29</v>
      </c>
      <c r="M1060" s="57">
        <v>35290</v>
      </c>
      <c r="N1060" s="37">
        <f>(YEAR(TablaMadre[[#This Row],[ALTA]])-YEAR(M1060))</f>
        <v>23</v>
      </c>
      <c r="O1060" s="34" t="s">
        <v>18</v>
      </c>
      <c r="P1060" s="34" t="s">
        <v>19</v>
      </c>
      <c r="Q1060" s="34" t="s">
        <v>297</v>
      </c>
      <c r="R1060" s="34" t="s">
        <v>21</v>
      </c>
      <c r="S1060" s="34" t="s">
        <v>297</v>
      </c>
      <c r="T1060" s="34"/>
      <c r="U1060" s="34"/>
      <c r="V1060" s="34" t="s">
        <v>84</v>
      </c>
      <c r="W1060" s="34" t="s">
        <v>370</v>
      </c>
      <c r="X1060" s="38" t="s">
        <v>173</v>
      </c>
      <c r="Y1060" s="62"/>
      <c r="Z1060" s="62" t="e">
        <f t="shared" si="49"/>
        <v>#NUM!</v>
      </c>
      <c r="AA1060" s="62" t="s">
        <v>173</v>
      </c>
      <c r="AB1060" s="34">
        <v>9</v>
      </c>
      <c r="AC1060" s="34">
        <v>8</v>
      </c>
      <c r="AD1060" s="38"/>
      <c r="AE1060" s="59" t="str">
        <f t="shared" si="50"/>
        <v>NO</v>
      </c>
      <c r="AF1060" s="38" t="e" cm="1">
        <f t="array" aca="1" ref="AF1060" ca="1">MIN(100, MAX(0, (IF(R1060="ESTUDIANTE", 31, 0)) + (IF(I1060&lt;=3, 30, IF(I1060&lt;=6, 20, 0))) +(IF(OR(E1060="413 - Control de Costes y Enlace Construcción", E1060="480 - Secretaría General del Consejo", E1060="132 - Civil y estructuras", E1060="136 - Mecánica", E1060="412 - Planificación", E1060="142 - Compras"), 25, 0)) +(IF(OR(S1060="GRADO ING. MECÁNICA", S1060="GRADO ING. ELÉCTRICA", S1060="GRADO DERECHO", S1060="GRADO ECONOMÍA", S1060="GRADO ING. TECNOLOGÍAS INDUSTRIALES"), 24, 0)) + (IF(AND(K1060&gt;=451, K1060&lt;=700), 23, 0)) + (IF(AND(AB1060&gt;=5, AB1060&lt;=8), 17, 0)) +(IF(_xludf.OR(_xludf.AND(AC1060&gt;=8, AC1060&lt;=10), _xludf.AND(AC1060&gt;=0, AC1060&lt;=5)), 16, 0)) + (IF(F1060="Madrid", 11, 0))))</f>
        <v>#NAME?</v>
      </c>
      <c r="AG1060" s="68"/>
      <c r="AH1060" s="71" t="s">
        <v>164</v>
      </c>
    </row>
    <row r="1061" spans="1:34" ht="14.4" x14ac:dyDescent="0.3">
      <c r="A1061" s="66" t="s">
        <v>2035</v>
      </c>
      <c r="B1061" s="66" t="s">
        <v>4152</v>
      </c>
      <c r="C1061" s="33">
        <v>1062</v>
      </c>
      <c r="D1061" s="33" t="s">
        <v>5393</v>
      </c>
      <c r="E1061" s="34" t="s">
        <v>5306</v>
      </c>
      <c r="F1061" s="34" t="s">
        <v>18</v>
      </c>
      <c r="G1061" s="57">
        <v>43654</v>
      </c>
      <c r="H1061" s="57">
        <v>44203</v>
      </c>
      <c r="I1061" s="34">
        <f t="shared" si="48"/>
        <v>17</v>
      </c>
      <c r="J1061" s="34">
        <v>35</v>
      </c>
      <c r="K1061" s="36">
        <v>900</v>
      </c>
      <c r="L1061" s="34" t="s">
        <v>29</v>
      </c>
      <c r="M1061" s="57">
        <v>33147</v>
      </c>
      <c r="N1061" s="37">
        <f>(YEAR(TablaMadre[[#This Row],[ALTA]])-YEAR(M1061))</f>
        <v>29</v>
      </c>
      <c r="O1061" s="34" t="s">
        <v>18</v>
      </c>
      <c r="P1061" s="34" t="s">
        <v>19</v>
      </c>
      <c r="Q1061" s="34" t="s">
        <v>488</v>
      </c>
      <c r="R1061" s="34" t="s">
        <v>21</v>
      </c>
      <c r="S1061" s="34" t="s">
        <v>384</v>
      </c>
      <c r="T1061" s="34"/>
      <c r="U1061" s="34"/>
      <c r="V1061" s="34" t="s">
        <v>22</v>
      </c>
      <c r="W1061" s="34" t="s">
        <v>370</v>
      </c>
      <c r="X1061" s="38" t="s">
        <v>173</v>
      </c>
      <c r="Y1061" s="62"/>
      <c r="Z1061" s="62" t="e">
        <f t="shared" si="49"/>
        <v>#NUM!</v>
      </c>
      <c r="AA1061" s="62"/>
      <c r="AB1061" s="34">
        <v>9</v>
      </c>
      <c r="AC1061" s="34">
        <v>9</v>
      </c>
      <c r="AD1061" s="38"/>
      <c r="AE1061" s="59" t="str">
        <f t="shared" si="50"/>
        <v>NO</v>
      </c>
      <c r="AF1061" s="38" t="e" cm="1">
        <f t="array" aca="1" ref="AF1061" ca="1">MIN(100, MAX(0, (IF(R1061="ESTUDIANTE", 31, 0)) + (IF(I1061&lt;=3, 30, IF(I1061&lt;=6, 20, 0))) +(IF(OR(E1061="413 - Control de Costes y Enlace Construcción", E1061="480 - Secretaría General del Consejo", E1061="132 - Civil y estructuras", E1061="136 - Mecánica", E1061="412 - Planificación", E1061="142 - Compras"), 25, 0)) +(IF(OR(S1061="GRADO ING. MECÁNICA", S1061="GRADO ING. ELÉCTRICA", S1061="GRADO DERECHO", S1061="GRADO ECONOMÍA", S1061="GRADO ING. TECNOLOGÍAS INDUSTRIALES"), 24, 0)) + (IF(AND(K1061&gt;=451, K1061&lt;=700), 23, 0)) + (IF(AND(AB1061&gt;=5, AB1061&lt;=8), 17, 0)) +(IF(_xludf.OR(_xludf.AND(AC1061&gt;=8, AC1061&lt;=10), _xludf.AND(AC1061&gt;=0, AC1061&lt;=5)), 16, 0)) + (IF(F1061="Madrid", 11, 0))))</f>
        <v>#NAME?</v>
      </c>
      <c r="AG1061" s="68"/>
      <c r="AH1061" s="71" t="s">
        <v>164</v>
      </c>
    </row>
    <row r="1062" spans="1:34" ht="14.4" x14ac:dyDescent="0.3">
      <c r="A1062" s="66" t="s">
        <v>2037</v>
      </c>
      <c r="B1062" s="66" t="s">
        <v>4154</v>
      </c>
      <c r="C1062" s="33">
        <v>1059</v>
      </c>
      <c r="D1062" s="33" t="s">
        <v>5394</v>
      </c>
      <c r="E1062" s="34" t="s">
        <v>5235</v>
      </c>
      <c r="F1062" s="34" t="s">
        <v>18</v>
      </c>
      <c r="G1062" s="57">
        <v>43654</v>
      </c>
      <c r="H1062" s="57">
        <v>43875</v>
      </c>
      <c r="I1062" s="34">
        <f t="shared" si="48"/>
        <v>7</v>
      </c>
      <c r="J1062" s="34">
        <v>35</v>
      </c>
      <c r="K1062" s="36">
        <v>825</v>
      </c>
      <c r="L1062" s="34" t="s">
        <v>17</v>
      </c>
      <c r="M1062" s="57">
        <v>35020</v>
      </c>
      <c r="N1062" s="37">
        <f>(YEAR(TablaMadre[[#This Row],[ALTA]])-YEAR(M1062))</f>
        <v>24</v>
      </c>
      <c r="O1062" s="34" t="s">
        <v>18</v>
      </c>
      <c r="P1062" s="34" t="s">
        <v>19</v>
      </c>
      <c r="Q1062" s="34" t="s">
        <v>455</v>
      </c>
      <c r="R1062" s="34" t="s">
        <v>21</v>
      </c>
      <c r="S1062" s="34" t="s">
        <v>322</v>
      </c>
      <c r="T1062" s="34"/>
      <c r="U1062" s="34"/>
      <c r="V1062" s="34" t="s">
        <v>67</v>
      </c>
      <c r="W1062" s="34" t="s">
        <v>181</v>
      </c>
      <c r="X1062" s="38" t="s">
        <v>164</v>
      </c>
      <c r="Y1062" s="62"/>
      <c r="Z1062" s="62" t="e">
        <f t="shared" si="49"/>
        <v>#NUM!</v>
      </c>
      <c r="AA1062" s="62"/>
      <c r="AB1062" s="34"/>
      <c r="AC1062" s="34"/>
      <c r="AD1062" s="38"/>
      <c r="AE1062" s="59" t="str">
        <f t="shared" si="50"/>
        <v>NO</v>
      </c>
      <c r="AF1062" s="38" t="e" cm="1">
        <f t="array" aca="1" ref="AF1062" ca="1">MIN(100, MAX(0, (IF(R1062="ESTUDIANTE", 31, 0)) + (IF(I1062&lt;=3, 30, IF(I1062&lt;=6, 20, 0))) +(IF(OR(E1062="413 - Control de Costes y Enlace Construcción", E1062="480 - Secretaría General del Consejo", E1062="132 - Civil y estructuras", E1062="136 - Mecánica", E1062="412 - Planificación", E1062="142 - Compras"), 25, 0)) +(IF(OR(S1062="GRADO ING. MECÁNICA", S1062="GRADO ING. ELÉCTRICA", S1062="GRADO DERECHO", S1062="GRADO ECONOMÍA", S1062="GRADO ING. TECNOLOGÍAS INDUSTRIALES"), 24, 0)) + (IF(AND(K1062&gt;=451, K1062&lt;=700), 23, 0)) + (IF(AND(AB1062&gt;=5, AB1062&lt;=8), 17, 0)) +(IF(_xludf.OR(_xludf.AND(AC1062&gt;=8, AC1062&lt;=10), _xludf.AND(AC1062&gt;=0, AC1062&lt;=5)), 16, 0)) + (IF(F1062="Madrid", 11, 0))))</f>
        <v>#NAME?</v>
      </c>
      <c r="AG1062" s="68"/>
      <c r="AH1062" s="71" t="s">
        <v>164</v>
      </c>
    </row>
    <row r="1063" spans="1:34" ht="14.4" x14ac:dyDescent="0.3">
      <c r="A1063" s="66" t="s">
        <v>2039</v>
      </c>
      <c r="B1063" s="66" t="s">
        <v>4156</v>
      </c>
      <c r="C1063" s="33">
        <v>1061</v>
      </c>
      <c r="D1063" s="33" t="s">
        <v>5395</v>
      </c>
      <c r="E1063" s="34" t="s">
        <v>5292</v>
      </c>
      <c r="F1063" s="34" t="s">
        <v>18</v>
      </c>
      <c r="G1063" s="57">
        <v>43654</v>
      </c>
      <c r="H1063" s="57">
        <v>44029</v>
      </c>
      <c r="I1063" s="34">
        <f t="shared" si="48"/>
        <v>12</v>
      </c>
      <c r="J1063" s="34">
        <v>35</v>
      </c>
      <c r="K1063" s="36">
        <v>825</v>
      </c>
      <c r="L1063" s="34" t="s">
        <v>17</v>
      </c>
      <c r="M1063" s="57">
        <v>35281</v>
      </c>
      <c r="N1063" s="37">
        <f>(YEAR(TablaMadre[[#This Row],[ALTA]])-YEAR(M1063))</f>
        <v>23</v>
      </c>
      <c r="O1063" s="34" t="s">
        <v>18</v>
      </c>
      <c r="P1063" s="34" t="s">
        <v>19</v>
      </c>
      <c r="Q1063" s="34" t="s">
        <v>297</v>
      </c>
      <c r="R1063" s="34" t="s">
        <v>21</v>
      </c>
      <c r="S1063" s="34" t="s">
        <v>297</v>
      </c>
      <c r="T1063" s="34"/>
      <c r="U1063" s="34"/>
      <c r="V1063" s="34" t="s">
        <v>40</v>
      </c>
      <c r="W1063" s="34" t="s">
        <v>370</v>
      </c>
      <c r="X1063" s="38" t="s">
        <v>173</v>
      </c>
      <c r="Y1063" s="62"/>
      <c r="Z1063" s="62" t="e">
        <f t="shared" si="49"/>
        <v>#NUM!</v>
      </c>
      <c r="AA1063" s="62"/>
      <c r="AB1063" s="34">
        <v>10</v>
      </c>
      <c r="AC1063" s="34">
        <v>9</v>
      </c>
      <c r="AD1063" s="38"/>
      <c r="AE1063" s="59" t="str">
        <f t="shared" si="50"/>
        <v>NO</v>
      </c>
      <c r="AF1063" s="38" t="e" cm="1">
        <f t="array" aca="1" ref="AF1063" ca="1">MIN(100, MAX(0, (IF(R1063="ESTUDIANTE", 31, 0)) + (IF(I1063&lt;=3, 30, IF(I1063&lt;=6, 20, 0))) +(IF(OR(E1063="413 - Control de Costes y Enlace Construcción", E1063="480 - Secretaría General del Consejo", E1063="132 - Civil y estructuras", E1063="136 - Mecánica", E1063="412 - Planificación", E1063="142 - Compras"), 25, 0)) +(IF(OR(S1063="GRADO ING. MECÁNICA", S1063="GRADO ING. ELÉCTRICA", S1063="GRADO DERECHO", S1063="GRADO ECONOMÍA", S1063="GRADO ING. TECNOLOGÍAS INDUSTRIALES"), 24, 0)) + (IF(AND(K1063&gt;=451, K1063&lt;=700), 23, 0)) + (IF(AND(AB1063&gt;=5, AB1063&lt;=8), 17, 0)) +(IF(_xludf.OR(_xludf.AND(AC1063&gt;=8, AC1063&lt;=10), _xludf.AND(AC1063&gt;=0, AC1063&lt;=5)), 16, 0)) + (IF(F1063="Madrid", 11, 0))))</f>
        <v>#NAME?</v>
      </c>
      <c r="AG1063" s="68"/>
      <c r="AH1063" s="71" t="s">
        <v>164</v>
      </c>
    </row>
    <row r="1064" spans="1:34" ht="14.4" x14ac:dyDescent="0.3">
      <c r="A1064" s="66" t="s">
        <v>1949</v>
      </c>
      <c r="B1064" s="66" t="s">
        <v>4066</v>
      </c>
      <c r="C1064" s="33">
        <v>1064</v>
      </c>
      <c r="D1064" s="33" t="s">
        <v>5396</v>
      </c>
      <c r="E1064" s="34" t="s">
        <v>5236</v>
      </c>
      <c r="F1064" s="34" t="s">
        <v>18</v>
      </c>
      <c r="G1064" s="57">
        <v>43655</v>
      </c>
      <c r="H1064" s="57">
        <v>43890</v>
      </c>
      <c r="I1064" s="34">
        <f t="shared" si="48"/>
        <v>7</v>
      </c>
      <c r="J1064" s="34">
        <v>25</v>
      </c>
      <c r="K1064" s="36">
        <v>650</v>
      </c>
      <c r="L1064" s="34" t="s">
        <v>17</v>
      </c>
      <c r="M1064" s="57">
        <v>34675</v>
      </c>
      <c r="N1064" s="37">
        <f>(YEAR(TablaMadre[[#This Row],[ALTA]])-YEAR(M1064))</f>
        <v>25</v>
      </c>
      <c r="O1064" s="34" t="s">
        <v>18</v>
      </c>
      <c r="P1064" s="34" t="s">
        <v>19</v>
      </c>
      <c r="Q1064" s="34" t="s">
        <v>280</v>
      </c>
      <c r="R1064" s="58" t="s">
        <v>30</v>
      </c>
      <c r="S1064" s="34" t="s">
        <v>280</v>
      </c>
      <c r="T1064" s="34"/>
      <c r="U1064" s="34"/>
      <c r="V1064" s="34" t="s">
        <v>22</v>
      </c>
      <c r="W1064" s="34" t="s">
        <v>91</v>
      </c>
      <c r="X1064" s="38" t="s">
        <v>164</v>
      </c>
      <c r="Y1064" s="62"/>
      <c r="Z1064" s="62" t="e">
        <f t="shared" si="49"/>
        <v>#NUM!</v>
      </c>
      <c r="AA1064" s="62"/>
      <c r="AB1064" s="34">
        <v>9</v>
      </c>
      <c r="AC1064" s="34">
        <v>8</v>
      </c>
      <c r="AD1064" s="38"/>
      <c r="AE1064" s="59" t="str">
        <f t="shared" si="50"/>
        <v>NO</v>
      </c>
      <c r="AF1064" s="38" t="e" cm="1">
        <f t="array" aca="1" ref="AF1064" ca="1">MIN(100, MAX(0, (IF(R1064="ESTUDIANTE", 31, 0)) + (IF(I1064&lt;=3, 30, IF(I1064&lt;=6, 20, 0))) +(IF(OR(E1064="413 - Control de Costes y Enlace Construcción", E1064="480 - Secretaría General del Consejo", E1064="132 - Civil y estructuras", E1064="136 - Mecánica", E1064="412 - Planificación", E1064="142 - Compras"), 25, 0)) +(IF(OR(S1064="GRADO ING. MECÁNICA", S1064="GRADO ING. ELÉCTRICA", S1064="GRADO DERECHO", S1064="GRADO ECONOMÍA", S1064="GRADO ING. TECNOLOGÍAS INDUSTRIALES"), 24, 0)) + (IF(AND(K1064&gt;=451, K1064&lt;=700), 23, 0)) + (IF(AND(AB1064&gt;=5, AB1064&lt;=8), 17, 0)) +(IF(_xludf.OR(_xludf.AND(AC1064&gt;=8, AC1064&lt;=10), _xludf.AND(AC1064&gt;=0, AC1064&lt;=5)), 16, 0)) + (IF(F1064="Madrid", 11, 0))))</f>
        <v>#NAME?</v>
      </c>
      <c r="AG1064" s="68"/>
      <c r="AH1064" s="71" t="s">
        <v>164</v>
      </c>
    </row>
    <row r="1065" spans="1:34" ht="14.4" x14ac:dyDescent="0.3">
      <c r="A1065" s="66" t="s">
        <v>2040</v>
      </c>
      <c r="B1065" s="66" t="s">
        <v>4157</v>
      </c>
      <c r="C1065" s="33">
        <v>1063</v>
      </c>
      <c r="D1065" s="33" t="s">
        <v>5397</v>
      </c>
      <c r="E1065" s="34" t="s">
        <v>5245</v>
      </c>
      <c r="F1065" s="34" t="s">
        <v>18</v>
      </c>
      <c r="G1065" s="57">
        <v>43655</v>
      </c>
      <c r="H1065" s="57">
        <v>43838</v>
      </c>
      <c r="I1065" s="34">
        <f t="shared" si="48"/>
        <v>5</v>
      </c>
      <c r="J1065" s="34">
        <v>35</v>
      </c>
      <c r="K1065" s="36">
        <v>900</v>
      </c>
      <c r="L1065" s="34" t="s">
        <v>29</v>
      </c>
      <c r="M1065" s="57">
        <v>33533</v>
      </c>
      <c r="N1065" s="37">
        <f>(YEAR(TablaMadre[[#This Row],[ALTA]])-YEAR(M1065))</f>
        <v>28</v>
      </c>
      <c r="O1065" s="34" t="s">
        <v>18</v>
      </c>
      <c r="P1065" s="34" t="s">
        <v>19</v>
      </c>
      <c r="Q1065" s="34" t="s">
        <v>297</v>
      </c>
      <c r="R1065" s="34" t="s">
        <v>21</v>
      </c>
      <c r="S1065" s="34" t="s">
        <v>297</v>
      </c>
      <c r="T1065" s="34"/>
      <c r="U1065" s="34"/>
      <c r="V1065" s="34" t="s">
        <v>56</v>
      </c>
      <c r="W1065" s="34" t="s">
        <v>23</v>
      </c>
      <c r="X1065" s="38" t="s">
        <v>164</v>
      </c>
      <c r="Y1065" s="62"/>
      <c r="Z1065" s="62" t="e">
        <f t="shared" si="49"/>
        <v>#NUM!</v>
      </c>
      <c r="AA1065" s="62"/>
      <c r="AB1065" s="34"/>
      <c r="AC1065" s="34"/>
      <c r="AD1065" s="38"/>
      <c r="AE1065" s="59" t="str">
        <f t="shared" si="50"/>
        <v>NO</v>
      </c>
      <c r="AF1065" s="38" t="e" cm="1">
        <f t="array" aca="1" ref="AF1065" ca="1">MIN(100, MAX(0, (IF(R1065="ESTUDIANTE", 31, 0)) + (IF(I1065&lt;=3, 30, IF(I1065&lt;=6, 20, 0))) +(IF(OR(E1065="413 - Control de Costes y Enlace Construcción", E1065="480 - Secretaría General del Consejo", E1065="132 - Civil y estructuras", E1065="136 - Mecánica", E1065="412 - Planificación", E1065="142 - Compras"), 25, 0)) +(IF(OR(S1065="GRADO ING. MECÁNICA", S1065="GRADO ING. ELÉCTRICA", S1065="GRADO DERECHO", S1065="GRADO ECONOMÍA", S1065="GRADO ING. TECNOLOGÍAS INDUSTRIALES"), 24, 0)) + (IF(AND(K1065&gt;=451, K1065&lt;=700), 23, 0)) + (IF(AND(AB1065&gt;=5, AB1065&lt;=8), 17, 0)) +(IF(_xludf.OR(_xludf.AND(AC1065&gt;=8, AC1065&lt;=10), _xludf.AND(AC1065&gt;=0, AC1065&lt;=5)), 16, 0)) + (IF(F1065="Madrid", 11, 0))))</f>
        <v>#NAME?</v>
      </c>
      <c r="AG1065" s="68"/>
      <c r="AH1065" s="71" t="s">
        <v>164</v>
      </c>
    </row>
    <row r="1066" spans="1:34" ht="14.4" x14ac:dyDescent="0.3">
      <c r="A1066" s="66" t="s">
        <v>2042</v>
      </c>
      <c r="B1066" s="66" t="s">
        <v>4159</v>
      </c>
      <c r="C1066" s="33">
        <v>1065</v>
      </c>
      <c r="D1066" s="33" t="s">
        <v>5398</v>
      </c>
      <c r="E1066" s="34" t="s">
        <v>5235</v>
      </c>
      <c r="F1066" s="34" t="s">
        <v>18</v>
      </c>
      <c r="G1066" s="57">
        <v>43656</v>
      </c>
      <c r="H1066" s="57">
        <v>44205</v>
      </c>
      <c r="I1066" s="34">
        <f t="shared" si="48"/>
        <v>17</v>
      </c>
      <c r="J1066" s="34">
        <v>35</v>
      </c>
      <c r="K1066" s="36">
        <v>900</v>
      </c>
      <c r="L1066" s="34" t="s">
        <v>17</v>
      </c>
      <c r="M1066" s="57">
        <v>34495</v>
      </c>
      <c r="N1066" s="37">
        <f>(YEAR(TablaMadre[[#This Row],[ALTA]])-YEAR(M1066))</f>
        <v>25</v>
      </c>
      <c r="O1066" s="34" t="s">
        <v>18</v>
      </c>
      <c r="P1066" s="34" t="s">
        <v>19</v>
      </c>
      <c r="Q1066" s="34" t="s">
        <v>455</v>
      </c>
      <c r="R1066" s="34" t="s">
        <v>21</v>
      </c>
      <c r="S1066" s="34" t="s">
        <v>322</v>
      </c>
      <c r="T1066" s="34"/>
      <c r="U1066" s="34"/>
      <c r="V1066" s="34" t="s">
        <v>22</v>
      </c>
      <c r="W1066" s="34" t="s">
        <v>23</v>
      </c>
      <c r="X1066" s="38" t="s">
        <v>164</v>
      </c>
      <c r="Y1066" s="62"/>
      <c r="Z1066" s="62" t="e">
        <f t="shared" si="49"/>
        <v>#NUM!</v>
      </c>
      <c r="AA1066" s="62"/>
      <c r="AB1066" s="34">
        <v>8</v>
      </c>
      <c r="AC1066" s="34">
        <v>7</v>
      </c>
      <c r="AD1066" s="38"/>
      <c r="AE1066" s="59" t="str">
        <f t="shared" si="50"/>
        <v>NO</v>
      </c>
      <c r="AF1066" s="38" t="e" cm="1">
        <f t="array" aca="1" ref="AF1066" ca="1">MIN(100, MAX(0, (IF(R1066="ESTUDIANTE", 31, 0)) + (IF(I1066&lt;=3, 30, IF(I1066&lt;=6, 20, 0))) +(IF(OR(E1066="413 - Control de Costes y Enlace Construcción", E1066="480 - Secretaría General del Consejo", E1066="132 - Civil y estructuras", E1066="136 - Mecánica", E1066="412 - Planificación", E1066="142 - Compras"), 25, 0)) +(IF(OR(S1066="GRADO ING. MECÁNICA", S1066="GRADO ING. ELÉCTRICA", S1066="GRADO DERECHO", S1066="GRADO ECONOMÍA", S1066="GRADO ING. TECNOLOGÍAS INDUSTRIALES"), 24, 0)) + (IF(AND(K1066&gt;=451, K1066&lt;=700), 23, 0)) + (IF(AND(AB1066&gt;=5, AB1066&lt;=8), 17, 0)) +(IF(_xludf.OR(_xludf.AND(AC1066&gt;=8, AC1066&lt;=10), _xludf.AND(AC1066&gt;=0, AC1066&lt;=5)), 16, 0)) + (IF(F1066="Madrid", 11, 0))))</f>
        <v>#NAME?</v>
      </c>
      <c r="AG1066" s="68"/>
      <c r="AH1066" s="71" t="s">
        <v>164</v>
      </c>
    </row>
    <row r="1067" spans="1:34" ht="14.4" x14ac:dyDescent="0.3">
      <c r="A1067" s="66" t="s">
        <v>2043</v>
      </c>
      <c r="B1067" s="66" t="s">
        <v>4160</v>
      </c>
      <c r="C1067" s="33">
        <v>1067</v>
      </c>
      <c r="D1067" s="33" t="s">
        <v>5399</v>
      </c>
      <c r="E1067" s="34" t="s">
        <v>5232</v>
      </c>
      <c r="F1067" s="34" t="s">
        <v>18</v>
      </c>
      <c r="G1067" s="57">
        <v>43661</v>
      </c>
      <c r="H1067" s="57">
        <v>44026</v>
      </c>
      <c r="I1067" s="34">
        <f t="shared" si="48"/>
        <v>11</v>
      </c>
      <c r="J1067" s="34">
        <v>35</v>
      </c>
      <c r="K1067" s="36">
        <v>900</v>
      </c>
      <c r="L1067" s="34" t="s">
        <v>29</v>
      </c>
      <c r="M1067" s="57">
        <v>32590</v>
      </c>
      <c r="N1067" s="37">
        <f>(YEAR(TablaMadre[[#This Row],[ALTA]])-YEAR(M1067))</f>
        <v>30</v>
      </c>
      <c r="O1067" s="34" t="s">
        <v>323</v>
      </c>
      <c r="P1067" s="34" t="s">
        <v>19</v>
      </c>
      <c r="Q1067" s="34" t="s">
        <v>465</v>
      </c>
      <c r="R1067" s="34" t="s">
        <v>21</v>
      </c>
      <c r="S1067" s="34" t="s">
        <v>321</v>
      </c>
      <c r="T1067" s="34"/>
      <c r="U1067" s="34"/>
      <c r="V1067" s="34" t="s">
        <v>275</v>
      </c>
      <c r="W1067" s="34" t="s">
        <v>370</v>
      </c>
      <c r="X1067" s="38" t="s">
        <v>164</v>
      </c>
      <c r="Y1067" s="62"/>
      <c r="Z1067" s="62" t="e">
        <f t="shared" si="49"/>
        <v>#NUM!</v>
      </c>
      <c r="AA1067" s="62"/>
      <c r="AB1067" s="34">
        <v>9</v>
      </c>
      <c r="AC1067" s="34">
        <v>9</v>
      </c>
      <c r="AD1067" s="38"/>
      <c r="AE1067" s="59" t="str">
        <f t="shared" si="50"/>
        <v>SÍ</v>
      </c>
      <c r="AF1067" s="38" t="e" cm="1">
        <f t="array" aca="1" ref="AF1067" ca="1">MIN(100, MAX(0, (IF(R1067="ESTUDIANTE", 31, 0)) + (IF(I1067&lt;=3, 30, IF(I1067&lt;=6, 20, 0))) +(IF(OR(E1067="413 - Control de Costes y Enlace Construcción", E1067="480 - Secretaría General del Consejo", E1067="132 - Civil y estructuras", E1067="136 - Mecánica", E1067="412 - Planificación", E1067="142 - Compras"), 25, 0)) +(IF(OR(S1067="GRADO ING. MECÁNICA", S1067="GRADO ING. ELÉCTRICA", S1067="GRADO DERECHO", S1067="GRADO ECONOMÍA", S1067="GRADO ING. TECNOLOGÍAS INDUSTRIALES"), 24, 0)) + (IF(AND(K1067&gt;=451, K1067&lt;=700), 23, 0)) + (IF(AND(AB1067&gt;=5, AB1067&lt;=8), 17, 0)) +(IF(_xludf.OR(_xludf.AND(AC1067&gt;=8, AC1067&lt;=10), _xludf.AND(AC1067&gt;=0, AC1067&lt;=5)), 16, 0)) + (IF(F1067="Madrid", 11, 0))))</f>
        <v>#NAME?</v>
      </c>
      <c r="AG1067" s="68"/>
      <c r="AH1067" s="71" t="s">
        <v>164</v>
      </c>
    </row>
    <row r="1068" spans="1:34" ht="14.4" x14ac:dyDescent="0.3">
      <c r="A1068" s="66" t="s">
        <v>2044</v>
      </c>
      <c r="B1068" s="66" t="s">
        <v>4161</v>
      </c>
      <c r="C1068" s="33">
        <v>1068</v>
      </c>
      <c r="D1068" s="33" t="s">
        <v>5400</v>
      </c>
      <c r="E1068" s="34" t="s">
        <v>5270</v>
      </c>
      <c r="F1068" s="34" t="s">
        <v>18</v>
      </c>
      <c r="G1068" s="57">
        <v>43661</v>
      </c>
      <c r="H1068" s="57">
        <v>44210</v>
      </c>
      <c r="I1068" s="34">
        <f t="shared" si="48"/>
        <v>17</v>
      </c>
      <c r="J1068" s="34">
        <v>35</v>
      </c>
      <c r="K1068" s="36">
        <v>900</v>
      </c>
      <c r="L1068" s="34" t="s">
        <v>17</v>
      </c>
      <c r="M1068" s="57">
        <v>34530</v>
      </c>
      <c r="N1068" s="37">
        <f>(YEAR(TablaMadre[[#This Row],[ALTA]])-YEAR(M1068))</f>
        <v>25</v>
      </c>
      <c r="O1068" s="34" t="s">
        <v>265</v>
      </c>
      <c r="P1068" s="34" t="s">
        <v>265</v>
      </c>
      <c r="Q1068" s="34" t="s">
        <v>489</v>
      </c>
      <c r="R1068" s="34" t="s">
        <v>21</v>
      </c>
      <c r="S1068" s="34" t="s">
        <v>151</v>
      </c>
      <c r="T1068" s="34"/>
      <c r="U1068" s="34"/>
      <c r="V1068" s="34" t="s">
        <v>90</v>
      </c>
      <c r="W1068" s="34" t="s">
        <v>370</v>
      </c>
      <c r="X1068" s="38" t="s">
        <v>164</v>
      </c>
      <c r="Y1068" s="62"/>
      <c r="Z1068" s="62" t="e">
        <f t="shared" si="49"/>
        <v>#NUM!</v>
      </c>
      <c r="AA1068" s="62"/>
      <c r="AB1068" s="34">
        <v>9</v>
      </c>
      <c r="AC1068" s="34">
        <v>8</v>
      </c>
      <c r="AD1068" s="38"/>
      <c r="AE1068" s="59" t="str">
        <f t="shared" si="50"/>
        <v>SÍ</v>
      </c>
      <c r="AF1068" s="38" t="e" cm="1">
        <f t="array" aca="1" ref="AF1068" ca="1">MIN(100, MAX(0, (IF(R1068="ESTUDIANTE", 31, 0)) + (IF(I1068&lt;=3, 30, IF(I1068&lt;=6, 20, 0))) +(IF(OR(E1068="413 - Control de Costes y Enlace Construcción", E1068="480 - Secretaría General del Consejo", E1068="132 - Civil y estructuras", E1068="136 - Mecánica", E1068="412 - Planificación", E1068="142 - Compras"), 25, 0)) +(IF(OR(S1068="GRADO ING. MECÁNICA", S1068="GRADO ING. ELÉCTRICA", S1068="GRADO DERECHO", S1068="GRADO ECONOMÍA", S1068="GRADO ING. TECNOLOGÍAS INDUSTRIALES"), 24, 0)) + (IF(AND(K1068&gt;=451, K1068&lt;=700), 23, 0)) + (IF(AND(AB1068&gt;=5, AB1068&lt;=8), 17, 0)) +(IF(_xludf.OR(_xludf.AND(AC1068&gt;=8, AC1068&lt;=10), _xludf.AND(AC1068&gt;=0, AC1068&lt;=5)), 16, 0)) + (IF(F1068="Madrid", 11, 0))))</f>
        <v>#NAME?</v>
      </c>
      <c r="AG1068" s="68"/>
      <c r="AH1068" s="71" t="s">
        <v>164</v>
      </c>
    </row>
    <row r="1069" spans="1:34" ht="14.4" x14ac:dyDescent="0.3">
      <c r="A1069" s="66" t="s">
        <v>2045</v>
      </c>
      <c r="B1069" s="66" t="s">
        <v>4162</v>
      </c>
      <c r="C1069" s="33">
        <v>1066</v>
      </c>
      <c r="D1069" s="33" t="s">
        <v>5401</v>
      </c>
      <c r="E1069" s="34" t="s">
        <v>5244</v>
      </c>
      <c r="F1069" s="34" t="s">
        <v>18</v>
      </c>
      <c r="G1069" s="57">
        <v>43661</v>
      </c>
      <c r="H1069" s="57">
        <v>43844</v>
      </c>
      <c r="I1069" s="34">
        <f t="shared" si="48"/>
        <v>5</v>
      </c>
      <c r="J1069" s="34">
        <v>35</v>
      </c>
      <c r="K1069" s="36">
        <v>900</v>
      </c>
      <c r="L1069" s="34" t="s">
        <v>29</v>
      </c>
      <c r="M1069" s="57">
        <v>33897</v>
      </c>
      <c r="N1069" s="37">
        <f>(YEAR(TablaMadre[[#This Row],[ALTA]])-YEAR(M1069))</f>
        <v>27</v>
      </c>
      <c r="O1069" s="34" t="s">
        <v>293</v>
      </c>
      <c r="P1069" s="34" t="s">
        <v>19</v>
      </c>
      <c r="Q1069" s="34" t="s">
        <v>453</v>
      </c>
      <c r="R1069" s="34" t="s">
        <v>21</v>
      </c>
      <c r="S1069" s="34" t="s">
        <v>151</v>
      </c>
      <c r="T1069" s="34"/>
      <c r="U1069" s="34"/>
      <c r="V1069" s="34" t="s">
        <v>340</v>
      </c>
      <c r="W1069" s="34" t="s">
        <v>28</v>
      </c>
      <c r="X1069" s="38" t="s">
        <v>164</v>
      </c>
      <c r="Y1069" s="62">
        <v>44088</v>
      </c>
      <c r="Z1069" s="38">
        <f t="shared" si="49"/>
        <v>0</v>
      </c>
      <c r="AA1069" s="38"/>
      <c r="AB1069" s="34">
        <v>8</v>
      </c>
      <c r="AC1069" s="34"/>
      <c r="AD1069" s="38"/>
      <c r="AE1069" s="59" t="str">
        <f t="shared" si="50"/>
        <v>SÍ</v>
      </c>
      <c r="AF1069" s="38" t="e" cm="1">
        <f t="array" aca="1" ref="AF1069" ca="1">MIN(100, MAX(0, (IF(R1069="ESTUDIANTE", 31, 0)) + (IF(I1069&lt;=3, 30, IF(I1069&lt;=6, 20, 0))) +(IF(OR(E1069="413 - Control de Costes y Enlace Construcción", E1069="480 - Secretaría General del Consejo", E1069="132 - Civil y estructuras", E1069="136 - Mecánica", E1069="412 - Planificación", E1069="142 - Compras"), 25, 0)) +(IF(OR(S1069="GRADO ING. MECÁNICA", S1069="GRADO ING. ELÉCTRICA", S1069="GRADO DERECHO", S1069="GRADO ECONOMÍA", S1069="GRADO ING. TECNOLOGÍAS INDUSTRIALES"), 24, 0)) + (IF(AND(K1069&gt;=451, K1069&lt;=700), 23, 0)) + (IF(AND(AB1069&gt;=5, AB1069&lt;=8), 17, 0)) +(IF(_xludf.OR(_xludf.AND(AC1069&gt;=8, AC1069&lt;=10), _xludf.AND(AC1069&gt;=0, AC1069&lt;=5)), 16, 0)) + (IF(F1069="Madrid", 11, 0))))</f>
        <v>#NAME?</v>
      </c>
      <c r="AG1069" s="68"/>
      <c r="AH1069" s="71" t="s">
        <v>164</v>
      </c>
    </row>
    <row r="1070" spans="1:34" ht="14.4" x14ac:dyDescent="0.3">
      <c r="A1070" s="66" t="s">
        <v>2046</v>
      </c>
      <c r="B1070" s="66" t="s">
        <v>4163</v>
      </c>
      <c r="C1070" s="33">
        <v>1069</v>
      </c>
      <c r="D1070" s="33" t="s">
        <v>5402</v>
      </c>
      <c r="E1070" s="34" t="s">
        <v>5216</v>
      </c>
      <c r="F1070" s="34" t="s">
        <v>18</v>
      </c>
      <c r="G1070" s="57">
        <v>43678</v>
      </c>
      <c r="H1070" s="57">
        <v>44043</v>
      </c>
      <c r="I1070" s="34">
        <f t="shared" si="48"/>
        <v>11</v>
      </c>
      <c r="J1070" s="34">
        <v>35</v>
      </c>
      <c r="K1070" s="36">
        <v>825</v>
      </c>
      <c r="L1070" s="34" t="s">
        <v>17</v>
      </c>
      <c r="M1070" s="57">
        <v>35289</v>
      </c>
      <c r="N1070" s="37">
        <f>(YEAR(TablaMadre[[#This Row],[ALTA]])-YEAR(M1070))</f>
        <v>23</v>
      </c>
      <c r="O1070" s="34" t="s">
        <v>411</v>
      </c>
      <c r="P1070" s="34" t="s">
        <v>19</v>
      </c>
      <c r="Q1070" s="34" t="s">
        <v>428</v>
      </c>
      <c r="R1070" s="34" t="s">
        <v>21</v>
      </c>
      <c r="S1070" s="34" t="s">
        <v>297</v>
      </c>
      <c r="T1070" s="34"/>
      <c r="U1070" s="34"/>
      <c r="V1070" s="34" t="s">
        <v>22</v>
      </c>
      <c r="W1070" s="34" t="s">
        <v>370</v>
      </c>
      <c r="X1070" s="38" t="s">
        <v>173</v>
      </c>
      <c r="Y1070" s="62"/>
      <c r="Z1070" s="62" t="e">
        <f t="shared" si="49"/>
        <v>#NUM!</v>
      </c>
      <c r="AA1070" s="62"/>
      <c r="AB1070" s="34">
        <v>9</v>
      </c>
      <c r="AC1070" s="34" t="s">
        <v>22</v>
      </c>
      <c r="AD1070" s="38"/>
      <c r="AE1070" s="59" t="str">
        <f t="shared" si="50"/>
        <v>SÍ</v>
      </c>
      <c r="AF1070" s="38" t="e" cm="1">
        <f t="array" aca="1" ref="AF1070" ca="1">MIN(100, MAX(0, (IF(R1070="ESTUDIANTE", 31, 0)) + (IF(I1070&lt;=3, 30, IF(I1070&lt;=6, 20, 0))) +(IF(OR(E1070="413 - Control de Costes y Enlace Construcción", E1070="480 - Secretaría General del Consejo", E1070="132 - Civil y estructuras", E1070="136 - Mecánica", E1070="412 - Planificación", E1070="142 - Compras"), 25, 0)) +(IF(OR(S1070="GRADO ING. MECÁNICA", S1070="GRADO ING. ELÉCTRICA", S1070="GRADO DERECHO", S1070="GRADO ECONOMÍA", S1070="GRADO ING. TECNOLOGÍAS INDUSTRIALES"), 24, 0)) + (IF(AND(K1070&gt;=451, K1070&lt;=700), 23, 0)) + (IF(AND(AB1070&gt;=5, AB1070&lt;=8), 17, 0)) +(IF(_xludf.OR(_xludf.AND(AC1070&gt;=8, AC1070&lt;=10), _xludf.AND(AC1070&gt;=0, AC1070&lt;=5)), 16, 0)) + (IF(F1070="Madrid", 11, 0))))</f>
        <v>#NAME?</v>
      </c>
      <c r="AG1070" s="68"/>
      <c r="AH1070" s="71" t="s">
        <v>164</v>
      </c>
    </row>
    <row r="1071" spans="1:34" ht="14.4" x14ac:dyDescent="0.3">
      <c r="A1071" s="66" t="s">
        <v>1999</v>
      </c>
      <c r="B1071" s="66" t="s">
        <v>4116</v>
      </c>
      <c r="C1071" s="33">
        <v>1071</v>
      </c>
      <c r="D1071" s="33" t="s">
        <v>5393</v>
      </c>
      <c r="E1071" s="34" t="s">
        <v>5303</v>
      </c>
      <c r="F1071" s="34" t="s">
        <v>18</v>
      </c>
      <c r="G1071" s="57">
        <v>43681</v>
      </c>
      <c r="H1071" s="57">
        <v>44043</v>
      </c>
      <c r="I1071" s="34">
        <f t="shared" si="48"/>
        <v>11</v>
      </c>
      <c r="J1071" s="34">
        <v>35</v>
      </c>
      <c r="K1071" s="36">
        <v>650</v>
      </c>
      <c r="L1071" s="34" t="s">
        <v>29</v>
      </c>
      <c r="M1071" s="57">
        <v>35423</v>
      </c>
      <c r="N1071" s="37">
        <f>(YEAR(TablaMadre[[#This Row],[ALTA]])-YEAR(M1071))</f>
        <v>23</v>
      </c>
      <c r="O1071" s="34" t="s">
        <v>18</v>
      </c>
      <c r="P1071" s="34" t="s">
        <v>19</v>
      </c>
      <c r="Q1071" s="34" t="s">
        <v>435</v>
      </c>
      <c r="R1071" s="58" t="s">
        <v>30</v>
      </c>
      <c r="S1071" s="34" t="s">
        <v>435</v>
      </c>
      <c r="T1071" s="34"/>
      <c r="U1071" s="34"/>
      <c r="V1071" s="34" t="s">
        <v>22</v>
      </c>
      <c r="W1071" s="34" t="s">
        <v>380</v>
      </c>
      <c r="X1071" s="38" t="s">
        <v>164</v>
      </c>
      <c r="Y1071" s="62"/>
      <c r="Z1071" s="62" t="e">
        <f t="shared" si="49"/>
        <v>#NUM!</v>
      </c>
      <c r="AA1071" s="62"/>
      <c r="AB1071" s="34"/>
      <c r="AC1071" s="34"/>
      <c r="AD1071" s="38"/>
      <c r="AE1071" s="59" t="str">
        <f t="shared" si="50"/>
        <v>NO</v>
      </c>
      <c r="AF1071" s="38" t="e" cm="1">
        <f t="array" aca="1" ref="AF1071" ca="1">MIN(100, MAX(0, (IF(R1071="ESTUDIANTE", 31, 0)) + (IF(I1071&lt;=3, 30, IF(I1071&lt;=6, 20, 0))) +(IF(OR(E1071="413 - Control de Costes y Enlace Construcción", E1071="480 - Secretaría General del Consejo", E1071="132 - Civil y estructuras", E1071="136 - Mecánica", E1071="412 - Planificación", E1071="142 - Compras"), 25, 0)) +(IF(OR(S1071="GRADO ING. MECÁNICA", S1071="GRADO ING. ELÉCTRICA", S1071="GRADO DERECHO", S1071="GRADO ECONOMÍA", S1071="GRADO ING. TECNOLOGÍAS INDUSTRIALES"), 24, 0)) + (IF(AND(K1071&gt;=451, K1071&lt;=700), 23, 0)) + (IF(AND(AB1071&gt;=5, AB1071&lt;=8), 17, 0)) +(IF(_xludf.OR(_xludf.AND(AC1071&gt;=8, AC1071&lt;=10), _xludf.AND(AC1071&gt;=0, AC1071&lt;=5)), 16, 0)) + (IF(F1071="Madrid", 11, 0))))</f>
        <v>#NAME?</v>
      </c>
      <c r="AG1071" s="68"/>
      <c r="AH1071" s="71" t="s">
        <v>164</v>
      </c>
    </row>
    <row r="1072" spans="1:34" ht="14.4" x14ac:dyDescent="0.3">
      <c r="A1072" s="66" t="s">
        <v>2049</v>
      </c>
      <c r="B1072" s="66" t="s">
        <v>4166</v>
      </c>
      <c r="C1072" s="33">
        <v>1070</v>
      </c>
      <c r="D1072" s="33" t="s">
        <v>5396</v>
      </c>
      <c r="E1072" s="34" t="s">
        <v>5235</v>
      </c>
      <c r="F1072" s="34" t="s">
        <v>18</v>
      </c>
      <c r="G1072" s="57">
        <v>43681</v>
      </c>
      <c r="H1072" s="57">
        <v>44022</v>
      </c>
      <c r="I1072" s="34">
        <f t="shared" si="48"/>
        <v>11</v>
      </c>
      <c r="J1072" s="34">
        <v>35</v>
      </c>
      <c r="K1072" s="36">
        <v>900</v>
      </c>
      <c r="L1072" s="34" t="s">
        <v>17</v>
      </c>
      <c r="M1072" s="57">
        <v>34036</v>
      </c>
      <c r="N1072" s="37">
        <f>(YEAR(TablaMadre[[#This Row],[ALTA]])-YEAR(M1072))</f>
        <v>26</v>
      </c>
      <c r="O1072" s="34" t="s">
        <v>68</v>
      </c>
      <c r="P1072" s="34" t="s">
        <v>19</v>
      </c>
      <c r="Q1072" s="34" t="s">
        <v>433</v>
      </c>
      <c r="R1072" s="34" t="s">
        <v>21</v>
      </c>
      <c r="S1072" s="34" t="s">
        <v>297</v>
      </c>
      <c r="T1072" s="34"/>
      <c r="U1072" s="34"/>
      <c r="V1072" s="34" t="s">
        <v>51</v>
      </c>
      <c r="W1072" s="34" t="s">
        <v>28</v>
      </c>
      <c r="X1072" s="38" t="s">
        <v>164</v>
      </c>
      <c r="Y1072" s="62">
        <v>44112</v>
      </c>
      <c r="Z1072" s="38">
        <f t="shared" si="49"/>
        <v>0</v>
      </c>
      <c r="AA1072" s="38"/>
      <c r="AB1072" s="34">
        <v>9.5</v>
      </c>
      <c r="AC1072" s="34"/>
      <c r="AD1072" s="38"/>
      <c r="AE1072" s="59" t="str">
        <f t="shared" si="50"/>
        <v>SÍ</v>
      </c>
      <c r="AF1072" s="38" t="e" cm="1">
        <f t="array" aca="1" ref="AF1072" ca="1">MIN(100, MAX(0, (IF(R1072="ESTUDIANTE", 31, 0)) + (IF(I1072&lt;=3, 30, IF(I1072&lt;=6, 20, 0))) +(IF(OR(E1072="413 - Control de Costes y Enlace Construcción", E1072="480 - Secretaría General del Consejo", E1072="132 - Civil y estructuras", E1072="136 - Mecánica", E1072="412 - Planificación", E1072="142 - Compras"), 25, 0)) +(IF(OR(S1072="GRADO ING. MECÁNICA", S1072="GRADO ING. ELÉCTRICA", S1072="GRADO DERECHO", S1072="GRADO ECONOMÍA", S1072="GRADO ING. TECNOLOGÍAS INDUSTRIALES"), 24, 0)) + (IF(AND(K1072&gt;=451, K1072&lt;=700), 23, 0)) + (IF(AND(AB1072&gt;=5, AB1072&lt;=8), 17, 0)) +(IF(_xludf.OR(_xludf.AND(AC1072&gt;=8, AC1072&lt;=10), _xludf.AND(AC1072&gt;=0, AC1072&lt;=5)), 16, 0)) + (IF(F1072="Madrid", 11, 0))))</f>
        <v>#NAME?</v>
      </c>
      <c r="AG1072" s="68"/>
      <c r="AH1072" s="71" t="s">
        <v>164</v>
      </c>
    </row>
    <row r="1073" spans="1:34" ht="14.4" x14ac:dyDescent="0.3">
      <c r="A1073" s="66" t="s">
        <v>2036</v>
      </c>
      <c r="B1073" s="66" t="s">
        <v>4153</v>
      </c>
      <c r="C1073" s="33">
        <v>1072</v>
      </c>
      <c r="D1073" s="33" t="s">
        <v>5397</v>
      </c>
      <c r="E1073" s="34" t="s">
        <v>5306</v>
      </c>
      <c r="F1073" s="34" t="s">
        <v>18</v>
      </c>
      <c r="G1073" s="57">
        <v>43684</v>
      </c>
      <c r="H1073" s="57">
        <v>43690</v>
      </c>
      <c r="I1073" s="34">
        <f t="shared" si="48"/>
        <v>0</v>
      </c>
      <c r="J1073" s="34">
        <v>35</v>
      </c>
      <c r="K1073" s="36">
        <v>825</v>
      </c>
      <c r="L1073" s="34" t="s">
        <v>17</v>
      </c>
      <c r="M1073" s="57">
        <v>35060</v>
      </c>
      <c r="N1073" s="37">
        <f>(YEAR(TablaMadre[[#This Row],[ALTA]])-YEAR(M1073))</f>
        <v>24</v>
      </c>
      <c r="O1073" s="34" t="s">
        <v>152</v>
      </c>
      <c r="P1073" s="34" t="s">
        <v>152</v>
      </c>
      <c r="Q1073" s="34" t="s">
        <v>421</v>
      </c>
      <c r="R1073" s="34" t="s">
        <v>21</v>
      </c>
      <c r="S1073" s="34" t="s">
        <v>384</v>
      </c>
      <c r="T1073" s="34"/>
      <c r="U1073" s="34"/>
      <c r="V1073" s="34" t="s">
        <v>67</v>
      </c>
      <c r="W1073" s="34" t="s">
        <v>181</v>
      </c>
      <c r="X1073" s="38" t="s">
        <v>164</v>
      </c>
      <c r="Y1073" s="62"/>
      <c r="Z1073" s="62" t="e">
        <f t="shared" si="49"/>
        <v>#NUM!</v>
      </c>
      <c r="AA1073" s="62"/>
      <c r="AB1073" s="34"/>
      <c r="AC1073" s="34"/>
      <c r="AD1073" s="38"/>
      <c r="AE1073" s="59" t="str">
        <f t="shared" si="50"/>
        <v>SÍ</v>
      </c>
      <c r="AF1073" s="38" t="e" cm="1">
        <f t="array" aca="1" ref="AF1073" ca="1">MIN(100, MAX(0, (IF(R1073="ESTUDIANTE", 31, 0)) + (IF(I1073&lt;=3, 30, IF(I1073&lt;=6, 20, 0))) +(IF(OR(E1073="413 - Control de Costes y Enlace Construcción", E1073="480 - Secretaría General del Consejo", E1073="132 - Civil y estructuras", E1073="136 - Mecánica", E1073="412 - Planificación", E1073="142 - Compras"), 25, 0)) +(IF(OR(S1073="GRADO ING. MECÁNICA", S1073="GRADO ING. ELÉCTRICA", S1073="GRADO DERECHO", S1073="GRADO ECONOMÍA", S1073="GRADO ING. TECNOLOGÍAS INDUSTRIALES"), 24, 0)) + (IF(AND(K1073&gt;=451, K1073&lt;=700), 23, 0)) + (IF(AND(AB1073&gt;=5, AB1073&lt;=8), 17, 0)) +(IF(_xludf.OR(_xludf.AND(AC1073&gt;=8, AC1073&lt;=10), _xludf.AND(AC1073&gt;=0, AC1073&lt;=5)), 16, 0)) + (IF(F1073="Madrid", 11, 0))))</f>
        <v>#NAME?</v>
      </c>
      <c r="AG1073" s="68"/>
      <c r="AH1073" s="71" t="s">
        <v>164</v>
      </c>
    </row>
    <row r="1074" spans="1:34" ht="14.4" x14ac:dyDescent="0.3">
      <c r="A1074" s="66" t="s">
        <v>2052</v>
      </c>
      <c r="B1074" s="66" t="s">
        <v>4169</v>
      </c>
      <c r="C1074" s="33">
        <v>1073</v>
      </c>
      <c r="D1074" s="33" t="s">
        <v>5393</v>
      </c>
      <c r="E1074" s="34" t="s">
        <v>5235</v>
      </c>
      <c r="F1074" s="34" t="s">
        <v>18</v>
      </c>
      <c r="G1074" s="57">
        <v>43689</v>
      </c>
      <c r="H1074" s="57">
        <v>43872</v>
      </c>
      <c r="I1074" s="34">
        <f t="shared" si="48"/>
        <v>5</v>
      </c>
      <c r="J1074" s="34">
        <v>35</v>
      </c>
      <c r="K1074" s="36">
        <v>825</v>
      </c>
      <c r="L1074" s="34" t="s">
        <v>17</v>
      </c>
      <c r="M1074" s="57">
        <v>34544</v>
      </c>
      <c r="N1074" s="37">
        <f>(YEAR(TablaMadre[[#This Row],[ALTA]])-YEAR(M1074))</f>
        <v>25</v>
      </c>
      <c r="O1074" s="34" t="s">
        <v>121</v>
      </c>
      <c r="P1074" s="34" t="s">
        <v>19</v>
      </c>
      <c r="Q1074" s="34" t="s">
        <v>454</v>
      </c>
      <c r="R1074" s="34" t="s">
        <v>21</v>
      </c>
      <c r="S1074" s="34" t="s">
        <v>454</v>
      </c>
      <c r="T1074" s="34"/>
      <c r="U1074" s="34"/>
      <c r="V1074" s="34" t="s">
        <v>122</v>
      </c>
      <c r="W1074" s="34" t="s">
        <v>28</v>
      </c>
      <c r="X1074" s="38" t="s">
        <v>164</v>
      </c>
      <c r="Y1074" s="62">
        <v>45012</v>
      </c>
      <c r="Z1074" s="38">
        <f t="shared" si="49"/>
        <v>3</v>
      </c>
      <c r="AA1074" s="38"/>
      <c r="AB1074" s="34">
        <v>8</v>
      </c>
      <c r="AC1074" s="34">
        <v>8</v>
      </c>
      <c r="AD1074" s="38"/>
      <c r="AE1074" s="59" t="str">
        <f t="shared" si="50"/>
        <v>SÍ</v>
      </c>
      <c r="AF1074" s="38" t="e" cm="1">
        <f t="array" aca="1" ref="AF1074" ca="1">MIN(100, MAX(0, (IF(R1074="ESTUDIANTE", 31, 0)) + (IF(I1074&lt;=3, 30, IF(I1074&lt;=6, 20, 0))) +(IF(OR(E1074="413 - Control de Costes y Enlace Construcción", E1074="480 - Secretaría General del Consejo", E1074="132 - Civil y estructuras", E1074="136 - Mecánica", E1074="412 - Planificación", E1074="142 - Compras"), 25, 0)) +(IF(OR(S1074="GRADO ING. MECÁNICA", S1074="GRADO ING. ELÉCTRICA", S1074="GRADO DERECHO", S1074="GRADO ECONOMÍA", S1074="GRADO ING. TECNOLOGÍAS INDUSTRIALES"), 24, 0)) + (IF(AND(K1074&gt;=451, K1074&lt;=700), 23, 0)) + (IF(AND(AB1074&gt;=5, AB1074&lt;=8), 17, 0)) +(IF(_xludf.OR(_xludf.AND(AC1074&gt;=8, AC1074&lt;=10), _xludf.AND(AC1074&gt;=0, AC1074&lt;=5)), 16, 0)) + (IF(F1074="Madrid", 11, 0))))</f>
        <v>#NAME?</v>
      </c>
      <c r="AG1074" s="68"/>
      <c r="AH1074" s="71" t="s">
        <v>164</v>
      </c>
    </row>
    <row r="1075" spans="1:34" ht="14.4" x14ac:dyDescent="0.3">
      <c r="A1075" s="66" t="s">
        <v>2047</v>
      </c>
      <c r="B1075" s="66" t="s">
        <v>4164</v>
      </c>
      <c r="C1075" s="33">
        <v>1074</v>
      </c>
      <c r="D1075" s="33" t="s">
        <v>5394</v>
      </c>
      <c r="E1075" s="34" t="s">
        <v>5216</v>
      </c>
      <c r="F1075" s="34" t="s">
        <v>18</v>
      </c>
      <c r="G1075" s="57">
        <v>43700</v>
      </c>
      <c r="H1075" s="57">
        <v>44065</v>
      </c>
      <c r="I1075" s="34">
        <f t="shared" si="48"/>
        <v>11</v>
      </c>
      <c r="J1075" s="34">
        <v>35</v>
      </c>
      <c r="K1075" s="36">
        <v>900</v>
      </c>
      <c r="L1075" s="34" t="s">
        <v>17</v>
      </c>
      <c r="M1075" s="57">
        <v>35083</v>
      </c>
      <c r="N1075" s="37">
        <f>(YEAR(TablaMadre[[#This Row],[ALTA]])-YEAR(M1075))</f>
        <v>23</v>
      </c>
      <c r="O1075" s="34" t="s">
        <v>18</v>
      </c>
      <c r="P1075" s="34" t="s">
        <v>19</v>
      </c>
      <c r="Q1075" s="34" t="s">
        <v>428</v>
      </c>
      <c r="R1075" s="34" t="s">
        <v>21</v>
      </c>
      <c r="S1075" s="34" t="s">
        <v>297</v>
      </c>
      <c r="T1075" s="34"/>
      <c r="U1075" s="34"/>
      <c r="V1075" s="34" t="s">
        <v>56</v>
      </c>
      <c r="W1075" s="34" t="s">
        <v>370</v>
      </c>
      <c r="X1075" s="38" t="s">
        <v>164</v>
      </c>
      <c r="Y1075" s="62"/>
      <c r="Z1075" s="62" t="e">
        <f t="shared" si="49"/>
        <v>#NUM!</v>
      </c>
      <c r="AA1075" s="62"/>
      <c r="AB1075" s="34">
        <v>9</v>
      </c>
      <c r="AC1075" s="34">
        <v>8</v>
      </c>
      <c r="AD1075" s="38"/>
      <c r="AE1075" s="59" t="str">
        <f t="shared" si="50"/>
        <v>NO</v>
      </c>
      <c r="AF1075" s="38" t="e" cm="1">
        <f t="array" aca="1" ref="AF1075" ca="1">MIN(100, MAX(0, (IF(R1075="ESTUDIANTE", 31, 0)) + (IF(I1075&lt;=3, 30, IF(I1075&lt;=6, 20, 0))) +(IF(OR(E1075="413 - Control de Costes y Enlace Construcción", E1075="480 - Secretaría General del Consejo", E1075="132 - Civil y estructuras", E1075="136 - Mecánica", E1075="412 - Planificación", E1075="142 - Compras"), 25, 0)) +(IF(OR(S1075="GRADO ING. MECÁNICA", S1075="GRADO ING. ELÉCTRICA", S1075="GRADO DERECHO", S1075="GRADO ECONOMÍA", S1075="GRADO ING. TECNOLOGÍAS INDUSTRIALES"), 24, 0)) + (IF(AND(K1075&gt;=451, K1075&lt;=700), 23, 0)) + (IF(AND(AB1075&gt;=5, AB1075&lt;=8), 17, 0)) +(IF(_xludf.OR(_xludf.AND(AC1075&gt;=8, AC1075&lt;=10), _xludf.AND(AC1075&gt;=0, AC1075&lt;=5)), 16, 0)) + (IF(F1075="Madrid", 11, 0))))</f>
        <v>#NAME?</v>
      </c>
      <c r="AG1075" s="68"/>
      <c r="AH1075" s="71" t="s">
        <v>164</v>
      </c>
    </row>
    <row r="1076" spans="1:34" ht="14.4" x14ac:dyDescent="0.3">
      <c r="A1076" s="66" t="s">
        <v>1959</v>
      </c>
      <c r="B1076" s="66" t="s">
        <v>4076</v>
      </c>
      <c r="C1076" s="33">
        <v>1078</v>
      </c>
      <c r="D1076" s="33" t="s">
        <v>5395</v>
      </c>
      <c r="E1076" s="34" t="s">
        <v>5231</v>
      </c>
      <c r="F1076" s="34" t="s">
        <v>18</v>
      </c>
      <c r="G1076" s="57">
        <v>43703</v>
      </c>
      <c r="H1076" s="57">
        <v>44043</v>
      </c>
      <c r="I1076" s="34">
        <f t="shared" si="48"/>
        <v>11</v>
      </c>
      <c r="J1076" s="34">
        <v>30</v>
      </c>
      <c r="K1076" s="36">
        <v>705</v>
      </c>
      <c r="L1076" s="34" t="s">
        <v>17</v>
      </c>
      <c r="M1076" s="57">
        <v>34660</v>
      </c>
      <c r="N1076" s="37">
        <f>(YEAR(TablaMadre[[#This Row],[ALTA]])-YEAR(M1076))</f>
        <v>25</v>
      </c>
      <c r="O1076" s="34" t="s">
        <v>99</v>
      </c>
      <c r="P1076" s="34" t="s">
        <v>439</v>
      </c>
      <c r="Q1076" s="34" t="s">
        <v>330</v>
      </c>
      <c r="R1076" s="34" t="s">
        <v>21</v>
      </c>
      <c r="S1076" s="34" t="s">
        <v>307</v>
      </c>
      <c r="T1076" s="34"/>
      <c r="U1076" s="34"/>
      <c r="V1076" s="34" t="s">
        <v>22</v>
      </c>
      <c r="W1076" s="34" t="s">
        <v>370</v>
      </c>
      <c r="X1076" s="38" t="s">
        <v>164</v>
      </c>
      <c r="Y1076" s="62"/>
      <c r="Z1076" s="62" t="e">
        <f t="shared" si="49"/>
        <v>#NUM!</v>
      </c>
      <c r="AA1076" s="62"/>
      <c r="AB1076" s="34"/>
      <c r="AC1076" s="34" t="s">
        <v>466</v>
      </c>
      <c r="AD1076" s="38"/>
      <c r="AE1076" s="59" t="str">
        <f t="shared" si="50"/>
        <v>SÍ</v>
      </c>
      <c r="AF1076" s="38" t="e" cm="1">
        <f t="array" aca="1" ref="AF1076" ca="1">MIN(100, MAX(0, (IF(R1076="ESTUDIANTE", 31, 0)) + (IF(I1076&lt;=3, 30, IF(I1076&lt;=6, 20, 0))) +(IF(OR(E1076="413 - Control de Costes y Enlace Construcción", E1076="480 - Secretaría General del Consejo", E1076="132 - Civil y estructuras", E1076="136 - Mecánica", E1076="412 - Planificación", E1076="142 - Compras"), 25, 0)) +(IF(OR(S1076="GRADO ING. MECÁNICA", S1076="GRADO ING. ELÉCTRICA", S1076="GRADO DERECHO", S1076="GRADO ECONOMÍA", S1076="GRADO ING. TECNOLOGÍAS INDUSTRIALES"), 24, 0)) + (IF(AND(K1076&gt;=451, K1076&lt;=700), 23, 0)) + (IF(AND(AB1076&gt;=5, AB1076&lt;=8), 17, 0)) +(IF(_xludf.OR(_xludf.AND(AC1076&gt;=8, AC1076&lt;=10), _xludf.AND(AC1076&gt;=0, AC1076&lt;=5)), 16, 0)) + (IF(F1076="Madrid", 11, 0))))</f>
        <v>#NAME?</v>
      </c>
      <c r="AG1076" s="68"/>
      <c r="AH1076" s="71" t="s">
        <v>164</v>
      </c>
    </row>
    <row r="1077" spans="1:34" ht="14.4" x14ac:dyDescent="0.3">
      <c r="A1077" s="66" t="s">
        <v>2048</v>
      </c>
      <c r="B1077" s="66" t="s">
        <v>4165</v>
      </c>
      <c r="C1077" s="33">
        <v>1079</v>
      </c>
      <c r="D1077" s="33" t="s">
        <v>5396</v>
      </c>
      <c r="E1077" s="34" t="s">
        <v>5278</v>
      </c>
      <c r="F1077" s="34" t="s">
        <v>18</v>
      </c>
      <c r="G1077" s="57">
        <v>43703</v>
      </c>
      <c r="H1077" s="57">
        <v>44074</v>
      </c>
      <c r="I1077" s="34">
        <f t="shared" si="48"/>
        <v>12</v>
      </c>
      <c r="J1077" s="34">
        <v>35</v>
      </c>
      <c r="K1077" s="36">
        <v>900</v>
      </c>
      <c r="L1077" s="34" t="s">
        <v>29</v>
      </c>
      <c r="M1077" s="57">
        <v>33806</v>
      </c>
      <c r="N1077" s="37">
        <f>(YEAR(TablaMadre[[#This Row],[ALTA]])-YEAR(M1077))</f>
        <v>27</v>
      </c>
      <c r="O1077" s="34" t="s">
        <v>302</v>
      </c>
      <c r="P1077" s="34" t="s">
        <v>302</v>
      </c>
      <c r="Q1077" s="34" t="s">
        <v>471</v>
      </c>
      <c r="R1077" s="34" t="s">
        <v>21</v>
      </c>
      <c r="S1077" s="34" t="s">
        <v>322</v>
      </c>
      <c r="T1077" s="34"/>
      <c r="U1077" s="34"/>
      <c r="V1077" s="34" t="s">
        <v>90</v>
      </c>
      <c r="W1077" s="34" t="s">
        <v>370</v>
      </c>
      <c r="X1077" s="38" t="s">
        <v>164</v>
      </c>
      <c r="Y1077" s="62"/>
      <c r="Z1077" s="62" t="e">
        <f t="shared" si="49"/>
        <v>#NUM!</v>
      </c>
      <c r="AA1077" s="62"/>
      <c r="AB1077" s="34">
        <v>5</v>
      </c>
      <c r="AC1077" s="34">
        <v>6</v>
      </c>
      <c r="AD1077" s="38"/>
      <c r="AE1077" s="59" t="str">
        <f t="shared" si="50"/>
        <v>SÍ</v>
      </c>
      <c r="AF1077" s="38" t="e" cm="1">
        <f t="array" aca="1" ref="AF1077" ca="1">MIN(100, MAX(0, (IF(R1077="ESTUDIANTE", 31, 0)) + (IF(I1077&lt;=3, 30, IF(I1077&lt;=6, 20, 0))) +(IF(OR(E1077="413 - Control de Costes y Enlace Construcción", E1077="480 - Secretaría General del Consejo", E1077="132 - Civil y estructuras", E1077="136 - Mecánica", E1077="412 - Planificación", E1077="142 - Compras"), 25, 0)) +(IF(OR(S1077="GRADO ING. MECÁNICA", S1077="GRADO ING. ELÉCTRICA", S1077="GRADO DERECHO", S1077="GRADO ECONOMÍA", S1077="GRADO ING. TECNOLOGÍAS INDUSTRIALES"), 24, 0)) + (IF(AND(K1077&gt;=451, K1077&lt;=700), 23, 0)) + (IF(AND(AB1077&gt;=5, AB1077&lt;=8), 17, 0)) +(IF(_xludf.OR(_xludf.AND(AC1077&gt;=8, AC1077&lt;=10), _xludf.AND(AC1077&gt;=0, AC1077&lt;=5)), 16, 0)) + (IF(F1077="Madrid", 11, 0))))</f>
        <v>#NAME?</v>
      </c>
      <c r="AG1077" s="68"/>
      <c r="AH1077" s="71" t="s">
        <v>164</v>
      </c>
    </row>
    <row r="1078" spans="1:34" ht="14.4" x14ac:dyDescent="0.3">
      <c r="A1078" s="66" t="s">
        <v>2050</v>
      </c>
      <c r="B1078" s="66" t="s">
        <v>4167</v>
      </c>
      <c r="C1078" s="33">
        <v>1077</v>
      </c>
      <c r="D1078" s="33" t="s">
        <v>5397</v>
      </c>
      <c r="E1078" s="34" t="s">
        <v>5245</v>
      </c>
      <c r="F1078" s="34" t="s">
        <v>18</v>
      </c>
      <c r="G1078" s="57">
        <v>43703</v>
      </c>
      <c r="H1078" s="57">
        <v>43890</v>
      </c>
      <c r="I1078" s="34">
        <f t="shared" si="48"/>
        <v>6</v>
      </c>
      <c r="J1078" s="34">
        <v>35</v>
      </c>
      <c r="K1078" s="36">
        <v>825</v>
      </c>
      <c r="L1078" s="34" t="s">
        <v>17</v>
      </c>
      <c r="M1078" s="57">
        <v>34948</v>
      </c>
      <c r="N1078" s="37">
        <f>(YEAR(TablaMadre[[#This Row],[ALTA]])-YEAR(M1078))</f>
        <v>24</v>
      </c>
      <c r="O1078" s="34" t="s">
        <v>18</v>
      </c>
      <c r="P1078" s="34" t="s">
        <v>19</v>
      </c>
      <c r="Q1078" s="34" t="s">
        <v>428</v>
      </c>
      <c r="R1078" s="34" t="s">
        <v>21</v>
      </c>
      <c r="S1078" s="34" t="s">
        <v>297</v>
      </c>
      <c r="T1078" s="34"/>
      <c r="U1078" s="34"/>
      <c r="V1078" s="34" t="s">
        <v>22</v>
      </c>
      <c r="W1078" s="34" t="s">
        <v>23</v>
      </c>
      <c r="X1078" s="38" t="s">
        <v>164</v>
      </c>
      <c r="Y1078" s="62"/>
      <c r="Z1078" s="62" t="e">
        <f t="shared" si="49"/>
        <v>#NUM!</v>
      </c>
      <c r="AA1078" s="62"/>
      <c r="AB1078" s="34"/>
      <c r="AC1078" s="34"/>
      <c r="AD1078" s="38"/>
      <c r="AE1078" s="59" t="str">
        <f t="shared" si="50"/>
        <v>NO</v>
      </c>
      <c r="AF1078" s="38" t="e" cm="1">
        <f t="array" aca="1" ref="AF1078" ca="1">MIN(100, MAX(0, (IF(R1078="ESTUDIANTE", 31, 0)) + (IF(I1078&lt;=3, 30, IF(I1078&lt;=6, 20, 0))) +(IF(OR(E1078="413 - Control de Costes y Enlace Construcción", E1078="480 - Secretaría General del Consejo", E1078="132 - Civil y estructuras", E1078="136 - Mecánica", E1078="412 - Planificación", E1078="142 - Compras"), 25, 0)) +(IF(OR(S1078="GRADO ING. MECÁNICA", S1078="GRADO ING. ELÉCTRICA", S1078="GRADO DERECHO", S1078="GRADO ECONOMÍA", S1078="GRADO ING. TECNOLOGÍAS INDUSTRIALES"), 24, 0)) + (IF(AND(K1078&gt;=451, K1078&lt;=700), 23, 0)) + (IF(AND(AB1078&gt;=5, AB1078&lt;=8), 17, 0)) +(IF(_xludf.OR(_xludf.AND(AC1078&gt;=8, AC1078&lt;=10), _xludf.AND(AC1078&gt;=0, AC1078&lt;=5)), 16, 0)) + (IF(F1078="Madrid", 11, 0))))</f>
        <v>#NAME?</v>
      </c>
      <c r="AG1078" s="68"/>
      <c r="AH1078" s="71" t="s">
        <v>164</v>
      </c>
    </row>
    <row r="1079" spans="1:34" ht="14.4" x14ac:dyDescent="0.3">
      <c r="A1079" s="66" t="s">
        <v>2051</v>
      </c>
      <c r="B1079" s="66" t="s">
        <v>4168</v>
      </c>
      <c r="C1079" s="33">
        <v>1075</v>
      </c>
      <c r="D1079" s="33" t="s">
        <v>5398</v>
      </c>
      <c r="E1079" s="34" t="s">
        <v>5245</v>
      </c>
      <c r="F1079" s="34" t="s">
        <v>18</v>
      </c>
      <c r="G1079" s="57">
        <v>43703</v>
      </c>
      <c r="H1079" s="57">
        <v>43881</v>
      </c>
      <c r="I1079" s="34">
        <f t="shared" si="48"/>
        <v>5</v>
      </c>
      <c r="J1079" s="34">
        <v>35</v>
      </c>
      <c r="K1079" s="36">
        <v>825</v>
      </c>
      <c r="L1079" s="34" t="s">
        <v>29</v>
      </c>
      <c r="M1079" s="57">
        <v>35208</v>
      </c>
      <c r="N1079" s="37">
        <f>(YEAR(TablaMadre[[#This Row],[ALTA]])-YEAR(M1079))</f>
        <v>23</v>
      </c>
      <c r="O1079" s="34" t="s">
        <v>18</v>
      </c>
      <c r="P1079" s="34" t="s">
        <v>19</v>
      </c>
      <c r="Q1079" s="34" t="s">
        <v>326</v>
      </c>
      <c r="R1079" s="34" t="s">
        <v>21</v>
      </c>
      <c r="S1079" s="34" t="s">
        <v>151</v>
      </c>
      <c r="T1079" s="34"/>
      <c r="U1079" s="34"/>
      <c r="V1079" s="34" t="s">
        <v>456</v>
      </c>
      <c r="W1079" s="34" t="s">
        <v>47</v>
      </c>
      <c r="X1079" s="38" t="s">
        <v>164</v>
      </c>
      <c r="Y1079" s="62"/>
      <c r="Z1079" s="62" t="e">
        <f t="shared" si="49"/>
        <v>#NUM!</v>
      </c>
      <c r="AA1079" s="62"/>
      <c r="AB1079" s="34"/>
      <c r="AC1079" s="34"/>
      <c r="AD1079" s="38"/>
      <c r="AE1079" s="59" t="str">
        <f t="shared" si="50"/>
        <v>NO</v>
      </c>
      <c r="AF1079" s="38" t="e" cm="1">
        <f t="array" aca="1" ref="AF1079" ca="1">MIN(100, MAX(0, (IF(R1079="ESTUDIANTE", 31, 0)) + (IF(I1079&lt;=3, 30, IF(I1079&lt;=6, 20, 0))) +(IF(OR(E1079="413 - Control de Costes y Enlace Construcción", E1079="480 - Secretaría General del Consejo", E1079="132 - Civil y estructuras", E1079="136 - Mecánica", E1079="412 - Planificación", E1079="142 - Compras"), 25, 0)) +(IF(OR(S1079="GRADO ING. MECÁNICA", S1079="GRADO ING. ELÉCTRICA", S1079="GRADO DERECHO", S1079="GRADO ECONOMÍA", S1079="GRADO ING. TECNOLOGÍAS INDUSTRIALES"), 24, 0)) + (IF(AND(K1079&gt;=451, K1079&lt;=700), 23, 0)) + (IF(AND(AB1079&gt;=5, AB1079&lt;=8), 17, 0)) +(IF(_xludf.OR(_xludf.AND(AC1079&gt;=8, AC1079&lt;=10), _xludf.AND(AC1079&gt;=0, AC1079&lt;=5)), 16, 0)) + (IF(F1079="Madrid", 11, 0))))</f>
        <v>#NAME?</v>
      </c>
      <c r="AG1079" s="68"/>
      <c r="AH1079" s="71" t="s">
        <v>164</v>
      </c>
    </row>
    <row r="1080" spans="1:34" ht="14.4" x14ac:dyDescent="0.3">
      <c r="A1080" s="66" t="s">
        <v>2053</v>
      </c>
      <c r="B1080" s="66" t="s">
        <v>4170</v>
      </c>
      <c r="C1080" s="33">
        <v>1076</v>
      </c>
      <c r="D1080" s="33" t="s">
        <v>5399</v>
      </c>
      <c r="E1080" s="34" t="s">
        <v>5245</v>
      </c>
      <c r="F1080" s="34" t="s">
        <v>18</v>
      </c>
      <c r="G1080" s="57">
        <v>43703</v>
      </c>
      <c r="H1080" s="57">
        <v>43886</v>
      </c>
      <c r="I1080" s="34">
        <f t="shared" si="48"/>
        <v>5</v>
      </c>
      <c r="J1080" s="34">
        <v>35</v>
      </c>
      <c r="K1080" s="36">
        <v>900</v>
      </c>
      <c r="L1080" s="34" t="s">
        <v>17</v>
      </c>
      <c r="M1080" s="57">
        <v>35970</v>
      </c>
      <c r="N1080" s="37">
        <f>(YEAR(TablaMadre[[#This Row],[ALTA]])-YEAR(M1080))</f>
        <v>21</v>
      </c>
      <c r="O1080" s="34" t="s">
        <v>191</v>
      </c>
      <c r="P1080" s="34" t="s">
        <v>19</v>
      </c>
      <c r="Q1080" s="34" t="s">
        <v>457</v>
      </c>
      <c r="R1080" s="34" t="s">
        <v>21</v>
      </c>
      <c r="S1080" s="34" t="s">
        <v>151</v>
      </c>
      <c r="T1080" s="34"/>
      <c r="U1080" s="34"/>
      <c r="V1080" s="34" t="s">
        <v>22</v>
      </c>
      <c r="W1080" s="34" t="s">
        <v>23</v>
      </c>
      <c r="X1080" s="38" t="s">
        <v>164</v>
      </c>
      <c r="Y1080" s="62"/>
      <c r="Z1080" s="62" t="e">
        <f t="shared" si="49"/>
        <v>#NUM!</v>
      </c>
      <c r="AA1080" s="62"/>
      <c r="AB1080" s="34"/>
      <c r="AC1080" s="34"/>
      <c r="AD1080" s="38"/>
      <c r="AE1080" s="59" t="str">
        <f t="shared" si="50"/>
        <v>SÍ</v>
      </c>
      <c r="AF1080" s="38" t="e" cm="1">
        <f t="array" aca="1" ref="AF1080" ca="1">MIN(100, MAX(0, (IF(R1080="ESTUDIANTE", 31, 0)) + (IF(I1080&lt;=3, 30, IF(I1080&lt;=6, 20, 0))) +(IF(OR(E1080="413 - Control de Costes y Enlace Construcción", E1080="480 - Secretaría General del Consejo", E1080="132 - Civil y estructuras", E1080="136 - Mecánica", E1080="412 - Planificación", E1080="142 - Compras"), 25, 0)) +(IF(OR(S1080="GRADO ING. MECÁNICA", S1080="GRADO ING. ELÉCTRICA", S1080="GRADO DERECHO", S1080="GRADO ECONOMÍA", S1080="GRADO ING. TECNOLOGÍAS INDUSTRIALES"), 24, 0)) + (IF(AND(K1080&gt;=451, K1080&lt;=700), 23, 0)) + (IF(AND(AB1080&gt;=5, AB1080&lt;=8), 17, 0)) +(IF(_xludf.OR(_xludf.AND(AC1080&gt;=8, AC1080&lt;=10), _xludf.AND(AC1080&gt;=0, AC1080&lt;=5)), 16, 0)) + (IF(F1080="Madrid", 11, 0))))</f>
        <v>#NAME?</v>
      </c>
      <c r="AG1080" s="68"/>
      <c r="AH1080" s="71" t="s">
        <v>164</v>
      </c>
    </row>
    <row r="1081" spans="1:34" ht="14.4" x14ac:dyDescent="0.3">
      <c r="A1081" s="66" t="s">
        <v>2054</v>
      </c>
      <c r="B1081" s="66" t="s">
        <v>4171</v>
      </c>
      <c r="C1081" s="33">
        <v>1086</v>
      </c>
      <c r="D1081" s="33" t="s">
        <v>5396</v>
      </c>
      <c r="E1081" s="34" t="s">
        <v>5308</v>
      </c>
      <c r="F1081" s="34" t="s">
        <v>18</v>
      </c>
      <c r="G1081" s="57">
        <v>43710</v>
      </c>
      <c r="H1081" s="57">
        <v>44180</v>
      </c>
      <c r="I1081" s="34">
        <f t="shared" si="48"/>
        <v>15</v>
      </c>
      <c r="J1081" s="34">
        <v>35</v>
      </c>
      <c r="K1081" s="36">
        <v>650</v>
      </c>
      <c r="L1081" s="34" t="s">
        <v>29</v>
      </c>
      <c r="M1081" s="57">
        <v>34502</v>
      </c>
      <c r="N1081" s="37">
        <f>(YEAR(TablaMadre[[#This Row],[ALTA]])-YEAR(M1081))</f>
        <v>25</v>
      </c>
      <c r="O1081" s="34" t="s">
        <v>257</v>
      </c>
      <c r="P1081" s="34" t="s">
        <v>19</v>
      </c>
      <c r="Q1081" s="34" t="s">
        <v>460</v>
      </c>
      <c r="R1081" s="58" t="s">
        <v>30</v>
      </c>
      <c r="S1081" s="34" t="s">
        <v>26</v>
      </c>
      <c r="T1081" s="34"/>
      <c r="U1081" s="34"/>
      <c r="V1081" s="34" t="s">
        <v>27</v>
      </c>
      <c r="W1081" s="34" t="s">
        <v>370</v>
      </c>
      <c r="X1081" s="38" t="s">
        <v>164</v>
      </c>
      <c r="Y1081" s="62"/>
      <c r="Z1081" s="62" t="e">
        <f t="shared" si="49"/>
        <v>#NUM!</v>
      </c>
      <c r="AA1081" s="62"/>
      <c r="AB1081" s="34">
        <v>9</v>
      </c>
      <c r="AC1081" s="34">
        <v>9</v>
      </c>
      <c r="AD1081" s="38"/>
      <c r="AE1081" s="59" t="str">
        <f t="shared" si="50"/>
        <v>SÍ</v>
      </c>
      <c r="AF1081" s="38" t="e" cm="1">
        <f t="array" aca="1" ref="AF1081" ca="1">MIN(100, MAX(0, (IF(R1081="ESTUDIANTE", 31, 0)) + (IF(I1081&lt;=3, 30, IF(I1081&lt;=6, 20, 0))) +(IF(OR(E1081="413 - Control de Costes y Enlace Construcción", E1081="480 - Secretaría General del Consejo", E1081="132 - Civil y estructuras", E1081="136 - Mecánica", E1081="412 - Planificación", E1081="142 - Compras"), 25, 0)) +(IF(OR(S1081="GRADO ING. MECÁNICA", S1081="GRADO ING. ELÉCTRICA", S1081="GRADO DERECHO", S1081="GRADO ECONOMÍA", S1081="GRADO ING. TECNOLOGÍAS INDUSTRIALES"), 24, 0)) + (IF(AND(K1081&gt;=451, K1081&lt;=700), 23, 0)) + (IF(AND(AB1081&gt;=5, AB1081&lt;=8), 17, 0)) +(IF(_xludf.OR(_xludf.AND(AC1081&gt;=8, AC1081&lt;=10), _xludf.AND(AC1081&gt;=0, AC1081&lt;=5)), 16, 0)) + (IF(F1081="Madrid", 11, 0))))</f>
        <v>#NAME?</v>
      </c>
      <c r="AG1081" s="68"/>
      <c r="AH1081" s="71" t="s">
        <v>164</v>
      </c>
    </row>
    <row r="1082" spans="1:34" ht="14.4" x14ac:dyDescent="0.3">
      <c r="A1082" s="66" t="s">
        <v>2055</v>
      </c>
      <c r="B1082" s="66" t="s">
        <v>4172</v>
      </c>
      <c r="C1082" s="33">
        <v>1084</v>
      </c>
      <c r="D1082" s="33" t="s">
        <v>5397</v>
      </c>
      <c r="E1082" s="34" t="s">
        <v>5260</v>
      </c>
      <c r="F1082" s="34" t="s">
        <v>18</v>
      </c>
      <c r="G1082" s="57">
        <v>43710</v>
      </c>
      <c r="H1082" s="57">
        <v>44074</v>
      </c>
      <c r="I1082" s="34">
        <f t="shared" si="48"/>
        <v>11</v>
      </c>
      <c r="J1082" s="34">
        <v>35</v>
      </c>
      <c r="K1082" s="36">
        <v>900</v>
      </c>
      <c r="L1082" s="34" t="s">
        <v>29</v>
      </c>
      <c r="M1082" s="57">
        <v>34365</v>
      </c>
      <c r="N1082" s="37">
        <f>(YEAR(TablaMadre[[#This Row],[ALTA]])-YEAR(M1082))</f>
        <v>25</v>
      </c>
      <c r="O1082" s="34" t="s">
        <v>18</v>
      </c>
      <c r="P1082" s="34" t="s">
        <v>19</v>
      </c>
      <c r="Q1082" s="34" t="s">
        <v>472</v>
      </c>
      <c r="R1082" s="34" t="s">
        <v>21</v>
      </c>
      <c r="S1082" s="34" t="s">
        <v>322</v>
      </c>
      <c r="T1082" s="34"/>
      <c r="U1082" s="34"/>
      <c r="V1082" s="34" t="s">
        <v>22</v>
      </c>
      <c r="W1082" s="34" t="s">
        <v>370</v>
      </c>
      <c r="X1082" s="38" t="s">
        <v>164</v>
      </c>
      <c r="Y1082" s="62"/>
      <c r="Z1082" s="62" t="e">
        <f t="shared" si="49"/>
        <v>#NUM!</v>
      </c>
      <c r="AA1082" s="62"/>
      <c r="AB1082" s="34">
        <v>8</v>
      </c>
      <c r="AC1082" s="34">
        <v>8</v>
      </c>
      <c r="AD1082" s="38"/>
      <c r="AE1082" s="59" t="str">
        <f t="shared" si="50"/>
        <v>NO</v>
      </c>
      <c r="AF1082" s="38" t="e" cm="1">
        <f t="array" aca="1" ref="AF1082" ca="1">MIN(100, MAX(0, (IF(R1082="ESTUDIANTE", 31, 0)) + (IF(I1082&lt;=3, 30, IF(I1082&lt;=6, 20, 0))) +(IF(OR(E1082="413 - Control de Costes y Enlace Construcción", E1082="480 - Secretaría General del Consejo", E1082="132 - Civil y estructuras", E1082="136 - Mecánica", E1082="412 - Planificación", E1082="142 - Compras"), 25, 0)) +(IF(OR(S1082="GRADO ING. MECÁNICA", S1082="GRADO ING. ELÉCTRICA", S1082="GRADO DERECHO", S1082="GRADO ECONOMÍA", S1082="GRADO ING. TECNOLOGÍAS INDUSTRIALES"), 24, 0)) + (IF(AND(K1082&gt;=451, K1082&lt;=700), 23, 0)) + (IF(AND(AB1082&gt;=5, AB1082&lt;=8), 17, 0)) +(IF(_xludf.OR(_xludf.AND(AC1082&gt;=8, AC1082&lt;=10), _xludf.AND(AC1082&gt;=0, AC1082&lt;=5)), 16, 0)) + (IF(F1082="Madrid", 11, 0))))</f>
        <v>#NAME?</v>
      </c>
      <c r="AG1082" s="68"/>
      <c r="AH1082" s="71" t="s">
        <v>164</v>
      </c>
    </row>
    <row r="1083" spans="1:34" ht="14.4" x14ac:dyDescent="0.3">
      <c r="A1083" s="66" t="s">
        <v>2056</v>
      </c>
      <c r="B1083" s="66" t="s">
        <v>4173</v>
      </c>
      <c r="C1083" s="33">
        <v>1085</v>
      </c>
      <c r="D1083" s="33" t="s">
        <v>5393</v>
      </c>
      <c r="E1083" s="34" t="s">
        <v>5308</v>
      </c>
      <c r="F1083" s="34" t="s">
        <v>18</v>
      </c>
      <c r="G1083" s="57">
        <v>43710</v>
      </c>
      <c r="H1083" s="57">
        <v>44180</v>
      </c>
      <c r="I1083" s="34">
        <f t="shared" si="48"/>
        <v>15</v>
      </c>
      <c r="J1083" s="34">
        <v>35</v>
      </c>
      <c r="K1083" s="36">
        <v>650</v>
      </c>
      <c r="L1083" s="34" t="s">
        <v>29</v>
      </c>
      <c r="M1083" s="57">
        <v>36428</v>
      </c>
      <c r="N1083" s="37">
        <f>(YEAR(TablaMadre[[#This Row],[ALTA]])-YEAR(M1083))</f>
        <v>20</v>
      </c>
      <c r="O1083" s="34" t="s">
        <v>64</v>
      </c>
      <c r="P1083" s="34" t="s">
        <v>19</v>
      </c>
      <c r="Q1083" s="34" t="s">
        <v>460</v>
      </c>
      <c r="R1083" s="58" t="s">
        <v>30</v>
      </c>
      <c r="S1083" s="34" t="s">
        <v>26</v>
      </c>
      <c r="T1083" s="34"/>
      <c r="U1083" s="34"/>
      <c r="V1083" s="34" t="s">
        <v>27</v>
      </c>
      <c r="W1083" s="34" t="s">
        <v>370</v>
      </c>
      <c r="X1083" s="38" t="s">
        <v>164</v>
      </c>
      <c r="Y1083" s="62"/>
      <c r="Z1083" s="62" t="e">
        <f t="shared" si="49"/>
        <v>#NUM!</v>
      </c>
      <c r="AA1083" s="62"/>
      <c r="AB1083" s="34">
        <v>9</v>
      </c>
      <c r="AC1083" s="34">
        <v>9</v>
      </c>
      <c r="AD1083" s="38"/>
      <c r="AE1083" s="59" t="str">
        <f t="shared" si="50"/>
        <v>SÍ</v>
      </c>
      <c r="AF1083" s="38" t="e" cm="1">
        <f t="array" aca="1" ref="AF1083" ca="1">MIN(100, MAX(0, (IF(R1083="ESTUDIANTE", 31, 0)) + (IF(I1083&lt;=3, 30, IF(I1083&lt;=6, 20, 0))) +(IF(OR(E1083="413 - Control de Costes y Enlace Construcción", E1083="480 - Secretaría General del Consejo", E1083="132 - Civil y estructuras", E1083="136 - Mecánica", E1083="412 - Planificación", E1083="142 - Compras"), 25, 0)) +(IF(OR(S1083="GRADO ING. MECÁNICA", S1083="GRADO ING. ELÉCTRICA", S1083="GRADO DERECHO", S1083="GRADO ECONOMÍA", S1083="GRADO ING. TECNOLOGÍAS INDUSTRIALES"), 24, 0)) + (IF(AND(K1083&gt;=451, K1083&lt;=700), 23, 0)) + (IF(AND(AB1083&gt;=5, AB1083&lt;=8), 17, 0)) +(IF(_xludf.OR(_xludf.AND(AC1083&gt;=8, AC1083&lt;=10), _xludf.AND(AC1083&gt;=0, AC1083&lt;=5)), 16, 0)) + (IF(F1083="Madrid", 11, 0))))</f>
        <v>#NAME?</v>
      </c>
      <c r="AG1083" s="68"/>
      <c r="AH1083" s="71" t="s">
        <v>164</v>
      </c>
    </row>
    <row r="1084" spans="1:34" ht="14.4" x14ac:dyDescent="0.3">
      <c r="A1084" s="66" t="s">
        <v>2059</v>
      </c>
      <c r="B1084" s="66" t="s">
        <v>4176</v>
      </c>
      <c r="C1084" s="33">
        <v>1080</v>
      </c>
      <c r="D1084" s="33" t="s">
        <v>5394</v>
      </c>
      <c r="E1084" s="34" t="s">
        <v>5251</v>
      </c>
      <c r="F1084" s="34" t="s">
        <v>18</v>
      </c>
      <c r="G1084" s="57">
        <v>43710</v>
      </c>
      <c r="H1084" s="57">
        <v>43890</v>
      </c>
      <c r="I1084" s="34">
        <f t="shared" si="48"/>
        <v>5</v>
      </c>
      <c r="J1084" s="34">
        <v>35</v>
      </c>
      <c r="K1084" s="36">
        <v>900</v>
      </c>
      <c r="L1084" s="34" t="s">
        <v>17</v>
      </c>
      <c r="M1084" s="57">
        <v>33989</v>
      </c>
      <c r="N1084" s="37">
        <f>(YEAR(TablaMadre[[#This Row],[ALTA]])-YEAR(M1084))</f>
        <v>26</v>
      </c>
      <c r="O1084" s="34" t="s">
        <v>525</v>
      </c>
      <c r="P1084" s="34" t="s">
        <v>19</v>
      </c>
      <c r="Q1084" s="34" t="s">
        <v>458</v>
      </c>
      <c r="R1084" s="34" t="s">
        <v>21</v>
      </c>
      <c r="S1084" s="34" t="s">
        <v>322</v>
      </c>
      <c r="T1084" s="34"/>
      <c r="U1084" s="34"/>
      <c r="V1084" s="34" t="s">
        <v>22</v>
      </c>
      <c r="W1084" s="34" t="s">
        <v>28</v>
      </c>
      <c r="X1084" s="38" t="s">
        <v>164</v>
      </c>
      <c r="Y1084" s="62">
        <v>44596</v>
      </c>
      <c r="Z1084" s="38">
        <f t="shared" si="49"/>
        <v>1</v>
      </c>
      <c r="AA1084" s="38"/>
      <c r="AB1084" s="34">
        <v>9</v>
      </c>
      <c r="AC1084" s="34"/>
      <c r="AD1084" s="38"/>
      <c r="AE1084" s="59" t="str">
        <f t="shared" si="50"/>
        <v>SÍ</v>
      </c>
      <c r="AF1084" s="38" t="e" cm="1">
        <f t="array" aca="1" ref="AF1084" ca="1">MIN(100, MAX(0, (IF(R1084="ESTUDIANTE", 31, 0)) + (IF(I1084&lt;=3, 30, IF(I1084&lt;=6, 20, 0))) +(IF(OR(E1084="413 - Control de Costes y Enlace Construcción", E1084="480 - Secretaría General del Consejo", E1084="132 - Civil y estructuras", E1084="136 - Mecánica", E1084="412 - Planificación", E1084="142 - Compras"), 25, 0)) +(IF(OR(S1084="GRADO ING. MECÁNICA", S1084="GRADO ING. ELÉCTRICA", S1084="GRADO DERECHO", S1084="GRADO ECONOMÍA", S1084="GRADO ING. TECNOLOGÍAS INDUSTRIALES"), 24, 0)) + (IF(AND(K1084&gt;=451, K1084&lt;=700), 23, 0)) + (IF(AND(AB1084&gt;=5, AB1084&lt;=8), 17, 0)) +(IF(_xludf.OR(_xludf.AND(AC1084&gt;=8, AC1084&lt;=10), _xludf.AND(AC1084&gt;=0, AC1084&lt;=5)), 16, 0)) + (IF(F1084="Madrid", 11, 0))))</f>
        <v>#NAME?</v>
      </c>
      <c r="AG1084" s="68"/>
      <c r="AH1084" s="71" t="s">
        <v>164</v>
      </c>
    </row>
    <row r="1085" spans="1:34" ht="14.4" x14ac:dyDescent="0.3">
      <c r="A1085" s="66" t="s">
        <v>2060</v>
      </c>
      <c r="B1085" s="66" t="s">
        <v>4177</v>
      </c>
      <c r="C1085" s="33">
        <v>1081</v>
      </c>
      <c r="D1085" s="33" t="s">
        <v>5395</v>
      </c>
      <c r="E1085" s="34" t="s">
        <v>5247</v>
      </c>
      <c r="F1085" s="34" t="s">
        <v>18</v>
      </c>
      <c r="G1085" s="57">
        <v>43710</v>
      </c>
      <c r="H1085" s="57">
        <v>43890</v>
      </c>
      <c r="I1085" s="34">
        <f t="shared" si="48"/>
        <v>5</v>
      </c>
      <c r="J1085" s="34">
        <v>35</v>
      </c>
      <c r="K1085" s="36">
        <v>650</v>
      </c>
      <c r="L1085" s="34" t="s">
        <v>29</v>
      </c>
      <c r="M1085" s="57">
        <v>36205</v>
      </c>
      <c r="N1085" s="37">
        <f>(YEAR(TablaMadre[[#This Row],[ALTA]])-YEAR(M1085))</f>
        <v>20</v>
      </c>
      <c r="O1085" s="34" t="s">
        <v>18</v>
      </c>
      <c r="P1085" s="34" t="s">
        <v>19</v>
      </c>
      <c r="Q1085" s="34" t="s">
        <v>459</v>
      </c>
      <c r="R1085" s="58" t="s">
        <v>30</v>
      </c>
      <c r="S1085" s="34" t="s">
        <v>26</v>
      </c>
      <c r="T1085" s="34"/>
      <c r="U1085" s="34"/>
      <c r="V1085" s="34" t="s">
        <v>27</v>
      </c>
      <c r="W1085" s="34" t="s">
        <v>28</v>
      </c>
      <c r="X1085" s="38" t="s">
        <v>164</v>
      </c>
      <c r="Y1085" s="62">
        <v>44256</v>
      </c>
      <c r="Z1085" s="38">
        <f t="shared" si="49"/>
        <v>1</v>
      </c>
      <c r="AA1085" s="38"/>
      <c r="AB1085" s="34">
        <v>8</v>
      </c>
      <c r="AC1085" s="34"/>
      <c r="AD1085" s="38"/>
      <c r="AE1085" s="59" t="str">
        <f t="shared" si="50"/>
        <v>NO</v>
      </c>
      <c r="AF1085" s="38" t="e" cm="1">
        <f t="array" aca="1" ref="AF1085" ca="1">MIN(100, MAX(0, (IF(R1085="ESTUDIANTE", 31, 0)) + (IF(I1085&lt;=3, 30, IF(I1085&lt;=6, 20, 0))) +(IF(OR(E1085="413 - Control de Costes y Enlace Construcción", E1085="480 - Secretaría General del Consejo", E1085="132 - Civil y estructuras", E1085="136 - Mecánica", E1085="412 - Planificación", E1085="142 - Compras"), 25, 0)) +(IF(OR(S1085="GRADO ING. MECÁNICA", S1085="GRADO ING. ELÉCTRICA", S1085="GRADO DERECHO", S1085="GRADO ECONOMÍA", S1085="GRADO ING. TECNOLOGÍAS INDUSTRIALES"), 24, 0)) + (IF(AND(K1085&gt;=451, K1085&lt;=700), 23, 0)) + (IF(AND(AB1085&gt;=5, AB1085&lt;=8), 17, 0)) +(IF(_xludf.OR(_xludf.AND(AC1085&gt;=8, AC1085&lt;=10), _xludf.AND(AC1085&gt;=0, AC1085&lt;=5)), 16, 0)) + (IF(F1085="Madrid", 11, 0))))</f>
        <v>#NAME?</v>
      </c>
      <c r="AG1085" s="68"/>
      <c r="AH1085" s="71" t="s">
        <v>164</v>
      </c>
    </row>
    <row r="1086" spans="1:34" ht="14.4" x14ac:dyDescent="0.3">
      <c r="A1086" s="66" t="s">
        <v>2061</v>
      </c>
      <c r="B1086" s="66" t="s">
        <v>4178</v>
      </c>
      <c r="C1086" s="33">
        <v>1082</v>
      </c>
      <c r="D1086" s="33" t="s">
        <v>5396</v>
      </c>
      <c r="E1086" s="34" t="s">
        <v>5247</v>
      </c>
      <c r="F1086" s="34" t="s">
        <v>18</v>
      </c>
      <c r="G1086" s="57">
        <v>43710</v>
      </c>
      <c r="H1086" s="57">
        <v>43890</v>
      </c>
      <c r="I1086" s="34">
        <f t="shared" si="48"/>
        <v>5</v>
      </c>
      <c r="J1086" s="34">
        <v>35</v>
      </c>
      <c r="K1086" s="36">
        <v>650</v>
      </c>
      <c r="L1086" s="34" t="s">
        <v>29</v>
      </c>
      <c r="M1086" s="57">
        <v>33336</v>
      </c>
      <c r="N1086" s="37">
        <f>(YEAR(TablaMadre[[#This Row],[ALTA]])-YEAR(M1086))</f>
        <v>28</v>
      </c>
      <c r="O1086" s="34" t="s">
        <v>18</v>
      </c>
      <c r="P1086" s="34" t="s">
        <v>19</v>
      </c>
      <c r="Q1086" s="34" t="s">
        <v>460</v>
      </c>
      <c r="R1086" s="58" t="s">
        <v>30</v>
      </c>
      <c r="S1086" s="34" t="s">
        <v>26</v>
      </c>
      <c r="T1086" s="34"/>
      <c r="U1086" s="34"/>
      <c r="V1086" s="34" t="s">
        <v>27</v>
      </c>
      <c r="W1086" s="34" t="s">
        <v>28</v>
      </c>
      <c r="X1086" s="38" t="s">
        <v>173</v>
      </c>
      <c r="Y1086" s="62"/>
      <c r="Z1086" s="38" t="e">
        <f t="shared" si="49"/>
        <v>#NUM!</v>
      </c>
      <c r="AA1086" s="38"/>
      <c r="AB1086" s="34">
        <v>8</v>
      </c>
      <c r="AC1086" s="34"/>
      <c r="AD1086" s="38"/>
      <c r="AE1086" s="59" t="str">
        <f t="shared" si="50"/>
        <v>NO</v>
      </c>
      <c r="AF1086" s="38" t="e" cm="1">
        <f t="array" aca="1" ref="AF1086" ca="1">MIN(100, MAX(0, (IF(R1086="ESTUDIANTE", 31, 0)) + (IF(I1086&lt;=3, 30, IF(I1086&lt;=6, 20, 0))) +(IF(OR(E1086="413 - Control de Costes y Enlace Construcción", E1086="480 - Secretaría General del Consejo", E1086="132 - Civil y estructuras", E1086="136 - Mecánica", E1086="412 - Planificación", E1086="142 - Compras"), 25, 0)) +(IF(OR(S1086="GRADO ING. MECÁNICA", S1086="GRADO ING. ELÉCTRICA", S1086="GRADO DERECHO", S1086="GRADO ECONOMÍA", S1086="GRADO ING. TECNOLOGÍAS INDUSTRIALES"), 24, 0)) + (IF(AND(K1086&gt;=451, K1086&lt;=700), 23, 0)) + (IF(AND(AB1086&gt;=5, AB1086&lt;=8), 17, 0)) +(IF(_xludf.OR(_xludf.AND(AC1086&gt;=8, AC1086&lt;=10), _xludf.AND(AC1086&gt;=0, AC1086&lt;=5)), 16, 0)) + (IF(F1086="Madrid", 11, 0))))</f>
        <v>#NAME?</v>
      </c>
      <c r="AG1086" s="68"/>
      <c r="AH1086" s="71" t="s">
        <v>164</v>
      </c>
    </row>
    <row r="1087" spans="1:34" ht="14.4" x14ac:dyDescent="0.3">
      <c r="A1087" s="66" t="s">
        <v>2062</v>
      </c>
      <c r="B1087" s="66" t="s">
        <v>4179</v>
      </c>
      <c r="C1087" s="33">
        <v>1083</v>
      </c>
      <c r="D1087" s="33" t="s">
        <v>5397</v>
      </c>
      <c r="E1087" s="34" t="s">
        <v>5218</v>
      </c>
      <c r="F1087" s="34" t="s">
        <v>18</v>
      </c>
      <c r="G1087" s="57">
        <v>43710</v>
      </c>
      <c r="H1087" s="57">
        <v>43905</v>
      </c>
      <c r="I1087" s="34">
        <f t="shared" si="48"/>
        <v>6</v>
      </c>
      <c r="J1087" s="34">
        <v>40</v>
      </c>
      <c r="K1087" s="36">
        <v>0</v>
      </c>
      <c r="L1087" s="34" t="s">
        <v>17</v>
      </c>
      <c r="M1087" s="57">
        <v>35116</v>
      </c>
      <c r="N1087" s="37">
        <f>(YEAR(TablaMadre[[#This Row],[ALTA]])-YEAR(M1087))</f>
        <v>23</v>
      </c>
      <c r="O1087" s="34" t="s">
        <v>95</v>
      </c>
      <c r="P1087" s="34" t="s">
        <v>420</v>
      </c>
      <c r="Q1087" s="34" t="s">
        <v>151</v>
      </c>
      <c r="R1087" s="34" t="s">
        <v>30</v>
      </c>
      <c r="S1087" s="34" t="s">
        <v>151</v>
      </c>
      <c r="T1087" s="34"/>
      <c r="U1087" s="34"/>
      <c r="V1087" s="34" t="s">
        <v>90</v>
      </c>
      <c r="W1087" s="34" t="s">
        <v>97</v>
      </c>
      <c r="X1087" s="38" t="s">
        <v>164</v>
      </c>
      <c r="Y1087" s="62"/>
      <c r="Z1087" s="62" t="e">
        <f t="shared" si="49"/>
        <v>#NUM!</v>
      </c>
      <c r="AA1087" s="62"/>
      <c r="AB1087" s="34"/>
      <c r="AC1087" s="34"/>
      <c r="AD1087" s="38"/>
      <c r="AE1087" s="59" t="str">
        <f t="shared" si="50"/>
        <v>SÍ</v>
      </c>
      <c r="AF1087" s="38" t="e" cm="1">
        <f t="array" aca="1" ref="AF1087" ca="1">MIN(100, MAX(0, (IF(R1087="ESTUDIANTE", 31, 0)) + (IF(I1087&lt;=3, 30, IF(I1087&lt;=6, 20, 0))) +(IF(OR(E1087="413 - Control de Costes y Enlace Construcción", E1087="480 - Secretaría General del Consejo", E1087="132 - Civil y estructuras", E1087="136 - Mecánica", E1087="412 - Planificación", E1087="142 - Compras"), 25, 0)) +(IF(OR(S1087="GRADO ING. MECÁNICA", S1087="GRADO ING. ELÉCTRICA", S1087="GRADO DERECHO", S1087="GRADO ECONOMÍA", S1087="GRADO ING. TECNOLOGÍAS INDUSTRIALES"), 24, 0)) + (IF(AND(K1087&gt;=451, K1087&lt;=700), 23, 0)) + (IF(AND(AB1087&gt;=5, AB1087&lt;=8), 17, 0)) +(IF(_xludf.OR(_xludf.AND(AC1087&gt;=8, AC1087&lt;=10), _xludf.AND(AC1087&gt;=0, AC1087&lt;=5)), 16, 0)) + (IF(F1087="Madrid", 11, 0))))</f>
        <v>#NAME?</v>
      </c>
      <c r="AG1087" s="68"/>
      <c r="AH1087" s="71" t="s">
        <v>164</v>
      </c>
    </row>
    <row r="1088" spans="1:34" ht="14.4" x14ac:dyDescent="0.3">
      <c r="A1088" s="66" t="s">
        <v>2000</v>
      </c>
      <c r="B1088" s="66" t="s">
        <v>4117</v>
      </c>
      <c r="C1088" s="33">
        <v>1087</v>
      </c>
      <c r="D1088" s="33" t="s">
        <v>5398</v>
      </c>
      <c r="E1088" s="34" t="s">
        <v>5303</v>
      </c>
      <c r="F1088" s="34" t="s">
        <v>18</v>
      </c>
      <c r="G1088" s="57">
        <v>43712</v>
      </c>
      <c r="H1088" s="57">
        <v>44050</v>
      </c>
      <c r="I1088" s="34">
        <f t="shared" si="48"/>
        <v>11</v>
      </c>
      <c r="J1088" s="34">
        <v>35</v>
      </c>
      <c r="K1088" s="36">
        <v>825</v>
      </c>
      <c r="L1088" s="34" t="s">
        <v>29</v>
      </c>
      <c r="M1088" s="57">
        <v>35423</v>
      </c>
      <c r="N1088" s="37">
        <f>(YEAR(TablaMadre[[#This Row],[ALTA]])-YEAR(M1088))</f>
        <v>23</v>
      </c>
      <c r="O1088" s="34" t="s">
        <v>18</v>
      </c>
      <c r="P1088" s="34" t="s">
        <v>19</v>
      </c>
      <c r="Q1088" s="34" t="s">
        <v>435</v>
      </c>
      <c r="R1088" s="34" t="s">
        <v>21</v>
      </c>
      <c r="S1088" s="34" t="s">
        <v>435</v>
      </c>
      <c r="T1088" s="34"/>
      <c r="U1088" s="34"/>
      <c r="V1088" s="34" t="s">
        <v>22</v>
      </c>
      <c r="W1088" s="34" t="s">
        <v>370</v>
      </c>
      <c r="X1088" s="38" t="s">
        <v>164</v>
      </c>
      <c r="Y1088" s="62"/>
      <c r="Z1088" s="62" t="e">
        <f t="shared" si="49"/>
        <v>#NUM!</v>
      </c>
      <c r="AA1088" s="62"/>
      <c r="AB1088" s="34" t="s">
        <v>469</v>
      </c>
      <c r="AC1088" s="34">
        <v>7</v>
      </c>
      <c r="AD1088" s="38"/>
      <c r="AE1088" s="59" t="str">
        <f t="shared" si="50"/>
        <v>NO</v>
      </c>
      <c r="AF1088" s="38" t="e" cm="1">
        <f t="array" aca="1" ref="AF1088" ca="1">MIN(100, MAX(0, (IF(R1088="ESTUDIANTE", 31, 0)) + (IF(I1088&lt;=3, 30, IF(I1088&lt;=6, 20, 0))) +(IF(OR(E1088="413 - Control de Costes y Enlace Construcción", E1088="480 - Secretaría General del Consejo", E1088="132 - Civil y estructuras", E1088="136 - Mecánica", E1088="412 - Planificación", E1088="142 - Compras"), 25, 0)) +(IF(OR(S1088="GRADO ING. MECÁNICA", S1088="GRADO ING. ELÉCTRICA", S1088="GRADO DERECHO", S1088="GRADO ECONOMÍA", S1088="GRADO ING. TECNOLOGÍAS INDUSTRIALES"), 24, 0)) + (IF(AND(K1088&gt;=451, K1088&lt;=700), 23, 0)) + (IF(AND(AB1088&gt;=5, AB1088&lt;=8), 17, 0)) +(IF(_xludf.OR(_xludf.AND(AC1088&gt;=8, AC1088&lt;=10), _xludf.AND(AC1088&gt;=0, AC1088&lt;=5)), 16, 0)) + (IF(F1088="Madrid", 11, 0))))</f>
        <v>#NAME?</v>
      </c>
      <c r="AG1088" s="68"/>
      <c r="AH1088" s="71" t="s">
        <v>164</v>
      </c>
    </row>
    <row r="1089" spans="1:34" ht="14.4" x14ac:dyDescent="0.3">
      <c r="A1089" s="66" t="s">
        <v>2041</v>
      </c>
      <c r="B1089" s="66" t="s">
        <v>4158</v>
      </c>
      <c r="C1089" s="33">
        <v>1088</v>
      </c>
      <c r="D1089" s="33" t="s">
        <v>5399</v>
      </c>
      <c r="E1089" s="34" t="s">
        <v>5234</v>
      </c>
      <c r="F1089" s="34" t="s">
        <v>18</v>
      </c>
      <c r="G1089" s="57">
        <v>43715</v>
      </c>
      <c r="H1089" s="57">
        <v>43704</v>
      </c>
      <c r="I1089" s="34" t="e">
        <f t="shared" si="48"/>
        <v>#NUM!</v>
      </c>
      <c r="J1089" s="34">
        <v>35</v>
      </c>
      <c r="K1089" s="36">
        <v>0</v>
      </c>
      <c r="L1089" s="34" t="s">
        <v>29</v>
      </c>
      <c r="M1089" s="57">
        <v>35837</v>
      </c>
      <c r="N1089" s="37">
        <f>(YEAR(TablaMadre[[#This Row],[ALTA]])-YEAR(M1089))</f>
        <v>21</v>
      </c>
      <c r="O1089" s="34" t="s">
        <v>808</v>
      </c>
      <c r="P1089" s="34" t="s">
        <v>440</v>
      </c>
      <c r="Q1089" s="34" t="s">
        <v>441</v>
      </c>
      <c r="R1089" s="34" t="s">
        <v>30</v>
      </c>
      <c r="S1089" s="34" t="s">
        <v>442</v>
      </c>
      <c r="T1089" s="34"/>
      <c r="U1089" s="34"/>
      <c r="V1089" s="34" t="s">
        <v>90</v>
      </c>
      <c r="W1089" s="34" t="s">
        <v>23</v>
      </c>
      <c r="X1089" s="38" t="s">
        <v>164</v>
      </c>
      <c r="Y1089" s="62"/>
      <c r="Z1089" s="62" t="e">
        <f t="shared" si="49"/>
        <v>#NUM!</v>
      </c>
      <c r="AA1089" s="62"/>
      <c r="AB1089" s="34"/>
      <c r="AC1089" s="34"/>
      <c r="AD1089" s="38"/>
      <c r="AE1089" s="59" t="str">
        <f t="shared" si="50"/>
        <v>SÍ</v>
      </c>
      <c r="AF1089" s="38" t="e" cm="1">
        <f t="array" aca="1" ref="AF1089" ca="1">MIN(100, MAX(0, (IF(R1089="ESTUDIANTE", 31, 0)) + (IF(I1089&lt;=3, 30, IF(I1089&lt;=6, 20, 0))) +(IF(OR(E1089="413 - Control de Costes y Enlace Construcción", E1089="480 - Secretaría General del Consejo", E1089="132 - Civil y estructuras", E1089="136 - Mecánica", E1089="412 - Planificación", E1089="142 - Compras"), 25, 0)) +(IF(OR(S1089="GRADO ING. MECÁNICA", S1089="GRADO ING. ELÉCTRICA", S1089="GRADO DERECHO", S1089="GRADO ECONOMÍA", S1089="GRADO ING. TECNOLOGÍAS INDUSTRIALES"), 24, 0)) + (IF(AND(K1089&gt;=451, K1089&lt;=700), 23, 0)) + (IF(AND(AB1089&gt;=5, AB1089&lt;=8), 17, 0)) +(IF(_xludf.OR(_xludf.AND(AC1089&gt;=8, AC1089&lt;=10), _xludf.AND(AC1089&gt;=0, AC1089&lt;=5)), 16, 0)) + (IF(F1089="Madrid", 11, 0))))</f>
        <v>#NUM!</v>
      </c>
      <c r="AG1089" s="68"/>
      <c r="AH1089" s="71" t="s">
        <v>164</v>
      </c>
    </row>
    <row r="1090" spans="1:34" ht="14.4" x14ac:dyDescent="0.3">
      <c r="A1090" s="66" t="s">
        <v>2058</v>
      </c>
      <c r="B1090" s="66" t="s">
        <v>4175</v>
      </c>
      <c r="C1090" s="33">
        <v>1090</v>
      </c>
      <c r="D1090" s="33" t="s">
        <v>5400</v>
      </c>
      <c r="E1090" s="34" t="s">
        <v>5236</v>
      </c>
      <c r="F1090" s="34" t="s">
        <v>18</v>
      </c>
      <c r="G1090" s="57">
        <v>43717</v>
      </c>
      <c r="H1090" s="57">
        <v>44082</v>
      </c>
      <c r="I1090" s="34">
        <f t="shared" ref="I1090:I1153" si="51">DATEDIF(G1090, H1090, "M")</f>
        <v>11</v>
      </c>
      <c r="J1090" s="34">
        <v>35</v>
      </c>
      <c r="K1090" s="36">
        <v>650</v>
      </c>
      <c r="L1090" s="34" t="s">
        <v>17</v>
      </c>
      <c r="M1090" s="57">
        <v>35088</v>
      </c>
      <c r="N1090" s="37">
        <f>(YEAR(TablaMadre[[#This Row],[ALTA]])-YEAR(M1090))</f>
        <v>23</v>
      </c>
      <c r="O1090" s="34" t="s">
        <v>211</v>
      </c>
      <c r="P1090" s="34" t="s">
        <v>19</v>
      </c>
      <c r="Q1090" s="34" t="s">
        <v>474</v>
      </c>
      <c r="R1090" s="58" t="s">
        <v>30</v>
      </c>
      <c r="S1090" s="34" t="s">
        <v>26</v>
      </c>
      <c r="T1090" s="34"/>
      <c r="U1090" s="34"/>
      <c r="V1090" s="34" t="s">
        <v>182</v>
      </c>
      <c r="W1090" s="34" t="s">
        <v>370</v>
      </c>
      <c r="X1090" s="38" t="s">
        <v>164</v>
      </c>
      <c r="Y1090" s="62"/>
      <c r="Z1090" s="62" t="e">
        <f t="shared" ref="Z1090:Z1153" si="52">DATEDIF(H1090, Y1090, "y")</f>
        <v>#NUM!</v>
      </c>
      <c r="AA1090" s="62"/>
      <c r="AB1090" s="34">
        <v>9</v>
      </c>
      <c r="AC1090" s="34">
        <v>6</v>
      </c>
      <c r="AD1090" s="38"/>
      <c r="AE1090" s="59" t="str">
        <f t="shared" si="50"/>
        <v>SÍ</v>
      </c>
      <c r="AF1090" s="38" t="e" cm="1">
        <f t="array" aca="1" ref="AF1090" ca="1">MIN(100, MAX(0, (IF(R1090="ESTUDIANTE", 31, 0)) + (IF(I1090&lt;=3, 30, IF(I1090&lt;=6, 20, 0))) +(IF(OR(E1090="413 - Control de Costes y Enlace Construcción", E1090="480 - Secretaría General del Consejo", E1090="132 - Civil y estructuras", E1090="136 - Mecánica", E1090="412 - Planificación", E1090="142 - Compras"), 25, 0)) +(IF(OR(S1090="GRADO ING. MECÁNICA", S1090="GRADO ING. ELÉCTRICA", S1090="GRADO DERECHO", S1090="GRADO ECONOMÍA", S1090="GRADO ING. TECNOLOGÍAS INDUSTRIALES"), 24, 0)) + (IF(AND(K1090&gt;=451, K1090&lt;=700), 23, 0)) + (IF(AND(AB1090&gt;=5, AB1090&lt;=8), 17, 0)) +(IF(_xludf.OR(_xludf.AND(AC1090&gt;=8, AC1090&lt;=10), _xludf.AND(AC1090&gt;=0, AC1090&lt;=5)), 16, 0)) + (IF(F1090="Madrid", 11, 0))))</f>
        <v>#NAME?</v>
      </c>
      <c r="AG1090" s="68"/>
      <c r="AH1090" s="71" t="s">
        <v>164</v>
      </c>
    </row>
    <row r="1091" spans="1:34" ht="14.4" x14ac:dyDescent="0.3">
      <c r="A1091" s="66" t="s">
        <v>2063</v>
      </c>
      <c r="B1091" s="66" t="s">
        <v>4180</v>
      </c>
      <c r="C1091" s="33">
        <v>1092</v>
      </c>
      <c r="D1091" s="33" t="s">
        <v>5401</v>
      </c>
      <c r="E1091" s="34" t="s">
        <v>5235</v>
      </c>
      <c r="F1091" s="34" t="s">
        <v>18</v>
      </c>
      <c r="G1091" s="57">
        <v>43717</v>
      </c>
      <c r="H1091" s="57">
        <v>44263</v>
      </c>
      <c r="I1091" s="34">
        <f t="shared" si="51"/>
        <v>17</v>
      </c>
      <c r="J1091" s="34">
        <v>35</v>
      </c>
      <c r="K1091" s="36">
        <v>825</v>
      </c>
      <c r="L1091" s="34" t="s">
        <v>29</v>
      </c>
      <c r="M1091" s="57">
        <v>34341</v>
      </c>
      <c r="N1091" s="37">
        <f>(YEAR(TablaMadre[[#This Row],[ALTA]])-YEAR(M1091))</f>
        <v>25</v>
      </c>
      <c r="O1091" s="34" t="s">
        <v>18</v>
      </c>
      <c r="P1091" s="34" t="s">
        <v>19</v>
      </c>
      <c r="Q1091" s="34" t="s">
        <v>458</v>
      </c>
      <c r="R1091" s="34" t="s">
        <v>21</v>
      </c>
      <c r="S1091" s="34" t="s">
        <v>322</v>
      </c>
      <c r="T1091" s="34"/>
      <c r="U1091" s="34"/>
      <c r="V1091" s="34" t="s">
        <v>40</v>
      </c>
      <c r="W1091" s="34" t="s">
        <v>370</v>
      </c>
      <c r="X1091" s="38" t="s">
        <v>164</v>
      </c>
      <c r="Y1091" s="62"/>
      <c r="Z1091" s="62" t="e">
        <f t="shared" si="52"/>
        <v>#NUM!</v>
      </c>
      <c r="AA1091" s="62"/>
      <c r="AB1091" s="34">
        <v>9</v>
      </c>
      <c r="AC1091" s="34">
        <v>9</v>
      </c>
      <c r="AD1091" s="38"/>
      <c r="AE1091" s="59" t="str">
        <f t="shared" ref="AE1091:AE1154" si="53">IF(F1091=O1091, "NO", "SÍ")</f>
        <v>NO</v>
      </c>
      <c r="AF1091" s="38" t="e" cm="1">
        <f t="array" aca="1" ref="AF1091" ca="1">MIN(100, MAX(0, (IF(R1091="ESTUDIANTE", 31, 0)) + (IF(I1091&lt;=3, 30, IF(I1091&lt;=6, 20, 0))) +(IF(OR(E1091="413 - Control de Costes y Enlace Construcción", E1091="480 - Secretaría General del Consejo", E1091="132 - Civil y estructuras", E1091="136 - Mecánica", E1091="412 - Planificación", E1091="142 - Compras"), 25, 0)) +(IF(OR(S1091="GRADO ING. MECÁNICA", S1091="GRADO ING. ELÉCTRICA", S1091="GRADO DERECHO", S1091="GRADO ECONOMÍA", S1091="GRADO ING. TECNOLOGÍAS INDUSTRIALES"), 24, 0)) + (IF(AND(K1091&gt;=451, K1091&lt;=700), 23, 0)) + (IF(AND(AB1091&gt;=5, AB1091&lt;=8), 17, 0)) +(IF(_xludf.OR(_xludf.AND(AC1091&gt;=8, AC1091&lt;=10), _xludf.AND(AC1091&gt;=0, AC1091&lt;=5)), 16, 0)) + (IF(F1091="Madrid", 11, 0))))</f>
        <v>#NAME?</v>
      </c>
      <c r="AG1091" s="68"/>
      <c r="AH1091" s="71" t="s">
        <v>164</v>
      </c>
    </row>
    <row r="1092" spans="1:34" ht="14.4" x14ac:dyDescent="0.3">
      <c r="A1092" s="66" t="s">
        <v>2064</v>
      </c>
      <c r="B1092" s="66" t="s">
        <v>4181</v>
      </c>
      <c r="C1092" s="33">
        <v>1091</v>
      </c>
      <c r="D1092" s="33" t="s">
        <v>5402</v>
      </c>
      <c r="E1092" s="34" t="s">
        <v>5254</v>
      </c>
      <c r="F1092" s="34" t="s">
        <v>18</v>
      </c>
      <c r="G1092" s="57">
        <v>43717</v>
      </c>
      <c r="H1092" s="57">
        <v>44082</v>
      </c>
      <c r="I1092" s="34">
        <f t="shared" si="51"/>
        <v>11</v>
      </c>
      <c r="J1092" s="34">
        <v>35</v>
      </c>
      <c r="K1092" s="36">
        <v>825</v>
      </c>
      <c r="L1092" s="34" t="s">
        <v>29</v>
      </c>
      <c r="M1092" s="57">
        <v>34017</v>
      </c>
      <c r="N1092" s="37">
        <f>(YEAR(TablaMadre[[#This Row],[ALTA]])-YEAR(M1092))</f>
        <v>26</v>
      </c>
      <c r="O1092" s="34" t="s">
        <v>948</v>
      </c>
      <c r="P1092" s="34" t="s">
        <v>19</v>
      </c>
      <c r="Q1092" s="34" t="s">
        <v>151</v>
      </c>
      <c r="R1092" s="34" t="s">
        <v>21</v>
      </c>
      <c r="S1092" s="34" t="s">
        <v>151</v>
      </c>
      <c r="T1092" s="34"/>
      <c r="U1092" s="34"/>
      <c r="V1092" s="34" t="s">
        <v>163</v>
      </c>
      <c r="W1092" s="34" t="s">
        <v>370</v>
      </c>
      <c r="X1092" s="38" t="s">
        <v>164</v>
      </c>
      <c r="Y1092" s="62"/>
      <c r="Z1092" s="62" t="e">
        <f t="shared" si="52"/>
        <v>#NUM!</v>
      </c>
      <c r="AA1092" s="62"/>
      <c r="AB1092" s="34">
        <v>8</v>
      </c>
      <c r="AC1092" s="34">
        <v>9</v>
      </c>
      <c r="AD1092" s="38"/>
      <c r="AE1092" s="59" t="str">
        <f t="shared" si="53"/>
        <v>SÍ</v>
      </c>
      <c r="AF1092" s="38" t="e" cm="1">
        <f t="array" aca="1" ref="AF1092" ca="1">MIN(100, MAX(0, (IF(R1092="ESTUDIANTE", 31, 0)) + (IF(I1092&lt;=3, 30, IF(I1092&lt;=6, 20, 0))) +(IF(OR(E1092="413 - Control de Costes y Enlace Construcción", E1092="480 - Secretaría General del Consejo", E1092="132 - Civil y estructuras", E1092="136 - Mecánica", E1092="412 - Planificación", E1092="142 - Compras"), 25, 0)) +(IF(OR(S1092="GRADO ING. MECÁNICA", S1092="GRADO ING. ELÉCTRICA", S1092="GRADO DERECHO", S1092="GRADO ECONOMÍA", S1092="GRADO ING. TECNOLOGÍAS INDUSTRIALES"), 24, 0)) + (IF(AND(K1092&gt;=451, K1092&lt;=700), 23, 0)) + (IF(AND(AB1092&gt;=5, AB1092&lt;=8), 17, 0)) +(IF(_xludf.OR(_xludf.AND(AC1092&gt;=8, AC1092&lt;=10), _xludf.AND(AC1092&gt;=0, AC1092&lt;=5)), 16, 0)) + (IF(F1092="Madrid", 11, 0))))</f>
        <v>#NAME?</v>
      </c>
      <c r="AG1092" s="68"/>
      <c r="AH1092" s="71" t="s">
        <v>164</v>
      </c>
    </row>
    <row r="1093" spans="1:34" ht="14.4" x14ac:dyDescent="0.3">
      <c r="A1093" s="66" t="s">
        <v>2068</v>
      </c>
      <c r="B1093" s="66" t="s">
        <v>4185</v>
      </c>
      <c r="C1093" s="33">
        <v>1089</v>
      </c>
      <c r="D1093" s="33" t="s">
        <v>5393</v>
      </c>
      <c r="E1093" s="34" t="s">
        <v>5260</v>
      </c>
      <c r="F1093" s="34" t="s">
        <v>18</v>
      </c>
      <c r="G1093" s="57">
        <v>43717</v>
      </c>
      <c r="H1093" s="57">
        <v>43898</v>
      </c>
      <c r="I1093" s="34">
        <f t="shared" si="51"/>
        <v>5</v>
      </c>
      <c r="J1093" s="34">
        <v>35</v>
      </c>
      <c r="K1093" s="36">
        <v>900</v>
      </c>
      <c r="L1093" s="34" t="s">
        <v>17</v>
      </c>
      <c r="M1093" s="57">
        <v>34484</v>
      </c>
      <c r="N1093" s="37">
        <f>(YEAR(TablaMadre[[#This Row],[ALTA]])-YEAR(M1093))</f>
        <v>25</v>
      </c>
      <c r="O1093" s="34" t="s">
        <v>217</v>
      </c>
      <c r="P1093" s="34" t="s">
        <v>19</v>
      </c>
      <c r="Q1093" s="34" t="s">
        <v>458</v>
      </c>
      <c r="R1093" s="34" t="s">
        <v>21</v>
      </c>
      <c r="S1093" s="34" t="s">
        <v>322</v>
      </c>
      <c r="T1093" s="34"/>
      <c r="U1093" s="34"/>
      <c r="V1093" s="34" t="s">
        <v>22</v>
      </c>
      <c r="W1093" s="34" t="s">
        <v>28</v>
      </c>
      <c r="X1093" s="38" t="s">
        <v>164</v>
      </c>
      <c r="Y1093" s="62">
        <v>44264</v>
      </c>
      <c r="Z1093" s="38">
        <f t="shared" si="52"/>
        <v>1</v>
      </c>
      <c r="AA1093" s="38"/>
      <c r="AB1093" s="34">
        <v>9</v>
      </c>
      <c r="AC1093" s="34"/>
      <c r="AD1093" s="38"/>
      <c r="AE1093" s="59" t="str">
        <f t="shared" si="53"/>
        <v>SÍ</v>
      </c>
      <c r="AF1093" s="38" t="e" cm="1">
        <f t="array" aca="1" ref="AF1093" ca="1">MIN(100, MAX(0, (IF(R1093="ESTUDIANTE", 31, 0)) + (IF(I1093&lt;=3, 30, IF(I1093&lt;=6, 20, 0))) +(IF(OR(E1093="413 - Control de Costes y Enlace Construcción", E1093="480 - Secretaría General del Consejo", E1093="132 - Civil y estructuras", E1093="136 - Mecánica", E1093="412 - Planificación", E1093="142 - Compras"), 25, 0)) +(IF(OR(S1093="GRADO ING. MECÁNICA", S1093="GRADO ING. ELÉCTRICA", S1093="GRADO DERECHO", S1093="GRADO ECONOMÍA", S1093="GRADO ING. TECNOLOGÍAS INDUSTRIALES"), 24, 0)) + (IF(AND(K1093&gt;=451, K1093&lt;=700), 23, 0)) + (IF(AND(AB1093&gt;=5, AB1093&lt;=8), 17, 0)) +(IF(_xludf.OR(_xludf.AND(AC1093&gt;=8, AC1093&lt;=10), _xludf.AND(AC1093&gt;=0, AC1093&lt;=5)), 16, 0)) + (IF(F1093="Madrid", 11, 0))))</f>
        <v>#NAME?</v>
      </c>
      <c r="AG1093" s="68"/>
      <c r="AH1093" s="71" t="s">
        <v>164</v>
      </c>
    </row>
    <row r="1094" spans="1:34" ht="14.4" x14ac:dyDescent="0.3">
      <c r="A1094" s="66" t="s">
        <v>2072</v>
      </c>
      <c r="B1094" s="66" t="s">
        <v>4189</v>
      </c>
      <c r="C1094" s="33">
        <v>1093</v>
      </c>
      <c r="D1094" s="33" t="s">
        <v>5394</v>
      </c>
      <c r="E1094" s="34" t="s">
        <v>5216</v>
      </c>
      <c r="F1094" s="34" t="s">
        <v>18</v>
      </c>
      <c r="G1094" s="57">
        <v>43719</v>
      </c>
      <c r="H1094" s="57">
        <v>43900</v>
      </c>
      <c r="I1094" s="34">
        <f t="shared" si="51"/>
        <v>5</v>
      </c>
      <c r="J1094" s="34">
        <v>35</v>
      </c>
      <c r="K1094" s="36">
        <v>900</v>
      </c>
      <c r="L1094" s="34" t="s">
        <v>29</v>
      </c>
      <c r="M1094" s="57">
        <v>34813</v>
      </c>
      <c r="N1094" s="37">
        <f>(YEAR(TablaMadre[[#This Row],[ALTA]])-YEAR(M1094))</f>
        <v>24</v>
      </c>
      <c r="O1094" s="34" t="s">
        <v>950</v>
      </c>
      <c r="P1094" s="34" t="s">
        <v>19</v>
      </c>
      <c r="Q1094" s="34" t="s">
        <v>406</v>
      </c>
      <c r="R1094" s="34" t="s">
        <v>21</v>
      </c>
      <c r="S1094" s="34" t="s">
        <v>297</v>
      </c>
      <c r="T1094" s="34"/>
      <c r="U1094" s="34"/>
      <c r="V1094" s="34" t="s">
        <v>180</v>
      </c>
      <c r="W1094" s="34" t="s">
        <v>28</v>
      </c>
      <c r="X1094" s="38" t="s">
        <v>164</v>
      </c>
      <c r="Y1094" s="62">
        <v>44266</v>
      </c>
      <c r="Z1094" s="38">
        <f t="shared" si="52"/>
        <v>1</v>
      </c>
      <c r="AA1094" s="38"/>
      <c r="AB1094" s="34"/>
      <c r="AC1094" s="34"/>
      <c r="AD1094" s="38"/>
      <c r="AE1094" s="59" t="str">
        <f t="shared" si="53"/>
        <v>SÍ</v>
      </c>
      <c r="AF1094" s="38" t="e" cm="1">
        <f t="array" aca="1" ref="AF1094" ca="1">MIN(100, MAX(0, (IF(R1094="ESTUDIANTE", 31, 0)) + (IF(I1094&lt;=3, 30, IF(I1094&lt;=6, 20, 0))) +(IF(OR(E1094="413 - Control de Costes y Enlace Construcción", E1094="480 - Secretaría General del Consejo", E1094="132 - Civil y estructuras", E1094="136 - Mecánica", E1094="412 - Planificación", E1094="142 - Compras"), 25, 0)) +(IF(OR(S1094="GRADO ING. MECÁNICA", S1094="GRADO ING. ELÉCTRICA", S1094="GRADO DERECHO", S1094="GRADO ECONOMÍA", S1094="GRADO ING. TECNOLOGÍAS INDUSTRIALES"), 24, 0)) + (IF(AND(K1094&gt;=451, K1094&lt;=700), 23, 0)) + (IF(AND(AB1094&gt;=5, AB1094&lt;=8), 17, 0)) +(IF(_xludf.OR(_xludf.AND(AC1094&gt;=8, AC1094&lt;=10), _xludf.AND(AC1094&gt;=0, AC1094&lt;=5)), 16, 0)) + (IF(F1094="Madrid", 11, 0))))</f>
        <v>#NAME?</v>
      </c>
      <c r="AG1094" s="68"/>
      <c r="AH1094" s="71" t="s">
        <v>164</v>
      </c>
    </row>
    <row r="1095" spans="1:34" ht="14.4" x14ac:dyDescent="0.3">
      <c r="A1095" s="66" t="s">
        <v>2065</v>
      </c>
      <c r="B1095" s="66" t="s">
        <v>4182</v>
      </c>
      <c r="C1095" s="33">
        <v>1094</v>
      </c>
      <c r="D1095" s="33" t="s">
        <v>5403</v>
      </c>
      <c r="E1095" s="34" t="s">
        <v>5252</v>
      </c>
      <c r="F1095" s="34" t="s">
        <v>18</v>
      </c>
      <c r="G1095" s="57">
        <v>43724</v>
      </c>
      <c r="H1095" s="57">
        <v>43726</v>
      </c>
      <c r="I1095" s="34">
        <f t="shared" si="51"/>
        <v>0</v>
      </c>
      <c r="J1095" s="34">
        <v>35</v>
      </c>
      <c r="K1095" s="36">
        <v>825</v>
      </c>
      <c r="L1095" s="34" t="s">
        <v>17</v>
      </c>
      <c r="M1095" s="57">
        <v>35535</v>
      </c>
      <c r="N1095" s="37">
        <f>(YEAR(TablaMadre[[#This Row],[ALTA]])-YEAR(M1095))</f>
        <v>22</v>
      </c>
      <c r="O1095" s="34" t="s">
        <v>18</v>
      </c>
      <c r="P1095" s="34" t="s">
        <v>19</v>
      </c>
      <c r="Q1095" s="34" t="s">
        <v>136</v>
      </c>
      <c r="R1095" s="34" t="s">
        <v>21</v>
      </c>
      <c r="S1095" s="34" t="s">
        <v>136</v>
      </c>
      <c r="T1095" s="34"/>
      <c r="U1095" s="34"/>
      <c r="V1095" s="34" t="s">
        <v>22</v>
      </c>
      <c r="W1095" s="34" t="s">
        <v>181</v>
      </c>
      <c r="X1095" s="38" t="s">
        <v>164</v>
      </c>
      <c r="Y1095" s="62"/>
      <c r="Z1095" s="62" t="e">
        <f t="shared" si="52"/>
        <v>#NUM!</v>
      </c>
      <c r="AA1095" s="62"/>
      <c r="AB1095" s="34"/>
      <c r="AC1095" s="34"/>
      <c r="AD1095" s="38"/>
      <c r="AE1095" s="59" t="str">
        <f t="shared" si="53"/>
        <v>NO</v>
      </c>
      <c r="AF1095" s="38" t="e" cm="1">
        <f t="array" aca="1" ref="AF1095" ca="1">MIN(100, MAX(0, (IF(R1095="ESTUDIANTE", 31, 0)) + (IF(I1095&lt;=3, 30, IF(I1095&lt;=6, 20, 0))) +(IF(OR(E1095="413 - Control de Costes y Enlace Construcción", E1095="480 - Secretaría General del Consejo", E1095="132 - Civil y estructuras", E1095="136 - Mecánica", E1095="412 - Planificación", E1095="142 - Compras"), 25, 0)) +(IF(OR(S1095="GRADO ING. MECÁNICA", S1095="GRADO ING. ELÉCTRICA", S1095="GRADO DERECHO", S1095="GRADO ECONOMÍA", S1095="GRADO ING. TECNOLOGÍAS INDUSTRIALES"), 24, 0)) + (IF(AND(K1095&gt;=451, K1095&lt;=700), 23, 0)) + (IF(AND(AB1095&gt;=5, AB1095&lt;=8), 17, 0)) +(IF(_xludf.OR(_xludf.AND(AC1095&gt;=8, AC1095&lt;=10), _xludf.AND(AC1095&gt;=0, AC1095&lt;=5)), 16, 0)) + (IF(F1095="Madrid", 11, 0))))</f>
        <v>#NAME?</v>
      </c>
      <c r="AG1095" s="68"/>
      <c r="AH1095" s="71" t="s">
        <v>164</v>
      </c>
    </row>
    <row r="1096" spans="1:34" ht="14.4" x14ac:dyDescent="0.3">
      <c r="A1096" s="66" t="s">
        <v>2066</v>
      </c>
      <c r="B1096" s="66" t="s">
        <v>4183</v>
      </c>
      <c r="C1096" s="33">
        <v>1096</v>
      </c>
      <c r="D1096" s="33" t="s">
        <v>5404</v>
      </c>
      <c r="E1096" s="34" t="s">
        <v>5252</v>
      </c>
      <c r="F1096" s="34" t="s">
        <v>18</v>
      </c>
      <c r="G1096" s="57">
        <v>43727</v>
      </c>
      <c r="H1096" s="57">
        <v>44273</v>
      </c>
      <c r="I1096" s="34">
        <f t="shared" si="51"/>
        <v>17</v>
      </c>
      <c r="J1096" s="34">
        <v>35</v>
      </c>
      <c r="K1096" s="36">
        <v>650</v>
      </c>
      <c r="L1096" s="34" t="s">
        <v>17</v>
      </c>
      <c r="M1096" s="57">
        <v>32428</v>
      </c>
      <c r="N1096" s="37">
        <f>(YEAR(TablaMadre[[#This Row],[ALTA]])-YEAR(M1096))</f>
        <v>31</v>
      </c>
      <c r="O1096" s="34" t="s">
        <v>18</v>
      </c>
      <c r="P1096" s="34" t="s">
        <v>19</v>
      </c>
      <c r="Q1096" s="34" t="s">
        <v>359</v>
      </c>
      <c r="R1096" s="58" t="s">
        <v>30</v>
      </c>
      <c r="S1096" s="34" t="s">
        <v>26</v>
      </c>
      <c r="T1096" s="34"/>
      <c r="U1096" s="34"/>
      <c r="V1096" s="34" t="s">
        <v>27</v>
      </c>
      <c r="W1096" s="34" t="s">
        <v>461</v>
      </c>
      <c r="X1096" s="38" t="s">
        <v>164</v>
      </c>
      <c r="Y1096" s="62"/>
      <c r="Z1096" s="62" t="e">
        <f t="shared" si="52"/>
        <v>#NUM!</v>
      </c>
      <c r="AA1096" s="62"/>
      <c r="AB1096" s="34">
        <v>8</v>
      </c>
      <c r="AC1096" s="34">
        <v>10</v>
      </c>
      <c r="AD1096" s="38"/>
      <c r="AE1096" s="59" t="str">
        <f t="shared" si="53"/>
        <v>NO</v>
      </c>
      <c r="AF1096" s="38" t="e" cm="1">
        <f t="array" aca="1" ref="AF1096" ca="1">MIN(100, MAX(0, (IF(R1096="ESTUDIANTE", 31, 0)) + (IF(I1096&lt;=3, 30, IF(I1096&lt;=6, 20, 0))) +(IF(OR(E1096="413 - Control de Costes y Enlace Construcción", E1096="480 - Secretaría General del Consejo", E1096="132 - Civil y estructuras", E1096="136 - Mecánica", E1096="412 - Planificación", E1096="142 - Compras"), 25, 0)) +(IF(OR(S1096="GRADO ING. MECÁNICA", S1096="GRADO ING. ELÉCTRICA", S1096="GRADO DERECHO", S1096="GRADO ECONOMÍA", S1096="GRADO ING. TECNOLOGÍAS INDUSTRIALES"), 24, 0)) + (IF(AND(K1096&gt;=451, K1096&lt;=700), 23, 0)) + (IF(AND(AB1096&gt;=5, AB1096&lt;=8), 17, 0)) +(IF(_xludf.OR(_xludf.AND(AC1096&gt;=8, AC1096&lt;=10), _xludf.AND(AC1096&gt;=0, AC1096&lt;=5)), 16, 0)) + (IF(F1096="Madrid", 11, 0))))</f>
        <v>#NAME?</v>
      </c>
      <c r="AG1096" s="68"/>
      <c r="AH1096" s="71" t="s">
        <v>164</v>
      </c>
    </row>
    <row r="1097" spans="1:34" ht="14.4" x14ac:dyDescent="0.3">
      <c r="A1097" s="66" t="s">
        <v>2067</v>
      </c>
      <c r="B1097" s="66" t="s">
        <v>4184</v>
      </c>
      <c r="C1097" s="33">
        <v>1095</v>
      </c>
      <c r="D1097" s="33" t="s">
        <v>5405</v>
      </c>
      <c r="E1097" s="34" t="s">
        <v>5306</v>
      </c>
      <c r="F1097" s="34" t="s">
        <v>18</v>
      </c>
      <c r="G1097" s="57">
        <v>43727</v>
      </c>
      <c r="H1097" s="57">
        <v>44092</v>
      </c>
      <c r="I1097" s="34">
        <f t="shared" si="51"/>
        <v>11</v>
      </c>
      <c r="J1097" s="34">
        <v>35</v>
      </c>
      <c r="K1097" s="36">
        <v>825</v>
      </c>
      <c r="L1097" s="34" t="s">
        <v>17</v>
      </c>
      <c r="M1097" s="57">
        <v>34831</v>
      </c>
      <c r="N1097" s="37">
        <f>(YEAR(TablaMadre[[#This Row],[ALTA]])-YEAR(M1097))</f>
        <v>24</v>
      </c>
      <c r="O1097" s="34" t="s">
        <v>18</v>
      </c>
      <c r="P1097" s="34" t="s">
        <v>19</v>
      </c>
      <c r="Q1097" s="34" t="s">
        <v>384</v>
      </c>
      <c r="R1097" s="34" t="s">
        <v>21</v>
      </c>
      <c r="S1097" s="34" t="s">
        <v>384</v>
      </c>
      <c r="T1097" s="34"/>
      <c r="U1097" s="34"/>
      <c r="V1097" s="34" t="s">
        <v>56</v>
      </c>
      <c r="W1097" s="34" t="s">
        <v>181</v>
      </c>
      <c r="X1097" s="38" t="s">
        <v>164</v>
      </c>
      <c r="Y1097" s="62"/>
      <c r="Z1097" s="62" t="e">
        <f t="shared" si="52"/>
        <v>#NUM!</v>
      </c>
      <c r="AA1097" s="62"/>
      <c r="AB1097" s="34">
        <v>7</v>
      </c>
      <c r="AC1097" s="34">
        <v>9</v>
      </c>
      <c r="AD1097" s="38"/>
      <c r="AE1097" s="59" t="str">
        <f t="shared" si="53"/>
        <v>NO</v>
      </c>
      <c r="AF1097" s="38" t="e" cm="1">
        <f t="array" aca="1" ref="AF1097" ca="1">MIN(100, MAX(0, (IF(R1097="ESTUDIANTE", 31, 0)) + (IF(I1097&lt;=3, 30, IF(I1097&lt;=6, 20, 0))) +(IF(OR(E1097="413 - Control de Costes y Enlace Construcción", E1097="480 - Secretaría General del Consejo", E1097="132 - Civil y estructuras", E1097="136 - Mecánica", E1097="412 - Planificación", E1097="142 - Compras"), 25, 0)) +(IF(OR(S1097="GRADO ING. MECÁNICA", S1097="GRADO ING. ELÉCTRICA", S1097="GRADO DERECHO", S1097="GRADO ECONOMÍA", S1097="GRADO ING. TECNOLOGÍAS INDUSTRIALES"), 24, 0)) + (IF(AND(K1097&gt;=451, K1097&lt;=700), 23, 0)) + (IF(AND(AB1097&gt;=5, AB1097&lt;=8), 17, 0)) +(IF(_xludf.OR(_xludf.AND(AC1097&gt;=8, AC1097&lt;=10), _xludf.AND(AC1097&gt;=0, AC1097&lt;=5)), 16, 0)) + (IF(F1097="Madrid", 11, 0))))</f>
        <v>#NAME?</v>
      </c>
      <c r="AG1097" s="68"/>
      <c r="AH1097" s="71" t="s">
        <v>164</v>
      </c>
    </row>
    <row r="1098" spans="1:34" ht="14.4" x14ac:dyDescent="0.3">
      <c r="A1098" s="66" t="s">
        <v>2069</v>
      </c>
      <c r="B1098" s="66" t="s">
        <v>4186</v>
      </c>
      <c r="C1098" s="33">
        <v>1097</v>
      </c>
      <c r="D1098" s="33" t="s">
        <v>5396</v>
      </c>
      <c r="E1098" s="34" t="s">
        <v>5215</v>
      </c>
      <c r="F1098" s="34" t="s">
        <v>118</v>
      </c>
      <c r="G1098" s="57">
        <v>43731</v>
      </c>
      <c r="H1098" s="57">
        <v>44096</v>
      </c>
      <c r="I1098" s="34">
        <f t="shared" si="51"/>
        <v>11</v>
      </c>
      <c r="J1098" s="34">
        <v>35</v>
      </c>
      <c r="K1098" s="36">
        <v>650</v>
      </c>
      <c r="L1098" s="34" t="s">
        <v>17</v>
      </c>
      <c r="M1098" s="57">
        <v>34237</v>
      </c>
      <c r="N1098" s="37">
        <f>(YEAR(TablaMadre[[#This Row],[ALTA]])-YEAR(M1098))</f>
        <v>26</v>
      </c>
      <c r="O1098" s="34" t="s">
        <v>118</v>
      </c>
      <c r="P1098" s="34" t="s">
        <v>19</v>
      </c>
      <c r="Q1098" s="34" t="s">
        <v>359</v>
      </c>
      <c r="R1098" s="58" t="s">
        <v>30</v>
      </c>
      <c r="S1098" s="34" t="s">
        <v>26</v>
      </c>
      <c r="T1098" s="34"/>
      <c r="U1098" s="34"/>
      <c r="V1098" s="34" t="s">
        <v>27</v>
      </c>
      <c r="W1098" s="34" t="s">
        <v>370</v>
      </c>
      <c r="X1098" s="38" t="s">
        <v>164</v>
      </c>
      <c r="Y1098" s="62"/>
      <c r="Z1098" s="62" t="e">
        <f t="shared" si="52"/>
        <v>#NUM!</v>
      </c>
      <c r="AA1098" s="62"/>
      <c r="AB1098" s="34">
        <v>10</v>
      </c>
      <c r="AC1098" s="34">
        <v>5</v>
      </c>
      <c r="AD1098" s="38"/>
      <c r="AE1098" s="59" t="str">
        <f t="shared" si="53"/>
        <v>NO</v>
      </c>
      <c r="AF1098" s="38" t="e" cm="1">
        <f t="array" aca="1" ref="AF1098" ca="1">MIN(100, MAX(0, (IF(R1098="ESTUDIANTE", 31, 0)) + (IF(I1098&lt;=3, 30, IF(I1098&lt;=6, 20, 0))) +(IF(OR(E1098="413 - Control de Costes y Enlace Construcción", E1098="480 - Secretaría General del Consejo", E1098="132 - Civil y estructuras", E1098="136 - Mecánica", E1098="412 - Planificación", E1098="142 - Compras"), 25, 0)) +(IF(OR(S1098="GRADO ING. MECÁNICA", S1098="GRADO ING. ELÉCTRICA", S1098="GRADO DERECHO", S1098="GRADO ECONOMÍA", S1098="GRADO ING. TECNOLOGÍAS INDUSTRIALES"), 24, 0)) + (IF(AND(K1098&gt;=451, K1098&lt;=700), 23, 0)) + (IF(AND(AB1098&gt;=5, AB1098&lt;=8), 17, 0)) +(IF(_xludf.OR(_xludf.AND(AC1098&gt;=8, AC1098&lt;=10), _xludf.AND(AC1098&gt;=0, AC1098&lt;=5)), 16, 0)) + (IF(F1098="Madrid", 11, 0))))</f>
        <v>#NAME?</v>
      </c>
      <c r="AG1098" s="68"/>
      <c r="AH1098" s="71" t="s">
        <v>164</v>
      </c>
    </row>
    <row r="1099" spans="1:34" ht="14.4" x14ac:dyDescent="0.3">
      <c r="A1099" s="66" t="s">
        <v>2070</v>
      </c>
      <c r="B1099" s="66" t="s">
        <v>4187</v>
      </c>
      <c r="C1099" s="33">
        <v>1100</v>
      </c>
      <c r="D1099" s="33" t="s">
        <v>5397</v>
      </c>
      <c r="E1099" s="34" t="s">
        <v>5252</v>
      </c>
      <c r="F1099" s="34" t="s">
        <v>18</v>
      </c>
      <c r="G1099" s="57">
        <v>43731</v>
      </c>
      <c r="H1099" s="57">
        <v>44277</v>
      </c>
      <c r="I1099" s="34">
        <f t="shared" si="51"/>
        <v>17</v>
      </c>
      <c r="J1099" s="34">
        <v>35</v>
      </c>
      <c r="K1099" s="36">
        <v>900</v>
      </c>
      <c r="L1099" s="34" t="s">
        <v>17</v>
      </c>
      <c r="M1099" s="57">
        <v>34676</v>
      </c>
      <c r="N1099" s="37">
        <f>(YEAR(TablaMadre[[#This Row],[ALTA]])-YEAR(M1099))</f>
        <v>25</v>
      </c>
      <c r="O1099" s="34" t="s">
        <v>18</v>
      </c>
      <c r="P1099" s="34" t="s">
        <v>19</v>
      </c>
      <c r="Q1099" s="34" t="s">
        <v>409</v>
      </c>
      <c r="R1099" s="34" t="s">
        <v>21</v>
      </c>
      <c r="S1099" s="34" t="s">
        <v>136</v>
      </c>
      <c r="T1099" s="34"/>
      <c r="U1099" s="34"/>
      <c r="V1099" s="34" t="s">
        <v>67</v>
      </c>
      <c r="W1099" s="34" t="s">
        <v>461</v>
      </c>
      <c r="X1099" s="38" t="s">
        <v>173</v>
      </c>
      <c r="Y1099" s="62"/>
      <c r="Z1099" s="62" t="e">
        <f t="shared" si="52"/>
        <v>#NUM!</v>
      </c>
      <c r="AA1099" s="62"/>
      <c r="AB1099" s="34">
        <v>8</v>
      </c>
      <c r="AC1099" s="34">
        <v>10</v>
      </c>
      <c r="AD1099" s="38"/>
      <c r="AE1099" s="59" t="str">
        <f t="shared" si="53"/>
        <v>NO</v>
      </c>
      <c r="AF1099" s="38" t="e" cm="1">
        <f t="array" aca="1" ref="AF1099" ca="1">MIN(100, MAX(0, (IF(R1099="ESTUDIANTE", 31, 0)) + (IF(I1099&lt;=3, 30, IF(I1099&lt;=6, 20, 0))) +(IF(OR(E1099="413 - Control de Costes y Enlace Construcción", E1099="480 - Secretaría General del Consejo", E1099="132 - Civil y estructuras", E1099="136 - Mecánica", E1099="412 - Planificación", E1099="142 - Compras"), 25, 0)) +(IF(OR(S1099="GRADO ING. MECÁNICA", S1099="GRADO ING. ELÉCTRICA", S1099="GRADO DERECHO", S1099="GRADO ECONOMÍA", S1099="GRADO ING. TECNOLOGÍAS INDUSTRIALES"), 24, 0)) + (IF(AND(K1099&gt;=451, K1099&lt;=700), 23, 0)) + (IF(AND(AB1099&gt;=5, AB1099&lt;=8), 17, 0)) +(IF(_xludf.OR(_xludf.AND(AC1099&gt;=8, AC1099&lt;=10), _xludf.AND(AC1099&gt;=0, AC1099&lt;=5)), 16, 0)) + (IF(F1099="Madrid", 11, 0))))</f>
        <v>#NAME?</v>
      </c>
      <c r="AG1099" s="68"/>
      <c r="AH1099" s="71" t="s">
        <v>164</v>
      </c>
    </row>
    <row r="1100" spans="1:34" ht="14.4" x14ac:dyDescent="0.3">
      <c r="A1100" s="66" t="s">
        <v>2071</v>
      </c>
      <c r="B1100" s="66" t="s">
        <v>4188</v>
      </c>
      <c r="C1100" s="33">
        <v>1099</v>
      </c>
      <c r="D1100" s="33" t="s">
        <v>5393</v>
      </c>
      <c r="E1100" s="34" t="s">
        <v>5252</v>
      </c>
      <c r="F1100" s="34" t="s">
        <v>18</v>
      </c>
      <c r="G1100" s="57">
        <v>43731</v>
      </c>
      <c r="H1100" s="57">
        <v>44277</v>
      </c>
      <c r="I1100" s="34">
        <f t="shared" si="51"/>
        <v>17</v>
      </c>
      <c r="J1100" s="34">
        <v>35</v>
      </c>
      <c r="K1100" s="36">
        <v>900</v>
      </c>
      <c r="L1100" s="34" t="s">
        <v>17</v>
      </c>
      <c r="M1100" s="57">
        <v>33887</v>
      </c>
      <c r="N1100" s="37">
        <f>(YEAR(TablaMadre[[#This Row],[ALTA]])-YEAR(M1100))</f>
        <v>27</v>
      </c>
      <c r="O1100" s="34" t="s">
        <v>65</v>
      </c>
      <c r="P1100" s="34" t="s">
        <v>19</v>
      </c>
      <c r="Q1100" s="34" t="s">
        <v>409</v>
      </c>
      <c r="R1100" s="34" t="s">
        <v>21</v>
      </c>
      <c r="S1100" s="34" t="s">
        <v>136</v>
      </c>
      <c r="T1100" s="34"/>
      <c r="U1100" s="34"/>
      <c r="V1100" s="34" t="s">
        <v>59</v>
      </c>
      <c r="W1100" s="34" t="s">
        <v>461</v>
      </c>
      <c r="X1100" s="38" t="s">
        <v>164</v>
      </c>
      <c r="Y1100" s="62"/>
      <c r="Z1100" s="62" t="e">
        <f t="shared" si="52"/>
        <v>#NUM!</v>
      </c>
      <c r="AA1100" s="62"/>
      <c r="AB1100" s="34">
        <v>5</v>
      </c>
      <c r="AC1100" s="34">
        <v>10</v>
      </c>
      <c r="AD1100" s="38"/>
      <c r="AE1100" s="59" t="str">
        <f t="shared" si="53"/>
        <v>SÍ</v>
      </c>
      <c r="AF1100" s="38" t="e" cm="1">
        <f t="array" aca="1" ref="AF1100" ca="1">MIN(100, MAX(0, (IF(R1100="ESTUDIANTE", 31, 0)) + (IF(I1100&lt;=3, 30, IF(I1100&lt;=6, 20, 0))) +(IF(OR(E1100="413 - Control de Costes y Enlace Construcción", E1100="480 - Secretaría General del Consejo", E1100="132 - Civil y estructuras", E1100="136 - Mecánica", E1100="412 - Planificación", E1100="142 - Compras"), 25, 0)) +(IF(OR(S1100="GRADO ING. MECÁNICA", S1100="GRADO ING. ELÉCTRICA", S1100="GRADO DERECHO", S1100="GRADO ECONOMÍA", S1100="GRADO ING. TECNOLOGÍAS INDUSTRIALES"), 24, 0)) + (IF(AND(K1100&gt;=451, K1100&lt;=700), 23, 0)) + (IF(AND(AB1100&gt;=5, AB1100&lt;=8), 17, 0)) +(IF(_xludf.OR(_xludf.AND(AC1100&gt;=8, AC1100&lt;=10), _xludf.AND(AC1100&gt;=0, AC1100&lt;=5)), 16, 0)) + (IF(F1100="Madrid", 11, 0))))</f>
        <v>#NAME?</v>
      </c>
      <c r="AG1100" s="68"/>
      <c r="AH1100" s="71" t="s">
        <v>164</v>
      </c>
    </row>
    <row r="1101" spans="1:34" ht="14.4" x14ac:dyDescent="0.3">
      <c r="A1101" s="66" t="s">
        <v>2073</v>
      </c>
      <c r="B1101" s="66" t="s">
        <v>4190</v>
      </c>
      <c r="C1101" s="33">
        <v>1098</v>
      </c>
      <c r="D1101" s="33" t="s">
        <v>5394</v>
      </c>
      <c r="E1101" s="34" t="s">
        <v>5222</v>
      </c>
      <c r="F1101" s="34" t="s">
        <v>18</v>
      </c>
      <c r="G1101" s="57">
        <v>43731</v>
      </c>
      <c r="H1101" s="57">
        <v>44246</v>
      </c>
      <c r="I1101" s="34">
        <f t="shared" si="51"/>
        <v>16</v>
      </c>
      <c r="J1101" s="34">
        <v>35</v>
      </c>
      <c r="K1101" s="36">
        <v>900</v>
      </c>
      <c r="L1101" s="34" t="s">
        <v>17</v>
      </c>
      <c r="M1101" s="57">
        <v>34439</v>
      </c>
      <c r="N1101" s="37">
        <f>(YEAR(TablaMadre[[#This Row],[ALTA]])-YEAR(M1101))</f>
        <v>25</v>
      </c>
      <c r="O1101" s="34" t="s">
        <v>18</v>
      </c>
      <c r="P1101" s="34" t="s">
        <v>19</v>
      </c>
      <c r="Q1101" s="34" t="s">
        <v>471</v>
      </c>
      <c r="R1101" s="34" t="s">
        <v>21</v>
      </c>
      <c r="S1101" s="34" t="s">
        <v>322</v>
      </c>
      <c r="T1101" s="34"/>
      <c r="U1101" s="34"/>
      <c r="V1101" s="34" t="s">
        <v>22</v>
      </c>
      <c r="W1101" s="34" t="s">
        <v>181</v>
      </c>
      <c r="X1101" s="38" t="s">
        <v>164</v>
      </c>
      <c r="Y1101" s="62"/>
      <c r="Z1101" s="62" t="e">
        <f t="shared" si="52"/>
        <v>#NUM!</v>
      </c>
      <c r="AA1101" s="62"/>
      <c r="AB1101" s="34">
        <v>9</v>
      </c>
      <c r="AC1101" s="34">
        <v>10</v>
      </c>
      <c r="AD1101" s="38"/>
      <c r="AE1101" s="59" t="str">
        <f t="shared" si="53"/>
        <v>NO</v>
      </c>
      <c r="AF1101" s="38" t="e" cm="1">
        <f t="array" aca="1" ref="AF1101" ca="1">MIN(100, MAX(0, (IF(R1101="ESTUDIANTE", 31, 0)) + (IF(I1101&lt;=3, 30, IF(I1101&lt;=6, 20, 0))) +(IF(OR(E1101="413 - Control de Costes y Enlace Construcción", E1101="480 - Secretaría General del Consejo", E1101="132 - Civil y estructuras", E1101="136 - Mecánica", E1101="412 - Planificación", E1101="142 - Compras"), 25, 0)) +(IF(OR(S1101="GRADO ING. MECÁNICA", S1101="GRADO ING. ELÉCTRICA", S1101="GRADO DERECHO", S1101="GRADO ECONOMÍA", S1101="GRADO ING. TECNOLOGÍAS INDUSTRIALES"), 24, 0)) + (IF(AND(K1101&gt;=451, K1101&lt;=700), 23, 0)) + (IF(AND(AB1101&gt;=5, AB1101&lt;=8), 17, 0)) +(IF(_xludf.OR(_xludf.AND(AC1101&gt;=8, AC1101&lt;=10), _xludf.AND(AC1101&gt;=0, AC1101&lt;=5)), 16, 0)) + (IF(F1101="Madrid", 11, 0))))</f>
        <v>#NAME?</v>
      </c>
      <c r="AG1101" s="68"/>
      <c r="AH1101" s="71" t="s">
        <v>164</v>
      </c>
    </row>
    <row r="1102" spans="1:34" ht="14.4" x14ac:dyDescent="0.3">
      <c r="A1102" s="66" t="s">
        <v>2074</v>
      </c>
      <c r="B1102" s="66" t="s">
        <v>4191</v>
      </c>
      <c r="C1102" s="33">
        <v>1101</v>
      </c>
      <c r="D1102" s="33" t="s">
        <v>5395</v>
      </c>
      <c r="E1102" s="34" t="s">
        <v>5231</v>
      </c>
      <c r="F1102" s="34" t="s">
        <v>18</v>
      </c>
      <c r="G1102" s="57">
        <v>43739</v>
      </c>
      <c r="H1102" s="57">
        <v>44043</v>
      </c>
      <c r="I1102" s="34">
        <f t="shared" si="51"/>
        <v>9</v>
      </c>
      <c r="J1102" s="34">
        <v>30</v>
      </c>
      <c r="K1102" s="36">
        <v>560</v>
      </c>
      <c r="L1102" s="34" t="s">
        <v>17</v>
      </c>
      <c r="M1102" s="57">
        <v>34309</v>
      </c>
      <c r="N1102" s="37">
        <f>(YEAR(TablaMadre[[#This Row],[ALTA]])-YEAR(M1102))</f>
        <v>26</v>
      </c>
      <c r="O1102" s="34" t="s">
        <v>18</v>
      </c>
      <c r="P1102" s="34" t="s">
        <v>19</v>
      </c>
      <c r="Q1102" s="34" t="s">
        <v>306</v>
      </c>
      <c r="R1102" s="58" t="s">
        <v>30</v>
      </c>
      <c r="S1102" s="34" t="s">
        <v>307</v>
      </c>
      <c r="T1102" s="34"/>
      <c r="U1102" s="34"/>
      <c r="V1102" s="34" t="s">
        <v>22</v>
      </c>
      <c r="W1102" s="34" t="s">
        <v>370</v>
      </c>
      <c r="X1102" s="38" t="s">
        <v>164</v>
      </c>
      <c r="Y1102" s="62"/>
      <c r="Z1102" s="62" t="e">
        <f t="shared" si="52"/>
        <v>#NUM!</v>
      </c>
      <c r="AA1102" s="62"/>
      <c r="AB1102" s="34"/>
      <c r="AC1102" s="34"/>
      <c r="AD1102" s="38"/>
      <c r="AE1102" s="59" t="str">
        <f t="shared" si="53"/>
        <v>NO</v>
      </c>
      <c r="AF1102" s="38" t="e" cm="1">
        <f t="array" aca="1" ref="AF1102" ca="1">MIN(100, MAX(0, (IF(R1102="ESTUDIANTE", 31, 0)) + (IF(I1102&lt;=3, 30, IF(I1102&lt;=6, 20, 0))) +(IF(OR(E1102="413 - Control de Costes y Enlace Construcción", E1102="480 - Secretaría General del Consejo", E1102="132 - Civil y estructuras", E1102="136 - Mecánica", E1102="412 - Planificación", E1102="142 - Compras"), 25, 0)) +(IF(OR(S1102="GRADO ING. MECÁNICA", S1102="GRADO ING. ELÉCTRICA", S1102="GRADO DERECHO", S1102="GRADO ECONOMÍA", S1102="GRADO ING. TECNOLOGÍAS INDUSTRIALES"), 24, 0)) + (IF(AND(K1102&gt;=451, K1102&lt;=700), 23, 0)) + (IF(AND(AB1102&gt;=5, AB1102&lt;=8), 17, 0)) +(IF(_xludf.OR(_xludf.AND(AC1102&gt;=8, AC1102&lt;=10), _xludf.AND(AC1102&gt;=0, AC1102&lt;=5)), 16, 0)) + (IF(F1102="Madrid", 11, 0))))</f>
        <v>#NAME?</v>
      </c>
      <c r="AG1102" s="68"/>
      <c r="AH1102" s="71" t="s">
        <v>164</v>
      </c>
    </row>
    <row r="1103" spans="1:34" ht="14.4" x14ac:dyDescent="0.3">
      <c r="A1103" s="66" t="s">
        <v>2075</v>
      </c>
      <c r="B1103" s="66" t="s">
        <v>4192</v>
      </c>
      <c r="C1103" s="33">
        <v>1102</v>
      </c>
      <c r="D1103" s="33" t="s">
        <v>5396</v>
      </c>
      <c r="E1103" s="34" t="s">
        <v>5244</v>
      </c>
      <c r="F1103" s="34" t="s">
        <v>18</v>
      </c>
      <c r="G1103" s="57">
        <v>43739</v>
      </c>
      <c r="H1103" s="57">
        <v>44169</v>
      </c>
      <c r="I1103" s="34">
        <f t="shared" si="51"/>
        <v>14</v>
      </c>
      <c r="J1103" s="34">
        <v>35</v>
      </c>
      <c r="K1103" s="36">
        <v>825</v>
      </c>
      <c r="L1103" s="34" t="s">
        <v>17</v>
      </c>
      <c r="M1103" s="57">
        <v>34574</v>
      </c>
      <c r="N1103" s="37">
        <f>(YEAR(TablaMadre[[#This Row],[ALTA]])-YEAR(M1103))</f>
        <v>25</v>
      </c>
      <c r="O1103" s="34" t="s">
        <v>18</v>
      </c>
      <c r="P1103" s="34" t="s">
        <v>19</v>
      </c>
      <c r="Q1103" s="34" t="s">
        <v>151</v>
      </c>
      <c r="R1103" s="34" t="s">
        <v>21</v>
      </c>
      <c r="S1103" s="34" t="s">
        <v>151</v>
      </c>
      <c r="T1103" s="34"/>
      <c r="U1103" s="34"/>
      <c r="V1103" s="34" t="s">
        <v>22</v>
      </c>
      <c r="W1103" s="34" t="s">
        <v>181</v>
      </c>
      <c r="X1103" s="38" t="s">
        <v>164</v>
      </c>
      <c r="Y1103" s="62"/>
      <c r="Z1103" s="62" t="e">
        <f t="shared" si="52"/>
        <v>#NUM!</v>
      </c>
      <c r="AA1103" s="62"/>
      <c r="AB1103" s="34">
        <v>9</v>
      </c>
      <c r="AC1103" s="34">
        <v>9</v>
      </c>
      <c r="AD1103" s="38"/>
      <c r="AE1103" s="59" t="str">
        <f t="shared" si="53"/>
        <v>NO</v>
      </c>
      <c r="AF1103" s="38" t="e" cm="1">
        <f t="array" aca="1" ref="AF1103" ca="1">MIN(100, MAX(0, (IF(R1103="ESTUDIANTE", 31, 0)) + (IF(I1103&lt;=3, 30, IF(I1103&lt;=6, 20, 0))) +(IF(OR(E1103="413 - Control de Costes y Enlace Construcción", E1103="480 - Secretaría General del Consejo", E1103="132 - Civil y estructuras", E1103="136 - Mecánica", E1103="412 - Planificación", E1103="142 - Compras"), 25, 0)) +(IF(OR(S1103="GRADO ING. MECÁNICA", S1103="GRADO ING. ELÉCTRICA", S1103="GRADO DERECHO", S1103="GRADO ECONOMÍA", S1103="GRADO ING. TECNOLOGÍAS INDUSTRIALES"), 24, 0)) + (IF(AND(K1103&gt;=451, K1103&lt;=700), 23, 0)) + (IF(AND(AB1103&gt;=5, AB1103&lt;=8), 17, 0)) +(IF(_xludf.OR(_xludf.AND(AC1103&gt;=8, AC1103&lt;=10), _xludf.AND(AC1103&gt;=0, AC1103&lt;=5)), 16, 0)) + (IF(F1103="Madrid", 11, 0))))</f>
        <v>#NAME?</v>
      </c>
      <c r="AG1103" s="68"/>
      <c r="AH1103" s="71" t="s">
        <v>164</v>
      </c>
    </row>
    <row r="1104" spans="1:34" ht="14.4" x14ac:dyDescent="0.3">
      <c r="A1104" s="66" t="s">
        <v>2076</v>
      </c>
      <c r="B1104" s="66" t="s">
        <v>4193</v>
      </c>
      <c r="C1104" s="33">
        <v>1103</v>
      </c>
      <c r="D1104" s="33" t="s">
        <v>5397</v>
      </c>
      <c r="E1104" s="34" t="s">
        <v>5252</v>
      </c>
      <c r="F1104" s="34" t="s">
        <v>18</v>
      </c>
      <c r="G1104" s="57">
        <v>43739</v>
      </c>
      <c r="H1104" s="57">
        <v>44196</v>
      </c>
      <c r="I1104" s="34">
        <f t="shared" si="51"/>
        <v>14</v>
      </c>
      <c r="J1104" s="34">
        <v>35</v>
      </c>
      <c r="K1104" s="36">
        <v>900</v>
      </c>
      <c r="L1104" s="34" t="s">
        <v>17</v>
      </c>
      <c r="M1104" s="57">
        <v>34003</v>
      </c>
      <c r="N1104" s="37">
        <f>(YEAR(TablaMadre[[#This Row],[ALTA]])-YEAR(M1104))</f>
        <v>26</v>
      </c>
      <c r="O1104" s="34" t="s">
        <v>18</v>
      </c>
      <c r="P1104" s="34" t="s">
        <v>19</v>
      </c>
      <c r="Q1104" s="34" t="s">
        <v>410</v>
      </c>
      <c r="R1104" s="34" t="s">
        <v>21</v>
      </c>
      <c r="S1104" s="34" t="s">
        <v>307</v>
      </c>
      <c r="T1104" s="34"/>
      <c r="U1104" s="34"/>
      <c r="V1104" s="34" t="s">
        <v>22</v>
      </c>
      <c r="W1104" s="34" t="s">
        <v>370</v>
      </c>
      <c r="X1104" s="38" t="s">
        <v>173</v>
      </c>
      <c r="Y1104" s="62"/>
      <c r="Z1104" s="62" t="e">
        <f t="shared" si="52"/>
        <v>#NUM!</v>
      </c>
      <c r="AA1104" s="62"/>
      <c r="AB1104" s="34">
        <v>10</v>
      </c>
      <c r="AC1104" s="34">
        <v>9</v>
      </c>
      <c r="AD1104" s="38"/>
      <c r="AE1104" s="59" t="str">
        <f t="shared" si="53"/>
        <v>NO</v>
      </c>
      <c r="AF1104" s="38" t="e" cm="1">
        <f t="array" aca="1" ref="AF1104" ca="1">MIN(100, MAX(0, (IF(R1104="ESTUDIANTE", 31, 0)) + (IF(I1104&lt;=3, 30, IF(I1104&lt;=6, 20, 0))) +(IF(OR(E1104="413 - Control de Costes y Enlace Construcción", E1104="480 - Secretaría General del Consejo", E1104="132 - Civil y estructuras", E1104="136 - Mecánica", E1104="412 - Planificación", E1104="142 - Compras"), 25, 0)) +(IF(OR(S1104="GRADO ING. MECÁNICA", S1104="GRADO ING. ELÉCTRICA", S1104="GRADO DERECHO", S1104="GRADO ECONOMÍA", S1104="GRADO ING. TECNOLOGÍAS INDUSTRIALES"), 24, 0)) + (IF(AND(K1104&gt;=451, K1104&lt;=700), 23, 0)) + (IF(AND(AB1104&gt;=5, AB1104&lt;=8), 17, 0)) +(IF(_xludf.OR(_xludf.AND(AC1104&gt;=8, AC1104&lt;=10), _xludf.AND(AC1104&gt;=0, AC1104&lt;=5)), 16, 0)) + (IF(F1104="Madrid", 11, 0))))</f>
        <v>#NAME?</v>
      </c>
      <c r="AG1104" s="68"/>
      <c r="AH1104" s="71" t="s">
        <v>164</v>
      </c>
    </row>
    <row r="1105" spans="1:34" ht="14.4" x14ac:dyDescent="0.3">
      <c r="A1105" s="66" t="s">
        <v>2077</v>
      </c>
      <c r="B1105" s="66" t="s">
        <v>4194</v>
      </c>
      <c r="C1105" s="33">
        <v>1104</v>
      </c>
      <c r="D1105" s="33" t="s">
        <v>5398</v>
      </c>
      <c r="E1105" s="34" t="s">
        <v>5231</v>
      </c>
      <c r="F1105" s="34" t="s">
        <v>18</v>
      </c>
      <c r="G1105" s="57">
        <v>43745</v>
      </c>
      <c r="H1105" s="57">
        <v>44110</v>
      </c>
      <c r="I1105" s="34">
        <f t="shared" si="51"/>
        <v>11</v>
      </c>
      <c r="J1105" s="34">
        <v>35</v>
      </c>
      <c r="K1105" s="36">
        <v>825</v>
      </c>
      <c r="L1105" s="34" t="s">
        <v>17</v>
      </c>
      <c r="M1105" s="57">
        <v>34132</v>
      </c>
      <c r="N1105" s="37">
        <f>(YEAR(TablaMadre[[#This Row],[ALTA]])-YEAR(M1105))</f>
        <v>26</v>
      </c>
      <c r="O1105" s="34" t="s">
        <v>511</v>
      </c>
      <c r="P1105" s="34" t="s">
        <v>19</v>
      </c>
      <c r="Q1105" s="34" t="s">
        <v>136</v>
      </c>
      <c r="R1105" s="34" t="s">
        <v>21</v>
      </c>
      <c r="S1105" s="34" t="s">
        <v>136</v>
      </c>
      <c r="T1105" s="34"/>
      <c r="U1105" s="34"/>
      <c r="V1105" s="34" t="s">
        <v>415</v>
      </c>
      <c r="W1105" s="34" t="s">
        <v>370</v>
      </c>
      <c r="X1105" s="38" t="s">
        <v>164</v>
      </c>
      <c r="Y1105" s="62"/>
      <c r="Z1105" s="62" t="e">
        <f t="shared" si="52"/>
        <v>#NUM!</v>
      </c>
      <c r="AA1105" s="62"/>
      <c r="AB1105" s="34">
        <v>8</v>
      </c>
      <c r="AC1105" s="34">
        <v>9</v>
      </c>
      <c r="AD1105" s="38"/>
      <c r="AE1105" s="59" t="str">
        <f t="shared" si="53"/>
        <v>SÍ</v>
      </c>
      <c r="AF1105" s="38" t="e" cm="1">
        <f t="array" aca="1" ref="AF1105" ca="1">MIN(100, MAX(0, (IF(R1105="ESTUDIANTE", 31, 0)) + (IF(I1105&lt;=3, 30, IF(I1105&lt;=6, 20, 0))) +(IF(OR(E1105="413 - Control de Costes y Enlace Construcción", E1105="480 - Secretaría General del Consejo", E1105="132 - Civil y estructuras", E1105="136 - Mecánica", E1105="412 - Planificación", E1105="142 - Compras"), 25, 0)) +(IF(OR(S1105="GRADO ING. MECÁNICA", S1105="GRADO ING. ELÉCTRICA", S1105="GRADO DERECHO", S1105="GRADO ECONOMÍA", S1105="GRADO ING. TECNOLOGÍAS INDUSTRIALES"), 24, 0)) + (IF(AND(K1105&gt;=451, K1105&lt;=700), 23, 0)) + (IF(AND(AB1105&gt;=5, AB1105&lt;=8), 17, 0)) +(IF(_xludf.OR(_xludf.AND(AC1105&gt;=8, AC1105&lt;=10), _xludf.AND(AC1105&gt;=0, AC1105&lt;=5)), 16, 0)) + (IF(F1105="Madrid", 11, 0))))</f>
        <v>#NAME?</v>
      </c>
      <c r="AG1105" s="68"/>
      <c r="AH1105" s="71" t="s">
        <v>164</v>
      </c>
    </row>
    <row r="1106" spans="1:34" ht="14.4" x14ac:dyDescent="0.3">
      <c r="A1106" s="66" t="s">
        <v>2078</v>
      </c>
      <c r="B1106" s="66" t="s">
        <v>4195</v>
      </c>
      <c r="C1106" s="33">
        <v>1105</v>
      </c>
      <c r="D1106" s="33" t="s">
        <v>5399</v>
      </c>
      <c r="E1106" s="34" t="s">
        <v>5252</v>
      </c>
      <c r="F1106" s="34" t="s">
        <v>18</v>
      </c>
      <c r="G1106" s="57">
        <v>43752</v>
      </c>
      <c r="H1106" s="57">
        <v>44117</v>
      </c>
      <c r="I1106" s="34">
        <f t="shared" si="51"/>
        <v>11</v>
      </c>
      <c r="J1106" s="34">
        <v>35</v>
      </c>
      <c r="K1106" s="36">
        <v>825</v>
      </c>
      <c r="L1106" s="34" t="s">
        <v>29</v>
      </c>
      <c r="M1106" s="57">
        <v>34859</v>
      </c>
      <c r="N1106" s="37">
        <f>(YEAR(TablaMadre[[#This Row],[ALTA]])-YEAR(M1106))</f>
        <v>24</v>
      </c>
      <c r="O1106" s="34" t="s">
        <v>257</v>
      </c>
      <c r="P1106" s="34" t="s">
        <v>19</v>
      </c>
      <c r="Q1106" s="34" t="s">
        <v>297</v>
      </c>
      <c r="R1106" s="34" t="s">
        <v>21</v>
      </c>
      <c r="S1106" s="34" t="s">
        <v>297</v>
      </c>
      <c r="T1106" s="34"/>
      <c r="U1106" s="34"/>
      <c r="V1106" s="34" t="s">
        <v>56</v>
      </c>
      <c r="W1106" s="34" t="s">
        <v>370</v>
      </c>
      <c r="X1106" s="38" t="s">
        <v>173</v>
      </c>
      <c r="Y1106" s="62"/>
      <c r="Z1106" s="62" t="e">
        <f t="shared" si="52"/>
        <v>#NUM!</v>
      </c>
      <c r="AA1106" s="62"/>
      <c r="AB1106" s="34">
        <v>9</v>
      </c>
      <c r="AC1106" s="34">
        <v>10</v>
      </c>
      <c r="AD1106" s="38"/>
      <c r="AE1106" s="59" t="str">
        <f t="shared" si="53"/>
        <v>SÍ</v>
      </c>
      <c r="AF1106" s="38" t="e" cm="1">
        <f t="array" aca="1" ref="AF1106" ca="1">MIN(100, MAX(0, (IF(R1106="ESTUDIANTE", 31, 0)) + (IF(I1106&lt;=3, 30, IF(I1106&lt;=6, 20, 0))) +(IF(OR(E1106="413 - Control de Costes y Enlace Construcción", E1106="480 - Secretaría General del Consejo", E1106="132 - Civil y estructuras", E1106="136 - Mecánica", E1106="412 - Planificación", E1106="142 - Compras"), 25, 0)) +(IF(OR(S1106="GRADO ING. MECÁNICA", S1106="GRADO ING. ELÉCTRICA", S1106="GRADO DERECHO", S1106="GRADO ECONOMÍA", S1106="GRADO ING. TECNOLOGÍAS INDUSTRIALES"), 24, 0)) + (IF(AND(K1106&gt;=451, K1106&lt;=700), 23, 0)) + (IF(AND(AB1106&gt;=5, AB1106&lt;=8), 17, 0)) +(IF(_xludf.OR(_xludf.AND(AC1106&gt;=8, AC1106&lt;=10), _xludf.AND(AC1106&gt;=0, AC1106&lt;=5)), 16, 0)) + (IF(F1106="Madrid", 11, 0))))</f>
        <v>#NAME?</v>
      </c>
      <c r="AG1106" s="68"/>
      <c r="AH1106" s="71" t="s">
        <v>164</v>
      </c>
    </row>
    <row r="1107" spans="1:34" ht="14.4" x14ac:dyDescent="0.3">
      <c r="A1107" s="66" t="s">
        <v>2079</v>
      </c>
      <c r="B1107" s="66" t="s">
        <v>4196</v>
      </c>
      <c r="C1107" s="33">
        <v>1110</v>
      </c>
      <c r="D1107" s="33" t="s">
        <v>5400</v>
      </c>
      <c r="E1107" s="34" t="s">
        <v>5244</v>
      </c>
      <c r="F1107" s="34" t="s">
        <v>118</v>
      </c>
      <c r="G1107" s="57">
        <v>43752</v>
      </c>
      <c r="H1107" s="57">
        <v>44117</v>
      </c>
      <c r="I1107" s="34">
        <f t="shared" si="51"/>
        <v>11</v>
      </c>
      <c r="J1107" s="34">
        <v>35</v>
      </c>
      <c r="K1107" s="36">
        <v>825</v>
      </c>
      <c r="L1107" s="34" t="s">
        <v>29</v>
      </c>
      <c r="M1107" s="57">
        <v>35394</v>
      </c>
      <c r="N1107" s="37">
        <f>(YEAR(TablaMadre[[#This Row],[ALTA]])-YEAR(M1107))</f>
        <v>23</v>
      </c>
      <c r="O1107" s="34" t="s">
        <v>118</v>
      </c>
      <c r="P1107" s="34" t="s">
        <v>19</v>
      </c>
      <c r="Q1107" s="34" t="s">
        <v>297</v>
      </c>
      <c r="R1107" s="34" t="s">
        <v>21</v>
      </c>
      <c r="S1107" s="34" t="s">
        <v>297</v>
      </c>
      <c r="T1107" s="34"/>
      <c r="U1107" s="34"/>
      <c r="V1107" s="34" t="s">
        <v>37</v>
      </c>
      <c r="W1107" s="34" t="s">
        <v>370</v>
      </c>
      <c r="X1107" s="38" t="s">
        <v>164</v>
      </c>
      <c r="Y1107" s="62"/>
      <c r="Z1107" s="62" t="e">
        <f t="shared" si="52"/>
        <v>#NUM!</v>
      </c>
      <c r="AA1107" s="62"/>
      <c r="AB1107" s="34">
        <v>10</v>
      </c>
      <c r="AC1107" s="34">
        <v>9</v>
      </c>
      <c r="AD1107" s="38"/>
      <c r="AE1107" s="59" t="str">
        <f t="shared" si="53"/>
        <v>NO</v>
      </c>
      <c r="AF1107" s="38" t="e" cm="1">
        <f t="array" aca="1" ref="AF1107" ca="1">MIN(100, MAX(0, (IF(R1107="ESTUDIANTE", 31, 0)) + (IF(I1107&lt;=3, 30, IF(I1107&lt;=6, 20, 0))) +(IF(OR(E1107="413 - Control de Costes y Enlace Construcción", E1107="480 - Secretaría General del Consejo", E1107="132 - Civil y estructuras", E1107="136 - Mecánica", E1107="412 - Planificación", E1107="142 - Compras"), 25, 0)) +(IF(OR(S1107="GRADO ING. MECÁNICA", S1107="GRADO ING. ELÉCTRICA", S1107="GRADO DERECHO", S1107="GRADO ECONOMÍA", S1107="GRADO ING. TECNOLOGÍAS INDUSTRIALES"), 24, 0)) + (IF(AND(K1107&gt;=451, K1107&lt;=700), 23, 0)) + (IF(AND(AB1107&gt;=5, AB1107&lt;=8), 17, 0)) +(IF(_xludf.OR(_xludf.AND(AC1107&gt;=8, AC1107&lt;=10), _xludf.AND(AC1107&gt;=0, AC1107&lt;=5)), 16, 0)) + (IF(F1107="Madrid", 11, 0))))</f>
        <v>#NAME?</v>
      </c>
      <c r="AG1107" s="68"/>
      <c r="AH1107" s="71" t="s">
        <v>164</v>
      </c>
    </row>
    <row r="1108" spans="1:34" ht="14.4" x14ac:dyDescent="0.3">
      <c r="A1108" s="66" t="s">
        <v>2080</v>
      </c>
      <c r="B1108" s="66" t="s">
        <v>4197</v>
      </c>
      <c r="C1108" s="33">
        <v>1108</v>
      </c>
      <c r="D1108" s="33" t="s">
        <v>5401</v>
      </c>
      <c r="E1108" s="34" t="s">
        <v>5231</v>
      </c>
      <c r="F1108" s="34" t="s">
        <v>18</v>
      </c>
      <c r="G1108" s="57">
        <v>43752</v>
      </c>
      <c r="H1108" s="57">
        <v>44117</v>
      </c>
      <c r="I1108" s="34">
        <f t="shared" si="51"/>
        <v>11</v>
      </c>
      <c r="J1108" s="34">
        <v>35</v>
      </c>
      <c r="K1108" s="36">
        <v>825</v>
      </c>
      <c r="L1108" s="34" t="s">
        <v>17</v>
      </c>
      <c r="M1108" s="57">
        <v>34509</v>
      </c>
      <c r="N1108" s="37">
        <f>(YEAR(TablaMadre[[#This Row],[ALTA]])-YEAR(M1108))</f>
        <v>25</v>
      </c>
      <c r="O1108" s="34" t="s">
        <v>918</v>
      </c>
      <c r="P1108" s="34" t="s">
        <v>477</v>
      </c>
      <c r="Q1108" s="34" t="s">
        <v>136</v>
      </c>
      <c r="R1108" s="34" t="s">
        <v>21</v>
      </c>
      <c r="S1108" s="34" t="s">
        <v>136</v>
      </c>
      <c r="T1108" s="34"/>
      <c r="U1108" s="34"/>
      <c r="V1108" s="34" t="s">
        <v>90</v>
      </c>
      <c r="W1108" s="34" t="s">
        <v>370</v>
      </c>
      <c r="X1108" s="38" t="s">
        <v>164</v>
      </c>
      <c r="Y1108" s="62"/>
      <c r="Z1108" s="62" t="e">
        <f t="shared" si="52"/>
        <v>#NUM!</v>
      </c>
      <c r="AA1108" s="62"/>
      <c r="AB1108" s="34">
        <v>9</v>
      </c>
      <c r="AC1108" s="34">
        <v>8</v>
      </c>
      <c r="AD1108" s="38"/>
      <c r="AE1108" s="59" t="str">
        <f t="shared" si="53"/>
        <v>SÍ</v>
      </c>
      <c r="AF1108" s="38" t="e" cm="1">
        <f t="array" aca="1" ref="AF1108" ca="1">MIN(100, MAX(0, (IF(R1108="ESTUDIANTE", 31, 0)) + (IF(I1108&lt;=3, 30, IF(I1108&lt;=6, 20, 0))) +(IF(OR(E1108="413 - Control de Costes y Enlace Construcción", E1108="480 - Secretaría General del Consejo", E1108="132 - Civil y estructuras", E1108="136 - Mecánica", E1108="412 - Planificación", E1108="142 - Compras"), 25, 0)) +(IF(OR(S1108="GRADO ING. MECÁNICA", S1108="GRADO ING. ELÉCTRICA", S1108="GRADO DERECHO", S1108="GRADO ECONOMÍA", S1108="GRADO ING. TECNOLOGÍAS INDUSTRIALES"), 24, 0)) + (IF(AND(K1108&gt;=451, K1108&lt;=700), 23, 0)) + (IF(AND(AB1108&gt;=5, AB1108&lt;=8), 17, 0)) +(IF(_xludf.OR(_xludf.AND(AC1108&gt;=8, AC1108&lt;=10), _xludf.AND(AC1108&gt;=0, AC1108&lt;=5)), 16, 0)) + (IF(F1108="Madrid", 11, 0))))</f>
        <v>#NAME?</v>
      </c>
      <c r="AG1108" s="68"/>
      <c r="AH1108" s="71" t="s">
        <v>164</v>
      </c>
    </row>
    <row r="1109" spans="1:34" ht="14.4" x14ac:dyDescent="0.3">
      <c r="A1109" s="66" t="s">
        <v>2081</v>
      </c>
      <c r="B1109" s="66" t="s">
        <v>4198</v>
      </c>
      <c r="C1109" s="33">
        <v>1106</v>
      </c>
      <c r="D1109" s="33" t="s">
        <v>5402</v>
      </c>
      <c r="E1109" s="34" t="s">
        <v>5252</v>
      </c>
      <c r="F1109" s="34" t="s">
        <v>18</v>
      </c>
      <c r="G1109" s="57">
        <v>43752</v>
      </c>
      <c r="H1109" s="57">
        <v>44117</v>
      </c>
      <c r="I1109" s="34">
        <f t="shared" si="51"/>
        <v>11</v>
      </c>
      <c r="J1109" s="34">
        <v>35</v>
      </c>
      <c r="K1109" s="36">
        <v>825</v>
      </c>
      <c r="L1109" s="34" t="s">
        <v>17</v>
      </c>
      <c r="M1109" s="57">
        <v>35570</v>
      </c>
      <c r="N1109" s="37">
        <f>(YEAR(TablaMadre[[#This Row],[ALTA]])-YEAR(M1109))</f>
        <v>22</v>
      </c>
      <c r="O1109" s="34" t="s">
        <v>18</v>
      </c>
      <c r="P1109" s="34" t="s">
        <v>19</v>
      </c>
      <c r="Q1109" s="34" t="s">
        <v>384</v>
      </c>
      <c r="R1109" s="34" t="s">
        <v>21</v>
      </c>
      <c r="S1109" s="34" t="s">
        <v>384</v>
      </c>
      <c r="T1109" s="34"/>
      <c r="U1109" s="34"/>
      <c r="V1109" s="34" t="s">
        <v>22</v>
      </c>
      <c r="W1109" s="34" t="s">
        <v>370</v>
      </c>
      <c r="X1109" s="38" t="s">
        <v>164</v>
      </c>
      <c r="Y1109" s="62"/>
      <c r="Z1109" s="62" t="e">
        <f t="shared" si="52"/>
        <v>#NUM!</v>
      </c>
      <c r="AA1109" s="62"/>
      <c r="AB1109" s="34">
        <v>8</v>
      </c>
      <c r="AC1109" s="34">
        <v>9</v>
      </c>
      <c r="AD1109" s="38"/>
      <c r="AE1109" s="59" t="str">
        <f t="shared" si="53"/>
        <v>NO</v>
      </c>
      <c r="AF1109" s="38" t="e" cm="1">
        <f t="array" aca="1" ref="AF1109" ca="1">MIN(100, MAX(0, (IF(R1109="ESTUDIANTE", 31, 0)) + (IF(I1109&lt;=3, 30, IF(I1109&lt;=6, 20, 0))) +(IF(OR(E1109="413 - Control de Costes y Enlace Construcción", E1109="480 - Secretaría General del Consejo", E1109="132 - Civil y estructuras", E1109="136 - Mecánica", E1109="412 - Planificación", E1109="142 - Compras"), 25, 0)) +(IF(OR(S1109="GRADO ING. MECÁNICA", S1109="GRADO ING. ELÉCTRICA", S1109="GRADO DERECHO", S1109="GRADO ECONOMÍA", S1109="GRADO ING. TECNOLOGÍAS INDUSTRIALES"), 24, 0)) + (IF(AND(K1109&gt;=451, K1109&lt;=700), 23, 0)) + (IF(AND(AB1109&gt;=5, AB1109&lt;=8), 17, 0)) +(IF(_xludf.OR(_xludf.AND(AC1109&gt;=8, AC1109&lt;=10), _xludf.AND(AC1109&gt;=0, AC1109&lt;=5)), 16, 0)) + (IF(F1109="Madrid", 11, 0))))</f>
        <v>#NAME?</v>
      </c>
      <c r="AG1109" s="68"/>
      <c r="AH1109" s="71" t="s">
        <v>164</v>
      </c>
    </row>
    <row r="1110" spans="1:34" ht="14.4" x14ac:dyDescent="0.3">
      <c r="A1110" s="66" t="s">
        <v>2082</v>
      </c>
      <c r="B1110" s="66" t="s">
        <v>4199</v>
      </c>
      <c r="C1110" s="33">
        <v>1107</v>
      </c>
      <c r="D1110" s="33" t="s">
        <v>5393</v>
      </c>
      <c r="E1110" s="34" t="s">
        <v>5252</v>
      </c>
      <c r="F1110" s="34" t="s">
        <v>18</v>
      </c>
      <c r="G1110" s="57">
        <v>43752</v>
      </c>
      <c r="H1110" s="57">
        <v>44117</v>
      </c>
      <c r="I1110" s="34">
        <f t="shared" si="51"/>
        <v>11</v>
      </c>
      <c r="J1110" s="34">
        <v>35</v>
      </c>
      <c r="K1110" s="36">
        <v>825</v>
      </c>
      <c r="L1110" s="34" t="s">
        <v>17</v>
      </c>
      <c r="M1110" s="57">
        <v>34577</v>
      </c>
      <c r="N1110" s="37">
        <f>(YEAR(TablaMadre[[#This Row],[ALTA]])-YEAR(M1110))</f>
        <v>25</v>
      </c>
      <c r="O1110" s="34" t="s">
        <v>18</v>
      </c>
      <c r="P1110" s="34" t="s">
        <v>19</v>
      </c>
      <c r="Q1110" s="34" t="s">
        <v>384</v>
      </c>
      <c r="R1110" s="34" t="s">
        <v>21</v>
      </c>
      <c r="S1110" s="34" t="s">
        <v>384</v>
      </c>
      <c r="T1110" s="34"/>
      <c r="U1110" s="34"/>
      <c r="V1110" s="34" t="s">
        <v>22</v>
      </c>
      <c r="W1110" s="34" t="s">
        <v>370</v>
      </c>
      <c r="X1110" s="38" t="s">
        <v>164</v>
      </c>
      <c r="Y1110" s="62"/>
      <c r="Z1110" s="62" t="e">
        <f t="shared" si="52"/>
        <v>#NUM!</v>
      </c>
      <c r="AA1110" s="62"/>
      <c r="AB1110" s="34">
        <v>9</v>
      </c>
      <c r="AC1110" s="34">
        <v>10</v>
      </c>
      <c r="AD1110" s="38"/>
      <c r="AE1110" s="59" t="str">
        <f t="shared" si="53"/>
        <v>NO</v>
      </c>
      <c r="AF1110" s="38" t="e" cm="1">
        <f t="array" aca="1" ref="AF1110" ca="1">MIN(100, MAX(0, (IF(R1110="ESTUDIANTE", 31, 0)) + (IF(I1110&lt;=3, 30, IF(I1110&lt;=6, 20, 0))) +(IF(OR(E1110="413 - Control de Costes y Enlace Construcción", E1110="480 - Secretaría General del Consejo", E1110="132 - Civil y estructuras", E1110="136 - Mecánica", E1110="412 - Planificación", E1110="142 - Compras"), 25, 0)) +(IF(OR(S1110="GRADO ING. MECÁNICA", S1110="GRADO ING. ELÉCTRICA", S1110="GRADO DERECHO", S1110="GRADO ECONOMÍA", S1110="GRADO ING. TECNOLOGÍAS INDUSTRIALES"), 24, 0)) + (IF(AND(K1110&gt;=451, K1110&lt;=700), 23, 0)) + (IF(AND(AB1110&gt;=5, AB1110&lt;=8), 17, 0)) +(IF(_xludf.OR(_xludf.AND(AC1110&gt;=8, AC1110&lt;=10), _xludf.AND(AC1110&gt;=0, AC1110&lt;=5)), 16, 0)) + (IF(F1110="Madrid", 11, 0))))</f>
        <v>#NAME?</v>
      </c>
      <c r="AG1110" s="68"/>
      <c r="AH1110" s="71" t="s">
        <v>164</v>
      </c>
    </row>
    <row r="1111" spans="1:34" ht="14.4" x14ac:dyDescent="0.3">
      <c r="A1111" s="66" t="s">
        <v>2083</v>
      </c>
      <c r="B1111" s="66" t="s">
        <v>4200</v>
      </c>
      <c r="C1111" s="33">
        <v>1109</v>
      </c>
      <c r="D1111" s="33" t="s">
        <v>5394</v>
      </c>
      <c r="E1111" s="34" t="s">
        <v>5252</v>
      </c>
      <c r="F1111" s="34" t="s">
        <v>18</v>
      </c>
      <c r="G1111" s="57">
        <v>43752</v>
      </c>
      <c r="H1111" s="57">
        <v>44117</v>
      </c>
      <c r="I1111" s="34">
        <f t="shared" si="51"/>
        <v>11</v>
      </c>
      <c r="J1111" s="34">
        <v>35</v>
      </c>
      <c r="K1111" s="36">
        <v>825</v>
      </c>
      <c r="L1111" s="34" t="s">
        <v>17</v>
      </c>
      <c r="M1111" s="57">
        <v>35244</v>
      </c>
      <c r="N1111" s="37">
        <f>(YEAR(TablaMadre[[#This Row],[ALTA]])-YEAR(M1111))</f>
        <v>23</v>
      </c>
      <c r="O1111" s="34" t="s">
        <v>18</v>
      </c>
      <c r="P1111" s="34" t="s">
        <v>19</v>
      </c>
      <c r="Q1111" s="34" t="s">
        <v>384</v>
      </c>
      <c r="R1111" s="34" t="s">
        <v>21</v>
      </c>
      <c r="S1111" s="34" t="s">
        <v>384</v>
      </c>
      <c r="T1111" s="34"/>
      <c r="U1111" s="34"/>
      <c r="V1111" s="34" t="s">
        <v>56</v>
      </c>
      <c r="W1111" s="34" t="s">
        <v>370</v>
      </c>
      <c r="X1111" s="38" t="s">
        <v>164</v>
      </c>
      <c r="Y1111" s="62"/>
      <c r="Z1111" s="62" t="e">
        <f t="shared" si="52"/>
        <v>#NUM!</v>
      </c>
      <c r="AA1111" s="62"/>
      <c r="AB1111" s="34">
        <v>10</v>
      </c>
      <c r="AC1111" s="34">
        <v>9</v>
      </c>
      <c r="AD1111" s="38"/>
      <c r="AE1111" s="59" t="str">
        <f t="shared" si="53"/>
        <v>NO</v>
      </c>
      <c r="AF1111" s="38" t="e" cm="1">
        <f t="array" aca="1" ref="AF1111" ca="1">MIN(100, MAX(0, (IF(R1111="ESTUDIANTE", 31, 0)) + (IF(I1111&lt;=3, 30, IF(I1111&lt;=6, 20, 0))) +(IF(OR(E1111="413 - Control de Costes y Enlace Construcción", E1111="480 - Secretaría General del Consejo", E1111="132 - Civil y estructuras", E1111="136 - Mecánica", E1111="412 - Planificación", E1111="142 - Compras"), 25, 0)) +(IF(OR(S1111="GRADO ING. MECÁNICA", S1111="GRADO ING. ELÉCTRICA", S1111="GRADO DERECHO", S1111="GRADO ECONOMÍA", S1111="GRADO ING. TECNOLOGÍAS INDUSTRIALES"), 24, 0)) + (IF(AND(K1111&gt;=451, K1111&lt;=700), 23, 0)) + (IF(AND(AB1111&gt;=5, AB1111&lt;=8), 17, 0)) +(IF(_xludf.OR(_xludf.AND(AC1111&gt;=8, AC1111&lt;=10), _xludf.AND(AC1111&gt;=0, AC1111&lt;=5)), 16, 0)) + (IF(F1111="Madrid", 11, 0))))</f>
        <v>#NAME?</v>
      </c>
      <c r="AG1111" s="68"/>
      <c r="AH1111" s="71" t="s">
        <v>164</v>
      </c>
    </row>
    <row r="1112" spans="1:34" ht="14.4" x14ac:dyDescent="0.3">
      <c r="A1112" s="66" t="s">
        <v>2084</v>
      </c>
      <c r="B1112" s="66" t="s">
        <v>4201</v>
      </c>
      <c r="C1112" s="33">
        <v>1111</v>
      </c>
      <c r="D1112" s="33" t="s">
        <v>5403</v>
      </c>
      <c r="E1112" s="34" t="s">
        <v>5230</v>
      </c>
      <c r="F1112" s="34" t="s">
        <v>118</v>
      </c>
      <c r="G1112" s="57">
        <v>43759</v>
      </c>
      <c r="H1112" s="57">
        <v>44196</v>
      </c>
      <c r="I1112" s="34">
        <f t="shared" si="51"/>
        <v>14</v>
      </c>
      <c r="J1112" s="34">
        <v>35</v>
      </c>
      <c r="K1112" s="36">
        <v>825</v>
      </c>
      <c r="L1112" s="34" t="s">
        <v>17</v>
      </c>
      <c r="M1112" s="57">
        <v>35023</v>
      </c>
      <c r="N1112" s="37">
        <f>(YEAR(TablaMadre[[#This Row],[ALTA]])-YEAR(M1112))</f>
        <v>24</v>
      </c>
      <c r="O1112" s="34" t="s">
        <v>118</v>
      </c>
      <c r="P1112" s="34" t="s">
        <v>19</v>
      </c>
      <c r="Q1112" s="34" t="s">
        <v>215</v>
      </c>
      <c r="R1112" s="34" t="s">
        <v>21</v>
      </c>
      <c r="S1112" s="34" t="s">
        <v>322</v>
      </c>
      <c r="T1112" s="34"/>
      <c r="U1112" s="34"/>
      <c r="V1112" s="34" t="s">
        <v>37</v>
      </c>
      <c r="W1112" s="34" t="s">
        <v>370</v>
      </c>
      <c r="X1112" s="38" t="s">
        <v>164</v>
      </c>
      <c r="Y1112" s="62"/>
      <c r="Z1112" s="62" t="e">
        <f t="shared" si="52"/>
        <v>#NUM!</v>
      </c>
      <c r="AA1112" s="62"/>
      <c r="AB1112" s="34">
        <v>8</v>
      </c>
      <c r="AC1112" s="34">
        <v>8</v>
      </c>
      <c r="AD1112" s="38"/>
      <c r="AE1112" s="59" t="str">
        <f t="shared" si="53"/>
        <v>NO</v>
      </c>
      <c r="AF1112" s="38" t="e" cm="1">
        <f t="array" aca="1" ref="AF1112" ca="1">MIN(100, MAX(0, (IF(R1112="ESTUDIANTE", 31, 0)) + (IF(I1112&lt;=3, 30, IF(I1112&lt;=6, 20, 0))) +(IF(OR(E1112="413 - Control de Costes y Enlace Construcción", E1112="480 - Secretaría General del Consejo", E1112="132 - Civil y estructuras", E1112="136 - Mecánica", E1112="412 - Planificación", E1112="142 - Compras"), 25, 0)) +(IF(OR(S1112="GRADO ING. MECÁNICA", S1112="GRADO ING. ELÉCTRICA", S1112="GRADO DERECHO", S1112="GRADO ECONOMÍA", S1112="GRADO ING. TECNOLOGÍAS INDUSTRIALES"), 24, 0)) + (IF(AND(K1112&gt;=451, K1112&lt;=700), 23, 0)) + (IF(AND(AB1112&gt;=5, AB1112&lt;=8), 17, 0)) +(IF(_xludf.OR(_xludf.AND(AC1112&gt;=8, AC1112&lt;=10), _xludf.AND(AC1112&gt;=0, AC1112&lt;=5)), 16, 0)) + (IF(F1112="Madrid", 11, 0))))</f>
        <v>#NAME?</v>
      </c>
      <c r="AG1112" s="68"/>
      <c r="AH1112" s="71" t="s">
        <v>164</v>
      </c>
    </row>
    <row r="1113" spans="1:34" ht="14.4" x14ac:dyDescent="0.3">
      <c r="A1113" s="66" t="s">
        <v>2085</v>
      </c>
      <c r="B1113" s="66" t="s">
        <v>4202</v>
      </c>
      <c r="C1113" s="33">
        <v>1112</v>
      </c>
      <c r="D1113" s="33" t="s">
        <v>5404</v>
      </c>
      <c r="E1113" s="34" t="s">
        <v>5246</v>
      </c>
      <c r="F1113" s="34" t="s">
        <v>18</v>
      </c>
      <c r="G1113" s="57">
        <v>43762</v>
      </c>
      <c r="H1113" s="57">
        <v>43861</v>
      </c>
      <c r="I1113" s="34">
        <f t="shared" si="51"/>
        <v>3</v>
      </c>
      <c r="J1113" s="34">
        <v>35</v>
      </c>
      <c r="K1113" s="36">
        <v>825</v>
      </c>
      <c r="L1113" s="34" t="s">
        <v>17</v>
      </c>
      <c r="M1113" s="57">
        <v>34495</v>
      </c>
      <c r="N1113" s="37">
        <f>(YEAR(TablaMadre[[#This Row],[ALTA]])-YEAR(M1113))</f>
        <v>25</v>
      </c>
      <c r="O1113" s="34" t="s">
        <v>257</v>
      </c>
      <c r="P1113" s="34" t="s">
        <v>19</v>
      </c>
      <c r="Q1113" s="34" t="s">
        <v>277</v>
      </c>
      <c r="R1113" s="34" t="s">
        <v>21</v>
      </c>
      <c r="S1113" s="34" t="s">
        <v>277</v>
      </c>
      <c r="T1113" s="34"/>
      <c r="U1113" s="34"/>
      <c r="V1113" s="34" t="s">
        <v>142</v>
      </c>
      <c r="W1113" s="34" t="s">
        <v>47</v>
      </c>
      <c r="X1113" s="38" t="s">
        <v>164</v>
      </c>
      <c r="Y1113" s="62"/>
      <c r="Z1113" s="62" t="e">
        <f t="shared" si="52"/>
        <v>#NUM!</v>
      </c>
      <c r="AA1113" s="62"/>
      <c r="AB1113" s="34"/>
      <c r="AC1113" s="34"/>
      <c r="AD1113" s="38"/>
      <c r="AE1113" s="59" t="str">
        <f t="shared" si="53"/>
        <v>SÍ</v>
      </c>
      <c r="AF1113" s="38" t="e" cm="1">
        <f t="array" aca="1" ref="AF1113" ca="1">MIN(100, MAX(0, (IF(R1113="ESTUDIANTE", 31, 0)) + (IF(I1113&lt;=3, 30, IF(I1113&lt;=6, 20, 0))) +(IF(OR(E1113="413 - Control de Costes y Enlace Construcción", E1113="480 - Secretaría General del Consejo", E1113="132 - Civil y estructuras", E1113="136 - Mecánica", E1113="412 - Planificación", E1113="142 - Compras"), 25, 0)) +(IF(OR(S1113="GRADO ING. MECÁNICA", S1113="GRADO ING. ELÉCTRICA", S1113="GRADO DERECHO", S1113="GRADO ECONOMÍA", S1113="GRADO ING. TECNOLOGÍAS INDUSTRIALES"), 24, 0)) + (IF(AND(K1113&gt;=451, K1113&lt;=700), 23, 0)) + (IF(AND(AB1113&gt;=5, AB1113&lt;=8), 17, 0)) +(IF(_xludf.OR(_xludf.AND(AC1113&gt;=8, AC1113&lt;=10), _xludf.AND(AC1113&gt;=0, AC1113&lt;=5)), 16, 0)) + (IF(F1113="Madrid", 11, 0))))</f>
        <v>#NAME?</v>
      </c>
      <c r="AG1113" s="68"/>
      <c r="AH1113" s="71" t="s">
        <v>164</v>
      </c>
    </row>
    <row r="1114" spans="1:34" ht="14.4" x14ac:dyDescent="0.3">
      <c r="A1114" s="66" t="s">
        <v>2086</v>
      </c>
      <c r="B1114" s="66" t="s">
        <v>4203</v>
      </c>
      <c r="C1114" s="33">
        <v>1113</v>
      </c>
      <c r="D1114" s="33" t="s">
        <v>5405</v>
      </c>
      <c r="E1114" s="34" t="s">
        <v>5228</v>
      </c>
      <c r="F1114" s="34" t="s">
        <v>18</v>
      </c>
      <c r="G1114" s="57">
        <v>43766</v>
      </c>
      <c r="H1114" s="57">
        <v>44131</v>
      </c>
      <c r="I1114" s="34">
        <f t="shared" si="51"/>
        <v>11</v>
      </c>
      <c r="J1114" s="34">
        <v>35</v>
      </c>
      <c r="K1114" s="36">
        <v>825</v>
      </c>
      <c r="L1114" s="34" t="s">
        <v>17</v>
      </c>
      <c r="M1114" s="57">
        <v>34986</v>
      </c>
      <c r="N1114" s="37">
        <f>(YEAR(TablaMadre[[#This Row],[ALTA]])-YEAR(M1114))</f>
        <v>24</v>
      </c>
      <c r="O1114" s="34" t="s">
        <v>18</v>
      </c>
      <c r="P1114" s="34" t="s">
        <v>19</v>
      </c>
      <c r="Q1114" s="34" t="s">
        <v>480</v>
      </c>
      <c r="R1114" s="34" t="s">
        <v>21</v>
      </c>
      <c r="S1114" s="34" t="s">
        <v>297</v>
      </c>
      <c r="T1114" s="34"/>
      <c r="U1114" s="34"/>
      <c r="V1114" s="34" t="s">
        <v>84</v>
      </c>
      <c r="W1114" s="34" t="s">
        <v>370</v>
      </c>
      <c r="X1114" s="38" t="s">
        <v>164</v>
      </c>
      <c r="Y1114" s="62"/>
      <c r="Z1114" s="62" t="e">
        <f t="shared" si="52"/>
        <v>#NUM!</v>
      </c>
      <c r="AA1114" s="62"/>
      <c r="AB1114" s="34">
        <v>10</v>
      </c>
      <c r="AC1114" s="34"/>
      <c r="AD1114" s="38"/>
      <c r="AE1114" s="59" t="str">
        <f t="shared" si="53"/>
        <v>NO</v>
      </c>
      <c r="AF1114" s="38" t="e" cm="1">
        <f t="array" aca="1" ref="AF1114" ca="1">MIN(100, MAX(0, (IF(R1114="ESTUDIANTE", 31, 0)) + (IF(I1114&lt;=3, 30, IF(I1114&lt;=6, 20, 0))) +(IF(OR(E1114="413 - Control de Costes y Enlace Construcción", E1114="480 - Secretaría General del Consejo", E1114="132 - Civil y estructuras", E1114="136 - Mecánica", E1114="412 - Planificación", E1114="142 - Compras"), 25, 0)) +(IF(OR(S1114="GRADO ING. MECÁNICA", S1114="GRADO ING. ELÉCTRICA", S1114="GRADO DERECHO", S1114="GRADO ECONOMÍA", S1114="GRADO ING. TECNOLOGÍAS INDUSTRIALES"), 24, 0)) + (IF(AND(K1114&gt;=451, K1114&lt;=700), 23, 0)) + (IF(AND(AB1114&gt;=5, AB1114&lt;=8), 17, 0)) +(IF(_xludf.OR(_xludf.AND(AC1114&gt;=8, AC1114&lt;=10), _xludf.AND(AC1114&gt;=0, AC1114&lt;=5)), 16, 0)) + (IF(F1114="Madrid", 11, 0))))</f>
        <v>#NAME?</v>
      </c>
      <c r="AG1114" s="68"/>
      <c r="AH1114" s="71" t="s">
        <v>164</v>
      </c>
    </row>
    <row r="1115" spans="1:34" ht="14.4" x14ac:dyDescent="0.3">
      <c r="A1115" s="66" t="s">
        <v>2087</v>
      </c>
      <c r="B1115" s="66" t="s">
        <v>4204</v>
      </c>
      <c r="C1115" s="33">
        <v>1114</v>
      </c>
      <c r="D1115" s="33" t="s">
        <v>5396</v>
      </c>
      <c r="E1115" s="34" t="s">
        <v>5244</v>
      </c>
      <c r="F1115" s="34" t="s">
        <v>18</v>
      </c>
      <c r="G1115" s="57">
        <v>43766</v>
      </c>
      <c r="H1115" s="57">
        <v>44135</v>
      </c>
      <c r="I1115" s="34">
        <f t="shared" si="51"/>
        <v>12</v>
      </c>
      <c r="J1115" s="34">
        <v>35</v>
      </c>
      <c r="K1115" s="36">
        <v>825</v>
      </c>
      <c r="L1115" s="34" t="s">
        <v>17</v>
      </c>
      <c r="M1115" s="57">
        <v>34737</v>
      </c>
      <c r="N1115" s="37">
        <f>(YEAR(TablaMadre[[#This Row],[ALTA]])-YEAR(M1115))</f>
        <v>24</v>
      </c>
      <c r="O1115" s="34" t="s">
        <v>18</v>
      </c>
      <c r="P1115" s="34" t="s">
        <v>19</v>
      </c>
      <c r="Q1115" s="34" t="s">
        <v>326</v>
      </c>
      <c r="R1115" s="34" t="s">
        <v>21</v>
      </c>
      <c r="S1115" s="34" t="s">
        <v>151</v>
      </c>
      <c r="T1115" s="34"/>
      <c r="U1115" s="34"/>
      <c r="V1115" s="34" t="s">
        <v>67</v>
      </c>
      <c r="W1115" s="34" t="s">
        <v>370</v>
      </c>
      <c r="X1115" s="38" t="s">
        <v>164</v>
      </c>
      <c r="Y1115" s="62"/>
      <c r="Z1115" s="62" t="e">
        <f t="shared" si="52"/>
        <v>#NUM!</v>
      </c>
      <c r="AA1115" s="62"/>
      <c r="AB1115" s="34">
        <v>7</v>
      </c>
      <c r="AC1115" s="34"/>
      <c r="AD1115" s="38"/>
      <c r="AE1115" s="59" t="str">
        <f t="shared" si="53"/>
        <v>NO</v>
      </c>
      <c r="AF1115" s="38" t="e" cm="1">
        <f t="array" aca="1" ref="AF1115" ca="1">MIN(100, MAX(0, (IF(R1115="ESTUDIANTE", 31, 0)) + (IF(I1115&lt;=3, 30, IF(I1115&lt;=6, 20, 0))) +(IF(OR(E1115="413 - Control de Costes y Enlace Construcción", E1115="480 - Secretaría General del Consejo", E1115="132 - Civil y estructuras", E1115="136 - Mecánica", E1115="412 - Planificación", E1115="142 - Compras"), 25, 0)) +(IF(OR(S1115="GRADO ING. MECÁNICA", S1115="GRADO ING. ELÉCTRICA", S1115="GRADO DERECHO", S1115="GRADO ECONOMÍA", S1115="GRADO ING. TECNOLOGÍAS INDUSTRIALES"), 24, 0)) + (IF(AND(K1115&gt;=451, K1115&lt;=700), 23, 0)) + (IF(AND(AB1115&gt;=5, AB1115&lt;=8), 17, 0)) +(IF(_xludf.OR(_xludf.AND(AC1115&gt;=8, AC1115&lt;=10), _xludf.AND(AC1115&gt;=0, AC1115&lt;=5)), 16, 0)) + (IF(F1115="Madrid", 11, 0))))</f>
        <v>#NAME?</v>
      </c>
      <c r="AG1115" s="68"/>
      <c r="AH1115" s="71" t="s">
        <v>164</v>
      </c>
    </row>
    <row r="1116" spans="1:34" ht="14.4" x14ac:dyDescent="0.3">
      <c r="A1116" s="66" t="s">
        <v>1952</v>
      </c>
      <c r="B1116" s="66" t="s">
        <v>4069</v>
      </c>
      <c r="C1116" s="33">
        <v>1115</v>
      </c>
      <c r="D1116" s="33" t="s">
        <v>5397</v>
      </c>
      <c r="E1116" s="34" t="s">
        <v>5216</v>
      </c>
      <c r="F1116" s="34" t="s">
        <v>18</v>
      </c>
      <c r="G1116" s="57">
        <v>43771</v>
      </c>
      <c r="H1116" s="57">
        <v>44082</v>
      </c>
      <c r="I1116" s="34">
        <f t="shared" si="51"/>
        <v>10</v>
      </c>
      <c r="J1116" s="34">
        <v>35</v>
      </c>
      <c r="K1116" s="36">
        <v>825</v>
      </c>
      <c r="L1116" s="34" t="s">
        <v>17</v>
      </c>
      <c r="M1116" s="57">
        <v>34784</v>
      </c>
      <c r="N1116" s="37">
        <f>(YEAR(TablaMadre[[#This Row],[ALTA]])-YEAR(M1116))</f>
        <v>24</v>
      </c>
      <c r="O1116" s="34" t="s">
        <v>265</v>
      </c>
      <c r="P1116" s="34" t="s">
        <v>265</v>
      </c>
      <c r="Q1116" s="34" t="s">
        <v>297</v>
      </c>
      <c r="R1116" s="34" t="s">
        <v>21</v>
      </c>
      <c r="S1116" s="34" t="s">
        <v>297</v>
      </c>
      <c r="T1116" s="34"/>
      <c r="U1116" s="34"/>
      <c r="V1116" s="34" t="s">
        <v>90</v>
      </c>
      <c r="W1116" s="34" t="s">
        <v>23</v>
      </c>
      <c r="X1116" s="38" t="s">
        <v>164</v>
      </c>
      <c r="Y1116" s="62"/>
      <c r="Z1116" s="62" t="e">
        <f t="shared" si="52"/>
        <v>#NUM!</v>
      </c>
      <c r="AA1116" s="62"/>
      <c r="AB1116" s="34"/>
      <c r="AC1116" s="34"/>
      <c r="AD1116" s="38"/>
      <c r="AE1116" s="59" t="str">
        <f t="shared" si="53"/>
        <v>SÍ</v>
      </c>
      <c r="AF1116" s="38" t="e" cm="1">
        <f t="array" aca="1" ref="AF1116" ca="1">MIN(100, MAX(0, (IF(R1116="ESTUDIANTE", 31, 0)) + (IF(I1116&lt;=3, 30, IF(I1116&lt;=6, 20, 0))) +(IF(OR(E1116="413 - Control de Costes y Enlace Construcción", E1116="480 - Secretaría General del Consejo", E1116="132 - Civil y estructuras", E1116="136 - Mecánica", E1116="412 - Planificación", E1116="142 - Compras"), 25, 0)) +(IF(OR(S1116="GRADO ING. MECÁNICA", S1116="GRADO ING. ELÉCTRICA", S1116="GRADO DERECHO", S1116="GRADO ECONOMÍA", S1116="GRADO ING. TECNOLOGÍAS INDUSTRIALES"), 24, 0)) + (IF(AND(K1116&gt;=451, K1116&lt;=700), 23, 0)) + (IF(AND(AB1116&gt;=5, AB1116&lt;=8), 17, 0)) +(IF(_xludf.OR(_xludf.AND(AC1116&gt;=8, AC1116&lt;=10), _xludf.AND(AC1116&gt;=0, AC1116&lt;=5)), 16, 0)) + (IF(F1116="Madrid", 11, 0))))</f>
        <v>#NAME?</v>
      </c>
      <c r="AG1116" s="68"/>
      <c r="AH1116" s="71" t="s">
        <v>164</v>
      </c>
    </row>
    <row r="1117" spans="1:34" ht="14.4" x14ac:dyDescent="0.3">
      <c r="A1117" s="66" t="s">
        <v>2095</v>
      </c>
      <c r="B1117" s="66" t="s">
        <v>4212</v>
      </c>
      <c r="C1117" s="33">
        <v>1116</v>
      </c>
      <c r="D1117" s="33" t="s">
        <v>5393</v>
      </c>
      <c r="E1117" s="34" t="s">
        <v>5299</v>
      </c>
      <c r="F1117" s="34" t="s">
        <v>18</v>
      </c>
      <c r="G1117" s="57">
        <v>43772</v>
      </c>
      <c r="H1117" s="57">
        <v>44111</v>
      </c>
      <c r="I1117" s="34">
        <f t="shared" si="51"/>
        <v>11</v>
      </c>
      <c r="J1117" s="34">
        <v>35</v>
      </c>
      <c r="K1117" s="36">
        <v>900</v>
      </c>
      <c r="L1117" s="34" t="s">
        <v>29</v>
      </c>
      <c r="M1117" s="57">
        <v>33698</v>
      </c>
      <c r="N1117" s="37">
        <f>(YEAR(TablaMadre[[#This Row],[ALTA]])-YEAR(M1117))</f>
        <v>27</v>
      </c>
      <c r="O1117" s="34" t="s">
        <v>18</v>
      </c>
      <c r="P1117" s="34" t="s">
        <v>19</v>
      </c>
      <c r="Q1117" s="34" t="s">
        <v>321</v>
      </c>
      <c r="R1117" s="34" t="s">
        <v>21</v>
      </c>
      <c r="S1117" s="34" t="s">
        <v>321</v>
      </c>
      <c r="T1117" s="34"/>
      <c r="U1117" s="34"/>
      <c r="V1117" s="34" t="s">
        <v>67</v>
      </c>
      <c r="W1117" s="34" t="s">
        <v>28</v>
      </c>
      <c r="X1117" s="38" t="s">
        <v>173</v>
      </c>
      <c r="Y1117" s="62"/>
      <c r="Z1117" s="38" t="e">
        <f t="shared" si="52"/>
        <v>#NUM!</v>
      </c>
      <c r="AA1117" s="38"/>
      <c r="AB1117" s="34"/>
      <c r="AC1117" s="34"/>
      <c r="AD1117" s="38"/>
      <c r="AE1117" s="59" t="str">
        <f t="shared" si="53"/>
        <v>NO</v>
      </c>
      <c r="AF1117" s="38" t="e" cm="1">
        <f t="array" aca="1" ref="AF1117" ca="1">MIN(100, MAX(0, (IF(R1117="ESTUDIANTE", 31, 0)) + (IF(I1117&lt;=3, 30, IF(I1117&lt;=6, 20, 0))) +(IF(OR(E1117="413 - Control de Costes y Enlace Construcción", E1117="480 - Secretaría General del Consejo", E1117="132 - Civil y estructuras", E1117="136 - Mecánica", E1117="412 - Planificación", E1117="142 - Compras"), 25, 0)) +(IF(OR(S1117="GRADO ING. MECÁNICA", S1117="GRADO ING. ELÉCTRICA", S1117="GRADO DERECHO", S1117="GRADO ECONOMÍA", S1117="GRADO ING. TECNOLOGÍAS INDUSTRIALES"), 24, 0)) + (IF(AND(K1117&gt;=451, K1117&lt;=700), 23, 0)) + (IF(AND(AB1117&gt;=5, AB1117&lt;=8), 17, 0)) +(IF(_xludf.OR(_xludf.AND(AC1117&gt;=8, AC1117&lt;=10), _xludf.AND(AC1117&gt;=0, AC1117&lt;=5)), 16, 0)) + (IF(F1117="Madrid", 11, 0))))</f>
        <v>#NAME?</v>
      </c>
      <c r="AG1117" s="68"/>
      <c r="AH1117" s="71" t="s">
        <v>164</v>
      </c>
    </row>
    <row r="1118" spans="1:34" ht="14.4" x14ac:dyDescent="0.3">
      <c r="A1118" s="66" t="s">
        <v>2088</v>
      </c>
      <c r="B1118" s="66" t="s">
        <v>4205</v>
      </c>
      <c r="C1118" s="33">
        <v>1117</v>
      </c>
      <c r="D1118" s="33" t="s">
        <v>5394</v>
      </c>
      <c r="E1118" s="34" t="s">
        <v>5233</v>
      </c>
      <c r="F1118" s="34" t="s">
        <v>18</v>
      </c>
      <c r="G1118" s="57">
        <v>43773</v>
      </c>
      <c r="H1118" s="57">
        <v>43884</v>
      </c>
      <c r="I1118" s="34">
        <f t="shared" si="51"/>
        <v>3</v>
      </c>
      <c r="J1118" s="34">
        <v>35</v>
      </c>
      <c r="K1118" s="36">
        <v>825</v>
      </c>
      <c r="L1118" s="34" t="s">
        <v>17</v>
      </c>
      <c r="M1118" s="57">
        <v>34601</v>
      </c>
      <c r="N1118" s="37">
        <f>(YEAR(TablaMadre[[#This Row],[ALTA]])-YEAR(M1118))</f>
        <v>25</v>
      </c>
      <c r="O1118" s="34" t="s">
        <v>18</v>
      </c>
      <c r="P1118" s="34" t="s">
        <v>19</v>
      </c>
      <c r="Q1118" s="34" t="s">
        <v>330</v>
      </c>
      <c r="R1118" s="34" t="s">
        <v>21</v>
      </c>
      <c r="S1118" s="34" t="s">
        <v>307</v>
      </c>
      <c r="T1118" s="34"/>
      <c r="U1118" s="34"/>
      <c r="V1118" s="34" t="s">
        <v>22</v>
      </c>
      <c r="W1118" s="34" t="s">
        <v>47</v>
      </c>
      <c r="X1118" s="38" t="s">
        <v>164</v>
      </c>
      <c r="Y1118" s="62"/>
      <c r="Z1118" s="62" t="e">
        <f t="shared" si="52"/>
        <v>#NUM!</v>
      </c>
      <c r="AA1118" s="62"/>
      <c r="AB1118" s="34"/>
      <c r="AC1118" s="34"/>
      <c r="AD1118" s="38"/>
      <c r="AE1118" s="59" t="str">
        <f t="shared" si="53"/>
        <v>NO</v>
      </c>
      <c r="AF1118" s="38" t="e" cm="1">
        <f t="array" aca="1" ref="AF1118" ca="1">MIN(100, MAX(0, (IF(R1118="ESTUDIANTE", 31, 0)) + (IF(I1118&lt;=3, 30, IF(I1118&lt;=6, 20, 0))) +(IF(OR(E1118="413 - Control de Costes y Enlace Construcción", E1118="480 - Secretaría General del Consejo", E1118="132 - Civil y estructuras", E1118="136 - Mecánica", E1118="412 - Planificación", E1118="142 - Compras"), 25, 0)) +(IF(OR(S1118="GRADO ING. MECÁNICA", S1118="GRADO ING. ELÉCTRICA", S1118="GRADO DERECHO", S1118="GRADO ECONOMÍA", S1118="GRADO ING. TECNOLOGÍAS INDUSTRIALES"), 24, 0)) + (IF(AND(K1118&gt;=451, K1118&lt;=700), 23, 0)) + (IF(AND(AB1118&gt;=5, AB1118&lt;=8), 17, 0)) +(IF(_xludf.OR(_xludf.AND(AC1118&gt;=8, AC1118&lt;=10), _xludf.AND(AC1118&gt;=0, AC1118&lt;=5)), 16, 0)) + (IF(F1118="Madrid", 11, 0))))</f>
        <v>#NAME?</v>
      </c>
      <c r="AG1118" s="68"/>
      <c r="AH1118" s="71" t="s">
        <v>164</v>
      </c>
    </row>
    <row r="1119" spans="1:34" ht="14.4" x14ac:dyDescent="0.3">
      <c r="A1119" s="66" t="s">
        <v>2089</v>
      </c>
      <c r="B1119" s="66" t="s">
        <v>4206</v>
      </c>
      <c r="C1119" s="33">
        <v>1129</v>
      </c>
      <c r="D1119" s="33" t="s">
        <v>5395</v>
      </c>
      <c r="E1119" s="34" t="s">
        <v>5216</v>
      </c>
      <c r="F1119" s="34" t="s">
        <v>931</v>
      </c>
      <c r="G1119" s="57">
        <v>43773</v>
      </c>
      <c r="H1119" s="57">
        <v>43902</v>
      </c>
      <c r="I1119" s="34">
        <f t="shared" si="51"/>
        <v>4</v>
      </c>
      <c r="J1119" s="34">
        <v>40</v>
      </c>
      <c r="K1119" s="36">
        <v>500</v>
      </c>
      <c r="L1119" s="34" t="s">
        <v>17</v>
      </c>
      <c r="M1119" s="57">
        <v>34170</v>
      </c>
      <c r="N1119" s="37">
        <f>(YEAR(TablaMadre[[#This Row],[ALTA]])-YEAR(M1119))</f>
        <v>26</v>
      </c>
      <c r="O1119" s="34" t="s">
        <v>95</v>
      </c>
      <c r="P1119" s="34" t="s">
        <v>95</v>
      </c>
      <c r="Q1119" s="34" t="s">
        <v>297</v>
      </c>
      <c r="R1119" s="58" t="s">
        <v>30</v>
      </c>
      <c r="S1119" s="34" t="s">
        <v>297</v>
      </c>
      <c r="T1119" s="34"/>
      <c r="U1119" s="34"/>
      <c r="V1119" s="34" t="s">
        <v>90</v>
      </c>
      <c r="W1119" s="34" t="s">
        <v>461</v>
      </c>
      <c r="X1119" s="38" t="s">
        <v>164</v>
      </c>
      <c r="Y1119" s="62"/>
      <c r="Z1119" s="62" t="e">
        <f t="shared" si="52"/>
        <v>#NUM!</v>
      </c>
      <c r="AA1119" s="62"/>
      <c r="AB1119" s="34"/>
      <c r="AC1119" s="34"/>
      <c r="AD1119" s="38"/>
      <c r="AE1119" s="59" t="str">
        <f t="shared" si="53"/>
        <v>SÍ</v>
      </c>
      <c r="AF1119" s="38" t="e" cm="1">
        <f t="array" aca="1" ref="AF1119" ca="1">MIN(100, MAX(0, (IF(R1119="ESTUDIANTE", 31, 0)) + (IF(I1119&lt;=3, 30, IF(I1119&lt;=6, 20, 0))) +(IF(OR(E1119="413 - Control de Costes y Enlace Construcción", E1119="480 - Secretaría General del Consejo", E1119="132 - Civil y estructuras", E1119="136 - Mecánica", E1119="412 - Planificación", E1119="142 - Compras"), 25, 0)) +(IF(OR(S1119="GRADO ING. MECÁNICA", S1119="GRADO ING. ELÉCTRICA", S1119="GRADO DERECHO", S1119="GRADO ECONOMÍA", S1119="GRADO ING. TECNOLOGÍAS INDUSTRIALES"), 24, 0)) + (IF(AND(K1119&gt;=451, K1119&lt;=700), 23, 0)) + (IF(AND(AB1119&gt;=5, AB1119&lt;=8), 17, 0)) +(IF(_xludf.OR(_xludf.AND(AC1119&gt;=8, AC1119&lt;=10), _xludf.AND(AC1119&gt;=0, AC1119&lt;=5)), 16, 0)) + (IF(F1119="Madrid", 11, 0))))</f>
        <v>#NAME?</v>
      </c>
      <c r="AG1119" s="68"/>
      <c r="AH1119" s="71" t="s">
        <v>164</v>
      </c>
    </row>
    <row r="1120" spans="1:34" ht="14.4" x14ac:dyDescent="0.3">
      <c r="A1120" s="66" t="s">
        <v>2090</v>
      </c>
      <c r="B1120" s="66" t="s">
        <v>4207</v>
      </c>
      <c r="C1120" s="33">
        <v>1123</v>
      </c>
      <c r="D1120" s="33" t="s">
        <v>5396</v>
      </c>
      <c r="E1120" s="34" t="s">
        <v>5246</v>
      </c>
      <c r="F1120" s="34" t="s">
        <v>931</v>
      </c>
      <c r="G1120" s="57">
        <v>43773</v>
      </c>
      <c r="H1120" s="57">
        <v>43902</v>
      </c>
      <c r="I1120" s="34">
        <f t="shared" si="51"/>
        <v>4</v>
      </c>
      <c r="J1120" s="34">
        <v>40</v>
      </c>
      <c r="K1120" s="36">
        <v>500</v>
      </c>
      <c r="L1120" s="34" t="s">
        <v>17</v>
      </c>
      <c r="M1120" s="57">
        <v>33644</v>
      </c>
      <c r="N1120" s="37">
        <f>(YEAR(TablaMadre[[#This Row],[ALTA]])-YEAR(M1120))</f>
        <v>27</v>
      </c>
      <c r="O1120" s="34" t="s">
        <v>95</v>
      </c>
      <c r="P1120" s="34" t="s">
        <v>95</v>
      </c>
      <c r="Q1120" s="34" t="s">
        <v>277</v>
      </c>
      <c r="R1120" s="58" t="s">
        <v>30</v>
      </c>
      <c r="S1120" s="34" t="s">
        <v>277</v>
      </c>
      <c r="T1120" s="34"/>
      <c r="U1120" s="34"/>
      <c r="V1120" s="34" t="s">
        <v>90</v>
      </c>
      <c r="W1120" s="34" t="s">
        <v>461</v>
      </c>
      <c r="X1120" s="38" t="s">
        <v>164</v>
      </c>
      <c r="Y1120" s="62"/>
      <c r="Z1120" s="62" t="e">
        <f t="shared" si="52"/>
        <v>#NUM!</v>
      </c>
      <c r="AA1120" s="62"/>
      <c r="AB1120" s="34"/>
      <c r="AC1120" s="34"/>
      <c r="AD1120" s="38"/>
      <c r="AE1120" s="59" t="str">
        <f t="shared" si="53"/>
        <v>SÍ</v>
      </c>
      <c r="AF1120" s="38" t="e" cm="1">
        <f t="array" aca="1" ref="AF1120" ca="1">MIN(100, MAX(0, (IF(R1120="ESTUDIANTE", 31, 0)) + (IF(I1120&lt;=3, 30, IF(I1120&lt;=6, 20, 0))) +(IF(OR(E1120="413 - Control de Costes y Enlace Construcción", E1120="480 - Secretaría General del Consejo", E1120="132 - Civil y estructuras", E1120="136 - Mecánica", E1120="412 - Planificación", E1120="142 - Compras"), 25, 0)) +(IF(OR(S1120="GRADO ING. MECÁNICA", S1120="GRADO ING. ELÉCTRICA", S1120="GRADO DERECHO", S1120="GRADO ECONOMÍA", S1120="GRADO ING. TECNOLOGÍAS INDUSTRIALES"), 24, 0)) + (IF(AND(K1120&gt;=451, K1120&lt;=700), 23, 0)) + (IF(AND(AB1120&gt;=5, AB1120&lt;=8), 17, 0)) +(IF(_xludf.OR(_xludf.AND(AC1120&gt;=8, AC1120&lt;=10), _xludf.AND(AC1120&gt;=0, AC1120&lt;=5)), 16, 0)) + (IF(F1120="Madrid", 11, 0))))</f>
        <v>#NAME?</v>
      </c>
      <c r="AG1120" s="68"/>
      <c r="AH1120" s="71" t="s">
        <v>164</v>
      </c>
    </row>
    <row r="1121" spans="1:34" ht="14.4" x14ac:dyDescent="0.3">
      <c r="A1121" s="66" t="s">
        <v>2091</v>
      </c>
      <c r="B1121" s="66" t="s">
        <v>4208</v>
      </c>
      <c r="C1121" s="33">
        <v>1128</v>
      </c>
      <c r="D1121" s="33" t="s">
        <v>5397</v>
      </c>
      <c r="E1121" s="34" t="s">
        <v>5231</v>
      </c>
      <c r="F1121" s="34" t="s">
        <v>931</v>
      </c>
      <c r="G1121" s="57">
        <v>43773</v>
      </c>
      <c r="H1121" s="57">
        <v>43902</v>
      </c>
      <c r="I1121" s="34">
        <f t="shared" si="51"/>
        <v>4</v>
      </c>
      <c r="J1121" s="34">
        <v>40</v>
      </c>
      <c r="K1121" s="36">
        <v>500</v>
      </c>
      <c r="L1121" s="34" t="s">
        <v>17</v>
      </c>
      <c r="M1121" s="57">
        <v>33471</v>
      </c>
      <c r="N1121" s="37">
        <f>(YEAR(TablaMadre[[#This Row],[ALTA]])-YEAR(M1121))</f>
        <v>28</v>
      </c>
      <c r="O1121" s="34" t="s">
        <v>95</v>
      </c>
      <c r="P1121" s="34" t="s">
        <v>95</v>
      </c>
      <c r="Q1121" s="34" t="s">
        <v>136</v>
      </c>
      <c r="R1121" s="58" t="s">
        <v>30</v>
      </c>
      <c r="S1121" s="34" t="s">
        <v>136</v>
      </c>
      <c r="T1121" s="34"/>
      <c r="U1121" s="34"/>
      <c r="V1121" s="34" t="s">
        <v>90</v>
      </c>
      <c r="W1121" s="34" t="s">
        <v>461</v>
      </c>
      <c r="X1121" s="38" t="s">
        <v>164</v>
      </c>
      <c r="Y1121" s="62"/>
      <c r="Z1121" s="62" t="e">
        <f t="shared" si="52"/>
        <v>#NUM!</v>
      </c>
      <c r="AA1121" s="62"/>
      <c r="AB1121" s="34"/>
      <c r="AC1121" s="34"/>
      <c r="AD1121" s="38"/>
      <c r="AE1121" s="59" t="str">
        <f t="shared" si="53"/>
        <v>SÍ</v>
      </c>
      <c r="AF1121" s="38" t="e" cm="1">
        <f t="array" aca="1" ref="AF1121" ca="1">MIN(100, MAX(0, (IF(R1121="ESTUDIANTE", 31, 0)) + (IF(I1121&lt;=3, 30, IF(I1121&lt;=6, 20, 0))) +(IF(OR(E1121="413 - Control de Costes y Enlace Construcción", E1121="480 - Secretaría General del Consejo", E1121="132 - Civil y estructuras", E1121="136 - Mecánica", E1121="412 - Planificación", E1121="142 - Compras"), 25, 0)) +(IF(OR(S1121="GRADO ING. MECÁNICA", S1121="GRADO ING. ELÉCTRICA", S1121="GRADO DERECHO", S1121="GRADO ECONOMÍA", S1121="GRADO ING. TECNOLOGÍAS INDUSTRIALES"), 24, 0)) + (IF(AND(K1121&gt;=451, K1121&lt;=700), 23, 0)) + (IF(AND(AB1121&gt;=5, AB1121&lt;=8), 17, 0)) +(IF(_xludf.OR(_xludf.AND(AC1121&gt;=8, AC1121&lt;=10), _xludf.AND(AC1121&gt;=0, AC1121&lt;=5)), 16, 0)) + (IF(F1121="Madrid", 11, 0))))</f>
        <v>#NAME?</v>
      </c>
      <c r="AG1121" s="68"/>
      <c r="AH1121" s="71" t="s">
        <v>164</v>
      </c>
    </row>
    <row r="1122" spans="1:34" ht="14.4" x14ac:dyDescent="0.3">
      <c r="A1122" s="66" t="s">
        <v>2092</v>
      </c>
      <c r="B1122" s="66" t="s">
        <v>4209</v>
      </c>
      <c r="C1122" s="33">
        <v>1122</v>
      </c>
      <c r="D1122" s="33" t="s">
        <v>5398</v>
      </c>
      <c r="E1122" s="34" t="s">
        <v>5216</v>
      </c>
      <c r="F1122" s="34" t="s">
        <v>931</v>
      </c>
      <c r="G1122" s="57">
        <v>43773</v>
      </c>
      <c r="H1122" s="57">
        <v>43902</v>
      </c>
      <c r="I1122" s="34">
        <f t="shared" si="51"/>
        <v>4</v>
      </c>
      <c r="J1122" s="34">
        <v>40</v>
      </c>
      <c r="K1122" s="36">
        <v>500</v>
      </c>
      <c r="L1122" s="34" t="s">
        <v>17</v>
      </c>
      <c r="M1122" s="57">
        <v>34794</v>
      </c>
      <c r="N1122" s="37">
        <f>(YEAR(TablaMadre[[#This Row],[ALTA]])-YEAR(M1122))</f>
        <v>24</v>
      </c>
      <c r="O1122" s="34" t="s">
        <v>95</v>
      </c>
      <c r="P1122" s="34" t="s">
        <v>95</v>
      </c>
      <c r="Q1122" s="34" t="s">
        <v>297</v>
      </c>
      <c r="R1122" s="58" t="s">
        <v>30</v>
      </c>
      <c r="S1122" s="34" t="s">
        <v>297</v>
      </c>
      <c r="T1122" s="34"/>
      <c r="U1122" s="34"/>
      <c r="V1122" s="34" t="s">
        <v>90</v>
      </c>
      <c r="W1122" s="34" t="s">
        <v>461</v>
      </c>
      <c r="X1122" s="38" t="s">
        <v>164</v>
      </c>
      <c r="Y1122" s="62"/>
      <c r="Z1122" s="62" t="e">
        <f t="shared" si="52"/>
        <v>#NUM!</v>
      </c>
      <c r="AA1122" s="62"/>
      <c r="AB1122" s="34"/>
      <c r="AC1122" s="34"/>
      <c r="AD1122" s="38"/>
      <c r="AE1122" s="59" t="str">
        <f t="shared" si="53"/>
        <v>SÍ</v>
      </c>
      <c r="AF1122" s="38" t="e" cm="1">
        <f t="array" aca="1" ref="AF1122" ca="1">MIN(100, MAX(0, (IF(R1122="ESTUDIANTE", 31, 0)) + (IF(I1122&lt;=3, 30, IF(I1122&lt;=6, 20, 0))) +(IF(OR(E1122="413 - Control de Costes y Enlace Construcción", E1122="480 - Secretaría General del Consejo", E1122="132 - Civil y estructuras", E1122="136 - Mecánica", E1122="412 - Planificación", E1122="142 - Compras"), 25, 0)) +(IF(OR(S1122="GRADO ING. MECÁNICA", S1122="GRADO ING. ELÉCTRICA", S1122="GRADO DERECHO", S1122="GRADO ECONOMÍA", S1122="GRADO ING. TECNOLOGÍAS INDUSTRIALES"), 24, 0)) + (IF(AND(K1122&gt;=451, K1122&lt;=700), 23, 0)) + (IF(AND(AB1122&gt;=5, AB1122&lt;=8), 17, 0)) +(IF(_xludf.OR(_xludf.AND(AC1122&gt;=8, AC1122&lt;=10), _xludf.AND(AC1122&gt;=0, AC1122&lt;=5)), 16, 0)) + (IF(F1122="Madrid", 11, 0))))</f>
        <v>#NAME?</v>
      </c>
      <c r="AG1122" s="68"/>
      <c r="AH1122" s="71" t="s">
        <v>164</v>
      </c>
    </row>
    <row r="1123" spans="1:34" ht="14.4" x14ac:dyDescent="0.3">
      <c r="A1123" s="66" t="s">
        <v>2093</v>
      </c>
      <c r="B1123" s="66" t="s">
        <v>4210</v>
      </c>
      <c r="C1123" s="33">
        <v>1127</v>
      </c>
      <c r="D1123" s="33" t="s">
        <v>5399</v>
      </c>
      <c r="E1123" s="34" t="s">
        <v>5231</v>
      </c>
      <c r="F1123" s="34" t="s">
        <v>931</v>
      </c>
      <c r="G1123" s="57">
        <v>43773</v>
      </c>
      <c r="H1123" s="57">
        <v>43902</v>
      </c>
      <c r="I1123" s="34">
        <f t="shared" si="51"/>
        <v>4</v>
      </c>
      <c r="J1123" s="34">
        <v>40</v>
      </c>
      <c r="K1123" s="36">
        <v>500</v>
      </c>
      <c r="L1123" s="34" t="s">
        <v>17</v>
      </c>
      <c r="M1123" s="57">
        <v>33567</v>
      </c>
      <c r="N1123" s="37">
        <f>(YEAR(TablaMadre[[#This Row],[ALTA]])-YEAR(M1123))</f>
        <v>28</v>
      </c>
      <c r="O1123" s="34" t="s">
        <v>95</v>
      </c>
      <c r="P1123" s="34" t="s">
        <v>95</v>
      </c>
      <c r="Q1123" s="34" t="s">
        <v>215</v>
      </c>
      <c r="R1123" s="58" t="s">
        <v>30</v>
      </c>
      <c r="S1123" s="34" t="s">
        <v>322</v>
      </c>
      <c r="T1123" s="34"/>
      <c r="U1123" s="34"/>
      <c r="V1123" s="34" t="s">
        <v>90</v>
      </c>
      <c r="W1123" s="34" t="s">
        <v>461</v>
      </c>
      <c r="X1123" s="38" t="s">
        <v>164</v>
      </c>
      <c r="Y1123" s="62"/>
      <c r="Z1123" s="62" t="e">
        <f t="shared" si="52"/>
        <v>#NUM!</v>
      </c>
      <c r="AA1123" s="62"/>
      <c r="AB1123" s="34"/>
      <c r="AC1123" s="34"/>
      <c r="AD1123" s="38"/>
      <c r="AE1123" s="59" t="str">
        <f t="shared" si="53"/>
        <v>SÍ</v>
      </c>
      <c r="AF1123" s="38" t="e" cm="1">
        <f t="array" aca="1" ref="AF1123" ca="1">MIN(100, MAX(0, (IF(R1123="ESTUDIANTE", 31, 0)) + (IF(I1123&lt;=3, 30, IF(I1123&lt;=6, 20, 0))) +(IF(OR(E1123="413 - Control de Costes y Enlace Construcción", E1123="480 - Secretaría General del Consejo", E1123="132 - Civil y estructuras", E1123="136 - Mecánica", E1123="412 - Planificación", E1123="142 - Compras"), 25, 0)) +(IF(OR(S1123="GRADO ING. MECÁNICA", S1123="GRADO ING. ELÉCTRICA", S1123="GRADO DERECHO", S1123="GRADO ECONOMÍA", S1123="GRADO ING. TECNOLOGÍAS INDUSTRIALES"), 24, 0)) + (IF(AND(K1123&gt;=451, K1123&lt;=700), 23, 0)) + (IF(AND(AB1123&gt;=5, AB1123&lt;=8), 17, 0)) +(IF(_xludf.OR(_xludf.AND(AC1123&gt;=8, AC1123&lt;=10), _xludf.AND(AC1123&gt;=0, AC1123&lt;=5)), 16, 0)) + (IF(F1123="Madrid", 11, 0))))</f>
        <v>#NAME?</v>
      </c>
      <c r="AG1123" s="68"/>
      <c r="AH1123" s="71" t="s">
        <v>164</v>
      </c>
    </row>
    <row r="1124" spans="1:34" ht="14.4" x14ac:dyDescent="0.3">
      <c r="A1124" s="66" t="s">
        <v>2094</v>
      </c>
      <c r="B1124" s="66" t="s">
        <v>4211</v>
      </c>
      <c r="C1124" s="33">
        <v>1120</v>
      </c>
      <c r="D1124" s="33" t="s">
        <v>5400</v>
      </c>
      <c r="E1124" s="34" t="s">
        <v>5246</v>
      </c>
      <c r="F1124" s="34" t="s">
        <v>931</v>
      </c>
      <c r="G1124" s="57">
        <v>43773</v>
      </c>
      <c r="H1124" s="57">
        <v>43902</v>
      </c>
      <c r="I1124" s="34">
        <f t="shared" si="51"/>
        <v>4</v>
      </c>
      <c r="J1124" s="34">
        <v>40</v>
      </c>
      <c r="K1124" s="36">
        <v>500</v>
      </c>
      <c r="L1124" s="34" t="s">
        <v>17</v>
      </c>
      <c r="M1124" s="57">
        <v>36057</v>
      </c>
      <c r="N1124" s="37">
        <f>(YEAR(TablaMadre[[#This Row],[ALTA]])-YEAR(M1124))</f>
        <v>21</v>
      </c>
      <c r="O1124" s="34" t="s">
        <v>95</v>
      </c>
      <c r="P1124" s="34" t="s">
        <v>95</v>
      </c>
      <c r="Q1124" s="34" t="s">
        <v>277</v>
      </c>
      <c r="R1124" s="58" t="s">
        <v>30</v>
      </c>
      <c r="S1124" s="34" t="s">
        <v>277</v>
      </c>
      <c r="T1124" s="34"/>
      <c r="U1124" s="34"/>
      <c r="V1124" s="34" t="s">
        <v>90</v>
      </c>
      <c r="W1124" s="34" t="s">
        <v>461</v>
      </c>
      <c r="X1124" s="38" t="s">
        <v>164</v>
      </c>
      <c r="Y1124" s="62"/>
      <c r="Z1124" s="62" t="e">
        <f t="shared" si="52"/>
        <v>#NUM!</v>
      </c>
      <c r="AA1124" s="62"/>
      <c r="AB1124" s="34"/>
      <c r="AC1124" s="34"/>
      <c r="AD1124" s="38"/>
      <c r="AE1124" s="59" t="str">
        <f t="shared" si="53"/>
        <v>SÍ</v>
      </c>
      <c r="AF1124" s="38" t="e" cm="1">
        <f t="array" aca="1" ref="AF1124" ca="1">MIN(100, MAX(0, (IF(R1124="ESTUDIANTE", 31, 0)) + (IF(I1124&lt;=3, 30, IF(I1124&lt;=6, 20, 0))) +(IF(OR(E1124="413 - Control de Costes y Enlace Construcción", E1124="480 - Secretaría General del Consejo", E1124="132 - Civil y estructuras", E1124="136 - Mecánica", E1124="412 - Planificación", E1124="142 - Compras"), 25, 0)) +(IF(OR(S1124="GRADO ING. MECÁNICA", S1124="GRADO ING. ELÉCTRICA", S1124="GRADO DERECHO", S1124="GRADO ECONOMÍA", S1124="GRADO ING. TECNOLOGÍAS INDUSTRIALES"), 24, 0)) + (IF(AND(K1124&gt;=451, K1124&lt;=700), 23, 0)) + (IF(AND(AB1124&gt;=5, AB1124&lt;=8), 17, 0)) +(IF(_xludf.OR(_xludf.AND(AC1124&gt;=8, AC1124&lt;=10), _xludf.AND(AC1124&gt;=0, AC1124&lt;=5)), 16, 0)) + (IF(F1124="Madrid", 11, 0))))</f>
        <v>#NAME?</v>
      </c>
      <c r="AG1124" s="68"/>
      <c r="AH1124" s="71" t="s">
        <v>164</v>
      </c>
    </row>
    <row r="1125" spans="1:34" ht="14.4" x14ac:dyDescent="0.3">
      <c r="A1125" s="66" t="s">
        <v>2096</v>
      </c>
      <c r="B1125" s="66" t="s">
        <v>4213</v>
      </c>
      <c r="C1125" s="33">
        <v>1124</v>
      </c>
      <c r="D1125" s="33" t="s">
        <v>5401</v>
      </c>
      <c r="E1125" s="34" t="s">
        <v>5233</v>
      </c>
      <c r="F1125" s="34" t="s">
        <v>931</v>
      </c>
      <c r="G1125" s="57">
        <v>43773</v>
      </c>
      <c r="H1125" s="57">
        <v>43902</v>
      </c>
      <c r="I1125" s="34">
        <f t="shared" si="51"/>
        <v>4</v>
      </c>
      <c r="J1125" s="34">
        <v>40</v>
      </c>
      <c r="K1125" s="36">
        <v>500</v>
      </c>
      <c r="L1125" s="34" t="s">
        <v>17</v>
      </c>
      <c r="M1125" s="57">
        <v>32182</v>
      </c>
      <c r="N1125" s="37">
        <f>(YEAR(TablaMadre[[#This Row],[ALTA]])-YEAR(M1125))</f>
        <v>31</v>
      </c>
      <c r="O1125" s="34" t="s">
        <v>95</v>
      </c>
      <c r="P1125" s="34" t="s">
        <v>95</v>
      </c>
      <c r="Q1125" s="34" t="s">
        <v>136</v>
      </c>
      <c r="R1125" s="58" t="s">
        <v>30</v>
      </c>
      <c r="S1125" s="34" t="s">
        <v>136</v>
      </c>
      <c r="T1125" s="34"/>
      <c r="U1125" s="34"/>
      <c r="V1125" s="34" t="s">
        <v>90</v>
      </c>
      <c r="W1125" s="34" t="s">
        <v>461</v>
      </c>
      <c r="X1125" s="38" t="s">
        <v>164</v>
      </c>
      <c r="Y1125" s="62"/>
      <c r="Z1125" s="62" t="e">
        <f t="shared" si="52"/>
        <v>#NUM!</v>
      </c>
      <c r="AA1125" s="62"/>
      <c r="AB1125" s="34"/>
      <c r="AC1125" s="34"/>
      <c r="AD1125" s="38"/>
      <c r="AE1125" s="59" t="str">
        <f t="shared" si="53"/>
        <v>SÍ</v>
      </c>
      <c r="AF1125" s="38" t="e" cm="1">
        <f t="array" aca="1" ref="AF1125" ca="1">MIN(100, MAX(0, (IF(R1125="ESTUDIANTE", 31, 0)) + (IF(I1125&lt;=3, 30, IF(I1125&lt;=6, 20, 0))) +(IF(OR(E1125="413 - Control de Costes y Enlace Construcción", E1125="480 - Secretaría General del Consejo", E1125="132 - Civil y estructuras", E1125="136 - Mecánica", E1125="412 - Planificación", E1125="142 - Compras"), 25, 0)) +(IF(OR(S1125="GRADO ING. MECÁNICA", S1125="GRADO ING. ELÉCTRICA", S1125="GRADO DERECHO", S1125="GRADO ECONOMÍA", S1125="GRADO ING. TECNOLOGÍAS INDUSTRIALES"), 24, 0)) + (IF(AND(K1125&gt;=451, K1125&lt;=700), 23, 0)) + (IF(AND(AB1125&gt;=5, AB1125&lt;=8), 17, 0)) +(IF(_xludf.OR(_xludf.AND(AC1125&gt;=8, AC1125&lt;=10), _xludf.AND(AC1125&gt;=0, AC1125&lt;=5)), 16, 0)) + (IF(F1125="Madrid", 11, 0))))</f>
        <v>#NAME?</v>
      </c>
      <c r="AG1125" s="68"/>
      <c r="AH1125" s="71" t="s">
        <v>164</v>
      </c>
    </row>
    <row r="1126" spans="1:34" ht="14.4" x14ac:dyDescent="0.3">
      <c r="A1126" s="66" t="s">
        <v>2097</v>
      </c>
      <c r="B1126" s="66" t="s">
        <v>4214</v>
      </c>
      <c r="C1126" s="33">
        <v>1121</v>
      </c>
      <c r="D1126" s="33" t="s">
        <v>5402</v>
      </c>
      <c r="E1126" s="34" t="s">
        <v>5246</v>
      </c>
      <c r="F1126" s="34" t="s">
        <v>931</v>
      </c>
      <c r="G1126" s="57">
        <v>43773</v>
      </c>
      <c r="H1126" s="57">
        <v>43902</v>
      </c>
      <c r="I1126" s="34">
        <f t="shared" si="51"/>
        <v>4</v>
      </c>
      <c r="J1126" s="34">
        <v>40</v>
      </c>
      <c r="K1126" s="36">
        <v>500</v>
      </c>
      <c r="L1126" s="34" t="s">
        <v>17</v>
      </c>
      <c r="M1126" s="57">
        <v>36055</v>
      </c>
      <c r="N1126" s="37">
        <f>(YEAR(TablaMadre[[#This Row],[ALTA]])-YEAR(M1126))</f>
        <v>21</v>
      </c>
      <c r="O1126" s="34" t="s">
        <v>95</v>
      </c>
      <c r="P1126" s="34" t="s">
        <v>95</v>
      </c>
      <c r="Q1126" s="34" t="s">
        <v>277</v>
      </c>
      <c r="R1126" s="58" t="s">
        <v>30</v>
      </c>
      <c r="S1126" s="34" t="s">
        <v>277</v>
      </c>
      <c r="T1126" s="34"/>
      <c r="U1126" s="34"/>
      <c r="V1126" s="34" t="s">
        <v>90</v>
      </c>
      <c r="W1126" s="34" t="s">
        <v>461</v>
      </c>
      <c r="X1126" s="38" t="s">
        <v>164</v>
      </c>
      <c r="Y1126" s="62"/>
      <c r="Z1126" s="62" t="e">
        <f t="shared" si="52"/>
        <v>#NUM!</v>
      </c>
      <c r="AA1126" s="62"/>
      <c r="AB1126" s="34"/>
      <c r="AC1126" s="34"/>
      <c r="AD1126" s="38"/>
      <c r="AE1126" s="59" t="str">
        <f t="shared" si="53"/>
        <v>SÍ</v>
      </c>
      <c r="AF1126" s="38" t="e" cm="1">
        <f t="array" aca="1" ref="AF1126" ca="1">MIN(100, MAX(0, (IF(R1126="ESTUDIANTE", 31, 0)) + (IF(I1126&lt;=3, 30, IF(I1126&lt;=6, 20, 0))) +(IF(OR(E1126="413 - Control de Costes y Enlace Construcción", E1126="480 - Secretaría General del Consejo", E1126="132 - Civil y estructuras", E1126="136 - Mecánica", E1126="412 - Planificación", E1126="142 - Compras"), 25, 0)) +(IF(OR(S1126="GRADO ING. MECÁNICA", S1126="GRADO ING. ELÉCTRICA", S1126="GRADO DERECHO", S1126="GRADO ECONOMÍA", S1126="GRADO ING. TECNOLOGÍAS INDUSTRIALES"), 24, 0)) + (IF(AND(K1126&gt;=451, K1126&lt;=700), 23, 0)) + (IF(AND(AB1126&gt;=5, AB1126&lt;=8), 17, 0)) +(IF(_xludf.OR(_xludf.AND(AC1126&gt;=8, AC1126&lt;=10), _xludf.AND(AC1126&gt;=0, AC1126&lt;=5)), 16, 0)) + (IF(F1126="Madrid", 11, 0))))</f>
        <v>#NAME?</v>
      </c>
      <c r="AG1126" s="68"/>
      <c r="AH1126" s="71" t="s">
        <v>164</v>
      </c>
    </row>
    <row r="1127" spans="1:34" ht="14.4" x14ac:dyDescent="0.3">
      <c r="A1127" s="66" t="s">
        <v>2098</v>
      </c>
      <c r="B1127" s="66" t="s">
        <v>4215</v>
      </c>
      <c r="C1127" s="33">
        <v>1126</v>
      </c>
      <c r="D1127" s="33" t="s">
        <v>5393</v>
      </c>
      <c r="E1127" s="34" t="s">
        <v>5218</v>
      </c>
      <c r="F1127" s="34" t="s">
        <v>931</v>
      </c>
      <c r="G1127" s="57">
        <v>43773</v>
      </c>
      <c r="H1127" s="57">
        <v>43902</v>
      </c>
      <c r="I1127" s="34">
        <f t="shared" si="51"/>
        <v>4</v>
      </c>
      <c r="J1127" s="34">
        <v>40</v>
      </c>
      <c r="K1127" s="36">
        <v>500</v>
      </c>
      <c r="L1127" s="34" t="s">
        <v>17</v>
      </c>
      <c r="M1127" s="57">
        <v>34700</v>
      </c>
      <c r="N1127" s="37">
        <f>(YEAR(TablaMadre[[#This Row],[ALTA]])-YEAR(M1127))</f>
        <v>24</v>
      </c>
      <c r="O1127" s="34" t="s">
        <v>95</v>
      </c>
      <c r="P1127" s="34" t="s">
        <v>95</v>
      </c>
      <c r="Q1127" s="34" t="s">
        <v>151</v>
      </c>
      <c r="R1127" s="58" t="s">
        <v>30</v>
      </c>
      <c r="S1127" s="34" t="s">
        <v>151</v>
      </c>
      <c r="T1127" s="34"/>
      <c r="U1127" s="34"/>
      <c r="V1127" s="34" t="s">
        <v>90</v>
      </c>
      <c r="W1127" s="34" t="s">
        <v>461</v>
      </c>
      <c r="X1127" s="38" t="s">
        <v>164</v>
      </c>
      <c r="Y1127" s="62"/>
      <c r="Z1127" s="62" t="e">
        <f t="shared" si="52"/>
        <v>#NUM!</v>
      </c>
      <c r="AA1127" s="62"/>
      <c r="AB1127" s="34"/>
      <c r="AC1127" s="34"/>
      <c r="AD1127" s="38"/>
      <c r="AE1127" s="59" t="str">
        <f t="shared" si="53"/>
        <v>SÍ</v>
      </c>
      <c r="AF1127" s="38" t="e" cm="1">
        <f t="array" aca="1" ref="AF1127" ca="1">MIN(100, MAX(0, (IF(R1127="ESTUDIANTE", 31, 0)) + (IF(I1127&lt;=3, 30, IF(I1127&lt;=6, 20, 0))) +(IF(OR(E1127="413 - Control de Costes y Enlace Construcción", E1127="480 - Secretaría General del Consejo", E1127="132 - Civil y estructuras", E1127="136 - Mecánica", E1127="412 - Planificación", E1127="142 - Compras"), 25, 0)) +(IF(OR(S1127="GRADO ING. MECÁNICA", S1127="GRADO ING. ELÉCTRICA", S1127="GRADO DERECHO", S1127="GRADO ECONOMÍA", S1127="GRADO ING. TECNOLOGÍAS INDUSTRIALES"), 24, 0)) + (IF(AND(K1127&gt;=451, K1127&lt;=700), 23, 0)) + (IF(AND(AB1127&gt;=5, AB1127&lt;=8), 17, 0)) +(IF(_xludf.OR(_xludf.AND(AC1127&gt;=8, AC1127&lt;=10), _xludf.AND(AC1127&gt;=0, AC1127&lt;=5)), 16, 0)) + (IF(F1127="Madrid", 11, 0))))</f>
        <v>#NAME?</v>
      </c>
      <c r="AG1127" s="68"/>
      <c r="AH1127" s="71" t="s">
        <v>164</v>
      </c>
    </row>
    <row r="1128" spans="1:34" ht="14.4" x14ac:dyDescent="0.3">
      <c r="A1128" s="66" t="s">
        <v>2099</v>
      </c>
      <c r="B1128" s="66" t="s">
        <v>4216</v>
      </c>
      <c r="C1128" s="33">
        <v>1119</v>
      </c>
      <c r="D1128" s="33" t="s">
        <v>5394</v>
      </c>
      <c r="E1128" s="34" t="s">
        <v>5233</v>
      </c>
      <c r="F1128" s="34" t="s">
        <v>931</v>
      </c>
      <c r="G1128" s="57">
        <v>43773</v>
      </c>
      <c r="H1128" s="57">
        <v>43902</v>
      </c>
      <c r="I1128" s="34">
        <f t="shared" si="51"/>
        <v>4</v>
      </c>
      <c r="J1128" s="34">
        <v>40</v>
      </c>
      <c r="K1128" s="36">
        <v>500</v>
      </c>
      <c r="L1128" s="34" t="s">
        <v>17</v>
      </c>
      <c r="M1128" s="57">
        <v>35306</v>
      </c>
      <c r="N1128" s="37">
        <f>(YEAR(TablaMadre[[#This Row],[ALTA]])-YEAR(M1128))</f>
        <v>23</v>
      </c>
      <c r="O1128" s="34" t="s">
        <v>95</v>
      </c>
      <c r="P1128" s="34" t="s">
        <v>95</v>
      </c>
      <c r="Q1128" s="34" t="s">
        <v>136</v>
      </c>
      <c r="R1128" s="58" t="s">
        <v>30</v>
      </c>
      <c r="S1128" s="34" t="s">
        <v>136</v>
      </c>
      <c r="T1128" s="34"/>
      <c r="U1128" s="34"/>
      <c r="V1128" s="34" t="s">
        <v>90</v>
      </c>
      <c r="W1128" s="34" t="s">
        <v>461</v>
      </c>
      <c r="X1128" s="38" t="s">
        <v>164</v>
      </c>
      <c r="Y1128" s="62"/>
      <c r="Z1128" s="62" t="e">
        <f t="shared" si="52"/>
        <v>#NUM!</v>
      </c>
      <c r="AA1128" s="62"/>
      <c r="AB1128" s="34"/>
      <c r="AC1128" s="34"/>
      <c r="AD1128" s="38"/>
      <c r="AE1128" s="59" t="str">
        <f t="shared" si="53"/>
        <v>SÍ</v>
      </c>
      <c r="AF1128" s="38" t="e" cm="1">
        <f t="array" aca="1" ref="AF1128" ca="1">MIN(100, MAX(0, (IF(R1128="ESTUDIANTE", 31, 0)) + (IF(I1128&lt;=3, 30, IF(I1128&lt;=6, 20, 0))) +(IF(OR(E1128="413 - Control de Costes y Enlace Construcción", E1128="480 - Secretaría General del Consejo", E1128="132 - Civil y estructuras", E1128="136 - Mecánica", E1128="412 - Planificación", E1128="142 - Compras"), 25, 0)) +(IF(OR(S1128="GRADO ING. MECÁNICA", S1128="GRADO ING. ELÉCTRICA", S1128="GRADO DERECHO", S1128="GRADO ECONOMÍA", S1128="GRADO ING. TECNOLOGÍAS INDUSTRIALES"), 24, 0)) + (IF(AND(K1128&gt;=451, K1128&lt;=700), 23, 0)) + (IF(AND(AB1128&gt;=5, AB1128&lt;=8), 17, 0)) +(IF(_xludf.OR(_xludf.AND(AC1128&gt;=8, AC1128&lt;=10), _xludf.AND(AC1128&gt;=0, AC1128&lt;=5)), 16, 0)) + (IF(F1128="Madrid", 11, 0))))</f>
        <v>#NAME?</v>
      </c>
      <c r="AG1128" s="68"/>
      <c r="AH1128" s="71" t="s">
        <v>164</v>
      </c>
    </row>
    <row r="1129" spans="1:34" ht="14.4" x14ac:dyDescent="0.3">
      <c r="A1129" s="66" t="s">
        <v>2100</v>
      </c>
      <c r="B1129" s="66" t="s">
        <v>4217</v>
      </c>
      <c r="C1129" s="33">
        <v>1118</v>
      </c>
      <c r="D1129" s="33" t="s">
        <v>5403</v>
      </c>
      <c r="E1129" s="34" t="s">
        <v>5216</v>
      </c>
      <c r="F1129" s="34" t="s">
        <v>931</v>
      </c>
      <c r="G1129" s="57">
        <v>43773</v>
      </c>
      <c r="H1129" s="57">
        <v>43902</v>
      </c>
      <c r="I1129" s="34">
        <f t="shared" si="51"/>
        <v>4</v>
      </c>
      <c r="J1129" s="34">
        <v>40</v>
      </c>
      <c r="K1129" s="36">
        <v>500</v>
      </c>
      <c r="L1129" s="34" t="s">
        <v>17</v>
      </c>
      <c r="M1129" s="57">
        <v>35332</v>
      </c>
      <c r="N1129" s="37">
        <f>(YEAR(TablaMadre[[#This Row],[ALTA]])-YEAR(M1129))</f>
        <v>23</v>
      </c>
      <c r="O1129" s="34" t="s">
        <v>95</v>
      </c>
      <c r="P1129" s="34" t="s">
        <v>95</v>
      </c>
      <c r="Q1129" s="34" t="s">
        <v>297</v>
      </c>
      <c r="R1129" s="58" t="s">
        <v>30</v>
      </c>
      <c r="S1129" s="34" t="s">
        <v>297</v>
      </c>
      <c r="T1129" s="34"/>
      <c r="U1129" s="34"/>
      <c r="V1129" s="34" t="s">
        <v>90</v>
      </c>
      <c r="W1129" s="34" t="s">
        <v>461</v>
      </c>
      <c r="X1129" s="38" t="s">
        <v>164</v>
      </c>
      <c r="Y1129" s="62"/>
      <c r="Z1129" s="62" t="e">
        <f t="shared" si="52"/>
        <v>#NUM!</v>
      </c>
      <c r="AA1129" s="62"/>
      <c r="AB1129" s="34"/>
      <c r="AC1129" s="34"/>
      <c r="AD1129" s="38"/>
      <c r="AE1129" s="59" t="str">
        <f t="shared" si="53"/>
        <v>SÍ</v>
      </c>
      <c r="AF1129" s="38" t="e" cm="1">
        <f t="array" aca="1" ref="AF1129" ca="1">MIN(100, MAX(0, (IF(R1129="ESTUDIANTE", 31, 0)) + (IF(I1129&lt;=3, 30, IF(I1129&lt;=6, 20, 0))) +(IF(OR(E1129="413 - Control de Costes y Enlace Construcción", E1129="480 - Secretaría General del Consejo", E1129="132 - Civil y estructuras", E1129="136 - Mecánica", E1129="412 - Planificación", E1129="142 - Compras"), 25, 0)) +(IF(OR(S1129="GRADO ING. MECÁNICA", S1129="GRADO ING. ELÉCTRICA", S1129="GRADO DERECHO", S1129="GRADO ECONOMÍA", S1129="GRADO ING. TECNOLOGÍAS INDUSTRIALES"), 24, 0)) + (IF(AND(K1129&gt;=451, K1129&lt;=700), 23, 0)) + (IF(AND(AB1129&gt;=5, AB1129&lt;=8), 17, 0)) +(IF(_xludf.OR(_xludf.AND(AC1129&gt;=8, AC1129&lt;=10), _xludf.AND(AC1129&gt;=0, AC1129&lt;=5)), 16, 0)) + (IF(F1129="Madrid", 11, 0))))</f>
        <v>#NAME?</v>
      </c>
      <c r="AG1129" s="68"/>
      <c r="AH1129" s="71" t="s">
        <v>164</v>
      </c>
    </row>
    <row r="1130" spans="1:34" ht="14.4" x14ac:dyDescent="0.3">
      <c r="A1130" s="66" t="s">
        <v>2101</v>
      </c>
      <c r="B1130" s="66" t="s">
        <v>4218</v>
      </c>
      <c r="C1130" s="33">
        <v>1125</v>
      </c>
      <c r="D1130" s="33" t="s">
        <v>5404</v>
      </c>
      <c r="E1130" s="34" t="s">
        <v>5252</v>
      </c>
      <c r="F1130" s="34" t="s">
        <v>931</v>
      </c>
      <c r="G1130" s="57">
        <v>43773</v>
      </c>
      <c r="H1130" s="57">
        <v>43902</v>
      </c>
      <c r="I1130" s="34">
        <f t="shared" si="51"/>
        <v>4</v>
      </c>
      <c r="J1130" s="34">
        <v>40</v>
      </c>
      <c r="K1130" s="36">
        <v>500</v>
      </c>
      <c r="L1130" s="34" t="s">
        <v>17</v>
      </c>
      <c r="M1130" s="57">
        <v>34284</v>
      </c>
      <c r="N1130" s="37">
        <f>(YEAR(TablaMadre[[#This Row],[ALTA]])-YEAR(M1130))</f>
        <v>26</v>
      </c>
      <c r="O1130" s="34" t="s">
        <v>95</v>
      </c>
      <c r="P1130" s="34" t="s">
        <v>95</v>
      </c>
      <c r="Q1130" s="34" t="s">
        <v>136</v>
      </c>
      <c r="R1130" s="58" t="s">
        <v>30</v>
      </c>
      <c r="S1130" s="34" t="s">
        <v>136</v>
      </c>
      <c r="T1130" s="34"/>
      <c r="U1130" s="34"/>
      <c r="V1130" s="34" t="s">
        <v>90</v>
      </c>
      <c r="W1130" s="34" t="s">
        <v>461</v>
      </c>
      <c r="X1130" s="38" t="s">
        <v>164</v>
      </c>
      <c r="Y1130" s="62"/>
      <c r="Z1130" s="62" t="e">
        <f t="shared" si="52"/>
        <v>#NUM!</v>
      </c>
      <c r="AA1130" s="62"/>
      <c r="AB1130" s="34"/>
      <c r="AC1130" s="34"/>
      <c r="AD1130" s="38"/>
      <c r="AE1130" s="59" t="str">
        <f t="shared" si="53"/>
        <v>SÍ</v>
      </c>
      <c r="AF1130" s="38" t="e" cm="1">
        <f t="array" aca="1" ref="AF1130" ca="1">MIN(100, MAX(0, (IF(R1130="ESTUDIANTE", 31, 0)) + (IF(I1130&lt;=3, 30, IF(I1130&lt;=6, 20, 0))) +(IF(OR(E1130="413 - Control de Costes y Enlace Construcción", E1130="480 - Secretaría General del Consejo", E1130="132 - Civil y estructuras", E1130="136 - Mecánica", E1130="412 - Planificación", E1130="142 - Compras"), 25, 0)) +(IF(OR(S1130="GRADO ING. MECÁNICA", S1130="GRADO ING. ELÉCTRICA", S1130="GRADO DERECHO", S1130="GRADO ECONOMÍA", S1130="GRADO ING. TECNOLOGÍAS INDUSTRIALES"), 24, 0)) + (IF(AND(K1130&gt;=451, K1130&lt;=700), 23, 0)) + (IF(AND(AB1130&gt;=5, AB1130&lt;=8), 17, 0)) +(IF(_xludf.OR(_xludf.AND(AC1130&gt;=8, AC1130&lt;=10), _xludf.AND(AC1130&gt;=0, AC1130&lt;=5)), 16, 0)) + (IF(F1130="Madrid", 11, 0))))</f>
        <v>#NAME?</v>
      </c>
      <c r="AG1130" s="68"/>
      <c r="AH1130" s="71" t="s">
        <v>164</v>
      </c>
    </row>
    <row r="1131" spans="1:34" ht="14.4" x14ac:dyDescent="0.3">
      <c r="A1131" s="66" t="s">
        <v>2109</v>
      </c>
      <c r="B1131" s="66" t="s">
        <v>4226</v>
      </c>
      <c r="C1131" s="33">
        <v>1130</v>
      </c>
      <c r="D1131" s="33" t="s">
        <v>5405</v>
      </c>
      <c r="E1131" s="34" t="s">
        <v>5300</v>
      </c>
      <c r="F1131" s="34" t="s">
        <v>273</v>
      </c>
      <c r="G1131" s="57">
        <v>43776</v>
      </c>
      <c r="H1131" s="57">
        <v>44043</v>
      </c>
      <c r="I1131" s="34">
        <f t="shared" si="51"/>
        <v>8</v>
      </c>
      <c r="J1131" s="34">
        <v>40</v>
      </c>
      <c r="K1131" s="36">
        <v>500</v>
      </c>
      <c r="L1131" s="34" t="s">
        <v>17</v>
      </c>
      <c r="M1131" s="57">
        <v>34059</v>
      </c>
      <c r="N1131" s="37">
        <f>(YEAR(TablaMadre[[#This Row],[ALTA]])-YEAR(M1131))</f>
        <v>26</v>
      </c>
      <c r="O1131" s="34" t="s">
        <v>273</v>
      </c>
      <c r="P1131" s="34" t="s">
        <v>273</v>
      </c>
      <c r="Q1131" s="34" t="s">
        <v>406</v>
      </c>
      <c r="R1131" s="58" t="s">
        <v>30</v>
      </c>
      <c r="S1131" s="34" t="s">
        <v>297</v>
      </c>
      <c r="T1131" s="34"/>
      <c r="U1131" s="34"/>
      <c r="V1131" s="34" t="s">
        <v>90</v>
      </c>
      <c r="W1131" s="34" t="s">
        <v>97</v>
      </c>
      <c r="X1131" s="38" t="s">
        <v>164</v>
      </c>
      <c r="Y1131" s="62">
        <v>43983</v>
      </c>
      <c r="Z1131" s="62" t="e">
        <f t="shared" si="52"/>
        <v>#NUM!</v>
      </c>
      <c r="AA1131" s="62"/>
      <c r="AB1131" s="34"/>
      <c r="AC1131" s="34"/>
      <c r="AD1131" s="38"/>
      <c r="AE1131" s="59" t="str">
        <f t="shared" si="53"/>
        <v>NO</v>
      </c>
      <c r="AF1131" s="38" t="e" cm="1">
        <f t="array" aca="1" ref="AF1131" ca="1">MIN(100, MAX(0, (IF(R1131="ESTUDIANTE", 31, 0)) + (IF(I1131&lt;=3, 30, IF(I1131&lt;=6, 20, 0))) +(IF(OR(E1131="413 - Control de Costes y Enlace Construcción", E1131="480 - Secretaría General del Consejo", E1131="132 - Civil y estructuras", E1131="136 - Mecánica", E1131="412 - Planificación", E1131="142 - Compras"), 25, 0)) +(IF(OR(S1131="GRADO ING. MECÁNICA", S1131="GRADO ING. ELÉCTRICA", S1131="GRADO DERECHO", S1131="GRADO ECONOMÍA", S1131="GRADO ING. TECNOLOGÍAS INDUSTRIALES"), 24, 0)) + (IF(AND(K1131&gt;=451, K1131&lt;=700), 23, 0)) + (IF(AND(AB1131&gt;=5, AB1131&lt;=8), 17, 0)) +(IF(_xludf.OR(_xludf.AND(AC1131&gt;=8, AC1131&lt;=10), _xludf.AND(AC1131&gt;=0, AC1131&lt;=5)), 16, 0)) + (IF(F1131="Madrid", 11, 0))))</f>
        <v>#NAME?</v>
      </c>
      <c r="AG1131" s="68"/>
      <c r="AH1131" s="71" t="s">
        <v>164</v>
      </c>
    </row>
    <row r="1132" spans="1:34" ht="14.4" x14ac:dyDescent="0.3">
      <c r="A1132" s="66" t="s">
        <v>2102</v>
      </c>
      <c r="B1132" s="66" t="s">
        <v>4219</v>
      </c>
      <c r="C1132" s="33">
        <v>1132</v>
      </c>
      <c r="D1132" s="33" t="s">
        <v>5396</v>
      </c>
      <c r="E1132" s="34" t="s">
        <v>5244</v>
      </c>
      <c r="F1132" s="34" t="s">
        <v>18</v>
      </c>
      <c r="G1132" s="57">
        <v>43780</v>
      </c>
      <c r="H1132" s="57">
        <v>44145</v>
      </c>
      <c r="I1132" s="34">
        <f t="shared" si="51"/>
        <v>11</v>
      </c>
      <c r="J1132" s="34">
        <v>35</v>
      </c>
      <c r="K1132" s="36">
        <v>900</v>
      </c>
      <c r="L1132" s="34" t="s">
        <v>17</v>
      </c>
      <c r="M1132" s="57">
        <v>33991</v>
      </c>
      <c r="N1132" s="37">
        <f>(YEAR(TablaMadre[[#This Row],[ALTA]])-YEAR(M1132))</f>
        <v>26</v>
      </c>
      <c r="O1132" s="34" t="s">
        <v>18</v>
      </c>
      <c r="P1132" s="34" t="s">
        <v>19</v>
      </c>
      <c r="Q1132" s="34" t="s">
        <v>471</v>
      </c>
      <c r="R1132" s="34" t="s">
        <v>21</v>
      </c>
      <c r="S1132" s="34" t="s">
        <v>322</v>
      </c>
      <c r="T1132" s="34"/>
      <c r="U1132" s="34"/>
      <c r="V1132" s="34" t="s">
        <v>22</v>
      </c>
      <c r="W1132" s="34" t="s">
        <v>370</v>
      </c>
      <c r="X1132" s="38" t="s">
        <v>164</v>
      </c>
      <c r="Y1132" s="62"/>
      <c r="Z1132" s="62" t="e">
        <f t="shared" si="52"/>
        <v>#NUM!</v>
      </c>
      <c r="AA1132" s="62"/>
      <c r="AB1132" s="34">
        <v>9</v>
      </c>
      <c r="AC1132" s="34">
        <v>8</v>
      </c>
      <c r="AD1132" s="38"/>
      <c r="AE1132" s="59" t="str">
        <f t="shared" si="53"/>
        <v>NO</v>
      </c>
      <c r="AF1132" s="38" t="e" cm="1">
        <f t="array" aca="1" ref="AF1132" ca="1">MIN(100, MAX(0, (IF(R1132="ESTUDIANTE", 31, 0)) + (IF(I1132&lt;=3, 30, IF(I1132&lt;=6, 20, 0))) +(IF(OR(E1132="413 - Control de Costes y Enlace Construcción", E1132="480 - Secretaría General del Consejo", E1132="132 - Civil y estructuras", E1132="136 - Mecánica", E1132="412 - Planificación", E1132="142 - Compras"), 25, 0)) +(IF(OR(S1132="GRADO ING. MECÁNICA", S1132="GRADO ING. ELÉCTRICA", S1132="GRADO DERECHO", S1132="GRADO ECONOMÍA", S1132="GRADO ING. TECNOLOGÍAS INDUSTRIALES"), 24, 0)) + (IF(AND(K1132&gt;=451, K1132&lt;=700), 23, 0)) + (IF(AND(AB1132&gt;=5, AB1132&lt;=8), 17, 0)) +(IF(_xludf.OR(_xludf.AND(AC1132&gt;=8, AC1132&lt;=10), _xludf.AND(AC1132&gt;=0, AC1132&lt;=5)), 16, 0)) + (IF(F1132="Madrid", 11, 0))))</f>
        <v>#NAME?</v>
      </c>
      <c r="AG1132" s="68"/>
      <c r="AH1132" s="71" t="s">
        <v>164</v>
      </c>
    </row>
    <row r="1133" spans="1:34" ht="14.4" x14ac:dyDescent="0.3">
      <c r="A1133" s="66" t="s">
        <v>2103</v>
      </c>
      <c r="B1133" s="66" t="s">
        <v>4220</v>
      </c>
      <c r="C1133" s="33">
        <v>1131</v>
      </c>
      <c r="D1133" s="33" t="s">
        <v>5397</v>
      </c>
      <c r="E1133" s="34" t="s">
        <v>5267</v>
      </c>
      <c r="F1133" s="34" t="s">
        <v>18</v>
      </c>
      <c r="G1133" s="57">
        <v>43780</v>
      </c>
      <c r="H1133" s="57">
        <v>44145</v>
      </c>
      <c r="I1133" s="34">
        <f t="shared" si="51"/>
        <v>11</v>
      </c>
      <c r="J1133" s="34">
        <v>35</v>
      </c>
      <c r="K1133" s="36">
        <v>900</v>
      </c>
      <c r="L1133" s="34" t="s">
        <v>29</v>
      </c>
      <c r="M1133" s="57">
        <v>34174</v>
      </c>
      <c r="N1133" s="37">
        <f>(YEAR(TablaMadre[[#This Row],[ALTA]])-YEAR(M1133))</f>
        <v>26</v>
      </c>
      <c r="O1133" s="34" t="s">
        <v>654</v>
      </c>
      <c r="P1133" s="34" t="s">
        <v>19</v>
      </c>
      <c r="Q1133" s="34" t="s">
        <v>482</v>
      </c>
      <c r="R1133" s="34" t="s">
        <v>21</v>
      </c>
      <c r="S1133" s="34" t="s">
        <v>307</v>
      </c>
      <c r="T1133" s="34"/>
      <c r="U1133" s="34"/>
      <c r="V1133" s="34" t="s">
        <v>51</v>
      </c>
      <c r="W1133" s="34" t="s">
        <v>370</v>
      </c>
      <c r="X1133" s="38" t="s">
        <v>164</v>
      </c>
      <c r="Y1133" s="62"/>
      <c r="Z1133" s="62" t="e">
        <f t="shared" si="52"/>
        <v>#NUM!</v>
      </c>
      <c r="AA1133" s="62"/>
      <c r="AB1133" s="34">
        <v>9</v>
      </c>
      <c r="AC1133" s="34">
        <v>9</v>
      </c>
      <c r="AD1133" s="38"/>
      <c r="AE1133" s="59" t="str">
        <f t="shared" si="53"/>
        <v>SÍ</v>
      </c>
      <c r="AF1133" s="38" t="e" cm="1">
        <f t="array" aca="1" ref="AF1133" ca="1">MIN(100, MAX(0, (IF(R1133="ESTUDIANTE", 31, 0)) + (IF(I1133&lt;=3, 30, IF(I1133&lt;=6, 20, 0))) +(IF(OR(E1133="413 - Control de Costes y Enlace Construcción", E1133="480 - Secretaría General del Consejo", E1133="132 - Civil y estructuras", E1133="136 - Mecánica", E1133="412 - Planificación", E1133="142 - Compras"), 25, 0)) +(IF(OR(S1133="GRADO ING. MECÁNICA", S1133="GRADO ING. ELÉCTRICA", S1133="GRADO DERECHO", S1133="GRADO ECONOMÍA", S1133="GRADO ING. TECNOLOGÍAS INDUSTRIALES"), 24, 0)) + (IF(AND(K1133&gt;=451, K1133&lt;=700), 23, 0)) + (IF(AND(AB1133&gt;=5, AB1133&lt;=8), 17, 0)) +(IF(_xludf.OR(_xludf.AND(AC1133&gt;=8, AC1133&lt;=10), _xludf.AND(AC1133&gt;=0, AC1133&lt;=5)), 16, 0)) + (IF(F1133="Madrid", 11, 0))))</f>
        <v>#NAME?</v>
      </c>
      <c r="AG1133" s="68"/>
      <c r="AH1133" s="71" t="s">
        <v>164</v>
      </c>
    </row>
    <row r="1134" spans="1:34" ht="14.4" x14ac:dyDescent="0.3">
      <c r="A1134" s="66" t="s">
        <v>2104</v>
      </c>
      <c r="B1134" s="66" t="s">
        <v>4221</v>
      </c>
      <c r="C1134" s="33">
        <v>1133</v>
      </c>
      <c r="D1134" s="33" t="s">
        <v>5393</v>
      </c>
      <c r="E1134" s="34" t="s">
        <v>5244</v>
      </c>
      <c r="F1134" s="34" t="s">
        <v>18</v>
      </c>
      <c r="G1134" s="57">
        <v>43782</v>
      </c>
      <c r="H1134" s="57">
        <v>44147</v>
      </c>
      <c r="I1134" s="34">
        <f t="shared" si="51"/>
        <v>11</v>
      </c>
      <c r="J1134" s="34">
        <v>35</v>
      </c>
      <c r="K1134" s="36">
        <v>900</v>
      </c>
      <c r="L1134" s="34" t="s">
        <v>17</v>
      </c>
      <c r="M1134" s="57">
        <v>33606</v>
      </c>
      <c r="N1134" s="37">
        <f>(YEAR(TablaMadre[[#This Row],[ALTA]])-YEAR(M1134))</f>
        <v>27</v>
      </c>
      <c r="O1134" s="34" t="s">
        <v>18</v>
      </c>
      <c r="P1134" s="34" t="s">
        <v>19</v>
      </c>
      <c r="Q1134" s="34" t="s">
        <v>479</v>
      </c>
      <c r="R1134" s="34" t="s">
        <v>21</v>
      </c>
      <c r="S1134" s="34" t="s">
        <v>151</v>
      </c>
      <c r="T1134" s="34"/>
      <c r="U1134" s="34"/>
      <c r="V1134" s="34" t="s">
        <v>22</v>
      </c>
      <c r="W1134" s="34" t="s">
        <v>370</v>
      </c>
      <c r="X1134" s="38" t="s">
        <v>173</v>
      </c>
      <c r="Y1134" s="62"/>
      <c r="Z1134" s="62" t="e">
        <f t="shared" si="52"/>
        <v>#NUM!</v>
      </c>
      <c r="AA1134" s="62"/>
      <c r="AB1134" s="34">
        <v>7</v>
      </c>
      <c r="AC1134" s="34" t="s">
        <v>448</v>
      </c>
      <c r="AD1134" s="38"/>
      <c r="AE1134" s="59" t="str">
        <f t="shared" si="53"/>
        <v>NO</v>
      </c>
      <c r="AF1134" s="38" t="e" cm="1">
        <f t="array" aca="1" ref="AF1134" ca="1">MIN(100, MAX(0, (IF(R1134="ESTUDIANTE", 31, 0)) + (IF(I1134&lt;=3, 30, IF(I1134&lt;=6, 20, 0))) +(IF(OR(E1134="413 - Control de Costes y Enlace Construcción", E1134="480 - Secretaría General del Consejo", E1134="132 - Civil y estructuras", E1134="136 - Mecánica", E1134="412 - Planificación", E1134="142 - Compras"), 25, 0)) +(IF(OR(S1134="GRADO ING. MECÁNICA", S1134="GRADO ING. ELÉCTRICA", S1134="GRADO DERECHO", S1134="GRADO ECONOMÍA", S1134="GRADO ING. TECNOLOGÍAS INDUSTRIALES"), 24, 0)) + (IF(AND(K1134&gt;=451, K1134&lt;=700), 23, 0)) + (IF(AND(AB1134&gt;=5, AB1134&lt;=8), 17, 0)) +(IF(_xludf.OR(_xludf.AND(AC1134&gt;=8, AC1134&lt;=10), _xludf.AND(AC1134&gt;=0, AC1134&lt;=5)), 16, 0)) + (IF(F1134="Madrid", 11, 0))))</f>
        <v>#NAME?</v>
      </c>
      <c r="AG1134" s="68"/>
      <c r="AH1134" s="71" t="s">
        <v>164</v>
      </c>
    </row>
    <row r="1135" spans="1:34" ht="14.4" x14ac:dyDescent="0.3">
      <c r="A1135" s="66" t="s">
        <v>2105</v>
      </c>
      <c r="B1135" s="66" t="s">
        <v>4222</v>
      </c>
      <c r="C1135" s="33">
        <v>1134</v>
      </c>
      <c r="D1135" s="33" t="s">
        <v>5394</v>
      </c>
      <c r="E1135" s="34" t="s">
        <v>5222</v>
      </c>
      <c r="F1135" s="34" t="s">
        <v>931</v>
      </c>
      <c r="G1135" s="57">
        <v>43787</v>
      </c>
      <c r="H1135" s="57">
        <v>43902</v>
      </c>
      <c r="I1135" s="34">
        <f t="shared" si="51"/>
        <v>3</v>
      </c>
      <c r="J1135" s="34">
        <v>40</v>
      </c>
      <c r="K1135" s="36">
        <v>500</v>
      </c>
      <c r="L1135" s="34" t="s">
        <v>17</v>
      </c>
      <c r="M1135" s="57">
        <v>33583</v>
      </c>
      <c r="N1135" s="37">
        <f>(YEAR(TablaMadre[[#This Row],[ALTA]])-YEAR(M1135))</f>
        <v>28</v>
      </c>
      <c r="O1135" s="34" t="s">
        <v>95</v>
      </c>
      <c r="P1135" s="34" t="s">
        <v>95</v>
      </c>
      <c r="Q1135" s="34" t="s">
        <v>321</v>
      </c>
      <c r="R1135" s="58" t="s">
        <v>30</v>
      </c>
      <c r="S1135" s="34" t="s">
        <v>321</v>
      </c>
      <c r="T1135" s="34"/>
      <c r="U1135" s="34"/>
      <c r="V1135" s="34" t="s">
        <v>90</v>
      </c>
      <c r="W1135" s="34" t="s">
        <v>461</v>
      </c>
      <c r="X1135" s="38" t="s">
        <v>164</v>
      </c>
      <c r="Y1135" s="62"/>
      <c r="Z1135" s="62" t="e">
        <f t="shared" si="52"/>
        <v>#NUM!</v>
      </c>
      <c r="AA1135" s="62"/>
      <c r="AB1135" s="34"/>
      <c r="AC1135" s="34"/>
      <c r="AD1135" s="38"/>
      <c r="AE1135" s="59" t="str">
        <f t="shared" si="53"/>
        <v>SÍ</v>
      </c>
      <c r="AF1135" s="38" t="e" cm="1">
        <f t="array" aca="1" ref="AF1135" ca="1">MIN(100, MAX(0, (IF(R1135="ESTUDIANTE", 31, 0)) + (IF(I1135&lt;=3, 30, IF(I1135&lt;=6, 20, 0))) +(IF(OR(E1135="413 - Control de Costes y Enlace Construcción", E1135="480 - Secretaría General del Consejo", E1135="132 - Civil y estructuras", E1135="136 - Mecánica", E1135="412 - Planificación", E1135="142 - Compras"), 25, 0)) +(IF(OR(S1135="GRADO ING. MECÁNICA", S1135="GRADO ING. ELÉCTRICA", S1135="GRADO DERECHO", S1135="GRADO ECONOMÍA", S1135="GRADO ING. TECNOLOGÍAS INDUSTRIALES"), 24, 0)) + (IF(AND(K1135&gt;=451, K1135&lt;=700), 23, 0)) + (IF(AND(AB1135&gt;=5, AB1135&lt;=8), 17, 0)) +(IF(_xludf.OR(_xludf.AND(AC1135&gt;=8, AC1135&lt;=10), _xludf.AND(AC1135&gt;=0, AC1135&lt;=5)), 16, 0)) + (IF(F1135="Madrid", 11, 0))))</f>
        <v>#NAME?</v>
      </c>
      <c r="AG1135" s="68"/>
      <c r="AH1135" s="71" t="s">
        <v>164</v>
      </c>
    </row>
    <row r="1136" spans="1:34" ht="14.4" x14ac:dyDescent="0.3">
      <c r="A1136" s="66" t="s">
        <v>2106</v>
      </c>
      <c r="B1136" s="66" t="s">
        <v>4223</v>
      </c>
      <c r="C1136" s="33">
        <v>1138</v>
      </c>
      <c r="D1136" s="33" t="s">
        <v>5395</v>
      </c>
      <c r="E1136" s="34" t="s">
        <v>5222</v>
      </c>
      <c r="F1136" s="34" t="s">
        <v>931</v>
      </c>
      <c r="G1136" s="57">
        <v>43787</v>
      </c>
      <c r="H1136" s="57">
        <v>43902</v>
      </c>
      <c r="I1136" s="34">
        <f t="shared" si="51"/>
        <v>3</v>
      </c>
      <c r="J1136" s="34">
        <v>40</v>
      </c>
      <c r="K1136" s="36">
        <v>500</v>
      </c>
      <c r="L1136" s="34" t="s">
        <v>17</v>
      </c>
      <c r="M1136" s="57">
        <v>33660</v>
      </c>
      <c r="N1136" s="37">
        <f>(YEAR(TablaMadre[[#This Row],[ALTA]])-YEAR(M1136))</f>
        <v>27</v>
      </c>
      <c r="O1136" s="34" t="s">
        <v>95</v>
      </c>
      <c r="P1136" s="34" t="s">
        <v>95</v>
      </c>
      <c r="Q1136" s="34" t="s">
        <v>321</v>
      </c>
      <c r="R1136" s="58" t="s">
        <v>30</v>
      </c>
      <c r="S1136" s="34" t="s">
        <v>321</v>
      </c>
      <c r="T1136" s="34"/>
      <c r="U1136" s="34"/>
      <c r="V1136" s="34" t="s">
        <v>90</v>
      </c>
      <c r="W1136" s="34" t="s">
        <v>461</v>
      </c>
      <c r="X1136" s="38" t="s">
        <v>164</v>
      </c>
      <c r="Y1136" s="62"/>
      <c r="Z1136" s="62" t="e">
        <f t="shared" si="52"/>
        <v>#NUM!</v>
      </c>
      <c r="AA1136" s="62"/>
      <c r="AB1136" s="34"/>
      <c r="AC1136" s="34"/>
      <c r="AD1136" s="38"/>
      <c r="AE1136" s="59" t="str">
        <f t="shared" si="53"/>
        <v>SÍ</v>
      </c>
      <c r="AF1136" s="38" t="e" cm="1">
        <f t="array" aca="1" ref="AF1136" ca="1">MIN(100, MAX(0, (IF(R1136="ESTUDIANTE", 31, 0)) + (IF(I1136&lt;=3, 30, IF(I1136&lt;=6, 20, 0))) +(IF(OR(E1136="413 - Control de Costes y Enlace Construcción", E1136="480 - Secretaría General del Consejo", E1136="132 - Civil y estructuras", E1136="136 - Mecánica", E1136="412 - Planificación", E1136="142 - Compras"), 25, 0)) +(IF(OR(S1136="GRADO ING. MECÁNICA", S1136="GRADO ING. ELÉCTRICA", S1136="GRADO DERECHO", S1136="GRADO ECONOMÍA", S1136="GRADO ING. TECNOLOGÍAS INDUSTRIALES"), 24, 0)) + (IF(AND(K1136&gt;=451, K1136&lt;=700), 23, 0)) + (IF(AND(AB1136&gt;=5, AB1136&lt;=8), 17, 0)) +(IF(_xludf.OR(_xludf.AND(AC1136&gt;=8, AC1136&lt;=10), _xludf.AND(AC1136&gt;=0, AC1136&lt;=5)), 16, 0)) + (IF(F1136="Madrid", 11, 0))))</f>
        <v>#NAME?</v>
      </c>
      <c r="AG1136" s="68"/>
      <c r="AH1136" s="71" t="s">
        <v>164</v>
      </c>
    </row>
    <row r="1137" spans="1:34" ht="14.4" x14ac:dyDescent="0.3">
      <c r="A1137" s="66" t="s">
        <v>2107</v>
      </c>
      <c r="B1137" s="66" t="s">
        <v>4224</v>
      </c>
      <c r="C1137" s="33">
        <v>1137</v>
      </c>
      <c r="D1137" s="33" t="s">
        <v>5396</v>
      </c>
      <c r="E1137" s="34" t="s">
        <v>5252</v>
      </c>
      <c r="F1137" s="34" t="s">
        <v>931</v>
      </c>
      <c r="G1137" s="57">
        <v>43787</v>
      </c>
      <c r="H1137" s="57">
        <v>43902</v>
      </c>
      <c r="I1137" s="34">
        <f t="shared" si="51"/>
        <v>3</v>
      </c>
      <c r="J1137" s="34">
        <v>40</v>
      </c>
      <c r="K1137" s="36">
        <v>500</v>
      </c>
      <c r="L1137" s="34" t="s">
        <v>17</v>
      </c>
      <c r="M1137" s="57">
        <v>33909</v>
      </c>
      <c r="N1137" s="37">
        <f>(YEAR(TablaMadre[[#This Row],[ALTA]])-YEAR(M1137))</f>
        <v>27</v>
      </c>
      <c r="O1137" s="34" t="s">
        <v>95</v>
      </c>
      <c r="P1137" s="34" t="s">
        <v>95</v>
      </c>
      <c r="Q1137" s="34" t="s">
        <v>136</v>
      </c>
      <c r="R1137" s="58" t="s">
        <v>30</v>
      </c>
      <c r="S1137" s="34" t="s">
        <v>136</v>
      </c>
      <c r="T1137" s="34"/>
      <c r="U1137" s="34"/>
      <c r="V1137" s="34" t="s">
        <v>90</v>
      </c>
      <c r="W1137" s="34" t="s">
        <v>461</v>
      </c>
      <c r="X1137" s="38" t="s">
        <v>164</v>
      </c>
      <c r="Y1137" s="62"/>
      <c r="Z1137" s="62" t="e">
        <f t="shared" si="52"/>
        <v>#NUM!</v>
      </c>
      <c r="AA1137" s="62"/>
      <c r="AB1137" s="34"/>
      <c r="AC1137" s="34"/>
      <c r="AD1137" s="38"/>
      <c r="AE1137" s="59" t="str">
        <f t="shared" si="53"/>
        <v>SÍ</v>
      </c>
      <c r="AF1137" s="38" t="e" cm="1">
        <f t="array" aca="1" ref="AF1137" ca="1">MIN(100, MAX(0, (IF(R1137="ESTUDIANTE", 31, 0)) + (IF(I1137&lt;=3, 30, IF(I1137&lt;=6, 20, 0))) +(IF(OR(E1137="413 - Control de Costes y Enlace Construcción", E1137="480 - Secretaría General del Consejo", E1137="132 - Civil y estructuras", E1137="136 - Mecánica", E1137="412 - Planificación", E1137="142 - Compras"), 25, 0)) +(IF(OR(S1137="GRADO ING. MECÁNICA", S1137="GRADO ING. ELÉCTRICA", S1137="GRADO DERECHO", S1137="GRADO ECONOMÍA", S1137="GRADO ING. TECNOLOGÍAS INDUSTRIALES"), 24, 0)) + (IF(AND(K1137&gt;=451, K1137&lt;=700), 23, 0)) + (IF(AND(AB1137&gt;=5, AB1137&lt;=8), 17, 0)) +(IF(_xludf.OR(_xludf.AND(AC1137&gt;=8, AC1137&lt;=10), _xludf.AND(AC1137&gt;=0, AC1137&lt;=5)), 16, 0)) + (IF(F1137="Madrid", 11, 0))))</f>
        <v>#NAME?</v>
      </c>
      <c r="AG1137" s="68"/>
      <c r="AH1137" s="71" t="s">
        <v>164</v>
      </c>
    </row>
    <row r="1138" spans="1:34" ht="14.4" x14ac:dyDescent="0.3">
      <c r="A1138" s="66" t="s">
        <v>2108</v>
      </c>
      <c r="B1138" s="66" t="s">
        <v>4225</v>
      </c>
      <c r="C1138" s="33">
        <v>1135</v>
      </c>
      <c r="D1138" s="33" t="s">
        <v>5397</v>
      </c>
      <c r="E1138" s="34" t="s">
        <v>5231</v>
      </c>
      <c r="F1138" s="34" t="s">
        <v>931</v>
      </c>
      <c r="G1138" s="57">
        <v>43787</v>
      </c>
      <c r="H1138" s="57">
        <v>43902</v>
      </c>
      <c r="I1138" s="34">
        <f t="shared" si="51"/>
        <v>3</v>
      </c>
      <c r="J1138" s="34">
        <v>40</v>
      </c>
      <c r="K1138" s="36">
        <v>500</v>
      </c>
      <c r="L1138" s="34" t="s">
        <v>17</v>
      </c>
      <c r="M1138" s="57">
        <v>34613</v>
      </c>
      <c r="N1138" s="37">
        <f>(YEAR(TablaMadre[[#This Row],[ALTA]])-YEAR(M1138))</f>
        <v>25</v>
      </c>
      <c r="O1138" s="34" t="s">
        <v>95</v>
      </c>
      <c r="P1138" s="34" t="s">
        <v>95</v>
      </c>
      <c r="Q1138" s="34" t="s">
        <v>136</v>
      </c>
      <c r="R1138" s="58" t="s">
        <v>30</v>
      </c>
      <c r="S1138" s="34" t="s">
        <v>136</v>
      </c>
      <c r="T1138" s="34"/>
      <c r="U1138" s="34"/>
      <c r="V1138" s="34" t="s">
        <v>90</v>
      </c>
      <c r="W1138" s="34" t="s">
        <v>461</v>
      </c>
      <c r="X1138" s="38" t="s">
        <v>164</v>
      </c>
      <c r="Y1138" s="62"/>
      <c r="Z1138" s="62" t="e">
        <f t="shared" si="52"/>
        <v>#NUM!</v>
      </c>
      <c r="AA1138" s="62"/>
      <c r="AB1138" s="34"/>
      <c r="AC1138" s="34"/>
      <c r="AD1138" s="38"/>
      <c r="AE1138" s="59" t="str">
        <f t="shared" si="53"/>
        <v>SÍ</v>
      </c>
      <c r="AF1138" s="38" t="e" cm="1">
        <f t="array" aca="1" ref="AF1138" ca="1">MIN(100, MAX(0, (IF(R1138="ESTUDIANTE", 31, 0)) + (IF(I1138&lt;=3, 30, IF(I1138&lt;=6, 20, 0))) +(IF(OR(E1138="413 - Control de Costes y Enlace Construcción", E1138="480 - Secretaría General del Consejo", E1138="132 - Civil y estructuras", E1138="136 - Mecánica", E1138="412 - Planificación", E1138="142 - Compras"), 25, 0)) +(IF(OR(S1138="GRADO ING. MECÁNICA", S1138="GRADO ING. ELÉCTRICA", S1138="GRADO DERECHO", S1138="GRADO ECONOMÍA", S1138="GRADO ING. TECNOLOGÍAS INDUSTRIALES"), 24, 0)) + (IF(AND(K1138&gt;=451, K1138&lt;=700), 23, 0)) + (IF(AND(AB1138&gt;=5, AB1138&lt;=8), 17, 0)) +(IF(_xludf.OR(_xludf.AND(AC1138&gt;=8, AC1138&lt;=10), _xludf.AND(AC1138&gt;=0, AC1138&lt;=5)), 16, 0)) + (IF(F1138="Madrid", 11, 0))))</f>
        <v>#NAME?</v>
      </c>
      <c r="AG1138" s="68"/>
      <c r="AH1138" s="71" t="s">
        <v>164</v>
      </c>
    </row>
    <row r="1139" spans="1:34" ht="14.4" x14ac:dyDescent="0.3">
      <c r="A1139" s="66" t="s">
        <v>2110</v>
      </c>
      <c r="B1139" s="66" t="s">
        <v>4227</v>
      </c>
      <c r="C1139" s="33">
        <v>1136</v>
      </c>
      <c r="D1139" s="33" t="s">
        <v>5398</v>
      </c>
      <c r="E1139" s="34" t="s">
        <v>5218</v>
      </c>
      <c r="F1139" s="34" t="s">
        <v>931</v>
      </c>
      <c r="G1139" s="57">
        <v>43787</v>
      </c>
      <c r="H1139" s="57">
        <v>43902</v>
      </c>
      <c r="I1139" s="34">
        <f t="shared" si="51"/>
        <v>3</v>
      </c>
      <c r="J1139" s="34">
        <v>40</v>
      </c>
      <c r="K1139" s="36">
        <v>500</v>
      </c>
      <c r="L1139" s="34" t="s">
        <v>17</v>
      </c>
      <c r="M1139" s="57">
        <v>33068</v>
      </c>
      <c r="N1139" s="37">
        <f>(YEAR(TablaMadre[[#This Row],[ALTA]])-YEAR(M1139))</f>
        <v>29</v>
      </c>
      <c r="O1139" s="34" t="s">
        <v>95</v>
      </c>
      <c r="P1139" s="34" t="s">
        <v>95</v>
      </c>
      <c r="Q1139" s="34" t="s">
        <v>151</v>
      </c>
      <c r="R1139" s="58" t="s">
        <v>30</v>
      </c>
      <c r="S1139" s="34" t="s">
        <v>151</v>
      </c>
      <c r="T1139" s="34"/>
      <c r="U1139" s="34"/>
      <c r="V1139" s="34" t="s">
        <v>90</v>
      </c>
      <c r="W1139" s="34" t="s">
        <v>461</v>
      </c>
      <c r="X1139" s="38" t="s">
        <v>164</v>
      </c>
      <c r="Y1139" s="62"/>
      <c r="Z1139" s="62" t="e">
        <f t="shared" si="52"/>
        <v>#NUM!</v>
      </c>
      <c r="AA1139" s="62"/>
      <c r="AB1139" s="34"/>
      <c r="AC1139" s="34"/>
      <c r="AD1139" s="38"/>
      <c r="AE1139" s="59" t="str">
        <f t="shared" si="53"/>
        <v>SÍ</v>
      </c>
      <c r="AF1139" s="38" t="e" cm="1">
        <f t="array" aca="1" ref="AF1139" ca="1">MIN(100, MAX(0, (IF(R1139="ESTUDIANTE", 31, 0)) + (IF(I1139&lt;=3, 30, IF(I1139&lt;=6, 20, 0))) +(IF(OR(E1139="413 - Control de Costes y Enlace Construcción", E1139="480 - Secretaría General del Consejo", E1139="132 - Civil y estructuras", E1139="136 - Mecánica", E1139="412 - Planificación", E1139="142 - Compras"), 25, 0)) +(IF(OR(S1139="GRADO ING. MECÁNICA", S1139="GRADO ING. ELÉCTRICA", S1139="GRADO DERECHO", S1139="GRADO ECONOMÍA", S1139="GRADO ING. TECNOLOGÍAS INDUSTRIALES"), 24, 0)) + (IF(AND(K1139&gt;=451, K1139&lt;=700), 23, 0)) + (IF(AND(AB1139&gt;=5, AB1139&lt;=8), 17, 0)) +(IF(_xludf.OR(_xludf.AND(AC1139&gt;=8, AC1139&lt;=10), _xludf.AND(AC1139&gt;=0, AC1139&lt;=5)), 16, 0)) + (IF(F1139="Madrid", 11, 0))))</f>
        <v>#NAME?</v>
      </c>
      <c r="AG1139" s="68"/>
      <c r="AH1139" s="71" t="s">
        <v>164</v>
      </c>
    </row>
    <row r="1140" spans="1:34" ht="14.4" x14ac:dyDescent="0.3">
      <c r="A1140" s="66" t="s">
        <v>2111</v>
      </c>
      <c r="B1140" s="66" t="s">
        <v>4228</v>
      </c>
      <c r="C1140" s="33">
        <v>1139</v>
      </c>
      <c r="D1140" s="33" t="s">
        <v>5399</v>
      </c>
      <c r="E1140" s="34" t="s">
        <v>5244</v>
      </c>
      <c r="F1140" s="34" t="s">
        <v>18</v>
      </c>
      <c r="G1140" s="57">
        <v>43790</v>
      </c>
      <c r="H1140" s="57">
        <v>44155</v>
      </c>
      <c r="I1140" s="34">
        <f t="shared" si="51"/>
        <v>11</v>
      </c>
      <c r="J1140" s="34">
        <v>35</v>
      </c>
      <c r="K1140" s="36">
        <v>825</v>
      </c>
      <c r="L1140" s="34" t="s">
        <v>17</v>
      </c>
      <c r="M1140" s="57">
        <v>34512</v>
      </c>
      <c r="N1140" s="37">
        <f>(YEAR(TablaMadre[[#This Row],[ALTA]])-YEAR(M1140))</f>
        <v>25</v>
      </c>
      <c r="O1140" s="34" t="s">
        <v>525</v>
      </c>
      <c r="P1140" s="34" t="s">
        <v>19</v>
      </c>
      <c r="Q1140" s="34" t="s">
        <v>136</v>
      </c>
      <c r="R1140" s="34" t="s">
        <v>21</v>
      </c>
      <c r="S1140" s="34" t="s">
        <v>136</v>
      </c>
      <c r="T1140" s="34"/>
      <c r="U1140" s="34"/>
      <c r="V1140" s="34" t="s">
        <v>79</v>
      </c>
      <c r="W1140" s="34" t="s">
        <v>370</v>
      </c>
      <c r="X1140" s="38" t="s">
        <v>164</v>
      </c>
      <c r="Y1140" s="62"/>
      <c r="Z1140" s="62" t="e">
        <f t="shared" si="52"/>
        <v>#NUM!</v>
      </c>
      <c r="AA1140" s="62"/>
      <c r="AB1140" s="34">
        <v>8</v>
      </c>
      <c r="AC1140" s="34" t="s">
        <v>448</v>
      </c>
      <c r="AD1140" s="38"/>
      <c r="AE1140" s="59" t="str">
        <f t="shared" si="53"/>
        <v>SÍ</v>
      </c>
      <c r="AF1140" s="38" t="e" cm="1">
        <f t="array" aca="1" ref="AF1140" ca="1">MIN(100, MAX(0, (IF(R1140="ESTUDIANTE", 31, 0)) + (IF(I1140&lt;=3, 30, IF(I1140&lt;=6, 20, 0))) +(IF(OR(E1140="413 - Control de Costes y Enlace Construcción", E1140="480 - Secretaría General del Consejo", E1140="132 - Civil y estructuras", E1140="136 - Mecánica", E1140="412 - Planificación", E1140="142 - Compras"), 25, 0)) +(IF(OR(S1140="GRADO ING. MECÁNICA", S1140="GRADO ING. ELÉCTRICA", S1140="GRADO DERECHO", S1140="GRADO ECONOMÍA", S1140="GRADO ING. TECNOLOGÍAS INDUSTRIALES"), 24, 0)) + (IF(AND(K1140&gt;=451, K1140&lt;=700), 23, 0)) + (IF(AND(AB1140&gt;=5, AB1140&lt;=8), 17, 0)) +(IF(_xludf.OR(_xludf.AND(AC1140&gt;=8, AC1140&lt;=10), _xludf.AND(AC1140&gt;=0, AC1140&lt;=5)), 16, 0)) + (IF(F1140="Madrid", 11, 0))))</f>
        <v>#NAME?</v>
      </c>
      <c r="AG1140" s="68"/>
      <c r="AH1140" s="71" t="s">
        <v>164</v>
      </c>
    </row>
    <row r="1141" spans="1:34" ht="14.4" x14ac:dyDescent="0.3">
      <c r="A1141" s="66" t="s">
        <v>2119</v>
      </c>
      <c r="B1141" s="66" t="s">
        <v>4236</v>
      </c>
      <c r="C1141" s="33">
        <v>1140</v>
      </c>
      <c r="D1141" s="33" t="s">
        <v>5400</v>
      </c>
      <c r="E1141" s="34" t="s">
        <v>5309</v>
      </c>
      <c r="F1141" s="34" t="s">
        <v>18</v>
      </c>
      <c r="G1141" s="57">
        <v>43790</v>
      </c>
      <c r="H1141" s="57">
        <v>44337</v>
      </c>
      <c r="I1141" s="34">
        <f t="shared" si="51"/>
        <v>18</v>
      </c>
      <c r="J1141" s="34">
        <v>35</v>
      </c>
      <c r="K1141" s="36">
        <v>800</v>
      </c>
      <c r="L1141" s="34" t="s">
        <v>17</v>
      </c>
      <c r="M1141" s="57">
        <v>34873</v>
      </c>
      <c r="N1141" s="37">
        <f>(YEAR(TablaMadre[[#This Row],[ALTA]])-YEAR(M1141))</f>
        <v>24</v>
      </c>
      <c r="O1141" s="34" t="s">
        <v>18</v>
      </c>
      <c r="P1141" s="34" t="s">
        <v>19</v>
      </c>
      <c r="Q1141" s="34" t="s">
        <v>499</v>
      </c>
      <c r="R1141" s="34" t="s">
        <v>21</v>
      </c>
      <c r="S1141" s="34" t="s">
        <v>500</v>
      </c>
      <c r="T1141" s="34"/>
      <c r="U1141" s="34"/>
      <c r="V1141" s="34" t="s">
        <v>40</v>
      </c>
      <c r="W1141" s="34" t="s">
        <v>28</v>
      </c>
      <c r="X1141" s="38" t="s">
        <v>173</v>
      </c>
      <c r="Y1141" s="62"/>
      <c r="Z1141" s="38" t="e">
        <f t="shared" si="52"/>
        <v>#NUM!</v>
      </c>
      <c r="AA1141" s="38"/>
      <c r="AB1141" s="34">
        <v>9</v>
      </c>
      <c r="AC1141" s="34">
        <v>9</v>
      </c>
      <c r="AD1141" s="38"/>
      <c r="AE1141" s="59" t="str">
        <f t="shared" si="53"/>
        <v>NO</v>
      </c>
      <c r="AF1141" s="38" t="e" cm="1">
        <f t="array" aca="1" ref="AF1141" ca="1">MIN(100, MAX(0, (IF(R1141="ESTUDIANTE", 31, 0)) + (IF(I1141&lt;=3, 30, IF(I1141&lt;=6, 20, 0))) +(IF(OR(E1141="413 - Control de Costes y Enlace Construcción", E1141="480 - Secretaría General del Consejo", E1141="132 - Civil y estructuras", E1141="136 - Mecánica", E1141="412 - Planificación", E1141="142 - Compras"), 25, 0)) +(IF(OR(S1141="GRADO ING. MECÁNICA", S1141="GRADO ING. ELÉCTRICA", S1141="GRADO DERECHO", S1141="GRADO ECONOMÍA", S1141="GRADO ING. TECNOLOGÍAS INDUSTRIALES"), 24, 0)) + (IF(AND(K1141&gt;=451, K1141&lt;=700), 23, 0)) + (IF(AND(AB1141&gt;=5, AB1141&lt;=8), 17, 0)) +(IF(_xludf.OR(_xludf.AND(AC1141&gt;=8, AC1141&lt;=10), _xludf.AND(AC1141&gt;=0, AC1141&lt;=5)), 16, 0)) + (IF(F1141="Madrid", 11, 0))))</f>
        <v>#NAME?</v>
      </c>
      <c r="AG1141" s="68"/>
      <c r="AH1141" s="71" t="s">
        <v>164</v>
      </c>
    </row>
    <row r="1142" spans="1:34" ht="14.4" x14ac:dyDescent="0.3">
      <c r="A1142" s="66" t="s">
        <v>2112</v>
      </c>
      <c r="B1142" s="66" t="s">
        <v>4229</v>
      </c>
      <c r="C1142" s="33">
        <v>1141</v>
      </c>
      <c r="D1142" s="33" t="s">
        <v>5401</v>
      </c>
      <c r="E1142" s="34" t="s">
        <v>5245</v>
      </c>
      <c r="F1142" s="34" t="s">
        <v>18</v>
      </c>
      <c r="G1142" s="57">
        <v>43795</v>
      </c>
      <c r="H1142" s="57">
        <v>44160</v>
      </c>
      <c r="I1142" s="34">
        <f t="shared" si="51"/>
        <v>11</v>
      </c>
      <c r="J1142" s="34">
        <v>35</v>
      </c>
      <c r="K1142" s="36">
        <v>825</v>
      </c>
      <c r="L1142" s="34" t="s">
        <v>17</v>
      </c>
      <c r="M1142" s="57">
        <v>34953</v>
      </c>
      <c r="N1142" s="37">
        <f>(YEAR(TablaMadre[[#This Row],[ALTA]])-YEAR(M1142))</f>
        <v>24</v>
      </c>
      <c r="O1142" s="34" t="s">
        <v>153</v>
      </c>
      <c r="P1142" s="34" t="s">
        <v>484</v>
      </c>
      <c r="Q1142" s="34" t="s">
        <v>297</v>
      </c>
      <c r="R1142" s="34" t="s">
        <v>21</v>
      </c>
      <c r="S1142" s="34" t="s">
        <v>297</v>
      </c>
      <c r="T1142" s="34"/>
      <c r="U1142" s="34"/>
      <c r="V1142" s="34" t="s">
        <v>84</v>
      </c>
      <c r="W1142" s="34" t="s">
        <v>370</v>
      </c>
      <c r="X1142" s="38" t="s">
        <v>173</v>
      </c>
      <c r="Y1142" s="62"/>
      <c r="Z1142" s="62" t="e">
        <f t="shared" si="52"/>
        <v>#NUM!</v>
      </c>
      <c r="AA1142" s="62"/>
      <c r="AB1142" s="34">
        <v>4</v>
      </c>
      <c r="AC1142" s="34">
        <v>9</v>
      </c>
      <c r="AD1142" s="38"/>
      <c r="AE1142" s="59" t="str">
        <f t="shared" si="53"/>
        <v>SÍ</v>
      </c>
      <c r="AF1142" s="38" t="e" cm="1">
        <f t="array" aca="1" ref="AF1142" ca="1">MIN(100, MAX(0, (IF(R1142="ESTUDIANTE", 31, 0)) + (IF(I1142&lt;=3, 30, IF(I1142&lt;=6, 20, 0))) +(IF(OR(E1142="413 - Control de Costes y Enlace Construcción", E1142="480 - Secretaría General del Consejo", E1142="132 - Civil y estructuras", E1142="136 - Mecánica", E1142="412 - Planificación", E1142="142 - Compras"), 25, 0)) +(IF(OR(S1142="GRADO ING. MECÁNICA", S1142="GRADO ING. ELÉCTRICA", S1142="GRADO DERECHO", S1142="GRADO ECONOMÍA", S1142="GRADO ING. TECNOLOGÍAS INDUSTRIALES"), 24, 0)) + (IF(AND(K1142&gt;=451, K1142&lt;=700), 23, 0)) + (IF(AND(AB1142&gt;=5, AB1142&lt;=8), 17, 0)) +(IF(_xludf.OR(_xludf.AND(AC1142&gt;=8, AC1142&lt;=10), _xludf.AND(AC1142&gt;=0, AC1142&lt;=5)), 16, 0)) + (IF(F1142="Madrid", 11, 0))))</f>
        <v>#NAME?</v>
      </c>
      <c r="AG1142" s="68"/>
      <c r="AH1142" s="71" t="s">
        <v>164</v>
      </c>
    </row>
    <row r="1143" spans="1:34" ht="14.4" x14ac:dyDescent="0.3">
      <c r="A1143" s="66" t="s">
        <v>2113</v>
      </c>
      <c r="B1143" s="66" t="s">
        <v>4230</v>
      </c>
      <c r="C1143" s="33">
        <v>1143</v>
      </c>
      <c r="D1143" s="33" t="s">
        <v>5402</v>
      </c>
      <c r="E1143" s="34" t="s">
        <v>5244</v>
      </c>
      <c r="F1143" s="34" t="s">
        <v>18</v>
      </c>
      <c r="G1143" s="57">
        <v>43801</v>
      </c>
      <c r="H1143" s="57">
        <v>44165</v>
      </c>
      <c r="I1143" s="34">
        <f t="shared" si="51"/>
        <v>11</v>
      </c>
      <c r="J1143" s="34">
        <v>35</v>
      </c>
      <c r="K1143" s="36">
        <v>900</v>
      </c>
      <c r="L1143" s="34" t="s">
        <v>17</v>
      </c>
      <c r="M1143" s="57">
        <v>34087</v>
      </c>
      <c r="N1143" s="37">
        <f>(YEAR(TablaMadre[[#This Row],[ALTA]])-YEAR(M1143))</f>
        <v>26</v>
      </c>
      <c r="O1143" s="34" t="s">
        <v>18</v>
      </c>
      <c r="P1143" s="34" t="s">
        <v>19</v>
      </c>
      <c r="Q1143" s="34" t="s">
        <v>406</v>
      </c>
      <c r="R1143" s="34" t="s">
        <v>21</v>
      </c>
      <c r="S1143" s="34" t="s">
        <v>297</v>
      </c>
      <c r="T1143" s="34"/>
      <c r="U1143" s="34"/>
      <c r="V1143" s="34" t="s">
        <v>56</v>
      </c>
      <c r="W1143" s="34" t="s">
        <v>370</v>
      </c>
      <c r="X1143" s="38" t="s">
        <v>164</v>
      </c>
      <c r="Y1143" s="62"/>
      <c r="Z1143" s="62" t="e">
        <f t="shared" si="52"/>
        <v>#NUM!</v>
      </c>
      <c r="AA1143" s="62"/>
      <c r="AB1143" s="34">
        <v>10</v>
      </c>
      <c r="AC1143" s="34">
        <v>9</v>
      </c>
      <c r="AD1143" s="38"/>
      <c r="AE1143" s="59" t="str">
        <f t="shared" si="53"/>
        <v>NO</v>
      </c>
      <c r="AF1143" s="38" t="e" cm="1">
        <f t="array" aca="1" ref="AF1143" ca="1">MIN(100, MAX(0, (IF(R1143="ESTUDIANTE", 31, 0)) + (IF(I1143&lt;=3, 30, IF(I1143&lt;=6, 20, 0))) +(IF(OR(E1143="413 - Control de Costes y Enlace Construcción", E1143="480 - Secretaría General del Consejo", E1143="132 - Civil y estructuras", E1143="136 - Mecánica", E1143="412 - Planificación", E1143="142 - Compras"), 25, 0)) +(IF(OR(S1143="GRADO ING. MECÁNICA", S1143="GRADO ING. ELÉCTRICA", S1143="GRADO DERECHO", S1143="GRADO ECONOMÍA", S1143="GRADO ING. TECNOLOGÍAS INDUSTRIALES"), 24, 0)) + (IF(AND(K1143&gt;=451, K1143&lt;=700), 23, 0)) + (IF(AND(AB1143&gt;=5, AB1143&lt;=8), 17, 0)) +(IF(_xludf.OR(_xludf.AND(AC1143&gt;=8, AC1143&lt;=10), _xludf.AND(AC1143&gt;=0, AC1143&lt;=5)), 16, 0)) + (IF(F1143="Madrid", 11, 0))))</f>
        <v>#NAME?</v>
      </c>
      <c r="AG1143" s="68"/>
      <c r="AH1143" s="71" t="s">
        <v>164</v>
      </c>
    </row>
    <row r="1144" spans="1:34" ht="14.4" x14ac:dyDescent="0.3">
      <c r="A1144" s="66" t="s">
        <v>2114</v>
      </c>
      <c r="B1144" s="66" t="s">
        <v>4231</v>
      </c>
      <c r="C1144" s="33">
        <v>1144</v>
      </c>
      <c r="D1144" s="33" t="s">
        <v>5393</v>
      </c>
      <c r="E1144" s="34" t="s">
        <v>5240</v>
      </c>
      <c r="F1144" s="34" t="s">
        <v>18</v>
      </c>
      <c r="G1144" s="57">
        <v>43801</v>
      </c>
      <c r="H1144" s="57">
        <v>44347</v>
      </c>
      <c r="I1144" s="34">
        <f t="shared" si="51"/>
        <v>17</v>
      </c>
      <c r="J1144" s="34">
        <v>35</v>
      </c>
      <c r="K1144" s="36">
        <v>900</v>
      </c>
      <c r="L1144" s="34" t="s">
        <v>29</v>
      </c>
      <c r="M1144" s="57">
        <v>34642</v>
      </c>
      <c r="N1144" s="37">
        <f>(YEAR(TablaMadre[[#This Row],[ALTA]])-YEAR(M1144))</f>
        <v>25</v>
      </c>
      <c r="O1144" s="34" t="s">
        <v>18</v>
      </c>
      <c r="P1144" s="34" t="s">
        <v>19</v>
      </c>
      <c r="Q1144" s="34" t="s">
        <v>501</v>
      </c>
      <c r="R1144" s="34" t="s">
        <v>21</v>
      </c>
      <c r="S1144" s="34" t="s">
        <v>322</v>
      </c>
      <c r="T1144" s="34"/>
      <c r="U1144" s="34"/>
      <c r="V1144" s="34" t="s">
        <v>22</v>
      </c>
      <c r="W1144" s="34" t="s">
        <v>23</v>
      </c>
      <c r="X1144" s="38" t="s">
        <v>164</v>
      </c>
      <c r="Y1144" s="62"/>
      <c r="Z1144" s="62" t="e">
        <f t="shared" si="52"/>
        <v>#NUM!</v>
      </c>
      <c r="AA1144" s="62"/>
      <c r="AB1144" s="34">
        <v>8</v>
      </c>
      <c r="AC1144" s="34">
        <v>8</v>
      </c>
      <c r="AD1144" s="38"/>
      <c r="AE1144" s="59" t="str">
        <f t="shared" si="53"/>
        <v>NO</v>
      </c>
      <c r="AF1144" s="38" t="e" cm="1">
        <f t="array" aca="1" ref="AF1144" ca="1">MIN(100, MAX(0, (IF(R1144="ESTUDIANTE", 31, 0)) + (IF(I1144&lt;=3, 30, IF(I1144&lt;=6, 20, 0))) +(IF(OR(E1144="413 - Control de Costes y Enlace Construcción", E1144="480 - Secretaría General del Consejo", E1144="132 - Civil y estructuras", E1144="136 - Mecánica", E1144="412 - Planificación", E1144="142 - Compras"), 25, 0)) +(IF(OR(S1144="GRADO ING. MECÁNICA", S1144="GRADO ING. ELÉCTRICA", S1144="GRADO DERECHO", S1144="GRADO ECONOMÍA", S1144="GRADO ING. TECNOLOGÍAS INDUSTRIALES"), 24, 0)) + (IF(AND(K1144&gt;=451, K1144&lt;=700), 23, 0)) + (IF(AND(AB1144&gt;=5, AB1144&lt;=8), 17, 0)) +(IF(_xludf.OR(_xludf.AND(AC1144&gt;=8, AC1144&lt;=10), _xludf.AND(AC1144&gt;=0, AC1144&lt;=5)), 16, 0)) + (IF(F1144="Madrid", 11, 0))))</f>
        <v>#NAME?</v>
      </c>
      <c r="AG1144" s="68"/>
      <c r="AH1144" s="71" t="s">
        <v>164</v>
      </c>
    </row>
    <row r="1145" spans="1:34" ht="14.4" x14ac:dyDescent="0.3">
      <c r="A1145" s="66" t="s">
        <v>2115</v>
      </c>
      <c r="B1145" s="66" t="s">
        <v>4232</v>
      </c>
      <c r="C1145" s="33">
        <v>1142</v>
      </c>
      <c r="D1145" s="33" t="s">
        <v>5394</v>
      </c>
      <c r="E1145" s="34" t="s">
        <v>5240</v>
      </c>
      <c r="F1145" s="34" t="s">
        <v>18</v>
      </c>
      <c r="G1145" s="57">
        <v>43801</v>
      </c>
      <c r="H1145" s="57">
        <v>44165</v>
      </c>
      <c r="I1145" s="34">
        <f t="shared" si="51"/>
        <v>11</v>
      </c>
      <c r="J1145" s="34">
        <v>35</v>
      </c>
      <c r="K1145" s="36">
        <v>825</v>
      </c>
      <c r="L1145" s="34" t="s">
        <v>17</v>
      </c>
      <c r="M1145" s="57">
        <v>34762</v>
      </c>
      <c r="N1145" s="37">
        <f>(YEAR(TablaMadre[[#This Row],[ALTA]])-YEAR(M1145))</f>
        <v>24</v>
      </c>
      <c r="O1145" s="34" t="s">
        <v>255</v>
      </c>
      <c r="P1145" s="34" t="s">
        <v>19</v>
      </c>
      <c r="Q1145" s="34" t="s">
        <v>136</v>
      </c>
      <c r="R1145" s="34" t="s">
        <v>21</v>
      </c>
      <c r="S1145" s="34" t="s">
        <v>136</v>
      </c>
      <c r="T1145" s="34"/>
      <c r="U1145" s="34"/>
      <c r="V1145" s="34" t="s">
        <v>50</v>
      </c>
      <c r="W1145" s="34" t="s">
        <v>370</v>
      </c>
      <c r="X1145" s="38" t="s">
        <v>164</v>
      </c>
      <c r="Y1145" s="62"/>
      <c r="Z1145" s="62" t="e">
        <f t="shared" si="52"/>
        <v>#NUM!</v>
      </c>
      <c r="AA1145" s="62"/>
      <c r="AB1145" s="34">
        <v>8</v>
      </c>
      <c r="AC1145" s="34">
        <v>6</v>
      </c>
      <c r="AD1145" s="38"/>
      <c r="AE1145" s="59" t="str">
        <f t="shared" si="53"/>
        <v>SÍ</v>
      </c>
      <c r="AF1145" s="38" t="e" cm="1">
        <f t="array" aca="1" ref="AF1145" ca="1">MIN(100, MAX(0, (IF(R1145="ESTUDIANTE", 31, 0)) + (IF(I1145&lt;=3, 30, IF(I1145&lt;=6, 20, 0))) +(IF(OR(E1145="413 - Control de Costes y Enlace Construcción", E1145="480 - Secretaría General del Consejo", E1145="132 - Civil y estructuras", E1145="136 - Mecánica", E1145="412 - Planificación", E1145="142 - Compras"), 25, 0)) +(IF(OR(S1145="GRADO ING. MECÁNICA", S1145="GRADO ING. ELÉCTRICA", S1145="GRADO DERECHO", S1145="GRADO ECONOMÍA", S1145="GRADO ING. TECNOLOGÍAS INDUSTRIALES"), 24, 0)) + (IF(AND(K1145&gt;=451, K1145&lt;=700), 23, 0)) + (IF(AND(AB1145&gt;=5, AB1145&lt;=8), 17, 0)) +(IF(_xludf.OR(_xludf.AND(AC1145&gt;=8, AC1145&lt;=10), _xludf.AND(AC1145&gt;=0, AC1145&lt;=5)), 16, 0)) + (IF(F1145="Madrid", 11, 0))))</f>
        <v>#NAME?</v>
      </c>
      <c r="AG1145" s="68"/>
      <c r="AH1145" s="71" t="s">
        <v>164</v>
      </c>
    </row>
    <row r="1146" spans="1:34" ht="14.4" x14ac:dyDescent="0.3">
      <c r="A1146" s="66" t="s">
        <v>2116</v>
      </c>
      <c r="B1146" s="66" t="s">
        <v>4233</v>
      </c>
      <c r="C1146" s="33">
        <v>1145</v>
      </c>
      <c r="D1146" s="33" t="s">
        <v>5403</v>
      </c>
      <c r="E1146" s="34" t="s">
        <v>5240</v>
      </c>
      <c r="F1146" s="34" t="s">
        <v>18</v>
      </c>
      <c r="G1146" s="57">
        <v>43801</v>
      </c>
      <c r="H1146" s="57">
        <v>44347</v>
      </c>
      <c r="I1146" s="34">
        <f t="shared" si="51"/>
        <v>17</v>
      </c>
      <c r="J1146" s="34">
        <v>35</v>
      </c>
      <c r="K1146" s="36">
        <v>825</v>
      </c>
      <c r="L1146" s="34" t="s">
        <v>17</v>
      </c>
      <c r="M1146" s="57">
        <v>35626</v>
      </c>
      <c r="N1146" s="37">
        <f>(YEAR(TablaMadre[[#This Row],[ALTA]])-YEAR(M1146))</f>
        <v>22</v>
      </c>
      <c r="O1146" s="34" t="s">
        <v>18</v>
      </c>
      <c r="P1146" s="34" t="s">
        <v>19</v>
      </c>
      <c r="Q1146" s="34" t="s">
        <v>136</v>
      </c>
      <c r="R1146" s="34" t="s">
        <v>21</v>
      </c>
      <c r="S1146" s="34" t="s">
        <v>136</v>
      </c>
      <c r="T1146" s="34"/>
      <c r="U1146" s="34"/>
      <c r="V1146" s="34" t="s">
        <v>22</v>
      </c>
      <c r="W1146" s="34" t="s">
        <v>23</v>
      </c>
      <c r="X1146" s="38" t="s">
        <v>173</v>
      </c>
      <c r="Y1146" s="62"/>
      <c r="Z1146" s="62" t="e">
        <f t="shared" si="52"/>
        <v>#NUM!</v>
      </c>
      <c r="AA1146" s="62"/>
      <c r="AB1146" s="34">
        <v>9</v>
      </c>
      <c r="AC1146" s="34">
        <v>8</v>
      </c>
      <c r="AD1146" s="38"/>
      <c r="AE1146" s="59" t="str">
        <f t="shared" si="53"/>
        <v>NO</v>
      </c>
      <c r="AF1146" s="38" t="e" cm="1">
        <f t="array" aca="1" ref="AF1146" ca="1">MIN(100, MAX(0, (IF(R1146="ESTUDIANTE", 31, 0)) + (IF(I1146&lt;=3, 30, IF(I1146&lt;=6, 20, 0))) +(IF(OR(E1146="413 - Control de Costes y Enlace Construcción", E1146="480 - Secretaría General del Consejo", E1146="132 - Civil y estructuras", E1146="136 - Mecánica", E1146="412 - Planificación", E1146="142 - Compras"), 25, 0)) +(IF(OR(S1146="GRADO ING. MECÁNICA", S1146="GRADO ING. ELÉCTRICA", S1146="GRADO DERECHO", S1146="GRADO ECONOMÍA", S1146="GRADO ING. TECNOLOGÍAS INDUSTRIALES"), 24, 0)) + (IF(AND(K1146&gt;=451, K1146&lt;=700), 23, 0)) + (IF(AND(AB1146&gt;=5, AB1146&lt;=8), 17, 0)) +(IF(_xludf.OR(_xludf.AND(AC1146&gt;=8, AC1146&lt;=10), _xludf.AND(AC1146&gt;=0, AC1146&lt;=5)), 16, 0)) + (IF(F1146="Madrid", 11, 0))))</f>
        <v>#NAME?</v>
      </c>
      <c r="AG1146" s="68"/>
      <c r="AH1146" s="71" t="s">
        <v>164</v>
      </c>
    </row>
    <row r="1147" spans="1:34" ht="14.4" x14ac:dyDescent="0.3">
      <c r="A1147" s="66" t="s">
        <v>2125</v>
      </c>
      <c r="B1147" s="66" t="s">
        <v>4242</v>
      </c>
      <c r="C1147" s="33">
        <v>1146</v>
      </c>
      <c r="D1147" s="33" t="s">
        <v>5404</v>
      </c>
      <c r="E1147" s="34" t="s">
        <v>5219</v>
      </c>
      <c r="F1147" s="34" t="s">
        <v>18</v>
      </c>
      <c r="G1147" s="57">
        <v>43832</v>
      </c>
      <c r="H1147" s="57">
        <v>44104</v>
      </c>
      <c r="I1147" s="34">
        <f t="shared" si="51"/>
        <v>8</v>
      </c>
      <c r="J1147" s="34">
        <v>35</v>
      </c>
      <c r="K1147" s="36">
        <v>900</v>
      </c>
      <c r="L1147" s="34" t="s">
        <v>17</v>
      </c>
      <c r="M1147" s="57">
        <v>35290</v>
      </c>
      <c r="N1147" s="37">
        <f>(YEAR(TablaMadre[[#This Row],[ALTA]])-YEAR(M1147))</f>
        <v>24</v>
      </c>
      <c r="O1147" s="34" t="s">
        <v>18</v>
      </c>
      <c r="P1147" s="34" t="s">
        <v>19</v>
      </c>
      <c r="Q1147" s="34" t="s">
        <v>406</v>
      </c>
      <c r="R1147" s="34" t="s">
        <v>21</v>
      </c>
      <c r="S1147" s="34" t="s">
        <v>297</v>
      </c>
      <c r="T1147" s="34"/>
      <c r="U1147" s="34"/>
      <c r="V1147" s="34" t="s">
        <v>84</v>
      </c>
      <c r="W1147" s="34" t="s">
        <v>28</v>
      </c>
      <c r="X1147" s="38" t="s">
        <v>173</v>
      </c>
      <c r="Y1147" s="62"/>
      <c r="Z1147" s="38" t="e">
        <f t="shared" si="52"/>
        <v>#NUM!</v>
      </c>
      <c r="AA1147" s="38"/>
      <c r="AB1147" s="34">
        <v>10</v>
      </c>
      <c r="AC1147" s="34">
        <v>9</v>
      </c>
      <c r="AD1147" s="38"/>
      <c r="AE1147" s="59" t="str">
        <f t="shared" si="53"/>
        <v>NO</v>
      </c>
      <c r="AF1147" s="38" t="e" cm="1">
        <f t="array" aca="1" ref="AF1147" ca="1">MIN(100, MAX(0, (IF(R1147="ESTUDIANTE", 31, 0)) + (IF(I1147&lt;=3, 30, IF(I1147&lt;=6, 20, 0))) +(IF(OR(E1147="413 - Control de Costes y Enlace Construcción", E1147="480 - Secretaría General del Consejo", E1147="132 - Civil y estructuras", E1147="136 - Mecánica", E1147="412 - Planificación", E1147="142 - Compras"), 25, 0)) +(IF(OR(S1147="GRADO ING. MECÁNICA", S1147="GRADO ING. ELÉCTRICA", S1147="GRADO DERECHO", S1147="GRADO ECONOMÍA", S1147="GRADO ING. TECNOLOGÍAS INDUSTRIALES"), 24, 0)) + (IF(AND(K1147&gt;=451, K1147&lt;=700), 23, 0)) + (IF(AND(AB1147&gt;=5, AB1147&lt;=8), 17, 0)) +(IF(_xludf.OR(_xludf.AND(AC1147&gt;=8, AC1147&lt;=10), _xludf.AND(AC1147&gt;=0, AC1147&lt;=5)), 16, 0)) + (IF(F1147="Madrid", 11, 0))))</f>
        <v>#NAME?</v>
      </c>
      <c r="AG1147" s="68"/>
      <c r="AH1147" s="71" t="s">
        <v>164</v>
      </c>
    </row>
    <row r="1148" spans="1:34" ht="14.4" x14ac:dyDescent="0.3">
      <c r="A1148" s="66" t="s">
        <v>2126</v>
      </c>
      <c r="B1148" s="66" t="s">
        <v>4243</v>
      </c>
      <c r="C1148" s="33">
        <v>1147</v>
      </c>
      <c r="D1148" s="33" t="s">
        <v>5405</v>
      </c>
      <c r="E1148" s="34" t="s">
        <v>5235</v>
      </c>
      <c r="F1148" s="34" t="s">
        <v>18</v>
      </c>
      <c r="G1148" s="57">
        <v>43837</v>
      </c>
      <c r="H1148" s="57">
        <v>44202</v>
      </c>
      <c r="I1148" s="34">
        <f t="shared" si="51"/>
        <v>11</v>
      </c>
      <c r="J1148" s="34">
        <v>35</v>
      </c>
      <c r="K1148" s="36">
        <v>900</v>
      </c>
      <c r="L1148" s="34" t="s">
        <v>17</v>
      </c>
      <c r="M1148" s="57">
        <v>34701</v>
      </c>
      <c r="N1148" s="37">
        <f>(YEAR(TablaMadre[[#This Row],[ALTA]])-YEAR(M1148))</f>
        <v>25</v>
      </c>
      <c r="O1148" s="34" t="s">
        <v>18</v>
      </c>
      <c r="P1148" s="34" t="s">
        <v>19</v>
      </c>
      <c r="Q1148" s="34" t="s">
        <v>487</v>
      </c>
      <c r="R1148" s="34" t="s">
        <v>21</v>
      </c>
      <c r="S1148" s="34" t="s">
        <v>151</v>
      </c>
      <c r="T1148" s="34"/>
      <c r="U1148" s="34"/>
      <c r="V1148" s="34" t="s">
        <v>40</v>
      </c>
      <c r="W1148" s="34" t="s">
        <v>370</v>
      </c>
      <c r="X1148" s="38" t="s">
        <v>164</v>
      </c>
      <c r="Y1148" s="62"/>
      <c r="Z1148" s="62" t="e">
        <f t="shared" si="52"/>
        <v>#NUM!</v>
      </c>
      <c r="AA1148" s="62"/>
      <c r="AB1148" s="34">
        <v>8</v>
      </c>
      <c r="AC1148" s="34">
        <v>10</v>
      </c>
      <c r="AD1148" s="38"/>
      <c r="AE1148" s="59" t="str">
        <f t="shared" si="53"/>
        <v>NO</v>
      </c>
      <c r="AF1148" s="38" t="e" cm="1">
        <f t="array" aca="1" ref="AF1148" ca="1">MIN(100, MAX(0, (IF(R1148="ESTUDIANTE", 31, 0)) + (IF(I1148&lt;=3, 30, IF(I1148&lt;=6, 20, 0))) +(IF(OR(E1148="413 - Control de Costes y Enlace Construcción", E1148="480 - Secretaría General del Consejo", E1148="132 - Civil y estructuras", E1148="136 - Mecánica", E1148="412 - Planificación", E1148="142 - Compras"), 25, 0)) +(IF(OR(S1148="GRADO ING. MECÁNICA", S1148="GRADO ING. ELÉCTRICA", S1148="GRADO DERECHO", S1148="GRADO ECONOMÍA", S1148="GRADO ING. TECNOLOGÍAS INDUSTRIALES"), 24, 0)) + (IF(AND(K1148&gt;=451, K1148&lt;=700), 23, 0)) + (IF(AND(AB1148&gt;=5, AB1148&lt;=8), 17, 0)) +(IF(_xludf.OR(_xludf.AND(AC1148&gt;=8, AC1148&lt;=10), _xludf.AND(AC1148&gt;=0, AC1148&lt;=5)), 16, 0)) + (IF(F1148="Madrid", 11, 0))))</f>
        <v>#NAME?</v>
      </c>
      <c r="AG1148" s="68"/>
      <c r="AH1148" s="71" t="s">
        <v>164</v>
      </c>
    </row>
    <row r="1149" spans="1:34" ht="14.4" x14ac:dyDescent="0.3">
      <c r="A1149" s="66" t="s">
        <v>2127</v>
      </c>
      <c r="B1149" s="66" t="s">
        <v>4244</v>
      </c>
      <c r="C1149" s="33">
        <v>1148</v>
      </c>
      <c r="D1149" s="33" t="s">
        <v>5396</v>
      </c>
      <c r="E1149" s="34" t="s">
        <v>5222</v>
      </c>
      <c r="F1149" s="34" t="s">
        <v>931</v>
      </c>
      <c r="G1149" s="57">
        <v>43838</v>
      </c>
      <c r="H1149" s="57">
        <v>43902</v>
      </c>
      <c r="I1149" s="34">
        <f t="shared" si="51"/>
        <v>2</v>
      </c>
      <c r="J1149" s="34">
        <v>40</v>
      </c>
      <c r="K1149" s="36">
        <v>500</v>
      </c>
      <c r="L1149" s="34" t="s">
        <v>17</v>
      </c>
      <c r="M1149" s="57">
        <v>34962</v>
      </c>
      <c r="N1149" s="37">
        <f>(YEAR(TablaMadre[[#This Row],[ALTA]])-YEAR(M1149))</f>
        <v>25</v>
      </c>
      <c r="O1149" s="34" t="s">
        <v>95</v>
      </c>
      <c r="P1149" s="34" t="s">
        <v>95</v>
      </c>
      <c r="Q1149" s="34" t="s">
        <v>321</v>
      </c>
      <c r="R1149" s="58" t="s">
        <v>30</v>
      </c>
      <c r="S1149" s="34" t="s">
        <v>321</v>
      </c>
      <c r="T1149" s="34"/>
      <c r="U1149" s="34"/>
      <c r="V1149" s="34" t="s">
        <v>90</v>
      </c>
      <c r="W1149" s="34" t="s">
        <v>461</v>
      </c>
      <c r="X1149" s="38" t="s">
        <v>164</v>
      </c>
      <c r="Y1149" s="62"/>
      <c r="Z1149" s="62" t="e">
        <f t="shared" si="52"/>
        <v>#NUM!</v>
      </c>
      <c r="AA1149" s="62"/>
      <c r="AB1149" s="34"/>
      <c r="AC1149" s="34"/>
      <c r="AD1149" s="38"/>
      <c r="AE1149" s="59" t="str">
        <f t="shared" si="53"/>
        <v>SÍ</v>
      </c>
      <c r="AF1149" s="38" t="e" cm="1">
        <f t="array" aca="1" ref="AF1149" ca="1">MIN(100, MAX(0, (IF(R1149="ESTUDIANTE", 31, 0)) + (IF(I1149&lt;=3, 30, IF(I1149&lt;=6, 20, 0))) +(IF(OR(E1149="413 - Control de Costes y Enlace Construcción", E1149="480 - Secretaría General del Consejo", E1149="132 - Civil y estructuras", E1149="136 - Mecánica", E1149="412 - Planificación", E1149="142 - Compras"), 25, 0)) +(IF(OR(S1149="GRADO ING. MECÁNICA", S1149="GRADO ING. ELÉCTRICA", S1149="GRADO DERECHO", S1149="GRADO ECONOMÍA", S1149="GRADO ING. TECNOLOGÍAS INDUSTRIALES"), 24, 0)) + (IF(AND(K1149&gt;=451, K1149&lt;=700), 23, 0)) + (IF(AND(AB1149&gt;=5, AB1149&lt;=8), 17, 0)) +(IF(_xludf.OR(_xludf.AND(AC1149&gt;=8, AC1149&lt;=10), _xludf.AND(AC1149&gt;=0, AC1149&lt;=5)), 16, 0)) + (IF(F1149="Madrid", 11, 0))))</f>
        <v>#NAME?</v>
      </c>
      <c r="AG1149" s="68"/>
      <c r="AH1149" s="71" t="s">
        <v>164</v>
      </c>
    </row>
    <row r="1150" spans="1:34" ht="14.4" x14ac:dyDescent="0.3">
      <c r="A1150" s="66" t="s">
        <v>2128</v>
      </c>
      <c r="B1150" s="66" t="s">
        <v>4245</v>
      </c>
      <c r="C1150" s="33">
        <v>1149</v>
      </c>
      <c r="D1150" s="33" t="s">
        <v>5397</v>
      </c>
      <c r="E1150" s="34" t="s">
        <v>5222</v>
      </c>
      <c r="F1150" s="34" t="s">
        <v>931</v>
      </c>
      <c r="G1150" s="57">
        <v>43838</v>
      </c>
      <c r="H1150" s="57">
        <v>43902</v>
      </c>
      <c r="I1150" s="34">
        <f t="shared" si="51"/>
        <v>2</v>
      </c>
      <c r="J1150" s="34">
        <v>40</v>
      </c>
      <c r="K1150" s="36">
        <v>500</v>
      </c>
      <c r="L1150" s="34" t="s">
        <v>17</v>
      </c>
      <c r="M1150" s="57">
        <v>32925</v>
      </c>
      <c r="N1150" s="37">
        <f>(YEAR(TablaMadre[[#This Row],[ALTA]])-YEAR(M1150))</f>
        <v>30</v>
      </c>
      <c r="O1150" s="34" t="s">
        <v>95</v>
      </c>
      <c r="P1150" s="34" t="s">
        <v>95</v>
      </c>
      <c r="Q1150" s="34" t="s">
        <v>321</v>
      </c>
      <c r="R1150" s="58" t="s">
        <v>30</v>
      </c>
      <c r="S1150" s="34" t="s">
        <v>321</v>
      </c>
      <c r="T1150" s="34"/>
      <c r="U1150" s="34"/>
      <c r="V1150" s="34" t="s">
        <v>90</v>
      </c>
      <c r="W1150" s="34" t="s">
        <v>461</v>
      </c>
      <c r="X1150" s="38" t="s">
        <v>164</v>
      </c>
      <c r="Y1150" s="62"/>
      <c r="Z1150" s="62" t="e">
        <f t="shared" si="52"/>
        <v>#NUM!</v>
      </c>
      <c r="AA1150" s="62"/>
      <c r="AB1150" s="34"/>
      <c r="AC1150" s="34"/>
      <c r="AD1150" s="38"/>
      <c r="AE1150" s="59" t="str">
        <f t="shared" si="53"/>
        <v>SÍ</v>
      </c>
      <c r="AF1150" s="38" t="e" cm="1">
        <f t="array" aca="1" ref="AF1150" ca="1">MIN(100, MAX(0, (IF(R1150="ESTUDIANTE", 31, 0)) + (IF(I1150&lt;=3, 30, IF(I1150&lt;=6, 20, 0))) +(IF(OR(E1150="413 - Control de Costes y Enlace Construcción", E1150="480 - Secretaría General del Consejo", E1150="132 - Civil y estructuras", E1150="136 - Mecánica", E1150="412 - Planificación", E1150="142 - Compras"), 25, 0)) +(IF(OR(S1150="GRADO ING. MECÁNICA", S1150="GRADO ING. ELÉCTRICA", S1150="GRADO DERECHO", S1150="GRADO ECONOMÍA", S1150="GRADO ING. TECNOLOGÍAS INDUSTRIALES"), 24, 0)) + (IF(AND(K1150&gt;=451, K1150&lt;=700), 23, 0)) + (IF(AND(AB1150&gt;=5, AB1150&lt;=8), 17, 0)) +(IF(_xludf.OR(_xludf.AND(AC1150&gt;=8, AC1150&lt;=10), _xludf.AND(AC1150&gt;=0, AC1150&lt;=5)), 16, 0)) + (IF(F1150="Madrid", 11, 0))))</f>
        <v>#NAME?</v>
      </c>
      <c r="AG1150" s="68"/>
      <c r="AH1150" s="71" t="s">
        <v>164</v>
      </c>
    </row>
    <row r="1151" spans="1:34" ht="14.4" x14ac:dyDescent="0.3">
      <c r="A1151" s="66" t="s">
        <v>2129</v>
      </c>
      <c r="B1151" s="66" t="s">
        <v>4246</v>
      </c>
      <c r="C1151" s="33">
        <v>1150</v>
      </c>
      <c r="D1151" s="33" t="s">
        <v>5393</v>
      </c>
      <c r="E1151" s="34" t="s">
        <v>5241</v>
      </c>
      <c r="F1151" s="34" t="s">
        <v>931</v>
      </c>
      <c r="G1151" s="57">
        <v>43838</v>
      </c>
      <c r="H1151" s="57">
        <v>43902</v>
      </c>
      <c r="I1151" s="34">
        <f t="shared" si="51"/>
        <v>2</v>
      </c>
      <c r="J1151" s="34">
        <v>40</v>
      </c>
      <c r="K1151" s="36">
        <v>500</v>
      </c>
      <c r="L1151" s="34" t="s">
        <v>17</v>
      </c>
      <c r="M1151" s="57">
        <v>34260</v>
      </c>
      <c r="N1151" s="37">
        <f>(YEAR(TablaMadre[[#This Row],[ALTA]])-YEAR(M1151))</f>
        <v>27</v>
      </c>
      <c r="O1151" s="34" t="s">
        <v>95</v>
      </c>
      <c r="P1151" s="34" t="s">
        <v>95</v>
      </c>
      <c r="Q1151" s="34" t="s">
        <v>136</v>
      </c>
      <c r="R1151" s="58" t="s">
        <v>30</v>
      </c>
      <c r="S1151" s="34" t="s">
        <v>136</v>
      </c>
      <c r="T1151" s="34"/>
      <c r="U1151" s="34"/>
      <c r="V1151" s="34" t="s">
        <v>90</v>
      </c>
      <c r="W1151" s="34" t="s">
        <v>461</v>
      </c>
      <c r="X1151" s="38" t="s">
        <v>164</v>
      </c>
      <c r="Y1151" s="62"/>
      <c r="Z1151" s="62" t="e">
        <f t="shared" si="52"/>
        <v>#NUM!</v>
      </c>
      <c r="AA1151" s="62"/>
      <c r="AB1151" s="34"/>
      <c r="AC1151" s="34"/>
      <c r="AD1151" s="38"/>
      <c r="AE1151" s="59" t="str">
        <f t="shared" si="53"/>
        <v>SÍ</v>
      </c>
      <c r="AF1151" s="38" t="e" cm="1">
        <f t="array" aca="1" ref="AF1151" ca="1">MIN(100, MAX(0, (IF(R1151="ESTUDIANTE", 31, 0)) + (IF(I1151&lt;=3, 30, IF(I1151&lt;=6, 20, 0))) +(IF(OR(E1151="413 - Control de Costes y Enlace Construcción", E1151="480 - Secretaría General del Consejo", E1151="132 - Civil y estructuras", E1151="136 - Mecánica", E1151="412 - Planificación", E1151="142 - Compras"), 25, 0)) +(IF(OR(S1151="GRADO ING. MECÁNICA", S1151="GRADO ING. ELÉCTRICA", S1151="GRADO DERECHO", S1151="GRADO ECONOMÍA", S1151="GRADO ING. TECNOLOGÍAS INDUSTRIALES"), 24, 0)) + (IF(AND(K1151&gt;=451, K1151&lt;=700), 23, 0)) + (IF(AND(AB1151&gt;=5, AB1151&lt;=8), 17, 0)) +(IF(_xludf.OR(_xludf.AND(AC1151&gt;=8, AC1151&lt;=10), _xludf.AND(AC1151&gt;=0, AC1151&lt;=5)), 16, 0)) + (IF(F1151="Madrid", 11, 0))))</f>
        <v>#NAME?</v>
      </c>
      <c r="AG1151" s="68"/>
      <c r="AH1151" s="71" t="s">
        <v>164</v>
      </c>
    </row>
    <row r="1152" spans="1:34" ht="14.4" x14ac:dyDescent="0.3">
      <c r="A1152" s="66" t="s">
        <v>2130</v>
      </c>
      <c r="B1152" s="66" t="s">
        <v>4247</v>
      </c>
      <c r="C1152" s="33">
        <v>1151</v>
      </c>
      <c r="D1152" s="33" t="s">
        <v>5394</v>
      </c>
      <c r="E1152" s="34" t="s">
        <v>5216</v>
      </c>
      <c r="F1152" s="34" t="s">
        <v>18</v>
      </c>
      <c r="G1152" s="57">
        <v>43844</v>
      </c>
      <c r="H1152" s="57">
        <v>44209</v>
      </c>
      <c r="I1152" s="34">
        <f t="shared" si="51"/>
        <v>11</v>
      </c>
      <c r="J1152" s="34">
        <v>35</v>
      </c>
      <c r="K1152" s="36">
        <v>825</v>
      </c>
      <c r="L1152" s="34" t="s">
        <v>17</v>
      </c>
      <c r="M1152" s="57">
        <v>35324</v>
      </c>
      <c r="N1152" s="37">
        <f>(YEAR(TablaMadre[[#This Row],[ALTA]])-YEAR(M1152))</f>
        <v>24</v>
      </c>
      <c r="O1152" s="34" t="s">
        <v>18</v>
      </c>
      <c r="P1152" s="34" t="s">
        <v>19</v>
      </c>
      <c r="Q1152" s="34" t="s">
        <v>297</v>
      </c>
      <c r="R1152" s="34" t="s">
        <v>21</v>
      </c>
      <c r="S1152" s="34" t="s">
        <v>297</v>
      </c>
      <c r="T1152" s="34"/>
      <c r="U1152" s="34"/>
      <c r="V1152" s="34" t="s">
        <v>22</v>
      </c>
      <c r="W1152" s="34" t="s">
        <v>370</v>
      </c>
      <c r="X1152" s="38" t="s">
        <v>164</v>
      </c>
      <c r="Y1152" s="62"/>
      <c r="Z1152" s="62" t="e">
        <f t="shared" si="52"/>
        <v>#NUM!</v>
      </c>
      <c r="AA1152" s="62"/>
      <c r="AB1152" s="34">
        <v>7</v>
      </c>
      <c r="AC1152" s="34">
        <v>9</v>
      </c>
      <c r="AD1152" s="38"/>
      <c r="AE1152" s="59" t="str">
        <f t="shared" si="53"/>
        <v>NO</v>
      </c>
      <c r="AF1152" s="38" t="e" cm="1">
        <f t="array" aca="1" ref="AF1152" ca="1">MIN(100, MAX(0, (IF(R1152="ESTUDIANTE", 31, 0)) + (IF(I1152&lt;=3, 30, IF(I1152&lt;=6, 20, 0))) +(IF(OR(E1152="413 - Control de Costes y Enlace Construcción", E1152="480 - Secretaría General del Consejo", E1152="132 - Civil y estructuras", E1152="136 - Mecánica", E1152="412 - Planificación", E1152="142 - Compras"), 25, 0)) +(IF(OR(S1152="GRADO ING. MECÁNICA", S1152="GRADO ING. ELÉCTRICA", S1152="GRADO DERECHO", S1152="GRADO ECONOMÍA", S1152="GRADO ING. TECNOLOGÍAS INDUSTRIALES"), 24, 0)) + (IF(AND(K1152&gt;=451, K1152&lt;=700), 23, 0)) + (IF(AND(AB1152&gt;=5, AB1152&lt;=8), 17, 0)) +(IF(_xludf.OR(_xludf.AND(AC1152&gt;=8, AC1152&lt;=10), _xludf.AND(AC1152&gt;=0, AC1152&lt;=5)), 16, 0)) + (IF(F1152="Madrid", 11, 0))))</f>
        <v>#NAME?</v>
      </c>
      <c r="AG1152" s="68"/>
      <c r="AH1152" s="71" t="s">
        <v>164</v>
      </c>
    </row>
    <row r="1153" spans="1:34" ht="14.4" x14ac:dyDescent="0.3">
      <c r="A1153" s="66" t="s">
        <v>2131</v>
      </c>
      <c r="B1153" s="66" t="s">
        <v>4248</v>
      </c>
      <c r="C1153" s="33">
        <v>1152</v>
      </c>
      <c r="D1153" s="33" t="s">
        <v>5395</v>
      </c>
      <c r="E1153" s="34" t="s">
        <v>5216</v>
      </c>
      <c r="F1153" s="34" t="s">
        <v>18</v>
      </c>
      <c r="G1153" s="57">
        <v>43844</v>
      </c>
      <c r="H1153" s="57">
        <v>44209</v>
      </c>
      <c r="I1153" s="34">
        <f t="shared" si="51"/>
        <v>11</v>
      </c>
      <c r="J1153" s="34">
        <v>35</v>
      </c>
      <c r="K1153" s="36">
        <v>900</v>
      </c>
      <c r="L1153" s="34" t="s">
        <v>17</v>
      </c>
      <c r="M1153" s="57">
        <v>34969</v>
      </c>
      <c r="N1153" s="37">
        <f>(YEAR(TablaMadre[[#This Row],[ALTA]])-YEAR(M1153))</f>
        <v>25</v>
      </c>
      <c r="O1153" s="34" t="s">
        <v>143</v>
      </c>
      <c r="P1153" s="34" t="s">
        <v>19</v>
      </c>
      <c r="Q1153" s="34" t="s">
        <v>406</v>
      </c>
      <c r="R1153" s="34" t="s">
        <v>21</v>
      </c>
      <c r="S1153" s="34" t="s">
        <v>297</v>
      </c>
      <c r="T1153" s="34"/>
      <c r="U1153" s="34"/>
      <c r="V1153" s="34" t="s">
        <v>56</v>
      </c>
      <c r="W1153" s="34" t="s">
        <v>370</v>
      </c>
      <c r="X1153" s="38" t="s">
        <v>173</v>
      </c>
      <c r="Y1153" s="62"/>
      <c r="Z1153" s="62" t="e">
        <f t="shared" si="52"/>
        <v>#NUM!</v>
      </c>
      <c r="AA1153" s="62"/>
      <c r="AB1153" s="34">
        <v>9</v>
      </c>
      <c r="AC1153" s="34">
        <v>9</v>
      </c>
      <c r="AD1153" s="38"/>
      <c r="AE1153" s="59" t="str">
        <f t="shared" si="53"/>
        <v>SÍ</v>
      </c>
      <c r="AF1153" s="38" t="e" cm="1">
        <f t="array" aca="1" ref="AF1153" ca="1">MIN(100, MAX(0, (IF(R1153="ESTUDIANTE", 31, 0)) + (IF(I1153&lt;=3, 30, IF(I1153&lt;=6, 20, 0))) +(IF(OR(E1153="413 - Control de Costes y Enlace Construcción", E1153="480 - Secretaría General del Consejo", E1153="132 - Civil y estructuras", E1153="136 - Mecánica", E1153="412 - Planificación", E1153="142 - Compras"), 25, 0)) +(IF(OR(S1153="GRADO ING. MECÁNICA", S1153="GRADO ING. ELÉCTRICA", S1153="GRADO DERECHO", S1153="GRADO ECONOMÍA", S1153="GRADO ING. TECNOLOGÍAS INDUSTRIALES"), 24, 0)) + (IF(AND(K1153&gt;=451, K1153&lt;=700), 23, 0)) + (IF(AND(AB1153&gt;=5, AB1153&lt;=8), 17, 0)) +(IF(_xludf.OR(_xludf.AND(AC1153&gt;=8, AC1153&lt;=10), _xludf.AND(AC1153&gt;=0, AC1153&lt;=5)), 16, 0)) + (IF(F1153="Madrid", 11, 0))))</f>
        <v>#NAME?</v>
      </c>
      <c r="AG1153" s="68"/>
      <c r="AH1153" s="71" t="s">
        <v>164</v>
      </c>
    </row>
    <row r="1154" spans="1:34" ht="14.4" x14ac:dyDescent="0.3">
      <c r="A1154" s="66" t="s">
        <v>2132</v>
      </c>
      <c r="B1154" s="66" t="s">
        <v>4249</v>
      </c>
      <c r="C1154" s="33">
        <v>1153</v>
      </c>
      <c r="D1154" s="33" t="s">
        <v>5396</v>
      </c>
      <c r="E1154" s="34" t="s">
        <v>5222</v>
      </c>
      <c r="F1154" s="34" t="s">
        <v>18</v>
      </c>
      <c r="G1154" s="57">
        <v>43850</v>
      </c>
      <c r="H1154" s="57">
        <v>44031</v>
      </c>
      <c r="I1154" s="34">
        <f t="shared" ref="I1154:I1217" si="54">DATEDIF(G1154, H1154, "M")</f>
        <v>5</v>
      </c>
      <c r="J1154" s="34">
        <v>35</v>
      </c>
      <c r="K1154" s="36">
        <v>650</v>
      </c>
      <c r="L1154" s="34" t="s">
        <v>17</v>
      </c>
      <c r="M1154" s="57">
        <v>34938</v>
      </c>
      <c r="N1154" s="37">
        <f>(YEAR(TablaMadre[[#This Row],[ALTA]])-YEAR(M1154))</f>
        <v>25</v>
      </c>
      <c r="O1154" s="34" t="s">
        <v>257</v>
      </c>
      <c r="P1154" s="34" t="s">
        <v>19</v>
      </c>
      <c r="Q1154" s="34" t="s">
        <v>437</v>
      </c>
      <c r="R1154" s="58" t="s">
        <v>30</v>
      </c>
      <c r="S1154" s="34" t="s">
        <v>26</v>
      </c>
      <c r="T1154" s="34"/>
      <c r="U1154" s="34"/>
      <c r="V1154" s="34" t="s">
        <v>27</v>
      </c>
      <c r="W1154" s="34" t="s">
        <v>370</v>
      </c>
      <c r="X1154" s="38" t="s">
        <v>164</v>
      </c>
      <c r="Y1154" s="62"/>
      <c r="Z1154" s="62" t="e">
        <f t="shared" ref="Z1154:Z1217" si="55">DATEDIF(H1154, Y1154, "y")</f>
        <v>#NUM!</v>
      </c>
      <c r="AA1154" s="62"/>
      <c r="AB1154" s="34"/>
      <c r="AC1154" s="34"/>
      <c r="AD1154" s="38"/>
      <c r="AE1154" s="59" t="str">
        <f t="shared" si="53"/>
        <v>SÍ</v>
      </c>
      <c r="AF1154" s="38" t="e" cm="1">
        <f t="array" aca="1" ref="AF1154" ca="1">MIN(100, MAX(0, (IF(R1154="ESTUDIANTE", 31, 0)) + (IF(I1154&lt;=3, 30, IF(I1154&lt;=6, 20, 0))) +(IF(OR(E1154="413 - Control de Costes y Enlace Construcción", E1154="480 - Secretaría General del Consejo", E1154="132 - Civil y estructuras", E1154="136 - Mecánica", E1154="412 - Planificación", E1154="142 - Compras"), 25, 0)) +(IF(OR(S1154="GRADO ING. MECÁNICA", S1154="GRADO ING. ELÉCTRICA", S1154="GRADO DERECHO", S1154="GRADO ECONOMÍA", S1154="GRADO ING. TECNOLOGÍAS INDUSTRIALES"), 24, 0)) + (IF(AND(K1154&gt;=451, K1154&lt;=700), 23, 0)) + (IF(AND(AB1154&gt;=5, AB1154&lt;=8), 17, 0)) +(IF(_xludf.OR(_xludf.AND(AC1154&gt;=8, AC1154&lt;=10), _xludf.AND(AC1154&gt;=0, AC1154&lt;=5)), 16, 0)) + (IF(F1154="Madrid", 11, 0))))</f>
        <v>#NAME?</v>
      </c>
      <c r="AG1154" s="68"/>
      <c r="AH1154" s="71" t="s">
        <v>164</v>
      </c>
    </row>
    <row r="1155" spans="1:34" ht="14.4" x14ac:dyDescent="0.3">
      <c r="A1155" s="66" t="s">
        <v>2133</v>
      </c>
      <c r="B1155" s="66" t="s">
        <v>4250</v>
      </c>
      <c r="C1155" s="33">
        <v>1154</v>
      </c>
      <c r="D1155" s="33" t="s">
        <v>5397</v>
      </c>
      <c r="E1155" s="34" t="s">
        <v>5310</v>
      </c>
      <c r="F1155" s="34" t="s">
        <v>931</v>
      </c>
      <c r="G1155" s="57">
        <v>43857</v>
      </c>
      <c r="H1155" s="57">
        <v>43907</v>
      </c>
      <c r="I1155" s="34">
        <f t="shared" si="54"/>
        <v>1</v>
      </c>
      <c r="J1155" s="34">
        <v>35</v>
      </c>
      <c r="K1155" s="36">
        <v>825</v>
      </c>
      <c r="L1155" s="34" t="s">
        <v>17</v>
      </c>
      <c r="M1155" s="57">
        <v>36526</v>
      </c>
      <c r="N1155" s="37">
        <f>(YEAR(TablaMadre[[#This Row],[ALTA]])-YEAR(M1155))</f>
        <v>20</v>
      </c>
      <c r="O1155" s="34"/>
      <c r="P1155" s="34" t="s">
        <v>19</v>
      </c>
      <c r="Q1155" s="34" t="s">
        <v>462</v>
      </c>
      <c r="R1155" s="34" t="s">
        <v>21</v>
      </c>
      <c r="S1155" s="34" t="s">
        <v>307</v>
      </c>
      <c r="T1155" s="34"/>
      <c r="U1155" s="34"/>
      <c r="V1155" s="34" t="s">
        <v>16</v>
      </c>
      <c r="W1155" s="34" t="s">
        <v>461</v>
      </c>
      <c r="X1155" s="38" t="s">
        <v>164</v>
      </c>
      <c r="Y1155" s="62"/>
      <c r="Z1155" s="62" t="e">
        <f t="shared" si="55"/>
        <v>#NUM!</v>
      </c>
      <c r="AA1155" s="62"/>
      <c r="AB1155" s="34"/>
      <c r="AC1155" s="34"/>
      <c r="AD1155" s="38"/>
      <c r="AE1155" s="59" t="str">
        <f t="shared" ref="AE1155:AE1218" si="56">IF(F1155=O1155, "NO", "SÍ")</f>
        <v>SÍ</v>
      </c>
      <c r="AF1155" s="38" t="e" cm="1">
        <f t="array" aca="1" ref="AF1155" ca="1">MIN(100, MAX(0, (IF(R1155="ESTUDIANTE", 31, 0)) + (IF(I1155&lt;=3, 30, IF(I1155&lt;=6, 20, 0))) +(IF(OR(E1155="413 - Control de Costes y Enlace Construcción", E1155="480 - Secretaría General del Consejo", E1155="132 - Civil y estructuras", E1155="136 - Mecánica", E1155="412 - Planificación", E1155="142 - Compras"), 25, 0)) +(IF(OR(S1155="GRADO ING. MECÁNICA", S1155="GRADO ING. ELÉCTRICA", S1155="GRADO DERECHO", S1155="GRADO ECONOMÍA", S1155="GRADO ING. TECNOLOGÍAS INDUSTRIALES"), 24, 0)) + (IF(AND(K1155&gt;=451, K1155&lt;=700), 23, 0)) + (IF(AND(AB1155&gt;=5, AB1155&lt;=8), 17, 0)) +(IF(_xludf.OR(_xludf.AND(AC1155&gt;=8, AC1155&lt;=10), _xludf.AND(AC1155&gt;=0, AC1155&lt;=5)), 16, 0)) + (IF(F1155="Madrid", 11, 0))))</f>
        <v>#NAME?</v>
      </c>
      <c r="AG1155" s="68"/>
      <c r="AH1155" s="71" t="s">
        <v>164</v>
      </c>
    </row>
    <row r="1156" spans="1:34" ht="14.4" x14ac:dyDescent="0.3">
      <c r="A1156" s="66" t="s">
        <v>2134</v>
      </c>
      <c r="B1156" s="66" t="s">
        <v>4251</v>
      </c>
      <c r="C1156" s="33">
        <v>1155</v>
      </c>
      <c r="D1156" s="33" t="s">
        <v>5398</v>
      </c>
      <c r="E1156" s="34" t="s">
        <v>5244</v>
      </c>
      <c r="F1156" s="34" t="s">
        <v>18</v>
      </c>
      <c r="G1156" s="57">
        <v>43857</v>
      </c>
      <c r="H1156" s="57">
        <v>44222</v>
      </c>
      <c r="I1156" s="34">
        <f t="shared" si="54"/>
        <v>11</v>
      </c>
      <c r="J1156" s="34">
        <v>35</v>
      </c>
      <c r="K1156" s="36">
        <v>825</v>
      </c>
      <c r="L1156" s="34" t="s">
        <v>17</v>
      </c>
      <c r="M1156" s="57">
        <v>35889</v>
      </c>
      <c r="N1156" s="37">
        <f>(YEAR(TablaMadre[[#This Row],[ALTA]])-YEAR(M1156))</f>
        <v>22</v>
      </c>
      <c r="O1156" s="34" t="s">
        <v>18</v>
      </c>
      <c r="P1156" s="34" t="s">
        <v>19</v>
      </c>
      <c r="Q1156" s="34" t="s">
        <v>136</v>
      </c>
      <c r="R1156" s="34" t="s">
        <v>21</v>
      </c>
      <c r="S1156" s="34" t="s">
        <v>136</v>
      </c>
      <c r="T1156" s="34"/>
      <c r="U1156" s="34"/>
      <c r="V1156" s="34" t="s">
        <v>22</v>
      </c>
      <c r="W1156" s="34" t="s">
        <v>370</v>
      </c>
      <c r="X1156" s="38" t="s">
        <v>173</v>
      </c>
      <c r="Y1156" s="62"/>
      <c r="Z1156" s="62" t="e">
        <f t="shared" si="55"/>
        <v>#NUM!</v>
      </c>
      <c r="AA1156" s="62"/>
      <c r="AB1156" s="34">
        <v>9</v>
      </c>
      <c r="AC1156" s="34">
        <v>9</v>
      </c>
      <c r="AD1156" s="38"/>
      <c r="AE1156" s="59" t="str">
        <f t="shared" si="56"/>
        <v>NO</v>
      </c>
      <c r="AF1156" s="38" t="e" cm="1">
        <f t="array" aca="1" ref="AF1156" ca="1">MIN(100, MAX(0, (IF(R1156="ESTUDIANTE", 31, 0)) + (IF(I1156&lt;=3, 30, IF(I1156&lt;=6, 20, 0))) +(IF(OR(E1156="413 - Control de Costes y Enlace Construcción", E1156="480 - Secretaría General del Consejo", E1156="132 - Civil y estructuras", E1156="136 - Mecánica", E1156="412 - Planificación", E1156="142 - Compras"), 25, 0)) +(IF(OR(S1156="GRADO ING. MECÁNICA", S1156="GRADO ING. ELÉCTRICA", S1156="GRADO DERECHO", S1156="GRADO ECONOMÍA", S1156="GRADO ING. TECNOLOGÍAS INDUSTRIALES"), 24, 0)) + (IF(AND(K1156&gt;=451, K1156&lt;=700), 23, 0)) + (IF(AND(AB1156&gt;=5, AB1156&lt;=8), 17, 0)) +(IF(_xludf.OR(_xludf.AND(AC1156&gt;=8, AC1156&lt;=10), _xludf.AND(AC1156&gt;=0, AC1156&lt;=5)), 16, 0)) + (IF(F1156="Madrid", 11, 0))))</f>
        <v>#NAME?</v>
      </c>
      <c r="AG1156" s="68"/>
      <c r="AH1156" s="71" t="s">
        <v>164</v>
      </c>
    </row>
    <row r="1157" spans="1:34" ht="14.4" x14ac:dyDescent="0.3">
      <c r="A1157" s="66" t="s">
        <v>2135</v>
      </c>
      <c r="B1157" s="66" t="s">
        <v>4252</v>
      </c>
      <c r="C1157" s="33">
        <v>1156</v>
      </c>
      <c r="D1157" s="33" t="s">
        <v>5399</v>
      </c>
      <c r="E1157" s="34" t="s">
        <v>5255</v>
      </c>
      <c r="F1157" s="34" t="s">
        <v>18</v>
      </c>
      <c r="G1157" s="57">
        <v>43866</v>
      </c>
      <c r="H1157" s="57">
        <v>44047</v>
      </c>
      <c r="I1157" s="34">
        <f t="shared" si="54"/>
        <v>5</v>
      </c>
      <c r="J1157" s="34">
        <v>35</v>
      </c>
      <c r="K1157" s="36">
        <v>800</v>
      </c>
      <c r="L1157" s="34" t="s">
        <v>29</v>
      </c>
      <c r="M1157" s="57">
        <v>33080</v>
      </c>
      <c r="N1157" s="37">
        <f>(YEAR(TablaMadre[[#This Row],[ALTA]])-YEAR(M1157))</f>
        <v>30</v>
      </c>
      <c r="O1157" s="34" t="s">
        <v>191</v>
      </c>
      <c r="P1157" s="34" t="s">
        <v>191</v>
      </c>
      <c r="Q1157" s="34" t="s">
        <v>467</v>
      </c>
      <c r="R1157" s="34" t="s">
        <v>21</v>
      </c>
      <c r="S1157" s="34" t="s">
        <v>467</v>
      </c>
      <c r="T1157" s="34"/>
      <c r="U1157" s="34"/>
      <c r="V1157" s="34" t="s">
        <v>90</v>
      </c>
      <c r="W1157" s="34" t="s">
        <v>370</v>
      </c>
      <c r="X1157" s="38" t="s">
        <v>164</v>
      </c>
      <c r="Y1157" s="62"/>
      <c r="Z1157" s="62" t="e">
        <f t="shared" si="55"/>
        <v>#NUM!</v>
      </c>
      <c r="AA1157" s="62"/>
      <c r="AB1157" s="34"/>
      <c r="AC1157" s="34">
        <v>7</v>
      </c>
      <c r="AD1157" s="38"/>
      <c r="AE1157" s="59" t="str">
        <f t="shared" si="56"/>
        <v>SÍ</v>
      </c>
      <c r="AF1157" s="38" t="e" cm="1">
        <f t="array" aca="1" ref="AF1157" ca="1">MIN(100, MAX(0, (IF(R1157="ESTUDIANTE", 31, 0)) + (IF(I1157&lt;=3, 30, IF(I1157&lt;=6, 20, 0))) +(IF(OR(E1157="413 - Control de Costes y Enlace Construcción", E1157="480 - Secretaría General del Consejo", E1157="132 - Civil y estructuras", E1157="136 - Mecánica", E1157="412 - Planificación", E1157="142 - Compras"), 25, 0)) +(IF(OR(S1157="GRADO ING. MECÁNICA", S1157="GRADO ING. ELÉCTRICA", S1157="GRADO DERECHO", S1157="GRADO ECONOMÍA", S1157="GRADO ING. TECNOLOGÍAS INDUSTRIALES"), 24, 0)) + (IF(AND(K1157&gt;=451, K1157&lt;=700), 23, 0)) + (IF(AND(AB1157&gt;=5, AB1157&lt;=8), 17, 0)) +(IF(_xludf.OR(_xludf.AND(AC1157&gt;=8, AC1157&lt;=10), _xludf.AND(AC1157&gt;=0, AC1157&lt;=5)), 16, 0)) + (IF(F1157="Madrid", 11, 0))))</f>
        <v>#NAME?</v>
      </c>
      <c r="AG1157" s="68"/>
      <c r="AH1157" s="71" t="s">
        <v>164</v>
      </c>
    </row>
    <row r="1158" spans="1:34" ht="14.4" x14ac:dyDescent="0.3">
      <c r="A1158" s="66" t="s">
        <v>2136</v>
      </c>
      <c r="B1158" s="66" t="s">
        <v>4253</v>
      </c>
      <c r="C1158" s="33">
        <v>1157</v>
      </c>
      <c r="D1158" s="33" t="s">
        <v>5400</v>
      </c>
      <c r="E1158" s="34" t="s">
        <v>5255</v>
      </c>
      <c r="F1158" s="34" t="s">
        <v>18</v>
      </c>
      <c r="G1158" s="57">
        <v>43866</v>
      </c>
      <c r="H1158" s="57">
        <v>44047</v>
      </c>
      <c r="I1158" s="34">
        <f t="shared" si="54"/>
        <v>5</v>
      </c>
      <c r="J1158" s="34">
        <v>35</v>
      </c>
      <c r="K1158" s="36">
        <v>800</v>
      </c>
      <c r="L1158" s="34" t="s">
        <v>29</v>
      </c>
      <c r="M1158" s="57">
        <v>34223</v>
      </c>
      <c r="N1158" s="37">
        <f>(YEAR(TablaMadre[[#This Row],[ALTA]])-YEAR(M1158))</f>
        <v>27</v>
      </c>
      <c r="O1158" s="34" t="s">
        <v>99</v>
      </c>
      <c r="P1158" s="34" t="s">
        <v>99</v>
      </c>
      <c r="Q1158" s="34" t="s">
        <v>468</v>
      </c>
      <c r="R1158" s="34" t="s">
        <v>21</v>
      </c>
      <c r="S1158" s="34" t="s">
        <v>229</v>
      </c>
      <c r="T1158" s="34"/>
      <c r="U1158" s="34"/>
      <c r="V1158" s="34" t="s">
        <v>90</v>
      </c>
      <c r="W1158" s="34" t="s">
        <v>370</v>
      </c>
      <c r="X1158" s="38" t="s">
        <v>164</v>
      </c>
      <c r="Y1158" s="62"/>
      <c r="Z1158" s="62" t="e">
        <f t="shared" si="55"/>
        <v>#NUM!</v>
      </c>
      <c r="AA1158" s="62"/>
      <c r="AB1158" s="34"/>
      <c r="AC1158" s="34">
        <v>7</v>
      </c>
      <c r="AD1158" s="38"/>
      <c r="AE1158" s="59" t="str">
        <f t="shared" si="56"/>
        <v>SÍ</v>
      </c>
      <c r="AF1158" s="38" t="e" cm="1">
        <f t="array" aca="1" ref="AF1158" ca="1">MIN(100, MAX(0, (IF(R1158="ESTUDIANTE", 31, 0)) + (IF(I1158&lt;=3, 30, IF(I1158&lt;=6, 20, 0))) +(IF(OR(E1158="413 - Control de Costes y Enlace Construcción", E1158="480 - Secretaría General del Consejo", E1158="132 - Civil y estructuras", E1158="136 - Mecánica", E1158="412 - Planificación", E1158="142 - Compras"), 25, 0)) +(IF(OR(S1158="GRADO ING. MECÁNICA", S1158="GRADO ING. ELÉCTRICA", S1158="GRADO DERECHO", S1158="GRADO ECONOMÍA", S1158="GRADO ING. TECNOLOGÍAS INDUSTRIALES"), 24, 0)) + (IF(AND(K1158&gt;=451, K1158&lt;=700), 23, 0)) + (IF(AND(AB1158&gt;=5, AB1158&lt;=8), 17, 0)) +(IF(_xludf.OR(_xludf.AND(AC1158&gt;=8, AC1158&lt;=10), _xludf.AND(AC1158&gt;=0, AC1158&lt;=5)), 16, 0)) + (IF(F1158="Madrid", 11, 0))))</f>
        <v>#NAME?</v>
      </c>
      <c r="AG1158" s="68"/>
      <c r="AH1158" s="71" t="s">
        <v>164</v>
      </c>
    </row>
    <row r="1159" spans="1:34" ht="14.4" x14ac:dyDescent="0.3">
      <c r="A1159" s="66" t="s">
        <v>2137</v>
      </c>
      <c r="B1159" s="66" t="s">
        <v>4254</v>
      </c>
      <c r="C1159" s="33">
        <v>1158</v>
      </c>
      <c r="D1159" s="33" t="s">
        <v>5401</v>
      </c>
      <c r="E1159" s="34" t="s">
        <v>5255</v>
      </c>
      <c r="F1159" s="34" t="s">
        <v>18</v>
      </c>
      <c r="G1159" s="57">
        <v>43866</v>
      </c>
      <c r="H1159" s="57">
        <v>44231</v>
      </c>
      <c r="I1159" s="34">
        <f t="shared" si="54"/>
        <v>11</v>
      </c>
      <c r="J1159" s="34">
        <v>35</v>
      </c>
      <c r="K1159" s="36">
        <v>800</v>
      </c>
      <c r="L1159" s="34" t="s">
        <v>29</v>
      </c>
      <c r="M1159" s="57">
        <v>33674</v>
      </c>
      <c r="N1159" s="37">
        <f>(YEAR(TablaMadre[[#This Row],[ALTA]])-YEAR(M1159))</f>
        <v>28</v>
      </c>
      <c r="O1159" s="34" t="s">
        <v>490</v>
      </c>
      <c r="P1159" s="34" t="s">
        <v>490</v>
      </c>
      <c r="Q1159" s="34" t="s">
        <v>491</v>
      </c>
      <c r="R1159" s="34" t="s">
        <v>21</v>
      </c>
      <c r="S1159" s="34" t="s">
        <v>492</v>
      </c>
      <c r="T1159" s="34"/>
      <c r="U1159" s="34"/>
      <c r="V1159" s="34" t="s">
        <v>90</v>
      </c>
      <c r="W1159" s="34" t="s">
        <v>370</v>
      </c>
      <c r="X1159" s="38" t="s">
        <v>164</v>
      </c>
      <c r="Y1159" s="62"/>
      <c r="Z1159" s="62" t="e">
        <f t="shared" si="55"/>
        <v>#NUM!</v>
      </c>
      <c r="AA1159" s="62"/>
      <c r="AB1159" s="34">
        <v>10</v>
      </c>
      <c r="AC1159" s="34" t="s">
        <v>493</v>
      </c>
      <c r="AD1159" s="38"/>
      <c r="AE1159" s="59" t="str">
        <f t="shared" si="56"/>
        <v>SÍ</v>
      </c>
      <c r="AF1159" s="38" t="e" cm="1">
        <f t="array" aca="1" ref="AF1159" ca="1">MIN(100, MAX(0, (IF(R1159="ESTUDIANTE", 31, 0)) + (IF(I1159&lt;=3, 30, IF(I1159&lt;=6, 20, 0))) +(IF(OR(E1159="413 - Control de Costes y Enlace Construcción", E1159="480 - Secretaría General del Consejo", E1159="132 - Civil y estructuras", E1159="136 - Mecánica", E1159="412 - Planificación", E1159="142 - Compras"), 25, 0)) +(IF(OR(S1159="GRADO ING. MECÁNICA", S1159="GRADO ING. ELÉCTRICA", S1159="GRADO DERECHO", S1159="GRADO ECONOMÍA", S1159="GRADO ING. TECNOLOGÍAS INDUSTRIALES"), 24, 0)) + (IF(AND(K1159&gt;=451, K1159&lt;=700), 23, 0)) + (IF(AND(AB1159&gt;=5, AB1159&lt;=8), 17, 0)) +(IF(_xludf.OR(_xludf.AND(AC1159&gt;=8, AC1159&lt;=10), _xludf.AND(AC1159&gt;=0, AC1159&lt;=5)), 16, 0)) + (IF(F1159="Madrid", 11, 0))))</f>
        <v>#NAME?</v>
      </c>
      <c r="AG1159" s="68"/>
      <c r="AH1159" s="71" t="s">
        <v>164</v>
      </c>
    </row>
    <row r="1160" spans="1:34" ht="14.4" x14ac:dyDescent="0.3">
      <c r="A1160" s="66" t="s">
        <v>2138</v>
      </c>
      <c r="B1160" s="66" t="s">
        <v>4255</v>
      </c>
      <c r="C1160" s="33">
        <v>1159</v>
      </c>
      <c r="D1160" s="33" t="s">
        <v>5402</v>
      </c>
      <c r="E1160" s="34" t="s">
        <v>5255</v>
      </c>
      <c r="F1160" s="34" t="s">
        <v>18</v>
      </c>
      <c r="G1160" s="57">
        <v>43866</v>
      </c>
      <c r="H1160" s="57">
        <v>44286</v>
      </c>
      <c r="I1160" s="34">
        <f t="shared" si="54"/>
        <v>13</v>
      </c>
      <c r="J1160" s="34">
        <v>35</v>
      </c>
      <c r="K1160" s="36">
        <v>800</v>
      </c>
      <c r="L1160" s="34" t="s">
        <v>17</v>
      </c>
      <c r="M1160" s="57">
        <v>35491</v>
      </c>
      <c r="N1160" s="37">
        <f>(YEAR(TablaMadre[[#This Row],[ALTA]])-YEAR(M1160))</f>
        <v>23</v>
      </c>
      <c r="O1160" s="34" t="s">
        <v>618</v>
      </c>
      <c r="P1160" s="34" t="s">
        <v>498</v>
      </c>
      <c r="Q1160" s="34" t="s">
        <v>491</v>
      </c>
      <c r="R1160" s="34" t="s">
        <v>21</v>
      </c>
      <c r="S1160" s="34" t="s">
        <v>492</v>
      </c>
      <c r="T1160" s="34"/>
      <c r="U1160" s="34"/>
      <c r="V1160" s="34" t="s">
        <v>90</v>
      </c>
      <c r="W1160" s="34" t="s">
        <v>461</v>
      </c>
      <c r="X1160" s="38" t="s">
        <v>173</v>
      </c>
      <c r="Y1160" s="62"/>
      <c r="Z1160" s="62" t="e">
        <f t="shared" si="55"/>
        <v>#NUM!</v>
      </c>
      <c r="AA1160" s="62"/>
      <c r="AB1160" s="34">
        <v>9</v>
      </c>
      <c r="AC1160" s="34">
        <v>10</v>
      </c>
      <c r="AD1160" s="38"/>
      <c r="AE1160" s="59" t="str">
        <f t="shared" si="56"/>
        <v>SÍ</v>
      </c>
      <c r="AF1160" s="38" t="e" cm="1">
        <f t="array" aca="1" ref="AF1160" ca="1">MIN(100, MAX(0, (IF(R1160="ESTUDIANTE", 31, 0)) + (IF(I1160&lt;=3, 30, IF(I1160&lt;=6, 20, 0))) +(IF(OR(E1160="413 - Control de Costes y Enlace Construcción", E1160="480 - Secretaría General del Consejo", E1160="132 - Civil y estructuras", E1160="136 - Mecánica", E1160="412 - Planificación", E1160="142 - Compras"), 25, 0)) +(IF(OR(S1160="GRADO ING. MECÁNICA", S1160="GRADO ING. ELÉCTRICA", S1160="GRADO DERECHO", S1160="GRADO ECONOMÍA", S1160="GRADO ING. TECNOLOGÍAS INDUSTRIALES"), 24, 0)) + (IF(AND(K1160&gt;=451, K1160&lt;=700), 23, 0)) + (IF(AND(AB1160&gt;=5, AB1160&lt;=8), 17, 0)) +(IF(_xludf.OR(_xludf.AND(AC1160&gt;=8, AC1160&lt;=10), _xludf.AND(AC1160&gt;=0, AC1160&lt;=5)), 16, 0)) + (IF(F1160="Madrid", 11, 0))))</f>
        <v>#NAME?</v>
      </c>
      <c r="AG1160" s="68"/>
      <c r="AH1160" s="71" t="s">
        <v>164</v>
      </c>
    </row>
    <row r="1161" spans="1:34" ht="14.4" x14ac:dyDescent="0.3">
      <c r="A1161" s="66" t="s">
        <v>2139</v>
      </c>
      <c r="B1161" s="66" t="s">
        <v>4256</v>
      </c>
      <c r="C1161" s="33">
        <v>1160</v>
      </c>
      <c r="D1161" s="33" t="s">
        <v>5393</v>
      </c>
      <c r="E1161" s="34" t="s">
        <v>5256</v>
      </c>
      <c r="F1161" s="34" t="s">
        <v>18</v>
      </c>
      <c r="G1161" s="57">
        <v>43871</v>
      </c>
      <c r="H1161" s="57">
        <v>44052</v>
      </c>
      <c r="I1161" s="34">
        <f t="shared" si="54"/>
        <v>5</v>
      </c>
      <c r="J1161" s="34">
        <v>35</v>
      </c>
      <c r="K1161" s="36">
        <v>900</v>
      </c>
      <c r="L1161" s="34" t="s">
        <v>17</v>
      </c>
      <c r="M1161" s="57">
        <v>34790</v>
      </c>
      <c r="N1161" s="37">
        <f>(YEAR(TablaMadre[[#This Row],[ALTA]])-YEAR(M1161))</f>
        <v>25</v>
      </c>
      <c r="O1161" s="34" t="s">
        <v>118</v>
      </c>
      <c r="P1161" s="34" t="s">
        <v>19</v>
      </c>
      <c r="Q1161" s="34" t="s">
        <v>406</v>
      </c>
      <c r="R1161" s="34" t="s">
        <v>21</v>
      </c>
      <c r="S1161" s="34" t="s">
        <v>297</v>
      </c>
      <c r="T1161" s="34"/>
      <c r="U1161" s="34"/>
      <c r="V1161" s="34" t="s">
        <v>207</v>
      </c>
      <c r="W1161" s="34" t="s">
        <v>370</v>
      </c>
      <c r="X1161" s="38" t="s">
        <v>164</v>
      </c>
      <c r="Y1161" s="62"/>
      <c r="Z1161" s="62" t="e">
        <f t="shared" si="55"/>
        <v>#NUM!</v>
      </c>
      <c r="AA1161" s="62"/>
      <c r="AB1161" s="34" t="s">
        <v>470</v>
      </c>
      <c r="AC1161" s="34" t="s">
        <v>470</v>
      </c>
      <c r="AD1161" s="38"/>
      <c r="AE1161" s="59" t="str">
        <f t="shared" si="56"/>
        <v>SÍ</v>
      </c>
      <c r="AF1161" s="38" t="e" cm="1">
        <f t="array" aca="1" ref="AF1161" ca="1">MIN(100, MAX(0, (IF(R1161="ESTUDIANTE", 31, 0)) + (IF(I1161&lt;=3, 30, IF(I1161&lt;=6, 20, 0))) +(IF(OR(E1161="413 - Control de Costes y Enlace Construcción", E1161="480 - Secretaría General del Consejo", E1161="132 - Civil y estructuras", E1161="136 - Mecánica", E1161="412 - Planificación", E1161="142 - Compras"), 25, 0)) +(IF(OR(S1161="GRADO ING. MECÁNICA", S1161="GRADO ING. ELÉCTRICA", S1161="GRADO DERECHO", S1161="GRADO ECONOMÍA", S1161="GRADO ING. TECNOLOGÍAS INDUSTRIALES"), 24, 0)) + (IF(AND(K1161&gt;=451, K1161&lt;=700), 23, 0)) + (IF(AND(AB1161&gt;=5, AB1161&lt;=8), 17, 0)) +(IF(_xludf.OR(_xludf.AND(AC1161&gt;=8, AC1161&lt;=10), _xludf.AND(AC1161&gt;=0, AC1161&lt;=5)), 16, 0)) + (IF(F1161="Madrid", 11, 0))))</f>
        <v>#NAME?</v>
      </c>
      <c r="AG1161" s="68"/>
      <c r="AH1161" s="71" t="s">
        <v>164</v>
      </c>
    </row>
    <row r="1162" spans="1:34" ht="14.4" x14ac:dyDescent="0.3">
      <c r="A1162" s="66" t="s">
        <v>2140</v>
      </c>
      <c r="B1162" s="66" t="s">
        <v>4257</v>
      </c>
      <c r="C1162" s="33">
        <v>1161</v>
      </c>
      <c r="D1162" s="33" t="s">
        <v>5394</v>
      </c>
      <c r="E1162" s="34" t="s">
        <v>5240</v>
      </c>
      <c r="F1162" s="34" t="s">
        <v>18</v>
      </c>
      <c r="G1162" s="57">
        <v>43871</v>
      </c>
      <c r="H1162" s="57">
        <v>44236</v>
      </c>
      <c r="I1162" s="34">
        <f t="shared" si="54"/>
        <v>11</v>
      </c>
      <c r="J1162" s="34">
        <v>35</v>
      </c>
      <c r="K1162" s="36">
        <v>900</v>
      </c>
      <c r="L1162" s="34" t="s">
        <v>17</v>
      </c>
      <c r="M1162" s="57">
        <v>34716</v>
      </c>
      <c r="N1162" s="37">
        <f>(YEAR(TablaMadre[[#This Row],[ALTA]])-YEAR(M1162))</f>
        <v>25</v>
      </c>
      <c r="O1162" s="34" t="s">
        <v>68</v>
      </c>
      <c r="P1162" s="34" t="s">
        <v>19</v>
      </c>
      <c r="Q1162" s="34" t="s">
        <v>406</v>
      </c>
      <c r="R1162" s="34" t="s">
        <v>21</v>
      </c>
      <c r="S1162" s="34" t="s">
        <v>297</v>
      </c>
      <c r="T1162" s="34"/>
      <c r="U1162" s="34"/>
      <c r="V1162" s="34" t="s">
        <v>122</v>
      </c>
      <c r="W1162" s="34" t="s">
        <v>370</v>
      </c>
      <c r="X1162" s="38" t="s">
        <v>164</v>
      </c>
      <c r="Y1162" s="62"/>
      <c r="Z1162" s="62" t="e">
        <f t="shared" si="55"/>
        <v>#NUM!</v>
      </c>
      <c r="AA1162" s="62"/>
      <c r="AB1162" s="34">
        <v>10</v>
      </c>
      <c r="AC1162" s="34">
        <v>8</v>
      </c>
      <c r="AD1162" s="38"/>
      <c r="AE1162" s="59" t="str">
        <f t="shared" si="56"/>
        <v>SÍ</v>
      </c>
      <c r="AF1162" s="38" t="e" cm="1">
        <f t="array" aca="1" ref="AF1162" ca="1">MIN(100, MAX(0, (IF(R1162="ESTUDIANTE", 31, 0)) + (IF(I1162&lt;=3, 30, IF(I1162&lt;=6, 20, 0))) +(IF(OR(E1162="413 - Control de Costes y Enlace Construcción", E1162="480 - Secretaría General del Consejo", E1162="132 - Civil y estructuras", E1162="136 - Mecánica", E1162="412 - Planificación", E1162="142 - Compras"), 25, 0)) +(IF(OR(S1162="GRADO ING. MECÁNICA", S1162="GRADO ING. ELÉCTRICA", S1162="GRADO DERECHO", S1162="GRADO ECONOMÍA", S1162="GRADO ING. TECNOLOGÍAS INDUSTRIALES"), 24, 0)) + (IF(AND(K1162&gt;=451, K1162&lt;=700), 23, 0)) + (IF(AND(AB1162&gt;=5, AB1162&lt;=8), 17, 0)) +(IF(_xludf.OR(_xludf.AND(AC1162&gt;=8, AC1162&lt;=10), _xludf.AND(AC1162&gt;=0, AC1162&lt;=5)), 16, 0)) + (IF(F1162="Madrid", 11, 0))))</f>
        <v>#NAME?</v>
      </c>
      <c r="AG1162" s="68"/>
      <c r="AH1162" s="71" t="s">
        <v>164</v>
      </c>
    </row>
    <row r="1163" spans="1:34" ht="14.4" x14ac:dyDescent="0.3">
      <c r="A1163" s="66" t="s">
        <v>2141</v>
      </c>
      <c r="B1163" s="66" t="s">
        <v>4258</v>
      </c>
      <c r="C1163" s="33">
        <v>1162</v>
      </c>
      <c r="D1163" s="33" t="s">
        <v>5403</v>
      </c>
      <c r="E1163" s="34" t="s">
        <v>5228</v>
      </c>
      <c r="F1163" s="34" t="s">
        <v>18</v>
      </c>
      <c r="G1163" s="57">
        <v>43885</v>
      </c>
      <c r="H1163" s="57">
        <v>44104</v>
      </c>
      <c r="I1163" s="34">
        <f t="shared" si="54"/>
        <v>7</v>
      </c>
      <c r="J1163" s="34">
        <v>35</v>
      </c>
      <c r="K1163" s="36">
        <v>650</v>
      </c>
      <c r="L1163" s="34" t="s">
        <v>29</v>
      </c>
      <c r="M1163" s="57">
        <v>33341</v>
      </c>
      <c r="N1163" s="37">
        <f>(YEAR(TablaMadre[[#This Row],[ALTA]])-YEAR(M1163))</f>
        <v>29</v>
      </c>
      <c r="O1163" s="34" t="s">
        <v>18</v>
      </c>
      <c r="P1163" s="34" t="s">
        <v>19</v>
      </c>
      <c r="Q1163" s="34" t="s">
        <v>297</v>
      </c>
      <c r="R1163" s="58" t="s">
        <v>30</v>
      </c>
      <c r="S1163" s="34" t="s">
        <v>297</v>
      </c>
      <c r="T1163" s="34"/>
      <c r="U1163" s="34"/>
      <c r="V1163" s="34" t="s">
        <v>22</v>
      </c>
      <c r="W1163" s="34" t="s">
        <v>181</v>
      </c>
      <c r="X1163" s="38" t="s">
        <v>164</v>
      </c>
      <c r="Y1163" s="62"/>
      <c r="Z1163" s="62" t="e">
        <f t="shared" si="55"/>
        <v>#NUM!</v>
      </c>
      <c r="AA1163" s="62"/>
      <c r="AB1163" s="34">
        <v>10</v>
      </c>
      <c r="AC1163" s="34">
        <v>9</v>
      </c>
      <c r="AD1163" s="38"/>
      <c r="AE1163" s="59" t="str">
        <f t="shared" si="56"/>
        <v>NO</v>
      </c>
      <c r="AF1163" s="38" t="e" cm="1">
        <f t="array" aca="1" ref="AF1163" ca="1">MIN(100, MAX(0, (IF(R1163="ESTUDIANTE", 31, 0)) + (IF(I1163&lt;=3, 30, IF(I1163&lt;=6, 20, 0))) +(IF(OR(E1163="413 - Control de Costes y Enlace Construcción", E1163="480 - Secretaría General del Consejo", E1163="132 - Civil y estructuras", E1163="136 - Mecánica", E1163="412 - Planificación", E1163="142 - Compras"), 25, 0)) +(IF(OR(S1163="GRADO ING. MECÁNICA", S1163="GRADO ING. ELÉCTRICA", S1163="GRADO DERECHO", S1163="GRADO ECONOMÍA", S1163="GRADO ING. TECNOLOGÍAS INDUSTRIALES"), 24, 0)) + (IF(AND(K1163&gt;=451, K1163&lt;=700), 23, 0)) + (IF(AND(AB1163&gt;=5, AB1163&lt;=8), 17, 0)) +(IF(_xludf.OR(_xludf.AND(AC1163&gt;=8, AC1163&lt;=10), _xludf.AND(AC1163&gt;=0, AC1163&lt;=5)), 16, 0)) + (IF(F1163="Madrid", 11, 0))))</f>
        <v>#NAME?</v>
      </c>
      <c r="AG1163" s="68"/>
      <c r="AH1163" s="71" t="s">
        <v>164</v>
      </c>
    </row>
    <row r="1164" spans="1:34" ht="14.4" x14ac:dyDescent="0.3">
      <c r="A1164" s="66" t="s">
        <v>2142</v>
      </c>
      <c r="B1164" s="66" t="s">
        <v>4259</v>
      </c>
      <c r="C1164" s="33">
        <v>1163</v>
      </c>
      <c r="D1164" s="33" t="s">
        <v>5404</v>
      </c>
      <c r="E1164" s="34" t="s">
        <v>5273</v>
      </c>
      <c r="F1164" s="34" t="s">
        <v>18</v>
      </c>
      <c r="G1164" s="57">
        <v>43892</v>
      </c>
      <c r="H1164" s="57">
        <v>44074</v>
      </c>
      <c r="I1164" s="34">
        <f t="shared" si="54"/>
        <v>5</v>
      </c>
      <c r="J1164" s="34">
        <v>35</v>
      </c>
      <c r="K1164" s="36">
        <v>825</v>
      </c>
      <c r="L1164" s="34" t="s">
        <v>17</v>
      </c>
      <c r="M1164" s="57">
        <v>35379</v>
      </c>
      <c r="N1164" s="37">
        <f>(YEAR(TablaMadre[[#This Row],[ALTA]])-YEAR(M1164))</f>
        <v>24</v>
      </c>
      <c r="O1164" s="34" t="s">
        <v>18</v>
      </c>
      <c r="P1164" s="34" t="s">
        <v>19</v>
      </c>
      <c r="Q1164" s="34" t="s">
        <v>136</v>
      </c>
      <c r="R1164" s="34" t="s">
        <v>21</v>
      </c>
      <c r="S1164" s="34" t="s">
        <v>136</v>
      </c>
      <c r="T1164" s="34"/>
      <c r="U1164" s="34"/>
      <c r="V1164" s="34" t="s">
        <v>67</v>
      </c>
      <c r="W1164" s="34" t="s">
        <v>370</v>
      </c>
      <c r="X1164" s="38" t="s">
        <v>164</v>
      </c>
      <c r="Y1164" s="62"/>
      <c r="Z1164" s="62" t="e">
        <f t="shared" si="55"/>
        <v>#NUM!</v>
      </c>
      <c r="AA1164" s="62"/>
      <c r="AB1164" s="34">
        <v>9</v>
      </c>
      <c r="AC1164" s="34"/>
      <c r="AD1164" s="38"/>
      <c r="AE1164" s="59" t="str">
        <f t="shared" si="56"/>
        <v>NO</v>
      </c>
      <c r="AF1164" s="38" t="e" cm="1">
        <f t="array" aca="1" ref="AF1164" ca="1">MIN(100, MAX(0, (IF(R1164="ESTUDIANTE", 31, 0)) + (IF(I1164&lt;=3, 30, IF(I1164&lt;=6, 20, 0))) +(IF(OR(E1164="413 - Control de Costes y Enlace Construcción", E1164="480 - Secretaría General del Consejo", E1164="132 - Civil y estructuras", E1164="136 - Mecánica", E1164="412 - Planificación", E1164="142 - Compras"), 25, 0)) +(IF(OR(S1164="GRADO ING. MECÁNICA", S1164="GRADO ING. ELÉCTRICA", S1164="GRADO DERECHO", S1164="GRADO ECONOMÍA", S1164="GRADO ING. TECNOLOGÍAS INDUSTRIALES"), 24, 0)) + (IF(AND(K1164&gt;=451, K1164&lt;=700), 23, 0)) + (IF(AND(AB1164&gt;=5, AB1164&lt;=8), 17, 0)) +(IF(_xludf.OR(_xludf.AND(AC1164&gt;=8, AC1164&lt;=10), _xludf.AND(AC1164&gt;=0, AC1164&lt;=5)), 16, 0)) + (IF(F1164="Madrid", 11, 0))))</f>
        <v>#NAME?</v>
      </c>
      <c r="AG1164" s="68"/>
      <c r="AH1164" s="71" t="s">
        <v>164</v>
      </c>
    </row>
    <row r="1165" spans="1:34" ht="14.4" x14ac:dyDescent="0.3">
      <c r="A1165" s="66" t="s">
        <v>2143</v>
      </c>
      <c r="B1165" s="66" t="s">
        <v>4260</v>
      </c>
      <c r="C1165" s="33">
        <v>1164</v>
      </c>
      <c r="D1165" s="33" t="s">
        <v>5405</v>
      </c>
      <c r="E1165" s="34" t="s">
        <v>5275</v>
      </c>
      <c r="F1165" s="34" t="s">
        <v>18</v>
      </c>
      <c r="G1165" s="57">
        <v>43892</v>
      </c>
      <c r="H1165" s="57">
        <v>44255</v>
      </c>
      <c r="I1165" s="34">
        <f t="shared" si="54"/>
        <v>11</v>
      </c>
      <c r="J1165" s="34">
        <v>35</v>
      </c>
      <c r="K1165" s="36">
        <v>825</v>
      </c>
      <c r="L1165" s="34" t="s">
        <v>17</v>
      </c>
      <c r="M1165" s="57">
        <v>34457</v>
      </c>
      <c r="N1165" s="37">
        <f>(YEAR(TablaMadre[[#This Row],[ALTA]])-YEAR(M1165))</f>
        <v>26</v>
      </c>
      <c r="O1165" s="34" t="s">
        <v>80</v>
      </c>
      <c r="P1165" s="34" t="s">
        <v>19</v>
      </c>
      <c r="Q1165" s="34" t="s">
        <v>321</v>
      </c>
      <c r="R1165" s="34" t="s">
        <v>21</v>
      </c>
      <c r="S1165" s="34" t="s">
        <v>321</v>
      </c>
      <c r="T1165" s="34"/>
      <c r="U1165" s="34"/>
      <c r="V1165" s="34" t="s">
        <v>388</v>
      </c>
      <c r="W1165" s="34" t="s">
        <v>461</v>
      </c>
      <c r="X1165" s="38" t="s">
        <v>164</v>
      </c>
      <c r="Y1165" s="62"/>
      <c r="Z1165" s="62" t="e">
        <f t="shared" si="55"/>
        <v>#NUM!</v>
      </c>
      <c r="AA1165" s="62"/>
      <c r="AB1165" s="34">
        <v>8</v>
      </c>
      <c r="AC1165" s="34">
        <v>8</v>
      </c>
      <c r="AD1165" s="38"/>
      <c r="AE1165" s="59" t="str">
        <f t="shared" si="56"/>
        <v>SÍ</v>
      </c>
      <c r="AF1165" s="38" t="e" cm="1">
        <f t="array" aca="1" ref="AF1165" ca="1">MIN(100, MAX(0, (IF(R1165="ESTUDIANTE", 31, 0)) + (IF(I1165&lt;=3, 30, IF(I1165&lt;=6, 20, 0))) +(IF(OR(E1165="413 - Control de Costes y Enlace Construcción", E1165="480 - Secretaría General del Consejo", E1165="132 - Civil y estructuras", E1165="136 - Mecánica", E1165="412 - Planificación", E1165="142 - Compras"), 25, 0)) +(IF(OR(S1165="GRADO ING. MECÁNICA", S1165="GRADO ING. ELÉCTRICA", S1165="GRADO DERECHO", S1165="GRADO ECONOMÍA", S1165="GRADO ING. TECNOLOGÍAS INDUSTRIALES"), 24, 0)) + (IF(AND(K1165&gt;=451, K1165&lt;=700), 23, 0)) + (IF(AND(AB1165&gt;=5, AB1165&lt;=8), 17, 0)) +(IF(_xludf.OR(_xludf.AND(AC1165&gt;=8, AC1165&lt;=10), _xludf.AND(AC1165&gt;=0, AC1165&lt;=5)), 16, 0)) + (IF(F1165="Madrid", 11, 0))))</f>
        <v>#NAME?</v>
      </c>
      <c r="AG1165" s="68"/>
      <c r="AH1165" s="71" t="s">
        <v>164</v>
      </c>
    </row>
    <row r="1166" spans="1:34" ht="14.4" x14ac:dyDescent="0.3">
      <c r="A1166" s="66" t="s">
        <v>2144</v>
      </c>
      <c r="B1166" s="66" t="s">
        <v>4261</v>
      </c>
      <c r="C1166" s="33">
        <v>1165</v>
      </c>
      <c r="D1166" s="33" t="s">
        <v>5396</v>
      </c>
      <c r="E1166" s="34" t="s">
        <v>5253</v>
      </c>
      <c r="F1166" s="34" t="s">
        <v>18</v>
      </c>
      <c r="G1166" s="57">
        <v>43892</v>
      </c>
      <c r="H1166" s="57">
        <v>44347</v>
      </c>
      <c r="I1166" s="34">
        <f t="shared" si="54"/>
        <v>14</v>
      </c>
      <c r="J1166" s="34">
        <v>35</v>
      </c>
      <c r="K1166" s="36">
        <v>900</v>
      </c>
      <c r="L1166" s="34" t="s">
        <v>17</v>
      </c>
      <c r="M1166" s="57">
        <v>34607</v>
      </c>
      <c r="N1166" s="37">
        <f>(YEAR(TablaMadre[[#This Row],[ALTA]])-YEAR(M1166))</f>
        <v>26</v>
      </c>
      <c r="O1166" s="34" t="s">
        <v>191</v>
      </c>
      <c r="P1166" s="34" t="s">
        <v>191</v>
      </c>
      <c r="Q1166" s="34" t="s">
        <v>502</v>
      </c>
      <c r="R1166" s="34" t="s">
        <v>21</v>
      </c>
      <c r="S1166" s="34" t="s">
        <v>322</v>
      </c>
      <c r="T1166" s="34"/>
      <c r="U1166" s="34"/>
      <c r="V1166" s="34" t="s">
        <v>90</v>
      </c>
      <c r="W1166" s="34" t="s">
        <v>97</v>
      </c>
      <c r="X1166" s="38" t="s">
        <v>164</v>
      </c>
      <c r="Y1166" s="62">
        <v>44348</v>
      </c>
      <c r="Z1166" s="38">
        <f t="shared" si="55"/>
        <v>0</v>
      </c>
      <c r="AA1166" s="38"/>
      <c r="AB1166" s="34">
        <v>7</v>
      </c>
      <c r="AC1166" s="34" t="s">
        <v>503</v>
      </c>
      <c r="AD1166" s="38"/>
      <c r="AE1166" s="59" t="str">
        <f t="shared" si="56"/>
        <v>SÍ</v>
      </c>
      <c r="AF1166" s="38" t="e" cm="1">
        <f t="array" aca="1" ref="AF1166" ca="1">MIN(100, MAX(0, (IF(R1166="ESTUDIANTE", 31, 0)) + (IF(I1166&lt;=3, 30, IF(I1166&lt;=6, 20, 0))) +(IF(OR(E1166="413 - Control de Costes y Enlace Construcción", E1166="480 - Secretaría General del Consejo", E1166="132 - Civil y estructuras", E1166="136 - Mecánica", E1166="412 - Planificación", E1166="142 - Compras"), 25, 0)) +(IF(OR(S1166="GRADO ING. MECÁNICA", S1166="GRADO ING. ELÉCTRICA", S1166="GRADO DERECHO", S1166="GRADO ECONOMÍA", S1166="GRADO ING. TECNOLOGÍAS INDUSTRIALES"), 24, 0)) + (IF(AND(K1166&gt;=451, K1166&lt;=700), 23, 0)) + (IF(AND(AB1166&gt;=5, AB1166&lt;=8), 17, 0)) +(IF(_xludf.OR(_xludf.AND(AC1166&gt;=8, AC1166&lt;=10), _xludf.AND(AC1166&gt;=0, AC1166&lt;=5)), 16, 0)) + (IF(F1166="Madrid", 11, 0))))</f>
        <v>#NAME?</v>
      </c>
      <c r="AG1166" s="68"/>
      <c r="AH1166" s="71" t="s">
        <v>164</v>
      </c>
    </row>
    <row r="1167" spans="1:34" ht="14.4" x14ac:dyDescent="0.3">
      <c r="A1167" s="66" t="s">
        <v>2145</v>
      </c>
      <c r="B1167" s="66" t="s">
        <v>4262</v>
      </c>
      <c r="C1167" s="33">
        <v>1166</v>
      </c>
      <c r="D1167" s="33" t="s">
        <v>5397</v>
      </c>
      <c r="E1167" s="34" t="s">
        <v>5310</v>
      </c>
      <c r="F1167" s="34" t="s">
        <v>931</v>
      </c>
      <c r="G1167" s="57">
        <v>43895</v>
      </c>
      <c r="H1167" s="57">
        <v>44078</v>
      </c>
      <c r="I1167" s="34">
        <f t="shared" si="54"/>
        <v>5</v>
      </c>
      <c r="J1167" s="34">
        <v>35</v>
      </c>
      <c r="K1167" s="36">
        <v>825</v>
      </c>
      <c r="L1167" s="34" t="s">
        <v>17</v>
      </c>
      <c r="M1167" s="57">
        <v>36526</v>
      </c>
      <c r="N1167" s="37">
        <f>(YEAR(TablaMadre[[#This Row],[ALTA]])-YEAR(M1167))</f>
        <v>20</v>
      </c>
      <c r="O1167" s="34"/>
      <c r="P1167" s="34" t="s">
        <v>19</v>
      </c>
      <c r="Q1167" s="34" t="s">
        <v>473</v>
      </c>
      <c r="R1167" s="34" t="s">
        <v>21</v>
      </c>
      <c r="S1167" s="34" t="s">
        <v>473</v>
      </c>
      <c r="T1167" s="34"/>
      <c r="U1167" s="34"/>
      <c r="V1167" s="34" t="s">
        <v>16</v>
      </c>
      <c r="W1167" s="34" t="s">
        <v>461</v>
      </c>
      <c r="X1167" s="38" t="s">
        <v>164</v>
      </c>
      <c r="Y1167" s="62"/>
      <c r="Z1167" s="62" t="e">
        <f t="shared" si="55"/>
        <v>#NUM!</v>
      </c>
      <c r="AA1167" s="62"/>
      <c r="AB1167" s="34"/>
      <c r="AC1167" s="34"/>
      <c r="AD1167" s="38"/>
      <c r="AE1167" s="59" t="str">
        <f t="shared" si="56"/>
        <v>SÍ</v>
      </c>
      <c r="AF1167" s="38" t="e" cm="1">
        <f t="array" aca="1" ref="AF1167" ca="1">MIN(100, MAX(0, (IF(R1167="ESTUDIANTE", 31, 0)) + (IF(I1167&lt;=3, 30, IF(I1167&lt;=6, 20, 0))) +(IF(OR(E1167="413 - Control de Costes y Enlace Construcción", E1167="480 - Secretaría General del Consejo", E1167="132 - Civil y estructuras", E1167="136 - Mecánica", E1167="412 - Planificación", E1167="142 - Compras"), 25, 0)) +(IF(OR(S1167="GRADO ING. MECÁNICA", S1167="GRADO ING. ELÉCTRICA", S1167="GRADO DERECHO", S1167="GRADO ECONOMÍA", S1167="GRADO ING. TECNOLOGÍAS INDUSTRIALES"), 24, 0)) + (IF(AND(K1167&gt;=451, K1167&lt;=700), 23, 0)) + (IF(AND(AB1167&gt;=5, AB1167&lt;=8), 17, 0)) +(IF(_xludf.OR(_xludf.AND(AC1167&gt;=8, AC1167&lt;=10), _xludf.AND(AC1167&gt;=0, AC1167&lt;=5)), 16, 0)) + (IF(F1167="Madrid", 11, 0))))</f>
        <v>#NAME?</v>
      </c>
      <c r="AG1167" s="68"/>
      <c r="AH1167" s="71" t="s">
        <v>164</v>
      </c>
    </row>
    <row r="1168" spans="1:34" ht="14.4" x14ac:dyDescent="0.3">
      <c r="A1168" s="66" t="s">
        <v>2146</v>
      </c>
      <c r="B1168" s="66" t="s">
        <v>4263</v>
      </c>
      <c r="C1168" s="33">
        <v>1167</v>
      </c>
      <c r="D1168" s="33" t="s">
        <v>5393</v>
      </c>
      <c r="E1168" s="34" t="s">
        <v>5273</v>
      </c>
      <c r="F1168" s="34" t="s">
        <v>18</v>
      </c>
      <c r="G1168" s="57">
        <v>43899</v>
      </c>
      <c r="H1168" s="57">
        <v>44082</v>
      </c>
      <c r="I1168" s="34">
        <f t="shared" si="54"/>
        <v>5</v>
      </c>
      <c r="J1168" s="34">
        <v>35</v>
      </c>
      <c r="K1168" s="36">
        <v>900</v>
      </c>
      <c r="L1168" s="34" t="s">
        <v>17</v>
      </c>
      <c r="M1168" s="57">
        <v>34017</v>
      </c>
      <c r="N1168" s="37">
        <f>(YEAR(TablaMadre[[#This Row],[ALTA]])-YEAR(M1168))</f>
        <v>27</v>
      </c>
      <c r="O1168" s="34" t="s">
        <v>153</v>
      </c>
      <c r="P1168" s="34" t="s">
        <v>19</v>
      </c>
      <c r="Q1168" s="34" t="s">
        <v>215</v>
      </c>
      <c r="R1168" s="34" t="s">
        <v>21</v>
      </c>
      <c r="S1168" s="34" t="s">
        <v>322</v>
      </c>
      <c r="T1168" s="34"/>
      <c r="U1168" s="34"/>
      <c r="V1168" s="34" t="s">
        <v>90</v>
      </c>
      <c r="W1168" s="34" t="s">
        <v>370</v>
      </c>
      <c r="X1168" s="38" t="s">
        <v>164</v>
      </c>
      <c r="Y1168" s="62"/>
      <c r="Z1168" s="62" t="e">
        <f t="shared" si="55"/>
        <v>#NUM!</v>
      </c>
      <c r="AA1168" s="62"/>
      <c r="AB1168" s="34">
        <v>10</v>
      </c>
      <c r="AC1168" s="34">
        <v>10</v>
      </c>
      <c r="AD1168" s="38"/>
      <c r="AE1168" s="59" t="str">
        <f t="shared" si="56"/>
        <v>SÍ</v>
      </c>
      <c r="AF1168" s="38" t="e" cm="1">
        <f t="array" aca="1" ref="AF1168" ca="1">MIN(100, MAX(0, (IF(R1168="ESTUDIANTE", 31, 0)) + (IF(I1168&lt;=3, 30, IF(I1168&lt;=6, 20, 0))) +(IF(OR(E1168="413 - Control de Costes y Enlace Construcción", E1168="480 - Secretaría General del Consejo", E1168="132 - Civil y estructuras", E1168="136 - Mecánica", E1168="412 - Planificación", E1168="142 - Compras"), 25, 0)) +(IF(OR(S1168="GRADO ING. MECÁNICA", S1168="GRADO ING. ELÉCTRICA", S1168="GRADO DERECHO", S1168="GRADO ECONOMÍA", S1168="GRADO ING. TECNOLOGÍAS INDUSTRIALES"), 24, 0)) + (IF(AND(K1168&gt;=451, K1168&lt;=700), 23, 0)) + (IF(AND(AB1168&gt;=5, AB1168&lt;=8), 17, 0)) +(IF(_xludf.OR(_xludf.AND(AC1168&gt;=8, AC1168&lt;=10), _xludf.AND(AC1168&gt;=0, AC1168&lt;=5)), 16, 0)) + (IF(F1168="Madrid", 11, 0))))</f>
        <v>#NAME?</v>
      </c>
      <c r="AG1168" s="68"/>
      <c r="AH1168" s="71" t="s">
        <v>164</v>
      </c>
    </row>
    <row r="1169" spans="1:34" ht="14.4" x14ac:dyDescent="0.3">
      <c r="A1169" s="66" t="s">
        <v>2147</v>
      </c>
      <c r="B1169" s="66" t="s">
        <v>4264</v>
      </c>
      <c r="C1169" s="33">
        <v>1168</v>
      </c>
      <c r="D1169" s="33" t="s">
        <v>5394</v>
      </c>
      <c r="E1169" s="34" t="s">
        <v>5280</v>
      </c>
      <c r="F1169" s="34" t="s">
        <v>931</v>
      </c>
      <c r="G1169" s="57">
        <v>43901</v>
      </c>
      <c r="H1169" s="57">
        <v>43902</v>
      </c>
      <c r="I1169" s="34">
        <f t="shared" si="54"/>
        <v>0</v>
      </c>
      <c r="J1169" s="34">
        <v>35</v>
      </c>
      <c r="K1169" s="36">
        <v>750</v>
      </c>
      <c r="L1169" s="34" t="s">
        <v>29</v>
      </c>
      <c r="M1169" s="57">
        <v>35661</v>
      </c>
      <c r="N1169" s="37">
        <f>(YEAR(TablaMadre[[#This Row],[ALTA]])-YEAR(M1169))</f>
        <v>23</v>
      </c>
      <c r="O1169" s="34"/>
      <c r="P1169" s="34" t="s">
        <v>19</v>
      </c>
      <c r="Q1169" s="34" t="s">
        <v>338</v>
      </c>
      <c r="R1169" s="34" t="s">
        <v>21</v>
      </c>
      <c r="S1169" s="34" t="s">
        <v>338</v>
      </c>
      <c r="T1169" s="34"/>
      <c r="U1169" s="34"/>
      <c r="V1169" s="34" t="s">
        <v>56</v>
      </c>
      <c r="W1169" s="34" t="s">
        <v>461</v>
      </c>
      <c r="X1169" s="38" t="s">
        <v>164</v>
      </c>
      <c r="Y1169" s="62"/>
      <c r="Z1169" s="62" t="e">
        <f t="shared" si="55"/>
        <v>#NUM!</v>
      </c>
      <c r="AA1169" s="62"/>
      <c r="AB1169" s="34"/>
      <c r="AC1169" s="34"/>
      <c r="AD1169" s="38"/>
      <c r="AE1169" s="59" t="str">
        <f t="shared" si="56"/>
        <v>SÍ</v>
      </c>
      <c r="AF1169" s="38" t="e" cm="1">
        <f t="array" aca="1" ref="AF1169" ca="1">MIN(100, MAX(0, (IF(R1169="ESTUDIANTE", 31, 0)) + (IF(I1169&lt;=3, 30, IF(I1169&lt;=6, 20, 0))) +(IF(OR(E1169="413 - Control de Costes y Enlace Construcción", E1169="480 - Secretaría General del Consejo", E1169="132 - Civil y estructuras", E1169="136 - Mecánica", E1169="412 - Planificación", E1169="142 - Compras"), 25, 0)) +(IF(OR(S1169="GRADO ING. MECÁNICA", S1169="GRADO ING. ELÉCTRICA", S1169="GRADO DERECHO", S1169="GRADO ECONOMÍA", S1169="GRADO ING. TECNOLOGÍAS INDUSTRIALES"), 24, 0)) + (IF(AND(K1169&gt;=451, K1169&lt;=700), 23, 0)) + (IF(AND(AB1169&gt;=5, AB1169&lt;=8), 17, 0)) +(IF(_xludf.OR(_xludf.AND(AC1169&gt;=8, AC1169&lt;=10), _xludf.AND(AC1169&gt;=0, AC1169&lt;=5)), 16, 0)) + (IF(F1169="Madrid", 11, 0))))</f>
        <v>#NAME?</v>
      </c>
      <c r="AG1169" s="68"/>
      <c r="AH1169" s="71" t="s">
        <v>164</v>
      </c>
    </row>
    <row r="1170" spans="1:34" ht="14.4" x14ac:dyDescent="0.3">
      <c r="A1170" s="66" t="s">
        <v>2148</v>
      </c>
      <c r="B1170" s="66" t="s">
        <v>4265</v>
      </c>
      <c r="C1170" s="33">
        <v>1169</v>
      </c>
      <c r="D1170" s="33" t="s">
        <v>5395</v>
      </c>
      <c r="E1170" s="34" t="s">
        <v>5235</v>
      </c>
      <c r="F1170" s="34" t="s">
        <v>18</v>
      </c>
      <c r="G1170" s="57">
        <v>43992</v>
      </c>
      <c r="H1170" s="57">
        <v>44043</v>
      </c>
      <c r="I1170" s="34">
        <f t="shared" si="54"/>
        <v>1</v>
      </c>
      <c r="J1170" s="34">
        <v>35</v>
      </c>
      <c r="K1170" s="36">
        <v>0</v>
      </c>
      <c r="L1170" s="34" t="s">
        <v>17</v>
      </c>
      <c r="M1170" s="57">
        <v>36186</v>
      </c>
      <c r="N1170" s="37">
        <f>(YEAR(TablaMadre[[#This Row],[ALTA]])-YEAR(M1170))</f>
        <v>21</v>
      </c>
      <c r="O1170" s="34" t="s">
        <v>18</v>
      </c>
      <c r="P1170" s="34" t="s">
        <v>19</v>
      </c>
      <c r="Q1170" s="34" t="s">
        <v>326</v>
      </c>
      <c r="R1170" s="34" t="s">
        <v>30</v>
      </c>
      <c r="S1170" s="34" t="s">
        <v>151</v>
      </c>
      <c r="T1170" s="34"/>
      <c r="U1170" s="34"/>
      <c r="V1170" s="34" t="s">
        <v>22</v>
      </c>
      <c r="W1170" s="34" t="s">
        <v>23</v>
      </c>
      <c r="X1170" s="38" t="s">
        <v>164</v>
      </c>
      <c r="Y1170" s="62"/>
      <c r="Z1170" s="62" t="e">
        <f t="shared" si="55"/>
        <v>#NUM!</v>
      </c>
      <c r="AA1170" s="62"/>
      <c r="AB1170" s="34"/>
      <c r="AC1170" s="34"/>
      <c r="AD1170" s="38"/>
      <c r="AE1170" s="59" t="str">
        <f t="shared" si="56"/>
        <v>NO</v>
      </c>
      <c r="AF1170" s="38" t="e" cm="1">
        <f t="array" aca="1" ref="AF1170" ca="1">MIN(100, MAX(0, (IF(R1170="ESTUDIANTE", 31, 0)) + (IF(I1170&lt;=3, 30, IF(I1170&lt;=6, 20, 0))) +(IF(OR(E1170="413 - Control de Costes y Enlace Construcción", E1170="480 - Secretaría General del Consejo", E1170="132 - Civil y estructuras", E1170="136 - Mecánica", E1170="412 - Planificación", E1170="142 - Compras"), 25, 0)) +(IF(OR(S1170="GRADO ING. MECÁNICA", S1170="GRADO ING. ELÉCTRICA", S1170="GRADO DERECHO", S1170="GRADO ECONOMÍA", S1170="GRADO ING. TECNOLOGÍAS INDUSTRIALES"), 24, 0)) + (IF(AND(K1170&gt;=451, K1170&lt;=700), 23, 0)) + (IF(AND(AB1170&gt;=5, AB1170&lt;=8), 17, 0)) +(IF(_xludf.OR(_xludf.AND(AC1170&gt;=8, AC1170&lt;=10), _xludf.AND(AC1170&gt;=0, AC1170&lt;=5)), 16, 0)) + (IF(F1170="Madrid", 11, 0))))</f>
        <v>#NAME?</v>
      </c>
      <c r="AG1170" s="68"/>
      <c r="AH1170" s="71" t="s">
        <v>164</v>
      </c>
    </row>
    <row r="1171" spans="1:34" ht="14.4" x14ac:dyDescent="0.3">
      <c r="A1171" s="66" t="s">
        <v>2149</v>
      </c>
      <c r="B1171" s="66" t="s">
        <v>4266</v>
      </c>
      <c r="C1171" s="33">
        <v>1170</v>
      </c>
      <c r="D1171" s="33" t="s">
        <v>5396</v>
      </c>
      <c r="E1171" s="34" t="s">
        <v>5310</v>
      </c>
      <c r="F1171" s="34" t="s">
        <v>931</v>
      </c>
      <c r="G1171" s="57">
        <v>44146</v>
      </c>
      <c r="H1171" s="57">
        <v>44232</v>
      </c>
      <c r="I1171" s="34">
        <f t="shared" si="54"/>
        <v>2</v>
      </c>
      <c r="J1171" s="34">
        <v>40</v>
      </c>
      <c r="K1171" s="36">
        <v>0</v>
      </c>
      <c r="L1171" s="34" t="s">
        <v>17</v>
      </c>
      <c r="M1171" s="57">
        <v>36526</v>
      </c>
      <c r="N1171" s="37">
        <f>(YEAR(TablaMadre[[#This Row],[ALTA]])-YEAR(M1171))</f>
        <v>20</v>
      </c>
      <c r="O1171" s="34"/>
      <c r="P1171" s="34" t="s">
        <v>19</v>
      </c>
      <c r="Q1171" s="34" t="s">
        <v>494</v>
      </c>
      <c r="R1171" s="34" t="s">
        <v>30</v>
      </c>
      <c r="S1171" s="34" t="s">
        <v>26</v>
      </c>
      <c r="T1171" s="34"/>
      <c r="U1171" s="34"/>
      <c r="V1171" s="34" t="s">
        <v>27</v>
      </c>
      <c r="W1171" s="34" t="s">
        <v>23</v>
      </c>
      <c r="X1171" s="38" t="s">
        <v>164</v>
      </c>
      <c r="Y1171" s="62"/>
      <c r="Z1171" s="62" t="e">
        <f t="shared" si="55"/>
        <v>#NUM!</v>
      </c>
      <c r="AA1171" s="62"/>
      <c r="AB1171" s="34"/>
      <c r="AC1171" s="34"/>
      <c r="AD1171" s="38"/>
      <c r="AE1171" s="59" t="str">
        <f t="shared" si="56"/>
        <v>SÍ</v>
      </c>
      <c r="AF1171" s="38" t="e" cm="1">
        <f t="array" aca="1" ref="AF1171" ca="1">MIN(100, MAX(0, (IF(R1171="ESTUDIANTE", 31, 0)) + (IF(I1171&lt;=3, 30, IF(I1171&lt;=6, 20, 0))) +(IF(OR(E1171="413 - Control de Costes y Enlace Construcción", E1171="480 - Secretaría General del Consejo", E1171="132 - Civil y estructuras", E1171="136 - Mecánica", E1171="412 - Planificación", E1171="142 - Compras"), 25, 0)) +(IF(OR(S1171="GRADO ING. MECÁNICA", S1171="GRADO ING. ELÉCTRICA", S1171="GRADO DERECHO", S1171="GRADO ECONOMÍA", S1171="GRADO ING. TECNOLOGÍAS INDUSTRIALES"), 24, 0)) + (IF(AND(K1171&gt;=451, K1171&lt;=700), 23, 0)) + (IF(AND(AB1171&gt;=5, AB1171&lt;=8), 17, 0)) +(IF(_xludf.OR(_xludf.AND(AC1171&gt;=8, AC1171&lt;=10), _xludf.AND(AC1171&gt;=0, AC1171&lt;=5)), 16, 0)) + (IF(F1171="Madrid", 11, 0))))</f>
        <v>#NAME?</v>
      </c>
      <c r="AG1171" s="68"/>
      <c r="AH1171" s="71" t="s">
        <v>164</v>
      </c>
    </row>
    <row r="1172" spans="1:34" ht="14.4" x14ac:dyDescent="0.3">
      <c r="A1172" s="66" t="s">
        <v>2150</v>
      </c>
      <c r="B1172" s="66" t="s">
        <v>4267</v>
      </c>
      <c r="C1172" s="33">
        <v>1171</v>
      </c>
      <c r="D1172" s="33" t="s">
        <v>5397</v>
      </c>
      <c r="E1172" s="34" t="s">
        <v>5310</v>
      </c>
      <c r="F1172" s="34" t="s">
        <v>931</v>
      </c>
      <c r="G1172" s="57">
        <v>44146</v>
      </c>
      <c r="H1172" s="57">
        <v>44232</v>
      </c>
      <c r="I1172" s="34">
        <f t="shared" si="54"/>
        <v>2</v>
      </c>
      <c r="J1172" s="34">
        <v>40</v>
      </c>
      <c r="K1172" s="36">
        <v>0</v>
      </c>
      <c r="L1172" s="34" t="s">
        <v>17</v>
      </c>
      <c r="M1172" s="57">
        <v>36526</v>
      </c>
      <c r="N1172" s="37">
        <f>(YEAR(TablaMadre[[#This Row],[ALTA]])-YEAR(M1172))</f>
        <v>20</v>
      </c>
      <c r="O1172" s="34"/>
      <c r="P1172" s="34" t="s">
        <v>19</v>
      </c>
      <c r="Q1172" s="34" t="s">
        <v>494</v>
      </c>
      <c r="R1172" s="34" t="s">
        <v>30</v>
      </c>
      <c r="S1172" s="34" t="s">
        <v>26</v>
      </c>
      <c r="T1172" s="34"/>
      <c r="U1172" s="34"/>
      <c r="V1172" s="34" t="s">
        <v>27</v>
      </c>
      <c r="W1172" s="34" t="s">
        <v>23</v>
      </c>
      <c r="X1172" s="38" t="s">
        <v>164</v>
      </c>
      <c r="Y1172" s="62"/>
      <c r="Z1172" s="62" t="e">
        <f t="shared" si="55"/>
        <v>#NUM!</v>
      </c>
      <c r="AA1172" s="62"/>
      <c r="AB1172" s="34"/>
      <c r="AC1172" s="34"/>
      <c r="AD1172" s="38"/>
      <c r="AE1172" s="59" t="str">
        <f t="shared" si="56"/>
        <v>SÍ</v>
      </c>
      <c r="AF1172" s="38" t="e" cm="1">
        <f t="array" aca="1" ref="AF1172" ca="1">MIN(100, MAX(0, (IF(R1172="ESTUDIANTE", 31, 0)) + (IF(I1172&lt;=3, 30, IF(I1172&lt;=6, 20, 0))) +(IF(OR(E1172="413 - Control de Costes y Enlace Construcción", E1172="480 - Secretaría General del Consejo", E1172="132 - Civil y estructuras", E1172="136 - Mecánica", E1172="412 - Planificación", E1172="142 - Compras"), 25, 0)) +(IF(OR(S1172="GRADO ING. MECÁNICA", S1172="GRADO ING. ELÉCTRICA", S1172="GRADO DERECHO", S1172="GRADO ECONOMÍA", S1172="GRADO ING. TECNOLOGÍAS INDUSTRIALES"), 24, 0)) + (IF(AND(K1172&gt;=451, K1172&lt;=700), 23, 0)) + (IF(AND(AB1172&gt;=5, AB1172&lt;=8), 17, 0)) +(IF(_xludf.OR(_xludf.AND(AC1172&gt;=8, AC1172&lt;=10), _xludf.AND(AC1172&gt;=0, AC1172&lt;=5)), 16, 0)) + (IF(F1172="Madrid", 11, 0))))</f>
        <v>#NAME?</v>
      </c>
      <c r="AG1172" s="68"/>
      <c r="AH1172" s="71" t="s">
        <v>164</v>
      </c>
    </row>
    <row r="1173" spans="1:34" ht="14.4" x14ac:dyDescent="0.3">
      <c r="A1173" s="66" t="s">
        <v>2151</v>
      </c>
      <c r="B1173" s="66" t="s">
        <v>4268</v>
      </c>
      <c r="C1173" s="33">
        <v>1172</v>
      </c>
      <c r="D1173" s="33" t="s">
        <v>5398</v>
      </c>
      <c r="E1173" s="34" t="s">
        <v>5310</v>
      </c>
      <c r="F1173" s="34" t="s">
        <v>931</v>
      </c>
      <c r="G1173" s="57">
        <v>44174</v>
      </c>
      <c r="H1173" s="57">
        <v>44265</v>
      </c>
      <c r="I1173" s="34">
        <f t="shared" si="54"/>
        <v>3</v>
      </c>
      <c r="J1173" s="34">
        <v>40</v>
      </c>
      <c r="K1173" s="36">
        <v>0</v>
      </c>
      <c r="L1173" s="34" t="s">
        <v>17</v>
      </c>
      <c r="M1173" s="57">
        <v>36779</v>
      </c>
      <c r="N1173" s="37">
        <f>(YEAR(TablaMadre[[#This Row],[ALTA]])-YEAR(M1173))</f>
        <v>20</v>
      </c>
      <c r="O1173" s="34"/>
      <c r="P1173" s="34" t="s">
        <v>19</v>
      </c>
      <c r="Q1173" s="34" t="s">
        <v>497</v>
      </c>
      <c r="R1173" s="34" t="s">
        <v>30</v>
      </c>
      <c r="S1173" s="34" t="s">
        <v>26</v>
      </c>
      <c r="T1173" s="34"/>
      <c r="U1173" s="34"/>
      <c r="V1173" s="34" t="s">
        <v>27</v>
      </c>
      <c r="W1173" s="34" t="s">
        <v>23</v>
      </c>
      <c r="X1173" s="38" t="s">
        <v>164</v>
      </c>
      <c r="Y1173" s="62"/>
      <c r="Z1173" s="62" t="e">
        <f t="shared" si="55"/>
        <v>#NUM!</v>
      </c>
      <c r="AA1173" s="62"/>
      <c r="AB1173" s="34"/>
      <c r="AC1173" s="34"/>
      <c r="AD1173" s="38"/>
      <c r="AE1173" s="59" t="str">
        <f t="shared" si="56"/>
        <v>SÍ</v>
      </c>
      <c r="AF1173" s="38" t="e" cm="1">
        <f t="array" aca="1" ref="AF1173" ca="1">MIN(100, MAX(0, (IF(R1173="ESTUDIANTE", 31, 0)) + (IF(I1173&lt;=3, 30, IF(I1173&lt;=6, 20, 0))) +(IF(OR(E1173="413 - Control de Costes y Enlace Construcción", E1173="480 - Secretaría General del Consejo", E1173="132 - Civil y estructuras", E1173="136 - Mecánica", E1173="412 - Planificación", E1173="142 - Compras"), 25, 0)) +(IF(OR(S1173="GRADO ING. MECÁNICA", S1173="GRADO ING. ELÉCTRICA", S1173="GRADO DERECHO", S1173="GRADO ECONOMÍA", S1173="GRADO ING. TECNOLOGÍAS INDUSTRIALES"), 24, 0)) + (IF(AND(K1173&gt;=451, K1173&lt;=700), 23, 0)) + (IF(AND(AB1173&gt;=5, AB1173&lt;=8), 17, 0)) +(IF(_xludf.OR(_xludf.AND(AC1173&gt;=8, AC1173&lt;=10), _xludf.AND(AC1173&gt;=0, AC1173&lt;=5)), 16, 0)) + (IF(F1173="Madrid", 11, 0))))</f>
        <v>#NAME?</v>
      </c>
      <c r="AG1173" s="68"/>
      <c r="AH1173" s="71" t="s">
        <v>164</v>
      </c>
    </row>
    <row r="1174" spans="1:34" ht="14.4" x14ac:dyDescent="0.3">
      <c r="A1174" s="66" t="s">
        <v>2152</v>
      </c>
      <c r="B1174" s="66" t="s">
        <v>4269</v>
      </c>
      <c r="C1174" s="33">
        <v>1173</v>
      </c>
      <c r="D1174" s="33" t="s">
        <v>5399</v>
      </c>
      <c r="E1174" s="34" t="s">
        <v>5310</v>
      </c>
      <c r="F1174" s="34" t="s">
        <v>931</v>
      </c>
      <c r="G1174" s="57">
        <v>44174</v>
      </c>
      <c r="H1174" s="57">
        <v>44265</v>
      </c>
      <c r="I1174" s="34">
        <f t="shared" si="54"/>
        <v>3</v>
      </c>
      <c r="J1174" s="34">
        <v>40</v>
      </c>
      <c r="K1174" s="36">
        <v>0</v>
      </c>
      <c r="L1174" s="34" t="s">
        <v>17</v>
      </c>
      <c r="M1174" s="57">
        <v>35451</v>
      </c>
      <c r="N1174" s="37">
        <f>(YEAR(TablaMadre[[#This Row],[ALTA]])-YEAR(M1174))</f>
        <v>23</v>
      </c>
      <c r="O1174" s="34"/>
      <c r="P1174" s="34" t="s">
        <v>19</v>
      </c>
      <c r="Q1174" s="34" t="s">
        <v>497</v>
      </c>
      <c r="R1174" s="34" t="s">
        <v>30</v>
      </c>
      <c r="S1174" s="34" t="s">
        <v>26</v>
      </c>
      <c r="T1174" s="34"/>
      <c r="U1174" s="34"/>
      <c r="V1174" s="34" t="s">
        <v>27</v>
      </c>
      <c r="W1174" s="34" t="s">
        <v>23</v>
      </c>
      <c r="X1174" s="38" t="s">
        <v>164</v>
      </c>
      <c r="Y1174" s="62"/>
      <c r="Z1174" s="62" t="e">
        <f t="shared" si="55"/>
        <v>#NUM!</v>
      </c>
      <c r="AA1174" s="62"/>
      <c r="AB1174" s="34"/>
      <c r="AC1174" s="34"/>
      <c r="AD1174" s="38"/>
      <c r="AE1174" s="59" t="str">
        <f t="shared" si="56"/>
        <v>SÍ</v>
      </c>
      <c r="AF1174" s="38" t="e" cm="1">
        <f t="array" aca="1" ref="AF1174" ca="1">MIN(100, MAX(0, (IF(R1174="ESTUDIANTE", 31, 0)) + (IF(I1174&lt;=3, 30, IF(I1174&lt;=6, 20, 0))) +(IF(OR(E1174="413 - Control de Costes y Enlace Construcción", E1174="480 - Secretaría General del Consejo", E1174="132 - Civil y estructuras", E1174="136 - Mecánica", E1174="412 - Planificación", E1174="142 - Compras"), 25, 0)) +(IF(OR(S1174="GRADO ING. MECÁNICA", S1174="GRADO ING. ELÉCTRICA", S1174="GRADO DERECHO", S1174="GRADO ECONOMÍA", S1174="GRADO ING. TECNOLOGÍAS INDUSTRIALES"), 24, 0)) + (IF(AND(K1174&gt;=451, K1174&lt;=700), 23, 0)) + (IF(AND(AB1174&gt;=5, AB1174&lt;=8), 17, 0)) +(IF(_xludf.OR(_xludf.AND(AC1174&gt;=8, AC1174&lt;=10), _xludf.AND(AC1174&gt;=0, AC1174&lt;=5)), 16, 0)) + (IF(F1174="Madrid", 11, 0))))</f>
        <v>#NAME?</v>
      </c>
      <c r="AG1174" s="68"/>
      <c r="AH1174" s="71" t="s">
        <v>164</v>
      </c>
    </row>
    <row r="1175" spans="1:34" ht="14.4" x14ac:dyDescent="0.3">
      <c r="A1175" s="66" t="s">
        <v>2153</v>
      </c>
      <c r="B1175" s="66" t="s">
        <v>4270</v>
      </c>
      <c r="C1175" s="33">
        <v>1174</v>
      </c>
      <c r="D1175" s="33" t="s">
        <v>5400</v>
      </c>
      <c r="E1175" s="34" t="s">
        <v>5216</v>
      </c>
      <c r="F1175" s="34" t="s">
        <v>931</v>
      </c>
      <c r="G1175" s="57">
        <v>44214</v>
      </c>
      <c r="H1175" s="57">
        <v>44260</v>
      </c>
      <c r="I1175" s="34">
        <f t="shared" si="54"/>
        <v>1</v>
      </c>
      <c r="J1175" s="34">
        <v>35</v>
      </c>
      <c r="K1175" s="36">
        <v>0</v>
      </c>
      <c r="L1175" s="34" t="s">
        <v>17</v>
      </c>
      <c r="M1175" s="57">
        <v>35499</v>
      </c>
      <c r="N1175" s="37">
        <f>(YEAR(TablaMadre[[#This Row],[ALTA]])-YEAR(M1175))</f>
        <v>24</v>
      </c>
      <c r="O1175" s="34"/>
      <c r="P1175" s="34" t="s">
        <v>19</v>
      </c>
      <c r="Q1175" s="34" t="s">
        <v>406</v>
      </c>
      <c r="R1175" s="34" t="s">
        <v>30</v>
      </c>
      <c r="S1175" s="34" t="s">
        <v>297</v>
      </c>
      <c r="T1175" s="34"/>
      <c r="U1175" s="34"/>
      <c r="V1175" s="34" t="s">
        <v>84</v>
      </c>
      <c r="W1175" s="34" t="s">
        <v>23</v>
      </c>
      <c r="X1175" s="38" t="s">
        <v>164</v>
      </c>
      <c r="Y1175" s="62"/>
      <c r="Z1175" s="62" t="e">
        <f t="shared" si="55"/>
        <v>#NUM!</v>
      </c>
      <c r="AA1175" s="62"/>
      <c r="AB1175" s="34">
        <v>10</v>
      </c>
      <c r="AC1175" s="34" t="s">
        <v>496</v>
      </c>
      <c r="AD1175" s="38"/>
      <c r="AE1175" s="59" t="str">
        <f t="shared" si="56"/>
        <v>SÍ</v>
      </c>
      <c r="AF1175" s="38" t="e" cm="1">
        <f t="array" aca="1" ref="AF1175" ca="1">MIN(100, MAX(0, (IF(R1175="ESTUDIANTE", 31, 0)) + (IF(I1175&lt;=3, 30, IF(I1175&lt;=6, 20, 0))) +(IF(OR(E1175="413 - Control de Costes y Enlace Construcción", E1175="480 - Secretaría General del Consejo", E1175="132 - Civil y estructuras", E1175="136 - Mecánica", E1175="412 - Planificación", E1175="142 - Compras"), 25, 0)) +(IF(OR(S1175="GRADO ING. MECÁNICA", S1175="GRADO ING. ELÉCTRICA", S1175="GRADO DERECHO", S1175="GRADO ECONOMÍA", S1175="GRADO ING. TECNOLOGÍAS INDUSTRIALES"), 24, 0)) + (IF(AND(K1175&gt;=451, K1175&lt;=700), 23, 0)) + (IF(AND(AB1175&gt;=5, AB1175&lt;=8), 17, 0)) +(IF(_xludf.OR(_xludf.AND(AC1175&gt;=8, AC1175&lt;=10), _xludf.AND(AC1175&gt;=0, AC1175&lt;=5)), 16, 0)) + (IF(F1175="Madrid", 11, 0))))</f>
        <v>#NAME?</v>
      </c>
      <c r="AG1175" s="68"/>
      <c r="AH1175" s="71" t="s">
        <v>164</v>
      </c>
    </row>
    <row r="1176" spans="1:34" ht="14.4" x14ac:dyDescent="0.3">
      <c r="A1176" s="66" t="s">
        <v>2154</v>
      </c>
      <c r="B1176" s="66" t="s">
        <v>4271</v>
      </c>
      <c r="C1176" s="33">
        <v>1175</v>
      </c>
      <c r="D1176" s="33" t="s">
        <v>5401</v>
      </c>
      <c r="E1176" s="34" t="s">
        <v>5224</v>
      </c>
      <c r="F1176" s="34" t="s">
        <v>931</v>
      </c>
      <c r="G1176" s="57">
        <v>44214</v>
      </c>
      <c r="H1176" s="57">
        <v>44308</v>
      </c>
      <c r="I1176" s="34">
        <f t="shared" si="54"/>
        <v>3</v>
      </c>
      <c r="J1176" s="34">
        <v>35</v>
      </c>
      <c r="K1176" s="36">
        <v>0</v>
      </c>
      <c r="L1176" s="34" t="s">
        <v>29</v>
      </c>
      <c r="M1176" s="57">
        <v>36191</v>
      </c>
      <c r="N1176" s="37">
        <f>(YEAR(TablaMadre[[#This Row],[ALTA]])-YEAR(M1176))</f>
        <v>22</v>
      </c>
      <c r="O1176" s="34"/>
      <c r="P1176" s="34" t="s">
        <v>19</v>
      </c>
      <c r="Q1176" s="34" t="s">
        <v>274</v>
      </c>
      <c r="R1176" s="34" t="s">
        <v>30</v>
      </c>
      <c r="S1176" s="34" t="s">
        <v>274</v>
      </c>
      <c r="T1176" s="34"/>
      <c r="U1176" s="34"/>
      <c r="V1176" s="34" t="s">
        <v>40</v>
      </c>
      <c r="W1176" s="34" t="s">
        <v>23</v>
      </c>
      <c r="X1176" s="38" t="s">
        <v>164</v>
      </c>
      <c r="Y1176" s="62"/>
      <c r="Z1176" s="62" t="e">
        <f t="shared" si="55"/>
        <v>#NUM!</v>
      </c>
      <c r="AA1176" s="62"/>
      <c r="AB1176" s="34">
        <v>9</v>
      </c>
      <c r="AC1176" s="34">
        <v>7</v>
      </c>
      <c r="AD1176" s="38"/>
      <c r="AE1176" s="59" t="str">
        <f t="shared" si="56"/>
        <v>SÍ</v>
      </c>
      <c r="AF1176" s="38" t="e" cm="1">
        <f t="array" aca="1" ref="AF1176" ca="1">MIN(100, MAX(0, (IF(R1176="ESTUDIANTE", 31, 0)) + (IF(I1176&lt;=3, 30, IF(I1176&lt;=6, 20, 0))) +(IF(OR(E1176="413 - Control de Costes y Enlace Construcción", E1176="480 - Secretaría General del Consejo", E1176="132 - Civil y estructuras", E1176="136 - Mecánica", E1176="412 - Planificación", E1176="142 - Compras"), 25, 0)) +(IF(OR(S1176="GRADO ING. MECÁNICA", S1176="GRADO ING. ELÉCTRICA", S1176="GRADO DERECHO", S1176="GRADO ECONOMÍA", S1176="GRADO ING. TECNOLOGÍAS INDUSTRIALES"), 24, 0)) + (IF(AND(K1176&gt;=451, K1176&lt;=700), 23, 0)) + (IF(AND(AB1176&gt;=5, AB1176&lt;=8), 17, 0)) +(IF(_xludf.OR(_xludf.AND(AC1176&gt;=8, AC1176&lt;=10), _xludf.AND(AC1176&gt;=0, AC1176&lt;=5)), 16, 0)) + (IF(F1176="Madrid", 11, 0))))</f>
        <v>#NAME?</v>
      </c>
      <c r="AG1176" s="68"/>
      <c r="AH1176" s="71" t="s">
        <v>164</v>
      </c>
    </row>
    <row r="1177" spans="1:34" ht="14.4" x14ac:dyDescent="0.3">
      <c r="A1177" s="66" t="s">
        <v>2155</v>
      </c>
      <c r="B1177" s="66" t="s">
        <v>4272</v>
      </c>
      <c r="C1177" s="33">
        <v>1176</v>
      </c>
      <c r="D1177" s="33" t="s">
        <v>5402</v>
      </c>
      <c r="E1177" s="34" t="s">
        <v>5216</v>
      </c>
      <c r="F1177" s="34" t="s">
        <v>931</v>
      </c>
      <c r="G1177" s="57">
        <v>44214</v>
      </c>
      <c r="H1177" s="57">
        <v>44451</v>
      </c>
      <c r="I1177" s="34">
        <f t="shared" si="54"/>
        <v>7</v>
      </c>
      <c r="J1177" s="34">
        <v>35</v>
      </c>
      <c r="K1177" s="36">
        <v>825</v>
      </c>
      <c r="L1177" s="34" t="s">
        <v>29</v>
      </c>
      <c r="M1177" s="57">
        <v>35653</v>
      </c>
      <c r="N1177" s="37">
        <f>(YEAR(TablaMadre[[#This Row],[ALTA]])-YEAR(M1177))</f>
        <v>24</v>
      </c>
      <c r="O1177" s="34"/>
      <c r="P1177" s="34" t="s">
        <v>19</v>
      </c>
      <c r="Q1177" s="34" t="s">
        <v>406</v>
      </c>
      <c r="R1177" s="34" t="s">
        <v>21</v>
      </c>
      <c r="S1177" s="34" t="s">
        <v>297</v>
      </c>
      <c r="T1177" s="34"/>
      <c r="U1177" s="34"/>
      <c r="V1177" s="34" t="s">
        <v>56</v>
      </c>
      <c r="W1177" s="34" t="s">
        <v>28</v>
      </c>
      <c r="X1177" s="38" t="s">
        <v>164</v>
      </c>
      <c r="Y1177" s="62">
        <v>44877</v>
      </c>
      <c r="Z1177" s="38">
        <f t="shared" si="55"/>
        <v>1</v>
      </c>
      <c r="AA1177" s="38"/>
      <c r="AB1177" s="34">
        <v>9</v>
      </c>
      <c r="AC1177" s="34">
        <v>9</v>
      </c>
      <c r="AD1177" s="38"/>
      <c r="AE1177" s="59" t="str">
        <f t="shared" si="56"/>
        <v>SÍ</v>
      </c>
      <c r="AF1177" s="38" t="e" cm="1">
        <f t="array" aca="1" ref="AF1177" ca="1">MIN(100, MAX(0, (IF(R1177="ESTUDIANTE", 31, 0)) + (IF(I1177&lt;=3, 30, IF(I1177&lt;=6, 20, 0))) +(IF(OR(E1177="413 - Control de Costes y Enlace Construcción", E1177="480 - Secretaría General del Consejo", E1177="132 - Civil y estructuras", E1177="136 - Mecánica", E1177="412 - Planificación", E1177="142 - Compras"), 25, 0)) +(IF(OR(S1177="GRADO ING. MECÁNICA", S1177="GRADO ING. ELÉCTRICA", S1177="GRADO DERECHO", S1177="GRADO ECONOMÍA", S1177="GRADO ING. TECNOLOGÍAS INDUSTRIALES"), 24, 0)) + (IF(AND(K1177&gt;=451, K1177&lt;=700), 23, 0)) + (IF(AND(AB1177&gt;=5, AB1177&lt;=8), 17, 0)) +(IF(_xludf.OR(_xludf.AND(AC1177&gt;=8, AC1177&lt;=10), _xludf.AND(AC1177&gt;=0, AC1177&lt;=5)), 16, 0)) + (IF(F1177="Madrid", 11, 0))))</f>
        <v>#NAME?</v>
      </c>
      <c r="AG1177" s="68"/>
      <c r="AH1177" s="71" t="s">
        <v>164</v>
      </c>
    </row>
    <row r="1178" spans="1:34" ht="14.4" x14ac:dyDescent="0.3">
      <c r="A1178" s="66" t="s">
        <v>2156</v>
      </c>
      <c r="B1178" s="66" t="s">
        <v>4273</v>
      </c>
      <c r="C1178" s="33">
        <v>1177</v>
      </c>
      <c r="D1178" s="33" t="s">
        <v>5393</v>
      </c>
      <c r="E1178" s="34" t="s">
        <v>5224</v>
      </c>
      <c r="F1178" s="34" t="s">
        <v>18</v>
      </c>
      <c r="G1178" s="57">
        <v>44284</v>
      </c>
      <c r="H1178" s="57">
        <v>44526</v>
      </c>
      <c r="I1178" s="34">
        <f t="shared" si="54"/>
        <v>7</v>
      </c>
      <c r="J1178" s="34">
        <v>35</v>
      </c>
      <c r="K1178" s="36">
        <v>750</v>
      </c>
      <c r="L1178" s="34" t="s">
        <v>29</v>
      </c>
      <c r="M1178" s="57">
        <v>36221</v>
      </c>
      <c r="N1178" s="37">
        <f>(YEAR(TablaMadre[[#This Row],[ALTA]])-YEAR(M1178))</f>
        <v>22</v>
      </c>
      <c r="O1178" s="34" t="s">
        <v>118</v>
      </c>
      <c r="P1178" s="34" t="s">
        <v>19</v>
      </c>
      <c r="Q1178" s="34" t="s">
        <v>504</v>
      </c>
      <c r="R1178" s="34" t="s">
        <v>21</v>
      </c>
      <c r="S1178" s="34" t="s">
        <v>229</v>
      </c>
      <c r="T1178" s="34"/>
      <c r="U1178" s="34"/>
      <c r="V1178" s="34" t="s">
        <v>163</v>
      </c>
      <c r="W1178" s="34" t="s">
        <v>47</v>
      </c>
      <c r="X1178" s="38" t="s">
        <v>164</v>
      </c>
      <c r="Y1178" s="62"/>
      <c r="Z1178" s="62" t="e">
        <f t="shared" si="55"/>
        <v>#NUM!</v>
      </c>
      <c r="AA1178" s="62"/>
      <c r="AB1178" s="34"/>
      <c r="AC1178" s="34"/>
      <c r="AD1178" s="38"/>
      <c r="AE1178" s="59" t="str">
        <f t="shared" si="56"/>
        <v>SÍ</v>
      </c>
      <c r="AF1178" s="38" t="e" cm="1">
        <f t="array" aca="1" ref="AF1178" ca="1">MIN(100, MAX(0, (IF(R1178="ESTUDIANTE", 31, 0)) + (IF(I1178&lt;=3, 30, IF(I1178&lt;=6, 20, 0))) +(IF(OR(E1178="413 - Control de Costes y Enlace Construcción", E1178="480 - Secretaría General del Consejo", E1178="132 - Civil y estructuras", E1178="136 - Mecánica", E1178="412 - Planificación", E1178="142 - Compras"), 25, 0)) +(IF(OR(S1178="GRADO ING. MECÁNICA", S1178="GRADO ING. ELÉCTRICA", S1178="GRADO DERECHO", S1178="GRADO ECONOMÍA", S1178="GRADO ING. TECNOLOGÍAS INDUSTRIALES"), 24, 0)) + (IF(AND(K1178&gt;=451, K1178&lt;=700), 23, 0)) + (IF(AND(AB1178&gt;=5, AB1178&lt;=8), 17, 0)) +(IF(_xludf.OR(_xludf.AND(AC1178&gt;=8, AC1178&lt;=10), _xludf.AND(AC1178&gt;=0, AC1178&lt;=5)), 16, 0)) + (IF(F1178="Madrid", 11, 0))))</f>
        <v>#NAME?</v>
      </c>
      <c r="AG1178" s="68"/>
      <c r="AH1178" s="71" t="s">
        <v>164</v>
      </c>
    </row>
    <row r="1179" spans="1:34" ht="14.4" x14ac:dyDescent="0.3">
      <c r="A1179" s="66" t="s">
        <v>2157</v>
      </c>
      <c r="B1179" s="66" t="s">
        <v>4274</v>
      </c>
      <c r="C1179" s="33">
        <v>1178</v>
      </c>
      <c r="D1179" s="33" t="s">
        <v>5394</v>
      </c>
      <c r="E1179" s="34" t="s">
        <v>5233</v>
      </c>
      <c r="F1179" s="34" t="s">
        <v>931</v>
      </c>
      <c r="G1179" s="57">
        <v>44343</v>
      </c>
      <c r="H1179" s="57">
        <v>44526</v>
      </c>
      <c r="I1179" s="34">
        <f t="shared" si="54"/>
        <v>5</v>
      </c>
      <c r="J1179" s="34">
        <v>40</v>
      </c>
      <c r="K1179" s="36">
        <v>500</v>
      </c>
      <c r="L1179" s="34" t="s">
        <v>17</v>
      </c>
      <c r="M1179" s="57">
        <v>32182</v>
      </c>
      <c r="N1179" s="37">
        <f>(YEAR(TablaMadre[[#This Row],[ALTA]])-YEAR(M1179))</f>
        <v>33</v>
      </c>
      <c r="O1179" s="34" t="s">
        <v>95</v>
      </c>
      <c r="P1179" s="34" t="s">
        <v>95</v>
      </c>
      <c r="Q1179" s="34" t="s">
        <v>136</v>
      </c>
      <c r="R1179" s="58" t="s">
        <v>30</v>
      </c>
      <c r="S1179" s="34" t="s">
        <v>136</v>
      </c>
      <c r="T1179" s="34"/>
      <c r="U1179" s="34"/>
      <c r="V1179" s="34" t="s">
        <v>90</v>
      </c>
      <c r="W1179" s="34" t="s">
        <v>181</v>
      </c>
      <c r="X1179" s="38" t="s">
        <v>164</v>
      </c>
      <c r="Y1179" s="62"/>
      <c r="Z1179" s="62" t="e">
        <f t="shared" si="55"/>
        <v>#NUM!</v>
      </c>
      <c r="AA1179" s="62"/>
      <c r="AB1179" s="34"/>
      <c r="AC1179" s="34"/>
      <c r="AD1179" s="38"/>
      <c r="AE1179" s="59" t="str">
        <f t="shared" si="56"/>
        <v>SÍ</v>
      </c>
      <c r="AF1179" s="38" t="e" cm="1">
        <f t="array" aca="1" ref="AF1179" ca="1">MIN(100, MAX(0, (IF(R1179="ESTUDIANTE", 31, 0)) + (IF(I1179&lt;=3, 30, IF(I1179&lt;=6, 20, 0))) +(IF(OR(E1179="413 - Control de Costes y Enlace Construcción", E1179="480 - Secretaría General del Consejo", E1179="132 - Civil y estructuras", E1179="136 - Mecánica", E1179="412 - Planificación", E1179="142 - Compras"), 25, 0)) +(IF(OR(S1179="GRADO ING. MECÁNICA", S1179="GRADO ING. ELÉCTRICA", S1179="GRADO DERECHO", S1179="GRADO ECONOMÍA", S1179="GRADO ING. TECNOLOGÍAS INDUSTRIALES"), 24, 0)) + (IF(AND(K1179&gt;=451, K1179&lt;=700), 23, 0)) + (IF(AND(AB1179&gt;=5, AB1179&lt;=8), 17, 0)) +(IF(_xludf.OR(_xludf.AND(AC1179&gt;=8, AC1179&lt;=10), _xludf.AND(AC1179&gt;=0, AC1179&lt;=5)), 16, 0)) + (IF(F1179="Madrid", 11, 0))))</f>
        <v>#NAME?</v>
      </c>
      <c r="AG1179" s="68"/>
      <c r="AH1179" s="71" t="s">
        <v>164</v>
      </c>
    </row>
    <row r="1180" spans="1:34" ht="14.4" x14ac:dyDescent="0.3">
      <c r="A1180" s="66" t="s">
        <v>2158</v>
      </c>
      <c r="B1180" s="66" t="s">
        <v>4275</v>
      </c>
      <c r="C1180" s="33">
        <v>1179</v>
      </c>
      <c r="D1180" s="33" t="s">
        <v>5403</v>
      </c>
      <c r="E1180" s="34" t="s">
        <v>5216</v>
      </c>
      <c r="F1180" s="34" t="s">
        <v>931</v>
      </c>
      <c r="G1180" s="57">
        <v>44343</v>
      </c>
      <c r="H1180" s="57">
        <v>44550</v>
      </c>
      <c r="I1180" s="34">
        <f t="shared" si="54"/>
        <v>6</v>
      </c>
      <c r="J1180" s="34">
        <v>40</v>
      </c>
      <c r="K1180" s="36">
        <v>500</v>
      </c>
      <c r="L1180" s="34" t="s">
        <v>17</v>
      </c>
      <c r="M1180" s="57">
        <v>34794</v>
      </c>
      <c r="N1180" s="37">
        <f>(YEAR(TablaMadre[[#This Row],[ALTA]])-YEAR(M1180))</f>
        <v>26</v>
      </c>
      <c r="O1180" s="34" t="s">
        <v>95</v>
      </c>
      <c r="P1180" s="34" t="s">
        <v>95</v>
      </c>
      <c r="Q1180" s="34" t="s">
        <v>297</v>
      </c>
      <c r="R1180" s="58" t="s">
        <v>30</v>
      </c>
      <c r="S1180" s="34" t="s">
        <v>297</v>
      </c>
      <c r="T1180" s="34"/>
      <c r="U1180" s="34"/>
      <c r="V1180" s="34" t="s">
        <v>90</v>
      </c>
      <c r="W1180" s="34" t="s">
        <v>181</v>
      </c>
      <c r="X1180" s="38" t="s">
        <v>164</v>
      </c>
      <c r="Y1180" s="62"/>
      <c r="Z1180" s="62" t="e">
        <f t="shared" si="55"/>
        <v>#NUM!</v>
      </c>
      <c r="AA1180" s="62"/>
      <c r="AB1180" s="34"/>
      <c r="AC1180" s="34"/>
      <c r="AD1180" s="38"/>
      <c r="AE1180" s="59" t="str">
        <f t="shared" si="56"/>
        <v>SÍ</v>
      </c>
      <c r="AF1180" s="38" t="e" cm="1">
        <f t="array" aca="1" ref="AF1180" ca="1">MIN(100, MAX(0, (IF(R1180="ESTUDIANTE", 31, 0)) + (IF(I1180&lt;=3, 30, IF(I1180&lt;=6, 20, 0))) +(IF(OR(E1180="413 - Control de Costes y Enlace Construcción", E1180="480 - Secretaría General del Consejo", E1180="132 - Civil y estructuras", E1180="136 - Mecánica", E1180="412 - Planificación", E1180="142 - Compras"), 25, 0)) +(IF(OR(S1180="GRADO ING. MECÁNICA", S1180="GRADO ING. ELÉCTRICA", S1180="GRADO DERECHO", S1180="GRADO ECONOMÍA", S1180="GRADO ING. TECNOLOGÍAS INDUSTRIALES"), 24, 0)) + (IF(AND(K1180&gt;=451, K1180&lt;=700), 23, 0)) + (IF(AND(AB1180&gt;=5, AB1180&lt;=8), 17, 0)) +(IF(_xludf.OR(_xludf.AND(AC1180&gt;=8, AC1180&lt;=10), _xludf.AND(AC1180&gt;=0, AC1180&lt;=5)), 16, 0)) + (IF(F1180="Madrid", 11, 0))))</f>
        <v>#NAME?</v>
      </c>
      <c r="AG1180" s="68"/>
      <c r="AH1180" s="71" t="s">
        <v>164</v>
      </c>
    </row>
    <row r="1181" spans="1:34" ht="14.4" x14ac:dyDescent="0.3">
      <c r="A1181" s="66" t="s">
        <v>2159</v>
      </c>
      <c r="B1181" s="66" t="s">
        <v>4276</v>
      </c>
      <c r="C1181" s="33">
        <v>1180</v>
      </c>
      <c r="D1181" s="33" t="s">
        <v>5404</v>
      </c>
      <c r="E1181" s="34" t="s">
        <v>5216</v>
      </c>
      <c r="F1181" s="34" t="s">
        <v>931</v>
      </c>
      <c r="G1181" s="57">
        <v>44343</v>
      </c>
      <c r="H1181" s="57">
        <v>44664</v>
      </c>
      <c r="I1181" s="34">
        <f t="shared" si="54"/>
        <v>10</v>
      </c>
      <c r="J1181" s="34">
        <v>40</v>
      </c>
      <c r="K1181" s="36">
        <v>500</v>
      </c>
      <c r="L1181" s="34" t="s">
        <v>17</v>
      </c>
      <c r="M1181" s="57">
        <v>34170</v>
      </c>
      <c r="N1181" s="37">
        <f>(YEAR(TablaMadre[[#This Row],[ALTA]])-YEAR(M1181))</f>
        <v>28</v>
      </c>
      <c r="O1181" s="34" t="s">
        <v>95</v>
      </c>
      <c r="P1181" s="34" t="s">
        <v>95</v>
      </c>
      <c r="Q1181" s="34" t="s">
        <v>297</v>
      </c>
      <c r="R1181" s="58" t="s">
        <v>30</v>
      </c>
      <c r="S1181" s="34" t="s">
        <v>297</v>
      </c>
      <c r="T1181" s="34"/>
      <c r="U1181" s="34"/>
      <c r="V1181" s="34" t="s">
        <v>90</v>
      </c>
      <c r="W1181" s="34" t="s">
        <v>181</v>
      </c>
      <c r="X1181" s="38" t="s">
        <v>164</v>
      </c>
      <c r="Y1181" s="62"/>
      <c r="Z1181" s="62" t="e">
        <f t="shared" si="55"/>
        <v>#NUM!</v>
      </c>
      <c r="AA1181" s="62"/>
      <c r="AB1181" s="34"/>
      <c r="AC1181" s="34"/>
      <c r="AD1181" s="38"/>
      <c r="AE1181" s="59" t="str">
        <f t="shared" si="56"/>
        <v>SÍ</v>
      </c>
      <c r="AF1181" s="38" t="e" cm="1">
        <f t="array" aca="1" ref="AF1181" ca="1">MIN(100, MAX(0, (IF(R1181="ESTUDIANTE", 31, 0)) + (IF(I1181&lt;=3, 30, IF(I1181&lt;=6, 20, 0))) +(IF(OR(E1181="413 - Control de Costes y Enlace Construcción", E1181="480 - Secretaría General del Consejo", E1181="132 - Civil y estructuras", E1181="136 - Mecánica", E1181="412 - Planificación", E1181="142 - Compras"), 25, 0)) +(IF(OR(S1181="GRADO ING. MECÁNICA", S1181="GRADO ING. ELÉCTRICA", S1181="GRADO DERECHO", S1181="GRADO ECONOMÍA", S1181="GRADO ING. TECNOLOGÍAS INDUSTRIALES"), 24, 0)) + (IF(AND(K1181&gt;=451, K1181&lt;=700), 23, 0)) + (IF(AND(AB1181&gt;=5, AB1181&lt;=8), 17, 0)) +(IF(_xludf.OR(_xludf.AND(AC1181&gt;=8, AC1181&lt;=10), _xludf.AND(AC1181&gt;=0, AC1181&lt;=5)), 16, 0)) + (IF(F1181="Madrid", 11, 0))))</f>
        <v>#NAME?</v>
      </c>
      <c r="AG1181" s="68"/>
      <c r="AH1181" s="71" t="s">
        <v>164</v>
      </c>
    </row>
    <row r="1182" spans="1:34" ht="14.4" x14ac:dyDescent="0.3">
      <c r="A1182" s="66" t="s">
        <v>2160</v>
      </c>
      <c r="B1182" s="66" t="s">
        <v>4277</v>
      </c>
      <c r="C1182" s="33">
        <v>1181</v>
      </c>
      <c r="D1182" s="33" t="s">
        <v>5405</v>
      </c>
      <c r="E1182" s="34" t="s">
        <v>5241</v>
      </c>
      <c r="F1182" s="34" t="s">
        <v>931</v>
      </c>
      <c r="G1182" s="57">
        <v>44343</v>
      </c>
      <c r="H1182" s="57">
        <v>44673</v>
      </c>
      <c r="I1182" s="34">
        <f t="shared" si="54"/>
        <v>10</v>
      </c>
      <c r="J1182" s="34">
        <v>40</v>
      </c>
      <c r="K1182" s="36">
        <v>500</v>
      </c>
      <c r="L1182" s="34" t="s">
        <v>17</v>
      </c>
      <c r="M1182" s="57">
        <v>34260</v>
      </c>
      <c r="N1182" s="37">
        <f>(YEAR(TablaMadre[[#This Row],[ALTA]])-YEAR(M1182))</f>
        <v>28</v>
      </c>
      <c r="O1182" s="34" t="s">
        <v>95</v>
      </c>
      <c r="P1182" s="34" t="s">
        <v>95</v>
      </c>
      <c r="Q1182" s="34" t="s">
        <v>136</v>
      </c>
      <c r="R1182" s="58" t="s">
        <v>30</v>
      </c>
      <c r="S1182" s="34" t="s">
        <v>136</v>
      </c>
      <c r="T1182" s="34"/>
      <c r="U1182" s="34"/>
      <c r="V1182" s="34" t="s">
        <v>90</v>
      </c>
      <c r="W1182" s="34" t="s">
        <v>181</v>
      </c>
      <c r="X1182" s="38" t="s">
        <v>164</v>
      </c>
      <c r="Y1182" s="62"/>
      <c r="Z1182" s="62" t="e">
        <f t="shared" si="55"/>
        <v>#NUM!</v>
      </c>
      <c r="AA1182" s="62"/>
      <c r="AB1182" s="34"/>
      <c r="AC1182" s="34"/>
      <c r="AD1182" s="38"/>
      <c r="AE1182" s="59" t="str">
        <f t="shared" si="56"/>
        <v>SÍ</v>
      </c>
      <c r="AF1182" s="38" t="e" cm="1">
        <f t="array" aca="1" ref="AF1182" ca="1">MIN(100, MAX(0, (IF(R1182="ESTUDIANTE", 31, 0)) + (IF(I1182&lt;=3, 30, IF(I1182&lt;=6, 20, 0))) +(IF(OR(E1182="413 - Control de Costes y Enlace Construcción", E1182="480 - Secretaría General del Consejo", E1182="132 - Civil y estructuras", E1182="136 - Mecánica", E1182="412 - Planificación", E1182="142 - Compras"), 25, 0)) +(IF(OR(S1182="GRADO ING. MECÁNICA", S1182="GRADO ING. ELÉCTRICA", S1182="GRADO DERECHO", S1182="GRADO ECONOMÍA", S1182="GRADO ING. TECNOLOGÍAS INDUSTRIALES"), 24, 0)) + (IF(AND(K1182&gt;=451, K1182&lt;=700), 23, 0)) + (IF(AND(AB1182&gt;=5, AB1182&lt;=8), 17, 0)) +(IF(_xludf.OR(_xludf.AND(AC1182&gt;=8, AC1182&lt;=10), _xludf.AND(AC1182&gt;=0, AC1182&lt;=5)), 16, 0)) + (IF(F1182="Madrid", 11, 0))))</f>
        <v>#NAME?</v>
      </c>
      <c r="AG1182" s="68"/>
      <c r="AH1182" s="71" t="s">
        <v>164</v>
      </c>
    </row>
    <row r="1183" spans="1:34" ht="14.4" x14ac:dyDescent="0.3">
      <c r="A1183" s="66" t="s">
        <v>2161</v>
      </c>
      <c r="B1183" s="66" t="s">
        <v>4278</v>
      </c>
      <c r="C1183" s="33">
        <v>1182</v>
      </c>
      <c r="D1183" s="33" t="s">
        <v>5396</v>
      </c>
      <c r="E1183" s="34" t="s">
        <v>5231</v>
      </c>
      <c r="F1183" s="34" t="s">
        <v>931</v>
      </c>
      <c r="G1183" s="57">
        <v>44343</v>
      </c>
      <c r="H1183" s="57">
        <v>44680</v>
      </c>
      <c r="I1183" s="34">
        <f t="shared" si="54"/>
        <v>11</v>
      </c>
      <c r="J1183" s="34">
        <v>40</v>
      </c>
      <c r="K1183" s="36">
        <v>500</v>
      </c>
      <c r="L1183" s="34" t="s">
        <v>17</v>
      </c>
      <c r="M1183" s="57">
        <v>34613</v>
      </c>
      <c r="N1183" s="37">
        <f>(YEAR(TablaMadre[[#This Row],[ALTA]])-YEAR(M1183))</f>
        <v>27</v>
      </c>
      <c r="O1183" s="34" t="s">
        <v>95</v>
      </c>
      <c r="P1183" s="34" t="s">
        <v>95</v>
      </c>
      <c r="Q1183" s="34" t="s">
        <v>136</v>
      </c>
      <c r="R1183" s="58" t="s">
        <v>30</v>
      </c>
      <c r="S1183" s="34" t="s">
        <v>136</v>
      </c>
      <c r="T1183" s="34"/>
      <c r="U1183" s="34"/>
      <c r="V1183" s="34" t="s">
        <v>90</v>
      </c>
      <c r="W1183" s="34" t="s">
        <v>181</v>
      </c>
      <c r="X1183" s="38" t="s">
        <v>164</v>
      </c>
      <c r="Y1183" s="62"/>
      <c r="Z1183" s="62" t="e">
        <f t="shared" si="55"/>
        <v>#NUM!</v>
      </c>
      <c r="AA1183" s="62"/>
      <c r="AB1183" s="34"/>
      <c r="AC1183" s="34"/>
      <c r="AD1183" s="38"/>
      <c r="AE1183" s="59" t="str">
        <f t="shared" si="56"/>
        <v>SÍ</v>
      </c>
      <c r="AF1183" s="38" t="e" cm="1">
        <f t="array" aca="1" ref="AF1183" ca="1">MIN(100, MAX(0, (IF(R1183="ESTUDIANTE", 31, 0)) + (IF(I1183&lt;=3, 30, IF(I1183&lt;=6, 20, 0))) +(IF(OR(E1183="413 - Control de Costes y Enlace Construcción", E1183="480 - Secretaría General del Consejo", E1183="132 - Civil y estructuras", E1183="136 - Mecánica", E1183="412 - Planificación", E1183="142 - Compras"), 25, 0)) +(IF(OR(S1183="GRADO ING. MECÁNICA", S1183="GRADO ING. ELÉCTRICA", S1183="GRADO DERECHO", S1183="GRADO ECONOMÍA", S1183="GRADO ING. TECNOLOGÍAS INDUSTRIALES"), 24, 0)) + (IF(AND(K1183&gt;=451, K1183&lt;=700), 23, 0)) + (IF(AND(AB1183&gt;=5, AB1183&lt;=8), 17, 0)) +(IF(_xludf.OR(_xludf.AND(AC1183&gt;=8, AC1183&lt;=10), _xludf.AND(AC1183&gt;=0, AC1183&lt;=5)), 16, 0)) + (IF(F1183="Madrid", 11, 0))))</f>
        <v>#NAME?</v>
      </c>
      <c r="AG1183" s="68"/>
      <c r="AH1183" s="71" t="s">
        <v>164</v>
      </c>
    </row>
    <row r="1184" spans="1:34" ht="14.4" x14ac:dyDescent="0.3">
      <c r="A1184" s="66" t="s">
        <v>2162</v>
      </c>
      <c r="B1184" s="66" t="s">
        <v>4279</v>
      </c>
      <c r="C1184" s="33">
        <v>1183</v>
      </c>
      <c r="D1184" s="33" t="s">
        <v>5397</v>
      </c>
      <c r="E1184" s="34" t="s">
        <v>5231</v>
      </c>
      <c r="F1184" s="34" t="s">
        <v>931</v>
      </c>
      <c r="G1184" s="57">
        <v>44343</v>
      </c>
      <c r="H1184" s="57">
        <v>44696</v>
      </c>
      <c r="I1184" s="34">
        <f t="shared" si="54"/>
        <v>11</v>
      </c>
      <c r="J1184" s="34">
        <v>40</v>
      </c>
      <c r="K1184" s="36">
        <v>500</v>
      </c>
      <c r="L1184" s="34" t="s">
        <v>17</v>
      </c>
      <c r="M1184" s="57">
        <v>33567</v>
      </c>
      <c r="N1184" s="37">
        <f>(YEAR(TablaMadre[[#This Row],[ALTA]])-YEAR(M1184))</f>
        <v>30</v>
      </c>
      <c r="O1184" s="34" t="s">
        <v>95</v>
      </c>
      <c r="P1184" s="34" t="s">
        <v>95</v>
      </c>
      <c r="Q1184" s="34" t="s">
        <v>215</v>
      </c>
      <c r="R1184" s="58" t="s">
        <v>30</v>
      </c>
      <c r="S1184" s="34" t="s">
        <v>322</v>
      </c>
      <c r="T1184" s="34"/>
      <c r="U1184" s="34"/>
      <c r="V1184" s="34" t="s">
        <v>90</v>
      </c>
      <c r="W1184" s="34" t="s">
        <v>97</v>
      </c>
      <c r="X1184" s="38" t="s">
        <v>164</v>
      </c>
      <c r="Y1184" s="62"/>
      <c r="Z1184" s="38" t="e">
        <f t="shared" si="55"/>
        <v>#NUM!</v>
      </c>
      <c r="AA1184" s="38"/>
      <c r="AB1184" s="34"/>
      <c r="AC1184" s="34"/>
      <c r="AD1184" s="38"/>
      <c r="AE1184" s="59" t="str">
        <f t="shared" si="56"/>
        <v>SÍ</v>
      </c>
      <c r="AF1184" s="38" t="e" cm="1">
        <f t="array" aca="1" ref="AF1184" ca="1">MIN(100, MAX(0, (IF(R1184="ESTUDIANTE", 31, 0)) + (IF(I1184&lt;=3, 30, IF(I1184&lt;=6, 20, 0))) +(IF(OR(E1184="413 - Control de Costes y Enlace Construcción", E1184="480 - Secretaría General del Consejo", E1184="132 - Civil y estructuras", E1184="136 - Mecánica", E1184="412 - Planificación", E1184="142 - Compras"), 25, 0)) +(IF(OR(S1184="GRADO ING. MECÁNICA", S1184="GRADO ING. ELÉCTRICA", S1184="GRADO DERECHO", S1184="GRADO ECONOMÍA", S1184="GRADO ING. TECNOLOGÍAS INDUSTRIALES"), 24, 0)) + (IF(AND(K1184&gt;=451, K1184&lt;=700), 23, 0)) + (IF(AND(AB1184&gt;=5, AB1184&lt;=8), 17, 0)) +(IF(_xludf.OR(_xludf.AND(AC1184&gt;=8, AC1184&lt;=10), _xludf.AND(AC1184&gt;=0, AC1184&lt;=5)), 16, 0)) + (IF(F1184="Madrid", 11, 0))))</f>
        <v>#NAME?</v>
      </c>
      <c r="AG1184" s="68"/>
      <c r="AH1184" s="71" t="s">
        <v>164</v>
      </c>
    </row>
    <row r="1185" spans="1:34" ht="14.4" x14ac:dyDescent="0.3">
      <c r="A1185" s="66" t="s">
        <v>2163</v>
      </c>
      <c r="B1185" s="66" t="s">
        <v>4280</v>
      </c>
      <c r="C1185" s="33">
        <v>1184</v>
      </c>
      <c r="D1185" s="33" t="s">
        <v>5393</v>
      </c>
      <c r="E1185" s="34" t="s">
        <v>5216</v>
      </c>
      <c r="F1185" s="34" t="s">
        <v>931</v>
      </c>
      <c r="G1185" s="57">
        <v>44343</v>
      </c>
      <c r="H1185" s="57">
        <v>44701</v>
      </c>
      <c r="I1185" s="34">
        <f t="shared" si="54"/>
        <v>11</v>
      </c>
      <c r="J1185" s="34">
        <v>40</v>
      </c>
      <c r="K1185" s="36">
        <v>500</v>
      </c>
      <c r="L1185" s="34" t="s">
        <v>17</v>
      </c>
      <c r="M1185" s="57">
        <v>34202</v>
      </c>
      <c r="N1185" s="37">
        <f>(YEAR(TablaMadre[[#This Row],[ALTA]])-YEAR(M1185))</f>
        <v>28</v>
      </c>
      <c r="O1185" s="34" t="s">
        <v>95</v>
      </c>
      <c r="P1185" s="34" t="s">
        <v>95</v>
      </c>
      <c r="Q1185" s="34" t="s">
        <v>297</v>
      </c>
      <c r="R1185" s="58" t="s">
        <v>30</v>
      </c>
      <c r="S1185" s="34" t="s">
        <v>297</v>
      </c>
      <c r="T1185" s="34"/>
      <c r="U1185" s="34"/>
      <c r="V1185" s="34" t="s">
        <v>90</v>
      </c>
      <c r="W1185" s="34" t="s">
        <v>97</v>
      </c>
      <c r="X1185" s="38" t="s">
        <v>164</v>
      </c>
      <c r="Y1185" s="62"/>
      <c r="Z1185" s="38" t="e">
        <f t="shared" si="55"/>
        <v>#NUM!</v>
      </c>
      <c r="AA1185" s="38"/>
      <c r="AB1185" s="34"/>
      <c r="AC1185" s="34"/>
      <c r="AD1185" s="38"/>
      <c r="AE1185" s="59" t="str">
        <f t="shared" si="56"/>
        <v>SÍ</v>
      </c>
      <c r="AF1185" s="38" t="e" cm="1">
        <f t="array" aca="1" ref="AF1185" ca="1">MIN(100, MAX(0, (IF(R1185="ESTUDIANTE", 31, 0)) + (IF(I1185&lt;=3, 30, IF(I1185&lt;=6, 20, 0))) +(IF(OR(E1185="413 - Control de Costes y Enlace Construcción", E1185="480 - Secretaría General del Consejo", E1185="132 - Civil y estructuras", E1185="136 - Mecánica", E1185="412 - Planificación", E1185="142 - Compras"), 25, 0)) +(IF(OR(S1185="GRADO ING. MECÁNICA", S1185="GRADO ING. ELÉCTRICA", S1185="GRADO DERECHO", S1185="GRADO ECONOMÍA", S1185="GRADO ING. TECNOLOGÍAS INDUSTRIALES"), 24, 0)) + (IF(AND(K1185&gt;=451, K1185&lt;=700), 23, 0)) + (IF(AND(AB1185&gt;=5, AB1185&lt;=8), 17, 0)) +(IF(_xludf.OR(_xludf.AND(AC1185&gt;=8, AC1185&lt;=10), _xludf.AND(AC1185&gt;=0, AC1185&lt;=5)), 16, 0)) + (IF(F1185="Madrid", 11, 0))))</f>
        <v>#NAME?</v>
      </c>
      <c r="AG1185" s="68"/>
      <c r="AH1185" s="71" t="s">
        <v>164</v>
      </c>
    </row>
    <row r="1186" spans="1:34" ht="14.4" x14ac:dyDescent="0.3">
      <c r="A1186" s="66" t="s">
        <v>2164</v>
      </c>
      <c r="B1186" s="66" t="s">
        <v>4281</v>
      </c>
      <c r="C1186" s="33">
        <v>1185</v>
      </c>
      <c r="D1186" s="33" t="s">
        <v>5394</v>
      </c>
      <c r="E1186" s="34" t="s">
        <v>5252</v>
      </c>
      <c r="F1186" s="34" t="s">
        <v>931</v>
      </c>
      <c r="G1186" s="57">
        <v>44343</v>
      </c>
      <c r="H1186" s="57">
        <v>44701</v>
      </c>
      <c r="I1186" s="34">
        <f t="shared" si="54"/>
        <v>11</v>
      </c>
      <c r="J1186" s="34">
        <v>40</v>
      </c>
      <c r="K1186" s="36">
        <v>500</v>
      </c>
      <c r="L1186" s="34" t="s">
        <v>17</v>
      </c>
      <c r="M1186" s="57">
        <v>34284</v>
      </c>
      <c r="N1186" s="37">
        <f>(YEAR(TablaMadre[[#This Row],[ALTA]])-YEAR(M1186))</f>
        <v>28</v>
      </c>
      <c r="O1186" s="34" t="s">
        <v>95</v>
      </c>
      <c r="P1186" s="34" t="s">
        <v>95</v>
      </c>
      <c r="Q1186" s="34" t="s">
        <v>136</v>
      </c>
      <c r="R1186" s="58" t="s">
        <v>30</v>
      </c>
      <c r="S1186" s="34" t="s">
        <v>136</v>
      </c>
      <c r="T1186" s="34"/>
      <c r="U1186" s="34"/>
      <c r="V1186" s="34" t="s">
        <v>90</v>
      </c>
      <c r="W1186" s="34" t="s">
        <v>97</v>
      </c>
      <c r="X1186" s="38" t="s">
        <v>164</v>
      </c>
      <c r="Y1186" s="62"/>
      <c r="Z1186" s="38" t="e">
        <f t="shared" si="55"/>
        <v>#NUM!</v>
      </c>
      <c r="AA1186" s="38"/>
      <c r="AB1186" s="34"/>
      <c r="AC1186" s="34"/>
      <c r="AD1186" s="38"/>
      <c r="AE1186" s="59" t="str">
        <f t="shared" si="56"/>
        <v>SÍ</v>
      </c>
      <c r="AF1186" s="38" t="e" cm="1">
        <f t="array" aca="1" ref="AF1186" ca="1">MIN(100, MAX(0, (IF(R1186="ESTUDIANTE", 31, 0)) + (IF(I1186&lt;=3, 30, IF(I1186&lt;=6, 20, 0))) +(IF(OR(E1186="413 - Control de Costes y Enlace Construcción", E1186="480 - Secretaría General del Consejo", E1186="132 - Civil y estructuras", E1186="136 - Mecánica", E1186="412 - Planificación", E1186="142 - Compras"), 25, 0)) +(IF(OR(S1186="GRADO ING. MECÁNICA", S1186="GRADO ING. ELÉCTRICA", S1186="GRADO DERECHO", S1186="GRADO ECONOMÍA", S1186="GRADO ING. TECNOLOGÍAS INDUSTRIALES"), 24, 0)) + (IF(AND(K1186&gt;=451, K1186&lt;=700), 23, 0)) + (IF(AND(AB1186&gt;=5, AB1186&lt;=8), 17, 0)) +(IF(_xludf.OR(_xludf.AND(AC1186&gt;=8, AC1186&lt;=10), _xludf.AND(AC1186&gt;=0, AC1186&lt;=5)), 16, 0)) + (IF(F1186="Madrid", 11, 0))))</f>
        <v>#NAME?</v>
      </c>
      <c r="AG1186" s="68"/>
      <c r="AH1186" s="71" t="s">
        <v>164</v>
      </c>
    </row>
    <row r="1187" spans="1:34" ht="14.4" x14ac:dyDescent="0.3">
      <c r="A1187" s="66" t="s">
        <v>2165</v>
      </c>
      <c r="B1187" s="66" t="s">
        <v>4282</v>
      </c>
      <c r="C1187" s="33">
        <v>1186</v>
      </c>
      <c r="D1187" s="33" t="s">
        <v>5395</v>
      </c>
      <c r="E1187" s="34" t="s">
        <v>5231</v>
      </c>
      <c r="F1187" s="34" t="s">
        <v>931</v>
      </c>
      <c r="G1187" s="57">
        <v>44343</v>
      </c>
      <c r="H1187" s="57">
        <v>44701</v>
      </c>
      <c r="I1187" s="34">
        <f t="shared" si="54"/>
        <v>11</v>
      </c>
      <c r="J1187" s="34">
        <v>40</v>
      </c>
      <c r="K1187" s="36">
        <v>500</v>
      </c>
      <c r="L1187" s="34" t="s">
        <v>17</v>
      </c>
      <c r="M1187" s="57">
        <v>33471</v>
      </c>
      <c r="N1187" s="37">
        <f>(YEAR(TablaMadre[[#This Row],[ALTA]])-YEAR(M1187))</f>
        <v>30</v>
      </c>
      <c r="O1187" s="34" t="s">
        <v>95</v>
      </c>
      <c r="P1187" s="34" t="s">
        <v>95</v>
      </c>
      <c r="Q1187" s="34" t="s">
        <v>136</v>
      </c>
      <c r="R1187" s="58" t="s">
        <v>30</v>
      </c>
      <c r="S1187" s="34" t="s">
        <v>136</v>
      </c>
      <c r="T1187" s="34"/>
      <c r="U1187" s="34"/>
      <c r="V1187" s="34" t="s">
        <v>90</v>
      </c>
      <c r="W1187" s="34" t="s">
        <v>97</v>
      </c>
      <c r="X1187" s="38" t="s">
        <v>164</v>
      </c>
      <c r="Y1187" s="62">
        <v>44702</v>
      </c>
      <c r="Z1187" s="38">
        <f t="shared" si="55"/>
        <v>0</v>
      </c>
      <c r="AA1187" s="38"/>
      <c r="AB1187" s="34"/>
      <c r="AC1187" s="34"/>
      <c r="AD1187" s="38"/>
      <c r="AE1187" s="59" t="str">
        <f t="shared" si="56"/>
        <v>SÍ</v>
      </c>
      <c r="AF1187" s="38" t="e" cm="1">
        <f t="array" aca="1" ref="AF1187" ca="1">MIN(100, MAX(0, (IF(R1187="ESTUDIANTE", 31, 0)) + (IF(I1187&lt;=3, 30, IF(I1187&lt;=6, 20, 0))) +(IF(OR(E1187="413 - Control de Costes y Enlace Construcción", E1187="480 - Secretaría General del Consejo", E1187="132 - Civil y estructuras", E1187="136 - Mecánica", E1187="412 - Planificación", E1187="142 - Compras"), 25, 0)) +(IF(OR(S1187="GRADO ING. MECÁNICA", S1187="GRADO ING. ELÉCTRICA", S1187="GRADO DERECHO", S1187="GRADO ECONOMÍA", S1187="GRADO ING. TECNOLOGÍAS INDUSTRIALES"), 24, 0)) + (IF(AND(K1187&gt;=451, K1187&lt;=700), 23, 0)) + (IF(AND(AB1187&gt;=5, AB1187&lt;=8), 17, 0)) +(IF(_xludf.OR(_xludf.AND(AC1187&gt;=8, AC1187&lt;=10), _xludf.AND(AC1187&gt;=0, AC1187&lt;=5)), 16, 0)) + (IF(F1187="Madrid", 11, 0))))</f>
        <v>#NAME?</v>
      </c>
      <c r="AG1187" s="68"/>
      <c r="AH1187" s="71" t="s">
        <v>164</v>
      </c>
    </row>
    <row r="1188" spans="1:34" ht="14.4" x14ac:dyDescent="0.3">
      <c r="A1188" s="66" t="s">
        <v>2166</v>
      </c>
      <c r="B1188" s="66" t="s">
        <v>4283</v>
      </c>
      <c r="C1188" s="33">
        <v>1187</v>
      </c>
      <c r="D1188" s="33" t="s">
        <v>5396</v>
      </c>
      <c r="E1188" s="34" t="s">
        <v>5222</v>
      </c>
      <c r="F1188" s="34" t="s">
        <v>931</v>
      </c>
      <c r="G1188" s="57">
        <v>44343</v>
      </c>
      <c r="H1188" s="57">
        <v>44708</v>
      </c>
      <c r="I1188" s="34">
        <f t="shared" si="54"/>
        <v>12</v>
      </c>
      <c r="J1188" s="34">
        <v>40</v>
      </c>
      <c r="K1188" s="36">
        <v>500</v>
      </c>
      <c r="L1188" s="34" t="s">
        <v>17</v>
      </c>
      <c r="M1188" s="57">
        <v>34962</v>
      </c>
      <c r="N1188" s="37">
        <f>(YEAR(TablaMadre[[#This Row],[ALTA]])-YEAR(M1188))</f>
        <v>26</v>
      </c>
      <c r="O1188" s="34" t="s">
        <v>95</v>
      </c>
      <c r="P1188" s="34" t="s">
        <v>95</v>
      </c>
      <c r="Q1188" s="34" t="s">
        <v>321</v>
      </c>
      <c r="R1188" s="58" t="s">
        <v>30</v>
      </c>
      <c r="S1188" s="34" t="s">
        <v>321</v>
      </c>
      <c r="T1188" s="34"/>
      <c r="U1188" s="34"/>
      <c r="V1188" s="34" t="s">
        <v>90</v>
      </c>
      <c r="W1188" s="34" t="s">
        <v>97</v>
      </c>
      <c r="X1188" s="38" t="s">
        <v>164</v>
      </c>
      <c r="Y1188" s="62"/>
      <c r="Z1188" s="38" t="e">
        <f t="shared" si="55"/>
        <v>#NUM!</v>
      </c>
      <c r="AA1188" s="38"/>
      <c r="AB1188" s="34"/>
      <c r="AC1188" s="34"/>
      <c r="AD1188" s="38"/>
      <c r="AE1188" s="59" t="str">
        <f t="shared" si="56"/>
        <v>SÍ</v>
      </c>
      <c r="AF1188" s="38" t="e" cm="1">
        <f t="array" aca="1" ref="AF1188" ca="1">MIN(100, MAX(0, (IF(R1188="ESTUDIANTE", 31, 0)) + (IF(I1188&lt;=3, 30, IF(I1188&lt;=6, 20, 0))) +(IF(OR(E1188="413 - Control de Costes y Enlace Construcción", E1188="480 - Secretaría General del Consejo", E1188="132 - Civil y estructuras", E1188="136 - Mecánica", E1188="412 - Planificación", E1188="142 - Compras"), 25, 0)) +(IF(OR(S1188="GRADO ING. MECÁNICA", S1188="GRADO ING. ELÉCTRICA", S1188="GRADO DERECHO", S1188="GRADO ECONOMÍA", S1188="GRADO ING. TECNOLOGÍAS INDUSTRIALES"), 24, 0)) + (IF(AND(K1188&gt;=451, K1188&lt;=700), 23, 0)) + (IF(AND(AB1188&gt;=5, AB1188&lt;=8), 17, 0)) +(IF(_xludf.OR(_xludf.AND(AC1188&gt;=8, AC1188&lt;=10), _xludf.AND(AC1188&gt;=0, AC1188&lt;=5)), 16, 0)) + (IF(F1188="Madrid", 11, 0))))</f>
        <v>#NAME?</v>
      </c>
      <c r="AG1188" s="68"/>
      <c r="AH1188" s="71" t="s">
        <v>164</v>
      </c>
    </row>
    <row r="1189" spans="1:34" ht="14.4" x14ac:dyDescent="0.3">
      <c r="A1189" s="66" t="s">
        <v>2167</v>
      </c>
      <c r="B1189" s="66" t="s">
        <v>4284</v>
      </c>
      <c r="C1189" s="33">
        <v>1188</v>
      </c>
      <c r="D1189" s="33" t="s">
        <v>5397</v>
      </c>
      <c r="E1189" s="34" t="s">
        <v>5233</v>
      </c>
      <c r="F1189" s="34" t="s">
        <v>931</v>
      </c>
      <c r="G1189" s="57">
        <v>44343</v>
      </c>
      <c r="H1189" s="57">
        <v>44708</v>
      </c>
      <c r="I1189" s="34">
        <f t="shared" si="54"/>
        <v>12</v>
      </c>
      <c r="J1189" s="34">
        <v>40</v>
      </c>
      <c r="K1189" s="36">
        <v>500</v>
      </c>
      <c r="L1189" s="34" t="s">
        <v>17</v>
      </c>
      <c r="M1189" s="57">
        <v>34972</v>
      </c>
      <c r="N1189" s="37">
        <f>(YEAR(TablaMadre[[#This Row],[ALTA]])-YEAR(M1189))</f>
        <v>26</v>
      </c>
      <c r="O1189" s="34" t="s">
        <v>95</v>
      </c>
      <c r="P1189" s="34" t="s">
        <v>95</v>
      </c>
      <c r="Q1189" s="34" t="s">
        <v>136</v>
      </c>
      <c r="R1189" s="58" t="s">
        <v>30</v>
      </c>
      <c r="S1189" s="34" t="s">
        <v>136</v>
      </c>
      <c r="T1189" s="34"/>
      <c r="U1189" s="34"/>
      <c r="V1189" s="34" t="s">
        <v>90</v>
      </c>
      <c r="W1189" s="34" t="s">
        <v>97</v>
      </c>
      <c r="X1189" s="38" t="s">
        <v>164</v>
      </c>
      <c r="Y1189" s="62"/>
      <c r="Z1189" s="38" t="e">
        <f t="shared" si="55"/>
        <v>#NUM!</v>
      </c>
      <c r="AA1189" s="38"/>
      <c r="AB1189" s="34"/>
      <c r="AC1189" s="34"/>
      <c r="AD1189" s="38"/>
      <c r="AE1189" s="59" t="str">
        <f t="shared" si="56"/>
        <v>SÍ</v>
      </c>
      <c r="AF1189" s="38" t="e" cm="1">
        <f t="array" aca="1" ref="AF1189" ca="1">MIN(100, MAX(0, (IF(R1189="ESTUDIANTE", 31, 0)) + (IF(I1189&lt;=3, 30, IF(I1189&lt;=6, 20, 0))) +(IF(OR(E1189="413 - Control de Costes y Enlace Construcción", E1189="480 - Secretaría General del Consejo", E1189="132 - Civil y estructuras", E1189="136 - Mecánica", E1189="412 - Planificación", E1189="142 - Compras"), 25, 0)) +(IF(OR(S1189="GRADO ING. MECÁNICA", S1189="GRADO ING. ELÉCTRICA", S1189="GRADO DERECHO", S1189="GRADO ECONOMÍA", S1189="GRADO ING. TECNOLOGÍAS INDUSTRIALES"), 24, 0)) + (IF(AND(K1189&gt;=451, K1189&lt;=700), 23, 0)) + (IF(AND(AB1189&gt;=5, AB1189&lt;=8), 17, 0)) +(IF(_xludf.OR(_xludf.AND(AC1189&gt;=8, AC1189&lt;=10), _xludf.AND(AC1189&gt;=0, AC1189&lt;=5)), 16, 0)) + (IF(F1189="Madrid", 11, 0))))</f>
        <v>#NAME?</v>
      </c>
      <c r="AG1189" s="68"/>
      <c r="AH1189" s="71" t="s">
        <v>164</v>
      </c>
    </row>
    <row r="1190" spans="1:34" ht="14.4" x14ac:dyDescent="0.3">
      <c r="A1190" s="66" t="s">
        <v>2168</v>
      </c>
      <c r="B1190" s="66" t="s">
        <v>4285</v>
      </c>
      <c r="C1190" s="33">
        <v>1189</v>
      </c>
      <c r="D1190" s="33" t="s">
        <v>5398</v>
      </c>
      <c r="E1190" s="34" t="s">
        <v>5246</v>
      </c>
      <c r="F1190" s="34" t="s">
        <v>931</v>
      </c>
      <c r="G1190" s="57">
        <v>44343</v>
      </c>
      <c r="H1190" s="57">
        <v>44708</v>
      </c>
      <c r="I1190" s="34">
        <f t="shared" si="54"/>
        <v>12</v>
      </c>
      <c r="J1190" s="34">
        <v>40</v>
      </c>
      <c r="K1190" s="36">
        <v>500</v>
      </c>
      <c r="L1190" s="34" t="s">
        <v>17</v>
      </c>
      <c r="M1190" s="57">
        <v>33650</v>
      </c>
      <c r="N1190" s="37">
        <f>(YEAR(TablaMadre[[#This Row],[ALTA]])-YEAR(M1190))</f>
        <v>29</v>
      </c>
      <c r="O1190" s="34" t="s">
        <v>95</v>
      </c>
      <c r="P1190" s="34" t="s">
        <v>95</v>
      </c>
      <c r="Q1190" s="34" t="s">
        <v>277</v>
      </c>
      <c r="R1190" s="58" t="s">
        <v>30</v>
      </c>
      <c r="S1190" s="34" t="s">
        <v>277</v>
      </c>
      <c r="T1190" s="34"/>
      <c r="U1190" s="34"/>
      <c r="V1190" s="34" t="s">
        <v>90</v>
      </c>
      <c r="W1190" s="34" t="s">
        <v>97</v>
      </c>
      <c r="X1190" s="38" t="s">
        <v>164</v>
      </c>
      <c r="Y1190" s="62"/>
      <c r="Z1190" s="38" t="e">
        <f t="shared" si="55"/>
        <v>#NUM!</v>
      </c>
      <c r="AA1190" s="38"/>
      <c r="AB1190" s="34"/>
      <c r="AC1190" s="34"/>
      <c r="AD1190" s="38"/>
      <c r="AE1190" s="59" t="str">
        <f t="shared" si="56"/>
        <v>SÍ</v>
      </c>
      <c r="AF1190" s="38" t="e" cm="1">
        <f t="array" aca="1" ref="AF1190" ca="1">MIN(100, MAX(0, (IF(R1190="ESTUDIANTE", 31, 0)) + (IF(I1190&lt;=3, 30, IF(I1190&lt;=6, 20, 0))) +(IF(OR(E1190="413 - Control de Costes y Enlace Construcción", E1190="480 - Secretaría General del Consejo", E1190="132 - Civil y estructuras", E1190="136 - Mecánica", E1190="412 - Planificación", E1190="142 - Compras"), 25, 0)) +(IF(OR(S1190="GRADO ING. MECÁNICA", S1190="GRADO ING. ELÉCTRICA", S1190="GRADO DERECHO", S1190="GRADO ECONOMÍA", S1190="GRADO ING. TECNOLOGÍAS INDUSTRIALES"), 24, 0)) + (IF(AND(K1190&gt;=451, K1190&lt;=700), 23, 0)) + (IF(AND(AB1190&gt;=5, AB1190&lt;=8), 17, 0)) +(IF(_xludf.OR(_xludf.AND(AC1190&gt;=8, AC1190&lt;=10), _xludf.AND(AC1190&gt;=0, AC1190&lt;=5)), 16, 0)) + (IF(F1190="Madrid", 11, 0))))</f>
        <v>#NAME?</v>
      </c>
      <c r="AG1190" s="68"/>
      <c r="AH1190" s="71" t="s">
        <v>164</v>
      </c>
    </row>
    <row r="1191" spans="1:34" ht="14.4" x14ac:dyDescent="0.3">
      <c r="A1191" s="66" t="s">
        <v>2169</v>
      </c>
      <c r="B1191" s="66" t="s">
        <v>4286</v>
      </c>
      <c r="C1191" s="33">
        <v>1190</v>
      </c>
      <c r="D1191" s="33" t="s">
        <v>5399</v>
      </c>
      <c r="E1191" s="34" t="s">
        <v>5246</v>
      </c>
      <c r="F1191" s="34" t="s">
        <v>931</v>
      </c>
      <c r="G1191" s="57">
        <v>44343</v>
      </c>
      <c r="H1191" s="57">
        <v>44708</v>
      </c>
      <c r="I1191" s="34">
        <f t="shared" si="54"/>
        <v>12</v>
      </c>
      <c r="J1191" s="34">
        <v>40</v>
      </c>
      <c r="K1191" s="36">
        <v>500</v>
      </c>
      <c r="L1191" s="34" t="s">
        <v>17</v>
      </c>
      <c r="M1191" s="57">
        <v>34800</v>
      </c>
      <c r="N1191" s="37">
        <f>(YEAR(TablaMadre[[#This Row],[ALTA]])-YEAR(M1191))</f>
        <v>26</v>
      </c>
      <c r="O1191" s="34" t="s">
        <v>95</v>
      </c>
      <c r="P1191" s="34" t="s">
        <v>95</v>
      </c>
      <c r="Q1191" s="34" t="s">
        <v>277</v>
      </c>
      <c r="R1191" s="58" t="s">
        <v>30</v>
      </c>
      <c r="S1191" s="34" t="s">
        <v>277</v>
      </c>
      <c r="T1191" s="34"/>
      <c r="U1191" s="34"/>
      <c r="V1191" s="34" t="s">
        <v>90</v>
      </c>
      <c r="W1191" s="34" t="s">
        <v>97</v>
      </c>
      <c r="X1191" s="38" t="s">
        <v>164</v>
      </c>
      <c r="Y1191" s="62"/>
      <c r="Z1191" s="38" t="e">
        <f t="shared" si="55"/>
        <v>#NUM!</v>
      </c>
      <c r="AA1191" s="38"/>
      <c r="AB1191" s="34"/>
      <c r="AC1191" s="34"/>
      <c r="AD1191" s="38"/>
      <c r="AE1191" s="59" t="str">
        <f t="shared" si="56"/>
        <v>SÍ</v>
      </c>
      <c r="AF1191" s="38" t="e" cm="1">
        <f t="array" aca="1" ref="AF1191" ca="1">MIN(100, MAX(0, (IF(R1191="ESTUDIANTE", 31, 0)) + (IF(I1191&lt;=3, 30, IF(I1191&lt;=6, 20, 0))) +(IF(OR(E1191="413 - Control de Costes y Enlace Construcción", E1191="480 - Secretaría General del Consejo", E1191="132 - Civil y estructuras", E1191="136 - Mecánica", E1191="412 - Planificación", E1191="142 - Compras"), 25, 0)) +(IF(OR(S1191="GRADO ING. MECÁNICA", S1191="GRADO ING. ELÉCTRICA", S1191="GRADO DERECHO", S1191="GRADO ECONOMÍA", S1191="GRADO ING. TECNOLOGÍAS INDUSTRIALES"), 24, 0)) + (IF(AND(K1191&gt;=451, K1191&lt;=700), 23, 0)) + (IF(AND(AB1191&gt;=5, AB1191&lt;=8), 17, 0)) +(IF(_xludf.OR(_xludf.AND(AC1191&gt;=8, AC1191&lt;=10), _xludf.AND(AC1191&gt;=0, AC1191&lt;=5)), 16, 0)) + (IF(F1191="Madrid", 11, 0))))</f>
        <v>#NAME?</v>
      </c>
      <c r="AG1191" s="68"/>
      <c r="AH1191" s="71" t="s">
        <v>164</v>
      </c>
    </row>
    <row r="1192" spans="1:34" ht="14.4" x14ac:dyDescent="0.3">
      <c r="A1192" s="66" t="s">
        <v>2170</v>
      </c>
      <c r="B1192" s="66" t="s">
        <v>4287</v>
      </c>
      <c r="C1192" s="33">
        <v>1191</v>
      </c>
      <c r="D1192" s="33" t="s">
        <v>5400</v>
      </c>
      <c r="E1192" s="34" t="s">
        <v>5222</v>
      </c>
      <c r="F1192" s="34" t="s">
        <v>931</v>
      </c>
      <c r="G1192" s="57">
        <v>44343</v>
      </c>
      <c r="H1192" s="57">
        <v>44708</v>
      </c>
      <c r="I1192" s="34">
        <f t="shared" si="54"/>
        <v>12</v>
      </c>
      <c r="J1192" s="34">
        <v>40</v>
      </c>
      <c r="K1192" s="36">
        <v>500</v>
      </c>
      <c r="L1192" s="34" t="s">
        <v>17</v>
      </c>
      <c r="M1192" s="57">
        <v>33583</v>
      </c>
      <c r="N1192" s="37">
        <f>(YEAR(TablaMadre[[#This Row],[ALTA]])-YEAR(M1192))</f>
        <v>30</v>
      </c>
      <c r="O1192" s="34" t="s">
        <v>95</v>
      </c>
      <c r="P1192" s="34" t="s">
        <v>95</v>
      </c>
      <c r="Q1192" s="34" t="s">
        <v>321</v>
      </c>
      <c r="R1192" s="58" t="s">
        <v>30</v>
      </c>
      <c r="S1192" s="34" t="s">
        <v>321</v>
      </c>
      <c r="T1192" s="34"/>
      <c r="U1192" s="34"/>
      <c r="V1192" s="34" t="s">
        <v>90</v>
      </c>
      <c r="W1192" s="34" t="s">
        <v>97</v>
      </c>
      <c r="X1192" s="38" t="s">
        <v>164</v>
      </c>
      <c r="Y1192" s="62"/>
      <c r="Z1192" s="38" t="e">
        <f t="shared" si="55"/>
        <v>#NUM!</v>
      </c>
      <c r="AA1192" s="38"/>
      <c r="AB1192" s="34"/>
      <c r="AC1192" s="34"/>
      <c r="AD1192" s="38"/>
      <c r="AE1192" s="59" t="str">
        <f t="shared" si="56"/>
        <v>SÍ</v>
      </c>
      <c r="AF1192" s="38" t="e" cm="1">
        <f t="array" aca="1" ref="AF1192" ca="1">MIN(100, MAX(0, (IF(R1192="ESTUDIANTE", 31, 0)) + (IF(I1192&lt;=3, 30, IF(I1192&lt;=6, 20, 0))) +(IF(OR(E1192="413 - Control de Costes y Enlace Construcción", E1192="480 - Secretaría General del Consejo", E1192="132 - Civil y estructuras", E1192="136 - Mecánica", E1192="412 - Planificación", E1192="142 - Compras"), 25, 0)) +(IF(OR(S1192="GRADO ING. MECÁNICA", S1192="GRADO ING. ELÉCTRICA", S1192="GRADO DERECHO", S1192="GRADO ECONOMÍA", S1192="GRADO ING. TECNOLOGÍAS INDUSTRIALES"), 24, 0)) + (IF(AND(K1192&gt;=451, K1192&lt;=700), 23, 0)) + (IF(AND(AB1192&gt;=5, AB1192&lt;=8), 17, 0)) +(IF(_xludf.OR(_xludf.AND(AC1192&gt;=8, AC1192&lt;=10), _xludf.AND(AC1192&gt;=0, AC1192&lt;=5)), 16, 0)) + (IF(F1192="Madrid", 11, 0))))</f>
        <v>#NAME?</v>
      </c>
      <c r="AG1192" s="68"/>
      <c r="AH1192" s="71" t="s">
        <v>164</v>
      </c>
    </row>
    <row r="1193" spans="1:34" ht="14.4" x14ac:dyDescent="0.3">
      <c r="A1193" s="66" t="s">
        <v>2171</v>
      </c>
      <c r="B1193" s="66" t="s">
        <v>4288</v>
      </c>
      <c r="C1193" s="33">
        <v>1192</v>
      </c>
      <c r="D1193" s="33" t="s">
        <v>5401</v>
      </c>
      <c r="E1193" s="34" t="s">
        <v>5246</v>
      </c>
      <c r="F1193" s="34" t="s">
        <v>931</v>
      </c>
      <c r="G1193" s="57">
        <v>44343</v>
      </c>
      <c r="H1193" s="57">
        <v>44708</v>
      </c>
      <c r="I1193" s="34">
        <f t="shared" si="54"/>
        <v>12</v>
      </c>
      <c r="J1193" s="34">
        <v>40</v>
      </c>
      <c r="K1193" s="36">
        <v>500</v>
      </c>
      <c r="L1193" s="34" t="s">
        <v>17</v>
      </c>
      <c r="M1193" s="57">
        <v>33644</v>
      </c>
      <c r="N1193" s="37">
        <f>(YEAR(TablaMadre[[#This Row],[ALTA]])-YEAR(M1193))</f>
        <v>29</v>
      </c>
      <c r="O1193" s="34" t="s">
        <v>95</v>
      </c>
      <c r="P1193" s="34" t="s">
        <v>95</v>
      </c>
      <c r="Q1193" s="34" t="s">
        <v>277</v>
      </c>
      <c r="R1193" s="58" t="s">
        <v>30</v>
      </c>
      <c r="S1193" s="34" t="s">
        <v>277</v>
      </c>
      <c r="T1193" s="34"/>
      <c r="U1193" s="34"/>
      <c r="V1193" s="34" t="s">
        <v>90</v>
      </c>
      <c r="W1193" s="34" t="s">
        <v>97</v>
      </c>
      <c r="X1193" s="38" t="s">
        <v>164</v>
      </c>
      <c r="Y1193" s="62"/>
      <c r="Z1193" s="38" t="e">
        <f t="shared" si="55"/>
        <v>#NUM!</v>
      </c>
      <c r="AA1193" s="38"/>
      <c r="AB1193" s="34"/>
      <c r="AC1193" s="34"/>
      <c r="AD1193" s="38"/>
      <c r="AE1193" s="59" t="str">
        <f t="shared" si="56"/>
        <v>SÍ</v>
      </c>
      <c r="AF1193" s="38" t="e" cm="1">
        <f t="array" aca="1" ref="AF1193" ca="1">MIN(100, MAX(0, (IF(R1193="ESTUDIANTE", 31, 0)) + (IF(I1193&lt;=3, 30, IF(I1193&lt;=6, 20, 0))) +(IF(OR(E1193="413 - Control de Costes y Enlace Construcción", E1193="480 - Secretaría General del Consejo", E1193="132 - Civil y estructuras", E1193="136 - Mecánica", E1193="412 - Planificación", E1193="142 - Compras"), 25, 0)) +(IF(OR(S1193="GRADO ING. MECÁNICA", S1193="GRADO ING. ELÉCTRICA", S1193="GRADO DERECHO", S1193="GRADO ECONOMÍA", S1193="GRADO ING. TECNOLOGÍAS INDUSTRIALES"), 24, 0)) + (IF(AND(K1193&gt;=451, K1193&lt;=700), 23, 0)) + (IF(AND(AB1193&gt;=5, AB1193&lt;=8), 17, 0)) +(IF(_xludf.OR(_xludf.AND(AC1193&gt;=8, AC1193&lt;=10), _xludf.AND(AC1193&gt;=0, AC1193&lt;=5)), 16, 0)) + (IF(F1193="Madrid", 11, 0))))</f>
        <v>#NAME?</v>
      </c>
      <c r="AG1193" s="68"/>
      <c r="AH1193" s="71" t="s">
        <v>164</v>
      </c>
    </row>
    <row r="1194" spans="1:34" ht="14.4" x14ac:dyDescent="0.3">
      <c r="A1194" s="66" t="s">
        <v>2172</v>
      </c>
      <c r="B1194" s="66" t="s">
        <v>4289</v>
      </c>
      <c r="C1194" s="33">
        <v>1193</v>
      </c>
      <c r="D1194" s="33" t="s">
        <v>5402</v>
      </c>
      <c r="E1194" s="34" t="s">
        <v>5222</v>
      </c>
      <c r="F1194" s="34" t="s">
        <v>931</v>
      </c>
      <c r="G1194" s="57">
        <v>44343</v>
      </c>
      <c r="H1194" s="57">
        <v>44708</v>
      </c>
      <c r="I1194" s="34">
        <f t="shared" si="54"/>
        <v>12</v>
      </c>
      <c r="J1194" s="34">
        <v>40</v>
      </c>
      <c r="K1194" s="36">
        <v>500</v>
      </c>
      <c r="L1194" s="34" t="s">
        <v>17</v>
      </c>
      <c r="M1194" s="57">
        <v>32925</v>
      </c>
      <c r="N1194" s="37">
        <f>(YEAR(TablaMadre[[#This Row],[ALTA]])-YEAR(M1194))</f>
        <v>31</v>
      </c>
      <c r="O1194" s="34" t="s">
        <v>95</v>
      </c>
      <c r="P1194" s="34" t="s">
        <v>95</v>
      </c>
      <c r="Q1194" s="34" t="s">
        <v>321</v>
      </c>
      <c r="R1194" s="58" t="s">
        <v>30</v>
      </c>
      <c r="S1194" s="34" t="s">
        <v>321</v>
      </c>
      <c r="T1194" s="34"/>
      <c r="U1194" s="34"/>
      <c r="V1194" s="34" t="s">
        <v>90</v>
      </c>
      <c r="W1194" s="34" t="s">
        <v>97</v>
      </c>
      <c r="X1194" s="38" t="s">
        <v>164</v>
      </c>
      <c r="Y1194" s="62"/>
      <c r="Z1194" s="38" t="e">
        <f t="shared" si="55"/>
        <v>#NUM!</v>
      </c>
      <c r="AA1194" s="38"/>
      <c r="AB1194" s="34"/>
      <c r="AC1194" s="34"/>
      <c r="AD1194" s="38"/>
      <c r="AE1194" s="59" t="str">
        <f t="shared" si="56"/>
        <v>SÍ</v>
      </c>
      <c r="AF1194" s="38" t="e" cm="1">
        <f t="array" aca="1" ref="AF1194" ca="1">MIN(100, MAX(0, (IF(R1194="ESTUDIANTE", 31, 0)) + (IF(I1194&lt;=3, 30, IF(I1194&lt;=6, 20, 0))) +(IF(OR(E1194="413 - Control de Costes y Enlace Construcción", E1194="480 - Secretaría General del Consejo", E1194="132 - Civil y estructuras", E1194="136 - Mecánica", E1194="412 - Planificación", E1194="142 - Compras"), 25, 0)) +(IF(OR(S1194="GRADO ING. MECÁNICA", S1194="GRADO ING. ELÉCTRICA", S1194="GRADO DERECHO", S1194="GRADO ECONOMÍA", S1194="GRADO ING. TECNOLOGÍAS INDUSTRIALES"), 24, 0)) + (IF(AND(K1194&gt;=451, K1194&lt;=700), 23, 0)) + (IF(AND(AB1194&gt;=5, AB1194&lt;=8), 17, 0)) +(IF(_xludf.OR(_xludf.AND(AC1194&gt;=8, AC1194&lt;=10), _xludf.AND(AC1194&gt;=0, AC1194&lt;=5)), 16, 0)) + (IF(F1194="Madrid", 11, 0))))</f>
        <v>#NAME?</v>
      </c>
      <c r="AG1194" s="68"/>
      <c r="AH1194" s="71" t="s">
        <v>164</v>
      </c>
    </row>
    <row r="1195" spans="1:34" ht="14.4" x14ac:dyDescent="0.3">
      <c r="A1195" s="66" t="s">
        <v>2173</v>
      </c>
      <c r="B1195" s="66" t="s">
        <v>4290</v>
      </c>
      <c r="C1195" s="33">
        <v>1194</v>
      </c>
      <c r="D1195" s="33" t="s">
        <v>5393</v>
      </c>
      <c r="E1195" s="34" t="s">
        <v>5252</v>
      </c>
      <c r="F1195" s="34" t="s">
        <v>931</v>
      </c>
      <c r="G1195" s="57">
        <v>44343</v>
      </c>
      <c r="H1195" s="57">
        <v>44708</v>
      </c>
      <c r="I1195" s="34">
        <f t="shared" si="54"/>
        <v>12</v>
      </c>
      <c r="J1195" s="34">
        <v>40</v>
      </c>
      <c r="K1195" s="36">
        <v>500</v>
      </c>
      <c r="L1195" s="34" t="s">
        <v>17</v>
      </c>
      <c r="M1195" s="57">
        <v>33909</v>
      </c>
      <c r="N1195" s="37">
        <f>(YEAR(TablaMadre[[#This Row],[ALTA]])-YEAR(M1195))</f>
        <v>29</v>
      </c>
      <c r="O1195" s="34" t="s">
        <v>95</v>
      </c>
      <c r="P1195" s="34" t="s">
        <v>95</v>
      </c>
      <c r="Q1195" s="34" t="s">
        <v>136</v>
      </c>
      <c r="R1195" s="58" t="s">
        <v>30</v>
      </c>
      <c r="S1195" s="34" t="s">
        <v>136</v>
      </c>
      <c r="T1195" s="34"/>
      <c r="U1195" s="34"/>
      <c r="V1195" s="34" t="s">
        <v>90</v>
      </c>
      <c r="W1195" s="34" t="s">
        <v>97</v>
      </c>
      <c r="X1195" s="38" t="s">
        <v>164</v>
      </c>
      <c r="Y1195" s="62"/>
      <c r="Z1195" s="38" t="e">
        <f t="shared" si="55"/>
        <v>#NUM!</v>
      </c>
      <c r="AA1195" s="38"/>
      <c r="AB1195" s="34"/>
      <c r="AC1195" s="34"/>
      <c r="AD1195" s="38"/>
      <c r="AE1195" s="59" t="str">
        <f t="shared" si="56"/>
        <v>SÍ</v>
      </c>
      <c r="AF1195" s="38" t="e" cm="1">
        <f t="array" aca="1" ref="AF1195" ca="1">MIN(100, MAX(0, (IF(R1195="ESTUDIANTE", 31, 0)) + (IF(I1195&lt;=3, 30, IF(I1195&lt;=6, 20, 0))) +(IF(OR(E1195="413 - Control de Costes y Enlace Construcción", E1195="480 - Secretaría General del Consejo", E1195="132 - Civil y estructuras", E1195="136 - Mecánica", E1195="412 - Planificación", E1195="142 - Compras"), 25, 0)) +(IF(OR(S1195="GRADO ING. MECÁNICA", S1195="GRADO ING. ELÉCTRICA", S1195="GRADO DERECHO", S1195="GRADO ECONOMÍA", S1195="GRADO ING. TECNOLOGÍAS INDUSTRIALES"), 24, 0)) + (IF(AND(K1195&gt;=451, K1195&lt;=700), 23, 0)) + (IF(AND(AB1195&gt;=5, AB1195&lt;=8), 17, 0)) +(IF(_xludf.OR(_xludf.AND(AC1195&gt;=8, AC1195&lt;=10), _xludf.AND(AC1195&gt;=0, AC1195&lt;=5)), 16, 0)) + (IF(F1195="Madrid", 11, 0))))</f>
        <v>#NAME?</v>
      </c>
      <c r="AG1195" s="68"/>
      <c r="AH1195" s="71" t="s">
        <v>164</v>
      </c>
    </row>
    <row r="1196" spans="1:34" ht="14.4" x14ac:dyDescent="0.3">
      <c r="A1196" s="66" t="s">
        <v>2174</v>
      </c>
      <c r="B1196" s="66" t="s">
        <v>4291</v>
      </c>
      <c r="C1196" s="33">
        <v>1195</v>
      </c>
      <c r="D1196" s="33" t="s">
        <v>5394</v>
      </c>
      <c r="E1196" s="34" t="s">
        <v>5222</v>
      </c>
      <c r="F1196" s="34" t="s">
        <v>931</v>
      </c>
      <c r="G1196" s="57">
        <v>44343</v>
      </c>
      <c r="H1196" s="57">
        <v>44708</v>
      </c>
      <c r="I1196" s="34">
        <f t="shared" si="54"/>
        <v>12</v>
      </c>
      <c r="J1196" s="34">
        <v>40</v>
      </c>
      <c r="K1196" s="36">
        <v>500</v>
      </c>
      <c r="L1196" s="34" t="s">
        <v>17</v>
      </c>
      <c r="M1196" s="57">
        <v>33660</v>
      </c>
      <c r="N1196" s="37">
        <f>(YEAR(TablaMadre[[#This Row],[ALTA]])-YEAR(M1196))</f>
        <v>29</v>
      </c>
      <c r="O1196" s="34" t="s">
        <v>95</v>
      </c>
      <c r="P1196" s="34" t="s">
        <v>95</v>
      </c>
      <c r="Q1196" s="34" t="s">
        <v>321</v>
      </c>
      <c r="R1196" s="58" t="s">
        <v>30</v>
      </c>
      <c r="S1196" s="34" t="s">
        <v>321</v>
      </c>
      <c r="T1196" s="34"/>
      <c r="U1196" s="34"/>
      <c r="V1196" s="34" t="s">
        <v>90</v>
      </c>
      <c r="W1196" s="34" t="s">
        <v>97</v>
      </c>
      <c r="X1196" s="38" t="s">
        <v>164</v>
      </c>
      <c r="Y1196" s="62"/>
      <c r="Z1196" s="38" t="e">
        <f t="shared" si="55"/>
        <v>#NUM!</v>
      </c>
      <c r="AA1196" s="38"/>
      <c r="AB1196" s="34"/>
      <c r="AC1196" s="34"/>
      <c r="AD1196" s="38"/>
      <c r="AE1196" s="59" t="str">
        <f t="shared" si="56"/>
        <v>SÍ</v>
      </c>
      <c r="AF1196" s="38" t="e" cm="1">
        <f t="array" aca="1" ref="AF1196" ca="1">MIN(100, MAX(0, (IF(R1196="ESTUDIANTE", 31, 0)) + (IF(I1196&lt;=3, 30, IF(I1196&lt;=6, 20, 0))) +(IF(OR(E1196="413 - Control de Costes y Enlace Construcción", E1196="480 - Secretaría General del Consejo", E1196="132 - Civil y estructuras", E1196="136 - Mecánica", E1196="412 - Planificación", E1196="142 - Compras"), 25, 0)) +(IF(OR(S1196="GRADO ING. MECÁNICA", S1196="GRADO ING. ELÉCTRICA", S1196="GRADO DERECHO", S1196="GRADO ECONOMÍA", S1196="GRADO ING. TECNOLOGÍAS INDUSTRIALES"), 24, 0)) + (IF(AND(K1196&gt;=451, K1196&lt;=700), 23, 0)) + (IF(AND(AB1196&gt;=5, AB1196&lt;=8), 17, 0)) +(IF(_xludf.OR(_xludf.AND(AC1196&gt;=8, AC1196&lt;=10), _xludf.AND(AC1196&gt;=0, AC1196&lt;=5)), 16, 0)) + (IF(F1196="Madrid", 11, 0))))</f>
        <v>#NAME?</v>
      </c>
      <c r="AG1196" s="68"/>
      <c r="AH1196" s="71" t="s">
        <v>164</v>
      </c>
    </row>
    <row r="1197" spans="1:34" ht="14.4" x14ac:dyDescent="0.3">
      <c r="A1197" s="66" t="s">
        <v>2175</v>
      </c>
      <c r="B1197" s="66" t="s">
        <v>4292</v>
      </c>
      <c r="C1197" s="33">
        <v>1196</v>
      </c>
      <c r="D1197" s="33" t="s">
        <v>5403</v>
      </c>
      <c r="E1197" s="34" t="s">
        <v>5218</v>
      </c>
      <c r="F1197" s="34" t="s">
        <v>931</v>
      </c>
      <c r="G1197" s="57">
        <v>44376</v>
      </c>
      <c r="H1197" s="57">
        <v>44651</v>
      </c>
      <c r="I1197" s="34">
        <f t="shared" si="54"/>
        <v>9</v>
      </c>
      <c r="J1197" s="34">
        <v>40</v>
      </c>
      <c r="K1197" s="36">
        <v>500</v>
      </c>
      <c r="L1197" s="34" t="s">
        <v>17</v>
      </c>
      <c r="M1197" s="57">
        <v>34700</v>
      </c>
      <c r="N1197" s="37">
        <f>(YEAR(TablaMadre[[#This Row],[ALTA]])-YEAR(M1197))</f>
        <v>26</v>
      </c>
      <c r="O1197" s="34" t="s">
        <v>95</v>
      </c>
      <c r="P1197" s="34" t="s">
        <v>95</v>
      </c>
      <c r="Q1197" s="34" t="s">
        <v>151</v>
      </c>
      <c r="R1197" s="58" t="s">
        <v>30</v>
      </c>
      <c r="S1197" s="34" t="s">
        <v>151</v>
      </c>
      <c r="T1197" s="34"/>
      <c r="U1197" s="34"/>
      <c r="V1197" s="34" t="s">
        <v>90</v>
      </c>
      <c r="W1197" s="34" t="s">
        <v>183</v>
      </c>
      <c r="X1197" s="38" t="s">
        <v>164</v>
      </c>
      <c r="Y1197" s="62"/>
      <c r="Z1197" s="62" t="e">
        <f t="shared" si="55"/>
        <v>#NUM!</v>
      </c>
      <c r="AA1197" s="62"/>
      <c r="AB1197" s="34"/>
      <c r="AC1197" s="34"/>
      <c r="AD1197" s="38"/>
      <c r="AE1197" s="59" t="str">
        <f t="shared" si="56"/>
        <v>SÍ</v>
      </c>
      <c r="AF1197" s="38" t="e" cm="1">
        <f t="array" aca="1" ref="AF1197" ca="1">MIN(100, MAX(0, (IF(R1197="ESTUDIANTE", 31, 0)) + (IF(I1197&lt;=3, 30, IF(I1197&lt;=6, 20, 0))) +(IF(OR(E1197="413 - Control de Costes y Enlace Construcción", E1197="480 - Secretaría General del Consejo", E1197="132 - Civil y estructuras", E1197="136 - Mecánica", E1197="412 - Planificación", E1197="142 - Compras"), 25, 0)) +(IF(OR(S1197="GRADO ING. MECÁNICA", S1197="GRADO ING. ELÉCTRICA", S1197="GRADO DERECHO", S1197="GRADO ECONOMÍA", S1197="GRADO ING. TECNOLOGÍAS INDUSTRIALES"), 24, 0)) + (IF(AND(K1197&gt;=451, K1197&lt;=700), 23, 0)) + (IF(AND(AB1197&gt;=5, AB1197&lt;=8), 17, 0)) +(IF(_xludf.OR(_xludf.AND(AC1197&gt;=8, AC1197&lt;=10), _xludf.AND(AC1197&gt;=0, AC1197&lt;=5)), 16, 0)) + (IF(F1197="Madrid", 11, 0))))</f>
        <v>#NAME?</v>
      </c>
      <c r="AG1197" s="68"/>
      <c r="AH1197" s="71" t="s">
        <v>164</v>
      </c>
    </row>
    <row r="1198" spans="1:34" ht="14.4" x14ac:dyDescent="0.3">
      <c r="A1198" s="66" t="s">
        <v>1484</v>
      </c>
      <c r="B1198" s="66" t="s">
        <v>3601</v>
      </c>
      <c r="C1198" s="33">
        <v>1197</v>
      </c>
      <c r="D1198" s="33" t="s">
        <v>5404</v>
      </c>
      <c r="E1198" s="34" t="s">
        <v>5311</v>
      </c>
      <c r="F1198" s="34" t="s">
        <v>18</v>
      </c>
      <c r="G1198" s="57">
        <v>44378</v>
      </c>
      <c r="H1198" s="57">
        <v>44742</v>
      </c>
      <c r="I1198" s="34">
        <f t="shared" si="54"/>
        <v>11</v>
      </c>
      <c r="J1198" s="34">
        <v>20</v>
      </c>
      <c r="K1198" s="36">
        <v>480</v>
      </c>
      <c r="L1198" s="34" t="s">
        <v>17</v>
      </c>
      <c r="M1198" s="57">
        <v>35249</v>
      </c>
      <c r="N1198" s="37">
        <f>(YEAR(TablaMadre[[#This Row],[ALTA]])-YEAR(M1198))</f>
        <v>25</v>
      </c>
      <c r="O1198" s="34" t="s">
        <v>153</v>
      </c>
      <c r="P1198" s="34" t="s">
        <v>153</v>
      </c>
      <c r="Q1198" s="34" t="s">
        <v>297</v>
      </c>
      <c r="R1198" s="58" t="s">
        <v>30</v>
      </c>
      <c r="S1198" s="34" t="s">
        <v>297</v>
      </c>
      <c r="T1198" s="34"/>
      <c r="U1198" s="34"/>
      <c r="V1198" s="34" t="s">
        <v>22</v>
      </c>
      <c r="W1198" s="34" t="s">
        <v>28</v>
      </c>
      <c r="X1198" s="38" t="s">
        <v>173</v>
      </c>
      <c r="Y1198" s="62"/>
      <c r="Z1198" s="38" t="e">
        <f t="shared" si="55"/>
        <v>#NUM!</v>
      </c>
      <c r="AA1198" s="38" t="s">
        <v>173</v>
      </c>
      <c r="AB1198" s="34">
        <v>6</v>
      </c>
      <c r="AC1198" s="34">
        <v>9</v>
      </c>
      <c r="AD1198" s="38"/>
      <c r="AE1198" s="59" t="str">
        <f t="shared" si="56"/>
        <v>SÍ</v>
      </c>
      <c r="AF1198" s="38" t="e" cm="1">
        <f t="array" aca="1" ref="AF1198" ca="1">MIN(100, MAX(0, (IF(R1198="ESTUDIANTE", 31, 0)) + (IF(I1198&lt;=3, 30, IF(I1198&lt;=6, 20, 0))) +(IF(OR(E1198="413 - Control de Costes y Enlace Construcción", E1198="480 - Secretaría General del Consejo", E1198="132 - Civil y estructuras", E1198="136 - Mecánica", E1198="412 - Planificación", E1198="142 - Compras"), 25, 0)) +(IF(OR(S1198="GRADO ING. MECÁNICA", S1198="GRADO ING. ELÉCTRICA", S1198="GRADO DERECHO", S1198="GRADO ECONOMÍA", S1198="GRADO ING. TECNOLOGÍAS INDUSTRIALES"), 24, 0)) + (IF(AND(K1198&gt;=451, K1198&lt;=700), 23, 0)) + (IF(AND(AB1198&gt;=5, AB1198&lt;=8), 17, 0)) +(IF(_xludf.OR(_xludf.AND(AC1198&gt;=8, AC1198&lt;=10), _xludf.AND(AC1198&gt;=0, AC1198&lt;=5)), 16, 0)) + (IF(F1198="Madrid", 11, 0))))</f>
        <v>#NAME?</v>
      </c>
      <c r="AG1198" s="68"/>
      <c r="AH1198" s="71" t="s">
        <v>164</v>
      </c>
    </row>
    <row r="1199" spans="1:34" ht="14.4" x14ac:dyDescent="0.3">
      <c r="A1199" s="66" t="s">
        <v>2177</v>
      </c>
      <c r="B1199" s="66" t="s">
        <v>4294</v>
      </c>
      <c r="C1199" s="33">
        <v>1198</v>
      </c>
      <c r="D1199" s="33" t="s">
        <v>5405</v>
      </c>
      <c r="E1199" s="34" t="s">
        <v>5312</v>
      </c>
      <c r="F1199" s="34" t="s">
        <v>18</v>
      </c>
      <c r="G1199" s="57">
        <v>44403</v>
      </c>
      <c r="H1199" s="57">
        <v>44586</v>
      </c>
      <c r="I1199" s="34">
        <f t="shared" si="54"/>
        <v>5</v>
      </c>
      <c r="J1199" s="34">
        <v>35</v>
      </c>
      <c r="K1199" s="36">
        <v>825</v>
      </c>
      <c r="L1199" s="34" t="s">
        <v>17</v>
      </c>
      <c r="M1199" s="57">
        <v>35121</v>
      </c>
      <c r="N1199" s="37">
        <f>(YEAR(TablaMadre[[#This Row],[ALTA]])-YEAR(M1199))</f>
        <v>25</v>
      </c>
      <c r="O1199" s="34" t="s">
        <v>18</v>
      </c>
      <c r="P1199" s="34" t="s">
        <v>19</v>
      </c>
      <c r="Q1199" s="34" t="s">
        <v>297</v>
      </c>
      <c r="R1199" s="34" t="s">
        <v>21</v>
      </c>
      <c r="S1199" s="34" t="s">
        <v>297</v>
      </c>
      <c r="T1199" s="34"/>
      <c r="U1199" s="34"/>
      <c r="V1199" s="34" t="s">
        <v>84</v>
      </c>
      <c r="W1199" s="34" t="s">
        <v>181</v>
      </c>
      <c r="X1199" s="38" t="s">
        <v>164</v>
      </c>
      <c r="Y1199" s="62"/>
      <c r="Z1199" s="62" t="e">
        <f t="shared" si="55"/>
        <v>#NUM!</v>
      </c>
      <c r="AA1199" s="62"/>
      <c r="AB1199" s="34">
        <v>8</v>
      </c>
      <c r="AC1199" s="34">
        <v>8</v>
      </c>
      <c r="AD1199" s="38"/>
      <c r="AE1199" s="59" t="str">
        <f t="shared" si="56"/>
        <v>NO</v>
      </c>
      <c r="AF1199" s="38" t="e" cm="1">
        <f t="array" aca="1" ref="AF1199" ca="1">MIN(100, MAX(0, (IF(R1199="ESTUDIANTE", 31, 0)) + (IF(I1199&lt;=3, 30, IF(I1199&lt;=6, 20, 0))) +(IF(OR(E1199="413 - Control de Costes y Enlace Construcción", E1199="480 - Secretaría General del Consejo", E1199="132 - Civil y estructuras", E1199="136 - Mecánica", E1199="412 - Planificación", E1199="142 - Compras"), 25, 0)) +(IF(OR(S1199="GRADO ING. MECÁNICA", S1199="GRADO ING. ELÉCTRICA", S1199="GRADO DERECHO", S1199="GRADO ECONOMÍA", S1199="GRADO ING. TECNOLOGÍAS INDUSTRIALES"), 24, 0)) + (IF(AND(K1199&gt;=451, K1199&lt;=700), 23, 0)) + (IF(AND(AB1199&gt;=5, AB1199&lt;=8), 17, 0)) +(IF(_xludf.OR(_xludf.AND(AC1199&gt;=8, AC1199&lt;=10), _xludf.AND(AC1199&gt;=0, AC1199&lt;=5)), 16, 0)) + (IF(F1199="Madrid", 11, 0))))</f>
        <v>#NAME?</v>
      </c>
      <c r="AG1199" s="68"/>
      <c r="AH1199" s="71" t="s">
        <v>164</v>
      </c>
    </row>
    <row r="1200" spans="1:34" ht="14.4" x14ac:dyDescent="0.3">
      <c r="A1200" s="66" t="s">
        <v>2178</v>
      </c>
      <c r="B1200" s="66" t="s">
        <v>4295</v>
      </c>
      <c r="C1200" s="33">
        <v>1199</v>
      </c>
      <c r="D1200" s="33" t="s">
        <v>5396</v>
      </c>
      <c r="E1200" s="34" t="s">
        <v>5312</v>
      </c>
      <c r="F1200" s="34" t="s">
        <v>18</v>
      </c>
      <c r="G1200" s="57">
        <v>44403</v>
      </c>
      <c r="H1200" s="57">
        <v>44649</v>
      </c>
      <c r="I1200" s="34">
        <f t="shared" si="54"/>
        <v>8</v>
      </c>
      <c r="J1200" s="34">
        <v>35</v>
      </c>
      <c r="K1200" s="36">
        <v>825</v>
      </c>
      <c r="L1200" s="34" t="s">
        <v>29</v>
      </c>
      <c r="M1200" s="57">
        <v>34752</v>
      </c>
      <c r="N1200" s="37">
        <f>(YEAR(TablaMadre[[#This Row],[ALTA]])-YEAR(M1200))</f>
        <v>26</v>
      </c>
      <c r="O1200" s="34" t="s">
        <v>18</v>
      </c>
      <c r="P1200" s="34" t="s">
        <v>19</v>
      </c>
      <c r="Q1200" s="34" t="s">
        <v>321</v>
      </c>
      <c r="R1200" s="34" t="s">
        <v>21</v>
      </c>
      <c r="S1200" s="34" t="s">
        <v>321</v>
      </c>
      <c r="T1200" s="34"/>
      <c r="U1200" s="34"/>
      <c r="V1200" s="34" t="s">
        <v>22</v>
      </c>
      <c r="W1200" s="34" t="s">
        <v>28</v>
      </c>
      <c r="X1200" s="38" t="s">
        <v>173</v>
      </c>
      <c r="Y1200" s="62"/>
      <c r="Z1200" s="38" t="e">
        <f t="shared" si="55"/>
        <v>#NUM!</v>
      </c>
      <c r="AA1200" s="38"/>
      <c r="AB1200" s="34">
        <v>9</v>
      </c>
      <c r="AC1200" s="34">
        <v>10</v>
      </c>
      <c r="AD1200" s="38"/>
      <c r="AE1200" s="59" t="str">
        <f t="shared" si="56"/>
        <v>NO</v>
      </c>
      <c r="AF1200" s="38" t="e" cm="1">
        <f t="array" aca="1" ref="AF1200" ca="1">MIN(100, MAX(0, (IF(R1200="ESTUDIANTE", 31, 0)) + (IF(I1200&lt;=3, 30, IF(I1200&lt;=6, 20, 0))) +(IF(OR(E1200="413 - Control de Costes y Enlace Construcción", E1200="480 - Secretaría General del Consejo", E1200="132 - Civil y estructuras", E1200="136 - Mecánica", E1200="412 - Planificación", E1200="142 - Compras"), 25, 0)) +(IF(OR(S1200="GRADO ING. MECÁNICA", S1200="GRADO ING. ELÉCTRICA", S1200="GRADO DERECHO", S1200="GRADO ECONOMÍA", S1200="GRADO ING. TECNOLOGÍAS INDUSTRIALES"), 24, 0)) + (IF(AND(K1200&gt;=451, K1200&lt;=700), 23, 0)) + (IF(AND(AB1200&gt;=5, AB1200&lt;=8), 17, 0)) +(IF(_xludf.OR(_xludf.AND(AC1200&gt;=8, AC1200&lt;=10), _xludf.AND(AC1200&gt;=0, AC1200&lt;=5)), 16, 0)) + (IF(F1200="Madrid", 11, 0))))</f>
        <v>#NAME?</v>
      </c>
      <c r="AG1200" s="68"/>
      <c r="AH1200" s="71" t="s">
        <v>164</v>
      </c>
    </row>
    <row r="1201" spans="1:34" ht="14.4" x14ac:dyDescent="0.3">
      <c r="A1201" s="66" t="s">
        <v>2179</v>
      </c>
      <c r="B1201" s="66" t="s">
        <v>4296</v>
      </c>
      <c r="C1201" s="33">
        <v>1200</v>
      </c>
      <c r="D1201" s="33" t="s">
        <v>5397</v>
      </c>
      <c r="E1201" s="34" t="s">
        <v>5313</v>
      </c>
      <c r="F1201" s="34" t="s">
        <v>18</v>
      </c>
      <c r="G1201" s="57">
        <v>44440</v>
      </c>
      <c r="H1201" s="57">
        <v>44456</v>
      </c>
      <c r="I1201" s="34">
        <f t="shared" si="54"/>
        <v>0</v>
      </c>
      <c r="J1201" s="34">
        <v>35</v>
      </c>
      <c r="K1201" s="36">
        <v>825</v>
      </c>
      <c r="L1201" s="34" t="s">
        <v>17</v>
      </c>
      <c r="M1201" s="57">
        <v>33585</v>
      </c>
      <c r="N1201" s="37">
        <f>(YEAR(TablaMadre[[#This Row],[ALTA]])-YEAR(M1201))</f>
        <v>30</v>
      </c>
      <c r="O1201" s="34" t="s">
        <v>18</v>
      </c>
      <c r="P1201" s="34" t="s">
        <v>19</v>
      </c>
      <c r="Q1201" s="34" t="s">
        <v>151</v>
      </c>
      <c r="R1201" s="34" t="s">
        <v>21</v>
      </c>
      <c r="S1201" s="34" t="s">
        <v>151</v>
      </c>
      <c r="T1201" s="34"/>
      <c r="U1201" s="34"/>
      <c r="V1201" s="34" t="s">
        <v>22</v>
      </c>
      <c r="W1201" s="34" t="s">
        <v>47</v>
      </c>
      <c r="X1201" s="38" t="s">
        <v>164</v>
      </c>
      <c r="Y1201" s="62"/>
      <c r="Z1201" s="62" t="e">
        <f t="shared" si="55"/>
        <v>#NUM!</v>
      </c>
      <c r="AA1201" s="62"/>
      <c r="AB1201" s="34"/>
      <c r="AC1201" s="34"/>
      <c r="AD1201" s="38"/>
      <c r="AE1201" s="59" t="str">
        <f t="shared" si="56"/>
        <v>NO</v>
      </c>
      <c r="AF1201" s="38" t="e" cm="1">
        <f t="array" aca="1" ref="AF1201" ca="1">MIN(100, MAX(0, (IF(R1201="ESTUDIANTE", 31, 0)) + (IF(I1201&lt;=3, 30, IF(I1201&lt;=6, 20, 0))) +(IF(OR(E1201="413 - Control de Costes y Enlace Construcción", E1201="480 - Secretaría General del Consejo", E1201="132 - Civil y estructuras", E1201="136 - Mecánica", E1201="412 - Planificación", E1201="142 - Compras"), 25, 0)) +(IF(OR(S1201="GRADO ING. MECÁNICA", S1201="GRADO ING. ELÉCTRICA", S1201="GRADO DERECHO", S1201="GRADO ECONOMÍA", S1201="GRADO ING. TECNOLOGÍAS INDUSTRIALES"), 24, 0)) + (IF(AND(K1201&gt;=451, K1201&lt;=700), 23, 0)) + (IF(AND(AB1201&gt;=5, AB1201&lt;=8), 17, 0)) +(IF(_xludf.OR(_xludf.AND(AC1201&gt;=8, AC1201&lt;=10), _xludf.AND(AC1201&gt;=0, AC1201&lt;=5)), 16, 0)) + (IF(F1201="Madrid", 11, 0))))</f>
        <v>#NAME?</v>
      </c>
      <c r="AG1201" s="68"/>
      <c r="AH1201" s="71" t="s">
        <v>164</v>
      </c>
    </row>
    <row r="1202" spans="1:34" ht="14.4" x14ac:dyDescent="0.3">
      <c r="A1202" s="66" t="s">
        <v>2180</v>
      </c>
      <c r="B1202" s="66" t="s">
        <v>4297</v>
      </c>
      <c r="C1202" s="33">
        <v>1201</v>
      </c>
      <c r="D1202" s="33" t="s">
        <v>5393</v>
      </c>
      <c r="E1202" s="34" t="s">
        <v>5313</v>
      </c>
      <c r="F1202" s="34" t="s">
        <v>18</v>
      </c>
      <c r="G1202" s="57">
        <v>44440</v>
      </c>
      <c r="H1202" s="57">
        <v>44560</v>
      </c>
      <c r="I1202" s="34">
        <f t="shared" si="54"/>
        <v>3</v>
      </c>
      <c r="J1202" s="34">
        <v>35</v>
      </c>
      <c r="K1202" s="36">
        <v>825</v>
      </c>
      <c r="L1202" s="34" t="s">
        <v>29</v>
      </c>
      <c r="M1202" s="57">
        <v>34818</v>
      </c>
      <c r="N1202" s="37">
        <f>(YEAR(TablaMadre[[#This Row],[ALTA]])-YEAR(M1202))</f>
        <v>26</v>
      </c>
      <c r="O1202" s="34" t="s">
        <v>18</v>
      </c>
      <c r="P1202" s="34" t="s">
        <v>19</v>
      </c>
      <c r="Q1202" s="34" t="s">
        <v>151</v>
      </c>
      <c r="R1202" s="34" t="s">
        <v>21</v>
      </c>
      <c r="S1202" s="34" t="s">
        <v>151</v>
      </c>
      <c r="T1202" s="34"/>
      <c r="U1202" s="34"/>
      <c r="V1202" s="34" t="s">
        <v>56</v>
      </c>
      <c r="W1202" s="34" t="s">
        <v>47</v>
      </c>
      <c r="X1202" s="38" t="s">
        <v>164</v>
      </c>
      <c r="Y1202" s="62"/>
      <c r="Z1202" s="62" t="e">
        <f t="shared" si="55"/>
        <v>#NUM!</v>
      </c>
      <c r="AA1202" s="62"/>
      <c r="AB1202" s="34">
        <v>9</v>
      </c>
      <c r="AC1202" s="34" t="s">
        <v>507</v>
      </c>
      <c r="AD1202" s="38"/>
      <c r="AE1202" s="59" t="str">
        <f t="shared" si="56"/>
        <v>NO</v>
      </c>
      <c r="AF1202" s="38" t="e" cm="1">
        <f t="array" aca="1" ref="AF1202" ca="1">MIN(100, MAX(0, (IF(R1202="ESTUDIANTE", 31, 0)) + (IF(I1202&lt;=3, 30, IF(I1202&lt;=6, 20, 0))) +(IF(OR(E1202="413 - Control de Costes y Enlace Construcción", E1202="480 - Secretaría General del Consejo", E1202="132 - Civil y estructuras", E1202="136 - Mecánica", E1202="412 - Planificación", E1202="142 - Compras"), 25, 0)) +(IF(OR(S1202="GRADO ING. MECÁNICA", S1202="GRADO ING. ELÉCTRICA", S1202="GRADO DERECHO", S1202="GRADO ECONOMÍA", S1202="GRADO ING. TECNOLOGÍAS INDUSTRIALES"), 24, 0)) + (IF(AND(K1202&gt;=451, K1202&lt;=700), 23, 0)) + (IF(AND(AB1202&gt;=5, AB1202&lt;=8), 17, 0)) +(IF(_xludf.OR(_xludf.AND(AC1202&gt;=8, AC1202&lt;=10), _xludf.AND(AC1202&gt;=0, AC1202&lt;=5)), 16, 0)) + (IF(F1202="Madrid", 11, 0))))</f>
        <v>#NAME?</v>
      </c>
      <c r="AG1202" s="68"/>
      <c r="AH1202" s="71" t="s">
        <v>164</v>
      </c>
    </row>
    <row r="1203" spans="1:34" ht="14.4" x14ac:dyDescent="0.3">
      <c r="A1203" s="66" t="s">
        <v>2181</v>
      </c>
      <c r="B1203" s="66" t="s">
        <v>4298</v>
      </c>
      <c r="C1203" s="33">
        <v>1202</v>
      </c>
      <c r="D1203" s="33" t="s">
        <v>5394</v>
      </c>
      <c r="E1203" s="34" t="s">
        <v>5314</v>
      </c>
      <c r="F1203" s="34" t="s">
        <v>18</v>
      </c>
      <c r="G1203" s="57">
        <v>44440</v>
      </c>
      <c r="H1203" s="57">
        <v>44727</v>
      </c>
      <c r="I1203" s="34">
        <f t="shared" si="54"/>
        <v>9</v>
      </c>
      <c r="J1203" s="34">
        <v>35</v>
      </c>
      <c r="K1203" s="36">
        <v>650</v>
      </c>
      <c r="L1203" s="34" t="s">
        <v>29</v>
      </c>
      <c r="M1203" s="57">
        <v>37232</v>
      </c>
      <c r="N1203" s="37">
        <f>(YEAR(TablaMadre[[#This Row],[ALTA]])-YEAR(M1203))</f>
        <v>20</v>
      </c>
      <c r="O1203" s="34" t="s">
        <v>18</v>
      </c>
      <c r="P1203" s="34" t="s">
        <v>19</v>
      </c>
      <c r="Q1203" s="34" t="s">
        <v>277</v>
      </c>
      <c r="R1203" s="58" t="s">
        <v>30</v>
      </c>
      <c r="S1203" s="34" t="s">
        <v>277</v>
      </c>
      <c r="T1203" s="34"/>
      <c r="U1203" s="34"/>
      <c r="V1203" s="34" t="s">
        <v>90</v>
      </c>
      <c r="W1203" s="34" t="s">
        <v>181</v>
      </c>
      <c r="X1203" s="38" t="s">
        <v>164</v>
      </c>
      <c r="Y1203" s="62"/>
      <c r="Z1203" s="62" t="e">
        <f t="shared" si="55"/>
        <v>#NUM!</v>
      </c>
      <c r="AA1203" s="62"/>
      <c r="AB1203" s="34">
        <v>7</v>
      </c>
      <c r="AC1203" s="34">
        <v>9</v>
      </c>
      <c r="AD1203" s="38"/>
      <c r="AE1203" s="59" t="str">
        <f t="shared" si="56"/>
        <v>NO</v>
      </c>
      <c r="AF1203" s="38" t="e" cm="1">
        <f t="array" aca="1" ref="AF1203" ca="1">MIN(100, MAX(0, (IF(R1203="ESTUDIANTE", 31, 0)) + (IF(I1203&lt;=3, 30, IF(I1203&lt;=6, 20, 0))) +(IF(OR(E1203="413 - Control de Costes y Enlace Construcción", E1203="480 - Secretaría General del Consejo", E1203="132 - Civil y estructuras", E1203="136 - Mecánica", E1203="412 - Planificación", E1203="142 - Compras"), 25, 0)) +(IF(OR(S1203="GRADO ING. MECÁNICA", S1203="GRADO ING. ELÉCTRICA", S1203="GRADO DERECHO", S1203="GRADO ECONOMÍA", S1203="GRADO ING. TECNOLOGÍAS INDUSTRIALES"), 24, 0)) + (IF(AND(K1203&gt;=451, K1203&lt;=700), 23, 0)) + (IF(AND(AB1203&gt;=5, AB1203&lt;=8), 17, 0)) +(IF(_xludf.OR(_xludf.AND(AC1203&gt;=8, AC1203&lt;=10), _xludf.AND(AC1203&gt;=0, AC1203&lt;=5)), 16, 0)) + (IF(F1203="Madrid", 11, 0))))</f>
        <v>#NAME?</v>
      </c>
      <c r="AG1203" s="68"/>
      <c r="AH1203" s="71" t="s">
        <v>164</v>
      </c>
    </row>
    <row r="1204" spans="1:34" ht="14.4" x14ac:dyDescent="0.3">
      <c r="A1204" s="66" t="s">
        <v>2182</v>
      </c>
      <c r="B1204" s="66" t="s">
        <v>4299</v>
      </c>
      <c r="C1204" s="33">
        <v>1203</v>
      </c>
      <c r="D1204" s="33" t="s">
        <v>5395</v>
      </c>
      <c r="E1204" s="34" t="s">
        <v>5235</v>
      </c>
      <c r="F1204" s="34" t="s">
        <v>18</v>
      </c>
      <c r="G1204" s="57">
        <v>44445</v>
      </c>
      <c r="H1204" s="57">
        <v>44712</v>
      </c>
      <c r="I1204" s="34">
        <f t="shared" si="54"/>
        <v>8</v>
      </c>
      <c r="J1204" s="34">
        <v>35</v>
      </c>
      <c r="K1204" s="36">
        <v>900</v>
      </c>
      <c r="L1204" s="34" t="s">
        <v>29</v>
      </c>
      <c r="M1204" s="57">
        <v>34899</v>
      </c>
      <c r="N1204" s="37">
        <f>(YEAR(TablaMadre[[#This Row],[ALTA]])-YEAR(M1204))</f>
        <v>26</v>
      </c>
      <c r="O1204" s="34" t="s">
        <v>18</v>
      </c>
      <c r="P1204" s="34" t="s">
        <v>19</v>
      </c>
      <c r="Q1204" s="34" t="s">
        <v>297</v>
      </c>
      <c r="R1204" s="34" t="s">
        <v>21</v>
      </c>
      <c r="S1204" s="34" t="s">
        <v>297</v>
      </c>
      <c r="T1204" s="34"/>
      <c r="U1204" s="34"/>
      <c r="V1204" s="34" t="s">
        <v>56</v>
      </c>
      <c r="W1204" s="34" t="s">
        <v>28</v>
      </c>
      <c r="X1204" s="38" t="s">
        <v>173</v>
      </c>
      <c r="Y1204" s="62"/>
      <c r="Z1204" s="38" t="e">
        <f t="shared" si="55"/>
        <v>#NUM!</v>
      </c>
      <c r="AA1204" s="38"/>
      <c r="AB1204" s="34">
        <v>8</v>
      </c>
      <c r="AC1204" s="34">
        <v>9</v>
      </c>
      <c r="AD1204" s="38"/>
      <c r="AE1204" s="59" t="str">
        <f t="shared" si="56"/>
        <v>NO</v>
      </c>
      <c r="AF1204" s="38" t="e" cm="1">
        <f t="array" aca="1" ref="AF1204" ca="1">MIN(100, MAX(0, (IF(R1204="ESTUDIANTE", 31, 0)) + (IF(I1204&lt;=3, 30, IF(I1204&lt;=6, 20, 0))) +(IF(OR(E1204="413 - Control de Costes y Enlace Construcción", E1204="480 - Secretaría General del Consejo", E1204="132 - Civil y estructuras", E1204="136 - Mecánica", E1204="412 - Planificación", E1204="142 - Compras"), 25, 0)) +(IF(OR(S1204="GRADO ING. MECÁNICA", S1204="GRADO ING. ELÉCTRICA", S1204="GRADO DERECHO", S1204="GRADO ECONOMÍA", S1204="GRADO ING. TECNOLOGÍAS INDUSTRIALES"), 24, 0)) + (IF(AND(K1204&gt;=451, K1204&lt;=700), 23, 0)) + (IF(AND(AB1204&gt;=5, AB1204&lt;=8), 17, 0)) +(IF(_xludf.OR(_xludf.AND(AC1204&gt;=8, AC1204&lt;=10), _xludf.AND(AC1204&gt;=0, AC1204&lt;=5)), 16, 0)) + (IF(F1204="Madrid", 11, 0))))</f>
        <v>#NAME?</v>
      </c>
      <c r="AG1204" s="68"/>
      <c r="AH1204" s="71" t="s">
        <v>164</v>
      </c>
    </row>
    <row r="1205" spans="1:34" ht="14.4" x14ac:dyDescent="0.3">
      <c r="A1205" s="66" t="s">
        <v>2183</v>
      </c>
      <c r="B1205" s="66" t="s">
        <v>4300</v>
      </c>
      <c r="C1205" s="33">
        <v>1204</v>
      </c>
      <c r="D1205" s="33" t="s">
        <v>5396</v>
      </c>
      <c r="E1205" s="34" t="s">
        <v>5216</v>
      </c>
      <c r="F1205" s="34" t="s">
        <v>18</v>
      </c>
      <c r="G1205" s="57">
        <v>44445</v>
      </c>
      <c r="H1205" s="57">
        <v>44831</v>
      </c>
      <c r="I1205" s="34">
        <f t="shared" si="54"/>
        <v>12</v>
      </c>
      <c r="J1205" s="34">
        <v>35</v>
      </c>
      <c r="K1205" s="36">
        <v>825</v>
      </c>
      <c r="L1205" s="34" t="s">
        <v>29</v>
      </c>
      <c r="M1205" s="57">
        <v>36146</v>
      </c>
      <c r="N1205" s="37">
        <f>(YEAR(TablaMadre[[#This Row],[ALTA]])-YEAR(M1205))</f>
        <v>23</v>
      </c>
      <c r="O1205" s="34" t="s">
        <v>18</v>
      </c>
      <c r="P1205" s="34" t="s">
        <v>19</v>
      </c>
      <c r="Q1205" s="34" t="s">
        <v>297</v>
      </c>
      <c r="R1205" s="34" t="s">
        <v>21</v>
      </c>
      <c r="S1205" s="34" t="s">
        <v>297</v>
      </c>
      <c r="T1205" s="34"/>
      <c r="U1205" s="34"/>
      <c r="V1205" s="34" t="s">
        <v>84</v>
      </c>
      <c r="W1205" s="34" t="s">
        <v>28</v>
      </c>
      <c r="X1205" s="38" t="s">
        <v>173</v>
      </c>
      <c r="Y1205" s="62"/>
      <c r="Z1205" s="38" t="e">
        <f t="shared" si="55"/>
        <v>#NUM!</v>
      </c>
      <c r="AA1205" s="38"/>
      <c r="AB1205" s="34">
        <v>8</v>
      </c>
      <c r="AC1205" s="34">
        <v>10</v>
      </c>
      <c r="AD1205" s="38"/>
      <c r="AE1205" s="59" t="str">
        <f t="shared" si="56"/>
        <v>NO</v>
      </c>
      <c r="AF1205" s="38" t="e" cm="1">
        <f t="array" aca="1" ref="AF1205" ca="1">MIN(100, MAX(0, (IF(R1205="ESTUDIANTE", 31, 0)) + (IF(I1205&lt;=3, 30, IF(I1205&lt;=6, 20, 0))) +(IF(OR(E1205="413 - Control de Costes y Enlace Construcción", E1205="480 - Secretaría General del Consejo", E1205="132 - Civil y estructuras", E1205="136 - Mecánica", E1205="412 - Planificación", E1205="142 - Compras"), 25, 0)) +(IF(OR(S1205="GRADO ING. MECÁNICA", S1205="GRADO ING. ELÉCTRICA", S1205="GRADO DERECHO", S1205="GRADO ECONOMÍA", S1205="GRADO ING. TECNOLOGÍAS INDUSTRIALES"), 24, 0)) + (IF(AND(K1205&gt;=451, K1205&lt;=700), 23, 0)) + (IF(AND(AB1205&gt;=5, AB1205&lt;=8), 17, 0)) +(IF(_xludf.OR(_xludf.AND(AC1205&gt;=8, AC1205&lt;=10), _xludf.AND(AC1205&gt;=0, AC1205&lt;=5)), 16, 0)) + (IF(F1205="Madrid", 11, 0))))</f>
        <v>#NAME?</v>
      </c>
      <c r="AG1205" s="68"/>
      <c r="AH1205" s="71" t="s">
        <v>164</v>
      </c>
    </row>
    <row r="1206" spans="1:34" ht="14.4" x14ac:dyDescent="0.3">
      <c r="A1206" s="66" t="s">
        <v>2184</v>
      </c>
      <c r="B1206" s="66" t="s">
        <v>4301</v>
      </c>
      <c r="C1206" s="33">
        <v>1205</v>
      </c>
      <c r="D1206" s="33" t="s">
        <v>5397</v>
      </c>
      <c r="E1206" s="34" t="s">
        <v>5313</v>
      </c>
      <c r="F1206" s="34" t="s">
        <v>18</v>
      </c>
      <c r="G1206" s="57">
        <v>44452</v>
      </c>
      <c r="H1206" s="57">
        <v>44456</v>
      </c>
      <c r="I1206" s="34">
        <f t="shared" si="54"/>
        <v>0</v>
      </c>
      <c r="J1206" s="34">
        <v>35</v>
      </c>
      <c r="K1206" s="36">
        <v>825</v>
      </c>
      <c r="L1206" s="34" t="s">
        <v>29</v>
      </c>
      <c r="M1206" s="57">
        <v>33518</v>
      </c>
      <c r="N1206" s="37">
        <f>(YEAR(TablaMadre[[#This Row],[ALTA]])-YEAR(M1206))</f>
        <v>30</v>
      </c>
      <c r="O1206" s="34" t="s">
        <v>18</v>
      </c>
      <c r="P1206" s="34" t="s">
        <v>19</v>
      </c>
      <c r="Q1206" s="34" t="s">
        <v>206</v>
      </c>
      <c r="R1206" s="34" t="s">
        <v>21</v>
      </c>
      <c r="S1206" s="34" t="s">
        <v>206</v>
      </c>
      <c r="T1206" s="34"/>
      <c r="U1206" s="34"/>
      <c r="V1206" s="34" t="s">
        <v>16</v>
      </c>
      <c r="W1206" s="34" t="s">
        <v>181</v>
      </c>
      <c r="X1206" s="38" t="s">
        <v>164</v>
      </c>
      <c r="Y1206" s="62"/>
      <c r="Z1206" s="62" t="e">
        <f t="shared" si="55"/>
        <v>#NUM!</v>
      </c>
      <c r="AA1206" s="62"/>
      <c r="AB1206" s="34"/>
      <c r="AC1206" s="34"/>
      <c r="AD1206" s="38"/>
      <c r="AE1206" s="59" t="str">
        <f t="shared" si="56"/>
        <v>NO</v>
      </c>
      <c r="AF1206" s="38" t="e" cm="1">
        <f t="array" aca="1" ref="AF1206" ca="1">MIN(100, MAX(0, (IF(R1206="ESTUDIANTE", 31, 0)) + (IF(I1206&lt;=3, 30, IF(I1206&lt;=6, 20, 0))) +(IF(OR(E1206="413 - Control de Costes y Enlace Construcción", E1206="480 - Secretaría General del Consejo", E1206="132 - Civil y estructuras", E1206="136 - Mecánica", E1206="412 - Planificación", E1206="142 - Compras"), 25, 0)) +(IF(OR(S1206="GRADO ING. MECÁNICA", S1206="GRADO ING. ELÉCTRICA", S1206="GRADO DERECHO", S1206="GRADO ECONOMÍA", S1206="GRADO ING. TECNOLOGÍAS INDUSTRIALES"), 24, 0)) + (IF(AND(K1206&gt;=451, K1206&lt;=700), 23, 0)) + (IF(AND(AB1206&gt;=5, AB1206&lt;=8), 17, 0)) +(IF(_xludf.OR(_xludf.AND(AC1206&gt;=8, AC1206&lt;=10), _xludf.AND(AC1206&gt;=0, AC1206&lt;=5)), 16, 0)) + (IF(F1206="Madrid", 11, 0))))</f>
        <v>#NAME?</v>
      </c>
      <c r="AG1206" s="68"/>
      <c r="AH1206" s="71" t="s">
        <v>164</v>
      </c>
    </row>
    <row r="1207" spans="1:34" ht="14.4" x14ac:dyDescent="0.3">
      <c r="A1207" s="66" t="s">
        <v>2185</v>
      </c>
      <c r="B1207" s="66" t="s">
        <v>4302</v>
      </c>
      <c r="C1207" s="33">
        <v>1206</v>
      </c>
      <c r="D1207" s="33" t="s">
        <v>5398</v>
      </c>
      <c r="E1207" s="34" t="s">
        <v>5224</v>
      </c>
      <c r="F1207" s="34" t="s">
        <v>18</v>
      </c>
      <c r="G1207" s="57">
        <v>44452</v>
      </c>
      <c r="H1207" s="57">
        <v>44620</v>
      </c>
      <c r="I1207" s="34">
        <f t="shared" si="54"/>
        <v>5</v>
      </c>
      <c r="J1207" s="34">
        <v>35</v>
      </c>
      <c r="K1207" s="36">
        <v>650</v>
      </c>
      <c r="L1207" s="34" t="s">
        <v>29</v>
      </c>
      <c r="M1207" s="57">
        <v>36578</v>
      </c>
      <c r="N1207" s="37">
        <f>(YEAR(TablaMadre[[#This Row],[ALTA]])-YEAR(M1207))</f>
        <v>21</v>
      </c>
      <c r="O1207" s="34" t="s">
        <v>18</v>
      </c>
      <c r="P1207" s="34" t="s">
        <v>19</v>
      </c>
      <c r="Q1207" s="34" t="s">
        <v>274</v>
      </c>
      <c r="R1207" s="58" t="s">
        <v>30</v>
      </c>
      <c r="S1207" s="34" t="s">
        <v>274</v>
      </c>
      <c r="T1207" s="34"/>
      <c r="U1207" s="34"/>
      <c r="V1207" s="34" t="s">
        <v>67</v>
      </c>
      <c r="W1207" s="34" t="s">
        <v>181</v>
      </c>
      <c r="X1207" s="38" t="s">
        <v>164</v>
      </c>
      <c r="Y1207" s="62"/>
      <c r="Z1207" s="62" t="e">
        <f t="shared" si="55"/>
        <v>#NUM!</v>
      </c>
      <c r="AA1207" s="62"/>
      <c r="AB1207" s="34">
        <v>10</v>
      </c>
      <c r="AC1207" s="34">
        <v>10</v>
      </c>
      <c r="AD1207" s="38"/>
      <c r="AE1207" s="59" t="str">
        <f t="shared" si="56"/>
        <v>NO</v>
      </c>
      <c r="AF1207" s="38" t="e" cm="1">
        <f t="array" aca="1" ref="AF1207" ca="1">MIN(100, MAX(0, (IF(R1207="ESTUDIANTE", 31, 0)) + (IF(I1207&lt;=3, 30, IF(I1207&lt;=6, 20, 0))) +(IF(OR(E1207="413 - Control de Costes y Enlace Construcción", E1207="480 - Secretaría General del Consejo", E1207="132 - Civil y estructuras", E1207="136 - Mecánica", E1207="412 - Planificación", E1207="142 - Compras"), 25, 0)) +(IF(OR(S1207="GRADO ING. MECÁNICA", S1207="GRADO ING. ELÉCTRICA", S1207="GRADO DERECHO", S1207="GRADO ECONOMÍA", S1207="GRADO ING. TECNOLOGÍAS INDUSTRIALES"), 24, 0)) + (IF(AND(K1207&gt;=451, K1207&lt;=700), 23, 0)) + (IF(AND(AB1207&gt;=5, AB1207&lt;=8), 17, 0)) +(IF(_xludf.OR(_xludf.AND(AC1207&gt;=8, AC1207&lt;=10), _xludf.AND(AC1207&gt;=0, AC1207&lt;=5)), 16, 0)) + (IF(F1207="Madrid", 11, 0))))</f>
        <v>#NAME?</v>
      </c>
      <c r="AG1207" s="68"/>
      <c r="AH1207" s="71" t="s">
        <v>164</v>
      </c>
    </row>
    <row r="1208" spans="1:34" ht="14.4" x14ac:dyDescent="0.3">
      <c r="A1208" s="66" t="s">
        <v>2186</v>
      </c>
      <c r="B1208" s="66" t="s">
        <v>4303</v>
      </c>
      <c r="C1208" s="33">
        <v>1207</v>
      </c>
      <c r="D1208" s="33" t="s">
        <v>5399</v>
      </c>
      <c r="E1208" s="34" t="s">
        <v>5315</v>
      </c>
      <c r="F1208" s="34" t="s">
        <v>931</v>
      </c>
      <c r="G1208" s="57">
        <v>44452</v>
      </c>
      <c r="H1208" s="57">
        <v>44632</v>
      </c>
      <c r="I1208" s="34">
        <f t="shared" si="54"/>
        <v>5</v>
      </c>
      <c r="J1208" s="34">
        <v>35</v>
      </c>
      <c r="K1208" s="36">
        <v>900</v>
      </c>
      <c r="L1208" s="34" t="s">
        <v>17</v>
      </c>
      <c r="M1208" s="57">
        <v>36144</v>
      </c>
      <c r="N1208" s="37">
        <f>(YEAR(TablaMadre[[#This Row],[ALTA]])-YEAR(M1208))</f>
        <v>23</v>
      </c>
      <c r="O1208" s="34" t="s">
        <v>211</v>
      </c>
      <c r="P1208" s="34" t="s">
        <v>19</v>
      </c>
      <c r="Q1208" s="34" t="s">
        <v>409</v>
      </c>
      <c r="R1208" s="34" t="s">
        <v>21</v>
      </c>
      <c r="S1208" s="34" t="s">
        <v>136</v>
      </c>
      <c r="T1208" s="34"/>
      <c r="U1208" s="34"/>
      <c r="V1208" s="34" t="s">
        <v>90</v>
      </c>
      <c r="W1208" s="34" t="s">
        <v>28</v>
      </c>
      <c r="X1208" s="38" t="s">
        <v>164</v>
      </c>
      <c r="Y1208" s="62">
        <v>45016</v>
      </c>
      <c r="Z1208" s="38">
        <f t="shared" si="55"/>
        <v>1</v>
      </c>
      <c r="AA1208" s="38"/>
      <c r="AB1208" s="34" t="s">
        <v>516</v>
      </c>
      <c r="AC1208" s="34" t="s">
        <v>516</v>
      </c>
      <c r="AD1208" s="38"/>
      <c r="AE1208" s="59" t="str">
        <f t="shared" si="56"/>
        <v>SÍ</v>
      </c>
      <c r="AF1208" s="38" t="e" cm="1">
        <f t="array" aca="1" ref="AF1208" ca="1">MIN(100, MAX(0, (IF(R1208="ESTUDIANTE", 31, 0)) + (IF(I1208&lt;=3, 30, IF(I1208&lt;=6, 20, 0))) +(IF(OR(E1208="413 - Control de Costes y Enlace Construcción", E1208="480 - Secretaría General del Consejo", E1208="132 - Civil y estructuras", E1208="136 - Mecánica", E1208="412 - Planificación", E1208="142 - Compras"), 25, 0)) +(IF(OR(S1208="GRADO ING. MECÁNICA", S1208="GRADO ING. ELÉCTRICA", S1208="GRADO DERECHO", S1208="GRADO ECONOMÍA", S1208="GRADO ING. TECNOLOGÍAS INDUSTRIALES"), 24, 0)) + (IF(AND(K1208&gt;=451, K1208&lt;=700), 23, 0)) + (IF(AND(AB1208&gt;=5, AB1208&lt;=8), 17, 0)) +(IF(_xludf.OR(_xludf.AND(AC1208&gt;=8, AC1208&lt;=10), _xludf.AND(AC1208&gt;=0, AC1208&lt;=5)), 16, 0)) + (IF(F1208="Madrid", 11, 0))))</f>
        <v>#NAME?</v>
      </c>
      <c r="AG1208" s="68"/>
      <c r="AH1208" s="71" t="s">
        <v>164</v>
      </c>
    </row>
    <row r="1209" spans="1:34" ht="14.4" x14ac:dyDescent="0.3">
      <c r="A1209" s="66" t="s">
        <v>2187</v>
      </c>
      <c r="B1209" s="66" t="s">
        <v>4304</v>
      </c>
      <c r="C1209" s="33">
        <v>1208</v>
      </c>
      <c r="D1209" s="33" t="s">
        <v>5400</v>
      </c>
      <c r="E1209" s="34" t="s">
        <v>5312</v>
      </c>
      <c r="F1209" s="34" t="s">
        <v>18</v>
      </c>
      <c r="G1209" s="57">
        <v>44452</v>
      </c>
      <c r="H1209" s="57">
        <v>44804</v>
      </c>
      <c r="I1209" s="34">
        <f t="shared" si="54"/>
        <v>11</v>
      </c>
      <c r="J1209" s="34">
        <v>35</v>
      </c>
      <c r="K1209" s="36">
        <v>650</v>
      </c>
      <c r="L1209" s="34" t="s">
        <v>17</v>
      </c>
      <c r="M1209" s="57">
        <v>35952</v>
      </c>
      <c r="N1209" s="37">
        <f>(YEAR(TablaMadre[[#This Row],[ALTA]])-YEAR(M1209))</f>
        <v>23</v>
      </c>
      <c r="O1209" s="34" t="s">
        <v>18</v>
      </c>
      <c r="P1209" s="34" t="s">
        <v>19</v>
      </c>
      <c r="Q1209" s="34" t="s">
        <v>548</v>
      </c>
      <c r="R1209" s="58" t="s">
        <v>30</v>
      </c>
      <c r="S1209" s="34" t="s">
        <v>26</v>
      </c>
      <c r="T1209" s="34"/>
      <c r="U1209" s="34"/>
      <c r="V1209" s="34" t="s">
        <v>27</v>
      </c>
      <c r="W1209" s="34" t="s">
        <v>28</v>
      </c>
      <c r="X1209" s="38" t="s">
        <v>173</v>
      </c>
      <c r="Y1209" s="62"/>
      <c r="Z1209" s="38" t="e">
        <f t="shared" si="55"/>
        <v>#NUM!</v>
      </c>
      <c r="AA1209" s="38"/>
      <c r="AB1209" s="34">
        <v>10</v>
      </c>
      <c r="AC1209" s="34">
        <v>8</v>
      </c>
      <c r="AD1209" s="38"/>
      <c r="AE1209" s="59" t="str">
        <f t="shared" si="56"/>
        <v>NO</v>
      </c>
      <c r="AF1209" s="38" t="e" cm="1">
        <f t="array" aca="1" ref="AF1209" ca="1">MIN(100, MAX(0, (IF(R1209="ESTUDIANTE", 31, 0)) + (IF(I1209&lt;=3, 30, IF(I1209&lt;=6, 20, 0))) +(IF(OR(E1209="413 - Control de Costes y Enlace Construcción", E1209="480 - Secretaría General del Consejo", E1209="132 - Civil y estructuras", E1209="136 - Mecánica", E1209="412 - Planificación", E1209="142 - Compras"), 25, 0)) +(IF(OR(S1209="GRADO ING. MECÁNICA", S1209="GRADO ING. ELÉCTRICA", S1209="GRADO DERECHO", S1209="GRADO ECONOMÍA", S1209="GRADO ING. TECNOLOGÍAS INDUSTRIALES"), 24, 0)) + (IF(AND(K1209&gt;=451, K1209&lt;=700), 23, 0)) + (IF(AND(AB1209&gt;=5, AB1209&lt;=8), 17, 0)) +(IF(_xludf.OR(_xludf.AND(AC1209&gt;=8, AC1209&lt;=10), _xludf.AND(AC1209&gt;=0, AC1209&lt;=5)), 16, 0)) + (IF(F1209="Madrid", 11, 0))))</f>
        <v>#NAME?</v>
      </c>
      <c r="AG1209" s="68"/>
      <c r="AH1209" s="71" t="s">
        <v>164</v>
      </c>
    </row>
    <row r="1210" spans="1:34" ht="14.4" x14ac:dyDescent="0.3">
      <c r="A1210" s="66" t="s">
        <v>2188</v>
      </c>
      <c r="B1210" s="66" t="s">
        <v>4305</v>
      </c>
      <c r="C1210" s="33">
        <v>1209</v>
      </c>
      <c r="D1210" s="33" t="s">
        <v>5401</v>
      </c>
      <c r="E1210" s="34" t="s">
        <v>5246</v>
      </c>
      <c r="F1210" s="34" t="s">
        <v>18</v>
      </c>
      <c r="G1210" s="57">
        <v>44454</v>
      </c>
      <c r="H1210" s="57">
        <v>44727</v>
      </c>
      <c r="I1210" s="34">
        <f t="shared" si="54"/>
        <v>9</v>
      </c>
      <c r="J1210" s="34">
        <v>35</v>
      </c>
      <c r="K1210" s="36">
        <v>650</v>
      </c>
      <c r="L1210" s="34" t="s">
        <v>29</v>
      </c>
      <c r="M1210" s="57">
        <v>36095</v>
      </c>
      <c r="N1210" s="37">
        <f>(YEAR(TablaMadre[[#This Row],[ALTA]])-YEAR(M1210))</f>
        <v>23</v>
      </c>
      <c r="O1210" s="34" t="s">
        <v>18</v>
      </c>
      <c r="P1210" s="34" t="s">
        <v>19</v>
      </c>
      <c r="Q1210" s="34" t="s">
        <v>277</v>
      </c>
      <c r="R1210" s="58" t="s">
        <v>30</v>
      </c>
      <c r="S1210" s="34" t="s">
        <v>277</v>
      </c>
      <c r="T1210" s="34"/>
      <c r="U1210" s="34"/>
      <c r="V1210" s="34" t="s">
        <v>67</v>
      </c>
      <c r="W1210" s="34" t="s">
        <v>181</v>
      </c>
      <c r="X1210" s="38" t="s">
        <v>164</v>
      </c>
      <c r="Y1210" s="62"/>
      <c r="Z1210" s="62" t="e">
        <f t="shared" si="55"/>
        <v>#NUM!</v>
      </c>
      <c r="AA1210" s="62"/>
      <c r="AB1210" s="34">
        <v>8</v>
      </c>
      <c r="AC1210" s="34">
        <v>9</v>
      </c>
      <c r="AD1210" s="38"/>
      <c r="AE1210" s="59" t="str">
        <f t="shared" si="56"/>
        <v>NO</v>
      </c>
      <c r="AF1210" s="38" t="e" cm="1">
        <f t="array" aca="1" ref="AF1210" ca="1">MIN(100, MAX(0, (IF(R1210="ESTUDIANTE", 31, 0)) + (IF(I1210&lt;=3, 30, IF(I1210&lt;=6, 20, 0))) +(IF(OR(E1210="413 - Control de Costes y Enlace Construcción", E1210="480 - Secretaría General del Consejo", E1210="132 - Civil y estructuras", E1210="136 - Mecánica", E1210="412 - Planificación", E1210="142 - Compras"), 25, 0)) +(IF(OR(S1210="GRADO ING. MECÁNICA", S1210="GRADO ING. ELÉCTRICA", S1210="GRADO DERECHO", S1210="GRADO ECONOMÍA", S1210="GRADO ING. TECNOLOGÍAS INDUSTRIALES"), 24, 0)) + (IF(AND(K1210&gt;=451, K1210&lt;=700), 23, 0)) + (IF(AND(AB1210&gt;=5, AB1210&lt;=8), 17, 0)) +(IF(_xludf.OR(_xludf.AND(AC1210&gt;=8, AC1210&lt;=10), _xludf.AND(AC1210&gt;=0, AC1210&lt;=5)), 16, 0)) + (IF(F1210="Madrid", 11, 0))))</f>
        <v>#NAME?</v>
      </c>
      <c r="AG1210" s="68"/>
      <c r="AH1210" s="71" t="s">
        <v>164</v>
      </c>
    </row>
    <row r="1211" spans="1:34" ht="14.4" x14ac:dyDescent="0.3">
      <c r="A1211" s="66" t="s">
        <v>2189</v>
      </c>
      <c r="B1211" s="66" t="s">
        <v>4306</v>
      </c>
      <c r="C1211" s="33">
        <v>1210</v>
      </c>
      <c r="D1211" s="33" t="s">
        <v>5402</v>
      </c>
      <c r="E1211" s="34" t="s">
        <v>5306</v>
      </c>
      <c r="F1211" s="34" t="s">
        <v>18</v>
      </c>
      <c r="G1211" s="57">
        <v>44454</v>
      </c>
      <c r="H1211" s="57">
        <v>44818</v>
      </c>
      <c r="I1211" s="34">
        <f t="shared" si="54"/>
        <v>11</v>
      </c>
      <c r="J1211" s="34">
        <v>35</v>
      </c>
      <c r="K1211" s="36">
        <v>900</v>
      </c>
      <c r="L1211" s="34" t="s">
        <v>17</v>
      </c>
      <c r="M1211" s="57">
        <v>35746</v>
      </c>
      <c r="N1211" s="37">
        <f>(YEAR(TablaMadre[[#This Row],[ALTA]])-YEAR(M1211))</f>
        <v>24</v>
      </c>
      <c r="O1211" s="34" t="s">
        <v>552</v>
      </c>
      <c r="P1211" s="34" t="s">
        <v>552</v>
      </c>
      <c r="Q1211" s="34" t="s">
        <v>553</v>
      </c>
      <c r="R1211" s="34" t="s">
        <v>21</v>
      </c>
      <c r="S1211" s="34" t="s">
        <v>384</v>
      </c>
      <c r="T1211" s="34"/>
      <c r="U1211" s="34"/>
      <c r="V1211" s="34" t="s">
        <v>22</v>
      </c>
      <c r="W1211" s="34" t="s">
        <v>28</v>
      </c>
      <c r="X1211" s="38" t="s">
        <v>164</v>
      </c>
      <c r="Y1211" s="62">
        <v>45652</v>
      </c>
      <c r="Z1211" s="38">
        <f t="shared" si="55"/>
        <v>2</v>
      </c>
      <c r="AA1211" s="38"/>
      <c r="AB1211" s="34">
        <v>8</v>
      </c>
      <c r="AC1211" s="34">
        <v>9</v>
      </c>
      <c r="AD1211" s="38"/>
      <c r="AE1211" s="59" t="str">
        <f t="shared" si="56"/>
        <v>SÍ</v>
      </c>
      <c r="AF1211" s="38" t="e" cm="1">
        <f t="array" aca="1" ref="AF1211" ca="1">MIN(100, MAX(0, (IF(R1211="ESTUDIANTE", 31, 0)) + (IF(I1211&lt;=3, 30, IF(I1211&lt;=6, 20, 0))) +(IF(OR(E1211="413 - Control de Costes y Enlace Construcción", E1211="480 - Secretaría General del Consejo", E1211="132 - Civil y estructuras", E1211="136 - Mecánica", E1211="412 - Planificación", E1211="142 - Compras"), 25, 0)) +(IF(OR(S1211="GRADO ING. MECÁNICA", S1211="GRADO ING. ELÉCTRICA", S1211="GRADO DERECHO", S1211="GRADO ECONOMÍA", S1211="GRADO ING. TECNOLOGÍAS INDUSTRIALES"), 24, 0)) + (IF(AND(K1211&gt;=451, K1211&lt;=700), 23, 0)) + (IF(AND(AB1211&gt;=5, AB1211&lt;=8), 17, 0)) +(IF(_xludf.OR(_xludf.AND(AC1211&gt;=8, AC1211&lt;=10), _xludf.AND(AC1211&gt;=0, AC1211&lt;=5)), 16, 0)) + (IF(F1211="Madrid", 11, 0))))</f>
        <v>#NAME?</v>
      </c>
      <c r="AG1211" s="68"/>
      <c r="AH1211" s="71" t="s">
        <v>164</v>
      </c>
    </row>
    <row r="1212" spans="1:34" ht="14.4" x14ac:dyDescent="0.3">
      <c r="A1212" s="66" t="s">
        <v>2190</v>
      </c>
      <c r="B1212" s="66" t="s">
        <v>4307</v>
      </c>
      <c r="C1212" s="33">
        <v>1211</v>
      </c>
      <c r="D1212" s="33" t="s">
        <v>5393</v>
      </c>
      <c r="E1212" s="34" t="s">
        <v>5306</v>
      </c>
      <c r="F1212" s="34" t="s">
        <v>18</v>
      </c>
      <c r="G1212" s="57">
        <v>44454</v>
      </c>
      <c r="H1212" s="57">
        <v>44818</v>
      </c>
      <c r="I1212" s="34">
        <f t="shared" si="54"/>
        <v>11</v>
      </c>
      <c r="J1212" s="34">
        <v>35</v>
      </c>
      <c r="K1212" s="36">
        <v>825</v>
      </c>
      <c r="L1212" s="34" t="s">
        <v>17</v>
      </c>
      <c r="M1212" s="57">
        <v>35423</v>
      </c>
      <c r="N1212" s="37">
        <f>(YEAR(TablaMadre[[#This Row],[ALTA]])-YEAR(M1212))</f>
        <v>25</v>
      </c>
      <c r="O1212" s="34" t="s">
        <v>787</v>
      </c>
      <c r="P1212" s="34" t="s">
        <v>19</v>
      </c>
      <c r="Q1212" s="34" t="s">
        <v>384</v>
      </c>
      <c r="R1212" s="34" t="s">
        <v>21</v>
      </c>
      <c r="S1212" s="34" t="s">
        <v>384</v>
      </c>
      <c r="T1212" s="34"/>
      <c r="U1212" s="34"/>
      <c r="V1212" s="34" t="s">
        <v>56</v>
      </c>
      <c r="W1212" s="34" t="s">
        <v>28</v>
      </c>
      <c r="X1212" s="38" t="s">
        <v>173</v>
      </c>
      <c r="Y1212" s="62"/>
      <c r="Z1212" s="38" t="e">
        <f t="shared" si="55"/>
        <v>#NUM!</v>
      </c>
      <c r="AA1212" s="38"/>
      <c r="AB1212" s="34">
        <v>9</v>
      </c>
      <c r="AC1212" s="34">
        <v>8</v>
      </c>
      <c r="AD1212" s="38"/>
      <c r="AE1212" s="59" t="str">
        <f t="shared" si="56"/>
        <v>SÍ</v>
      </c>
      <c r="AF1212" s="38" t="e" cm="1">
        <f t="array" aca="1" ref="AF1212" ca="1">MIN(100, MAX(0, (IF(R1212="ESTUDIANTE", 31, 0)) + (IF(I1212&lt;=3, 30, IF(I1212&lt;=6, 20, 0))) +(IF(OR(E1212="413 - Control de Costes y Enlace Construcción", E1212="480 - Secretaría General del Consejo", E1212="132 - Civil y estructuras", E1212="136 - Mecánica", E1212="412 - Planificación", E1212="142 - Compras"), 25, 0)) +(IF(OR(S1212="GRADO ING. MECÁNICA", S1212="GRADO ING. ELÉCTRICA", S1212="GRADO DERECHO", S1212="GRADO ECONOMÍA", S1212="GRADO ING. TECNOLOGÍAS INDUSTRIALES"), 24, 0)) + (IF(AND(K1212&gt;=451, K1212&lt;=700), 23, 0)) + (IF(AND(AB1212&gt;=5, AB1212&lt;=8), 17, 0)) +(IF(_xludf.OR(_xludf.AND(AC1212&gt;=8, AC1212&lt;=10), _xludf.AND(AC1212&gt;=0, AC1212&lt;=5)), 16, 0)) + (IF(F1212="Madrid", 11, 0))))</f>
        <v>#NAME?</v>
      </c>
      <c r="AG1212" s="68"/>
      <c r="AH1212" s="71" t="s">
        <v>164</v>
      </c>
    </row>
    <row r="1213" spans="1:34" ht="14.4" x14ac:dyDescent="0.3">
      <c r="A1213" s="66" t="s">
        <v>2191</v>
      </c>
      <c r="B1213" s="66" t="s">
        <v>4308</v>
      </c>
      <c r="C1213" s="33">
        <v>1212</v>
      </c>
      <c r="D1213" s="33" t="s">
        <v>5394</v>
      </c>
      <c r="E1213" s="34" t="s">
        <v>5316</v>
      </c>
      <c r="F1213" s="34" t="s">
        <v>18</v>
      </c>
      <c r="G1213" s="57">
        <v>44459</v>
      </c>
      <c r="H1213" s="57">
        <v>44823</v>
      </c>
      <c r="I1213" s="34">
        <f t="shared" si="54"/>
        <v>11</v>
      </c>
      <c r="J1213" s="34">
        <v>35</v>
      </c>
      <c r="K1213" s="36">
        <v>825</v>
      </c>
      <c r="L1213" s="34" t="s">
        <v>17</v>
      </c>
      <c r="M1213" s="57">
        <v>35262</v>
      </c>
      <c r="N1213" s="37">
        <f>(YEAR(TablaMadre[[#This Row],[ALTA]])-YEAR(M1213))</f>
        <v>25</v>
      </c>
      <c r="O1213" s="34" t="s">
        <v>18</v>
      </c>
      <c r="P1213" s="34" t="s">
        <v>19</v>
      </c>
      <c r="Q1213" s="34" t="s">
        <v>136</v>
      </c>
      <c r="R1213" s="34" t="s">
        <v>21</v>
      </c>
      <c r="S1213" s="34" t="s">
        <v>136</v>
      </c>
      <c r="T1213" s="34"/>
      <c r="U1213" s="34"/>
      <c r="V1213" s="34" t="s">
        <v>67</v>
      </c>
      <c r="W1213" s="34" t="s">
        <v>28</v>
      </c>
      <c r="X1213" s="38" t="s">
        <v>173</v>
      </c>
      <c r="Y1213" s="62"/>
      <c r="Z1213" s="38" t="e">
        <f t="shared" si="55"/>
        <v>#NUM!</v>
      </c>
      <c r="AA1213" s="38"/>
      <c r="AB1213" s="34">
        <v>9</v>
      </c>
      <c r="AC1213" s="34">
        <v>10</v>
      </c>
      <c r="AD1213" s="38"/>
      <c r="AE1213" s="59" t="str">
        <f t="shared" si="56"/>
        <v>NO</v>
      </c>
      <c r="AF1213" s="38" t="e" cm="1">
        <f t="array" aca="1" ref="AF1213" ca="1">MIN(100, MAX(0, (IF(R1213="ESTUDIANTE", 31, 0)) + (IF(I1213&lt;=3, 30, IF(I1213&lt;=6, 20, 0))) +(IF(OR(E1213="413 - Control de Costes y Enlace Construcción", E1213="480 - Secretaría General del Consejo", E1213="132 - Civil y estructuras", E1213="136 - Mecánica", E1213="412 - Planificación", E1213="142 - Compras"), 25, 0)) +(IF(OR(S1213="GRADO ING. MECÁNICA", S1213="GRADO ING. ELÉCTRICA", S1213="GRADO DERECHO", S1213="GRADO ECONOMÍA", S1213="GRADO ING. TECNOLOGÍAS INDUSTRIALES"), 24, 0)) + (IF(AND(K1213&gt;=451, K1213&lt;=700), 23, 0)) + (IF(AND(AB1213&gt;=5, AB1213&lt;=8), 17, 0)) +(IF(_xludf.OR(_xludf.AND(AC1213&gt;=8, AC1213&lt;=10), _xludf.AND(AC1213&gt;=0, AC1213&lt;=5)), 16, 0)) + (IF(F1213="Madrid", 11, 0))))</f>
        <v>#NAME?</v>
      </c>
      <c r="AG1213" s="68"/>
      <c r="AH1213" s="71" t="s">
        <v>164</v>
      </c>
    </row>
    <row r="1214" spans="1:34" ht="14.4" x14ac:dyDescent="0.3">
      <c r="A1214" s="66" t="s">
        <v>2192</v>
      </c>
      <c r="B1214" s="66" t="s">
        <v>4309</v>
      </c>
      <c r="C1214" s="33">
        <v>1213</v>
      </c>
      <c r="D1214" s="33" t="s">
        <v>5403</v>
      </c>
      <c r="E1214" s="34" t="s">
        <v>5216</v>
      </c>
      <c r="F1214" s="34" t="s">
        <v>18</v>
      </c>
      <c r="G1214" s="57">
        <v>44459</v>
      </c>
      <c r="H1214" s="57">
        <v>44823</v>
      </c>
      <c r="I1214" s="34">
        <f t="shared" si="54"/>
        <v>11</v>
      </c>
      <c r="J1214" s="34">
        <v>35</v>
      </c>
      <c r="K1214" s="36">
        <v>900</v>
      </c>
      <c r="L1214" s="34" t="s">
        <v>17</v>
      </c>
      <c r="M1214" s="57">
        <v>34337</v>
      </c>
      <c r="N1214" s="37">
        <f>(YEAR(TablaMadre[[#This Row],[ALTA]])-YEAR(M1214))</f>
        <v>27</v>
      </c>
      <c r="O1214" s="34" t="s">
        <v>558</v>
      </c>
      <c r="P1214" s="34" t="s">
        <v>19</v>
      </c>
      <c r="Q1214" s="34" t="s">
        <v>297</v>
      </c>
      <c r="R1214" s="34" t="s">
        <v>21</v>
      </c>
      <c r="S1214" s="34" t="s">
        <v>297</v>
      </c>
      <c r="T1214" s="34"/>
      <c r="U1214" s="34"/>
      <c r="V1214" s="34" t="s">
        <v>84</v>
      </c>
      <c r="W1214" s="34" t="s">
        <v>28</v>
      </c>
      <c r="X1214" s="38" t="s">
        <v>173</v>
      </c>
      <c r="Y1214" s="62"/>
      <c r="Z1214" s="38" t="e">
        <f t="shared" si="55"/>
        <v>#NUM!</v>
      </c>
      <c r="AA1214" s="38"/>
      <c r="AB1214" s="34">
        <v>10</v>
      </c>
      <c r="AC1214" s="34">
        <v>10</v>
      </c>
      <c r="AD1214" s="38"/>
      <c r="AE1214" s="59" t="str">
        <f t="shared" si="56"/>
        <v>SÍ</v>
      </c>
      <c r="AF1214" s="38" t="e" cm="1">
        <f t="array" aca="1" ref="AF1214" ca="1">MIN(100, MAX(0, (IF(R1214="ESTUDIANTE", 31, 0)) + (IF(I1214&lt;=3, 30, IF(I1214&lt;=6, 20, 0))) +(IF(OR(E1214="413 - Control de Costes y Enlace Construcción", E1214="480 - Secretaría General del Consejo", E1214="132 - Civil y estructuras", E1214="136 - Mecánica", E1214="412 - Planificación", E1214="142 - Compras"), 25, 0)) +(IF(OR(S1214="GRADO ING. MECÁNICA", S1214="GRADO ING. ELÉCTRICA", S1214="GRADO DERECHO", S1214="GRADO ECONOMÍA", S1214="GRADO ING. TECNOLOGÍAS INDUSTRIALES"), 24, 0)) + (IF(AND(K1214&gt;=451, K1214&lt;=700), 23, 0)) + (IF(AND(AB1214&gt;=5, AB1214&lt;=8), 17, 0)) +(IF(_xludf.OR(_xludf.AND(AC1214&gt;=8, AC1214&lt;=10), _xludf.AND(AC1214&gt;=0, AC1214&lt;=5)), 16, 0)) + (IF(F1214="Madrid", 11, 0))))</f>
        <v>#NAME?</v>
      </c>
      <c r="AG1214" s="68"/>
      <c r="AH1214" s="71" t="s">
        <v>164</v>
      </c>
    </row>
    <row r="1215" spans="1:34" ht="14.4" x14ac:dyDescent="0.3">
      <c r="A1215" s="66" t="s">
        <v>2193</v>
      </c>
      <c r="B1215" s="66" t="s">
        <v>4310</v>
      </c>
      <c r="C1215" s="33">
        <v>1214</v>
      </c>
      <c r="D1215" s="33" t="s">
        <v>5404</v>
      </c>
      <c r="E1215" s="34" t="s">
        <v>5216</v>
      </c>
      <c r="F1215" s="34" t="s">
        <v>18</v>
      </c>
      <c r="G1215" s="57">
        <v>44459</v>
      </c>
      <c r="H1215" s="57">
        <v>44823</v>
      </c>
      <c r="I1215" s="34">
        <f t="shared" si="54"/>
        <v>11</v>
      </c>
      <c r="J1215" s="34">
        <v>35</v>
      </c>
      <c r="K1215" s="36">
        <v>900</v>
      </c>
      <c r="L1215" s="34" t="s">
        <v>17</v>
      </c>
      <c r="M1215" s="57">
        <v>35872</v>
      </c>
      <c r="N1215" s="37">
        <f>(YEAR(TablaMadre[[#This Row],[ALTA]])-YEAR(M1215))</f>
        <v>23</v>
      </c>
      <c r="O1215" s="34" t="s">
        <v>18</v>
      </c>
      <c r="P1215" s="34" t="s">
        <v>19</v>
      </c>
      <c r="Q1215" s="34" t="s">
        <v>297</v>
      </c>
      <c r="R1215" s="34" t="s">
        <v>21</v>
      </c>
      <c r="S1215" s="34" t="s">
        <v>297</v>
      </c>
      <c r="T1215" s="34"/>
      <c r="U1215" s="34"/>
      <c r="V1215" s="34" t="s">
        <v>84</v>
      </c>
      <c r="W1215" s="34" t="s">
        <v>28</v>
      </c>
      <c r="X1215" s="38" t="s">
        <v>173</v>
      </c>
      <c r="Y1215" s="62"/>
      <c r="Z1215" s="38" t="e">
        <f t="shared" si="55"/>
        <v>#NUM!</v>
      </c>
      <c r="AA1215" s="38"/>
      <c r="AB1215" s="34">
        <v>7</v>
      </c>
      <c r="AC1215" s="34">
        <v>8</v>
      </c>
      <c r="AD1215" s="38"/>
      <c r="AE1215" s="59" t="str">
        <f t="shared" si="56"/>
        <v>NO</v>
      </c>
      <c r="AF1215" s="38" t="e" cm="1">
        <f t="array" aca="1" ref="AF1215" ca="1">MIN(100, MAX(0, (IF(R1215="ESTUDIANTE", 31, 0)) + (IF(I1215&lt;=3, 30, IF(I1215&lt;=6, 20, 0))) +(IF(OR(E1215="413 - Control de Costes y Enlace Construcción", E1215="480 - Secretaría General del Consejo", E1215="132 - Civil y estructuras", E1215="136 - Mecánica", E1215="412 - Planificación", E1215="142 - Compras"), 25, 0)) +(IF(OR(S1215="GRADO ING. MECÁNICA", S1215="GRADO ING. ELÉCTRICA", S1215="GRADO DERECHO", S1215="GRADO ECONOMÍA", S1215="GRADO ING. TECNOLOGÍAS INDUSTRIALES"), 24, 0)) + (IF(AND(K1215&gt;=451, K1215&lt;=700), 23, 0)) + (IF(AND(AB1215&gt;=5, AB1215&lt;=8), 17, 0)) +(IF(_xludf.OR(_xludf.AND(AC1215&gt;=8, AC1215&lt;=10), _xludf.AND(AC1215&gt;=0, AC1215&lt;=5)), 16, 0)) + (IF(F1215="Madrid", 11, 0))))</f>
        <v>#NAME?</v>
      </c>
      <c r="AG1215" s="68"/>
      <c r="AH1215" s="71" t="s">
        <v>164</v>
      </c>
    </row>
    <row r="1216" spans="1:34" ht="14.4" x14ac:dyDescent="0.3">
      <c r="A1216" s="66" t="s">
        <v>2194</v>
      </c>
      <c r="B1216" s="66" t="s">
        <v>4311</v>
      </c>
      <c r="C1216" s="33">
        <v>1215</v>
      </c>
      <c r="D1216" s="33" t="s">
        <v>5405</v>
      </c>
      <c r="E1216" s="34" t="s">
        <v>5246</v>
      </c>
      <c r="F1216" s="34" t="s">
        <v>18</v>
      </c>
      <c r="G1216" s="57">
        <v>44459</v>
      </c>
      <c r="H1216" s="57">
        <v>44823</v>
      </c>
      <c r="I1216" s="34">
        <f t="shared" si="54"/>
        <v>11</v>
      </c>
      <c r="J1216" s="34">
        <v>35</v>
      </c>
      <c r="K1216" s="36">
        <v>650</v>
      </c>
      <c r="L1216" s="34" t="s">
        <v>17</v>
      </c>
      <c r="M1216" s="57">
        <v>35332</v>
      </c>
      <c r="N1216" s="37">
        <f>(YEAR(TablaMadre[[#This Row],[ALTA]])-YEAR(M1216))</f>
        <v>25</v>
      </c>
      <c r="O1216" s="34" t="s">
        <v>293</v>
      </c>
      <c r="P1216" s="34" t="s">
        <v>19</v>
      </c>
      <c r="Q1216" s="34" t="s">
        <v>277</v>
      </c>
      <c r="R1216" s="58" t="s">
        <v>30</v>
      </c>
      <c r="S1216" s="34" t="s">
        <v>277</v>
      </c>
      <c r="T1216" s="34"/>
      <c r="U1216" s="34"/>
      <c r="V1216" s="34" t="s">
        <v>22</v>
      </c>
      <c r="W1216" s="34" t="s">
        <v>28</v>
      </c>
      <c r="X1216" s="38" t="s">
        <v>164</v>
      </c>
      <c r="Y1216" s="62">
        <v>45096</v>
      </c>
      <c r="Z1216" s="38">
        <f t="shared" si="55"/>
        <v>0</v>
      </c>
      <c r="AA1216" s="38"/>
      <c r="AB1216" s="34">
        <v>10</v>
      </c>
      <c r="AC1216" s="34">
        <v>8</v>
      </c>
      <c r="AD1216" s="38"/>
      <c r="AE1216" s="59" t="str">
        <f t="shared" si="56"/>
        <v>SÍ</v>
      </c>
      <c r="AF1216" s="38" t="e" cm="1">
        <f t="array" aca="1" ref="AF1216" ca="1">MIN(100, MAX(0, (IF(R1216="ESTUDIANTE", 31, 0)) + (IF(I1216&lt;=3, 30, IF(I1216&lt;=6, 20, 0))) +(IF(OR(E1216="413 - Control de Costes y Enlace Construcción", E1216="480 - Secretaría General del Consejo", E1216="132 - Civil y estructuras", E1216="136 - Mecánica", E1216="412 - Planificación", E1216="142 - Compras"), 25, 0)) +(IF(OR(S1216="GRADO ING. MECÁNICA", S1216="GRADO ING. ELÉCTRICA", S1216="GRADO DERECHO", S1216="GRADO ECONOMÍA", S1216="GRADO ING. TECNOLOGÍAS INDUSTRIALES"), 24, 0)) + (IF(AND(K1216&gt;=451, K1216&lt;=700), 23, 0)) + (IF(AND(AB1216&gt;=5, AB1216&lt;=8), 17, 0)) +(IF(_xludf.OR(_xludf.AND(AC1216&gt;=8, AC1216&lt;=10), _xludf.AND(AC1216&gt;=0, AC1216&lt;=5)), 16, 0)) + (IF(F1216="Madrid", 11, 0))))</f>
        <v>#NAME?</v>
      </c>
      <c r="AG1216" s="68"/>
      <c r="AH1216" s="71" t="s">
        <v>164</v>
      </c>
    </row>
    <row r="1217" spans="1:34" ht="14.4" x14ac:dyDescent="0.3">
      <c r="A1217" s="66" t="s">
        <v>2195</v>
      </c>
      <c r="B1217" s="66" t="s">
        <v>4312</v>
      </c>
      <c r="C1217" s="33">
        <v>1216</v>
      </c>
      <c r="D1217" s="33" t="s">
        <v>5396</v>
      </c>
      <c r="E1217" s="34" t="s">
        <v>5216</v>
      </c>
      <c r="F1217" s="34" t="s">
        <v>18</v>
      </c>
      <c r="G1217" s="57">
        <v>44459</v>
      </c>
      <c r="H1217" s="57">
        <v>44823</v>
      </c>
      <c r="I1217" s="34">
        <f t="shared" si="54"/>
        <v>11</v>
      </c>
      <c r="J1217" s="34">
        <v>35</v>
      </c>
      <c r="K1217" s="36">
        <v>825</v>
      </c>
      <c r="L1217" s="34" t="s">
        <v>17</v>
      </c>
      <c r="M1217" s="57">
        <v>35608</v>
      </c>
      <c r="N1217" s="37">
        <f>(YEAR(TablaMadre[[#This Row],[ALTA]])-YEAR(M1217))</f>
        <v>24</v>
      </c>
      <c r="O1217" s="34" t="s">
        <v>18</v>
      </c>
      <c r="P1217" s="34" t="s">
        <v>19</v>
      </c>
      <c r="Q1217" s="34" t="s">
        <v>297</v>
      </c>
      <c r="R1217" s="34" t="s">
        <v>21</v>
      </c>
      <c r="S1217" s="34" t="s">
        <v>297</v>
      </c>
      <c r="T1217" s="34"/>
      <c r="U1217" s="34"/>
      <c r="V1217" s="34" t="s">
        <v>84</v>
      </c>
      <c r="W1217" s="34" t="s">
        <v>28</v>
      </c>
      <c r="X1217" s="38" t="s">
        <v>173</v>
      </c>
      <c r="Y1217" s="62"/>
      <c r="Z1217" s="38" t="e">
        <f t="shared" si="55"/>
        <v>#NUM!</v>
      </c>
      <c r="AA1217" s="38"/>
      <c r="AB1217" s="34">
        <v>8</v>
      </c>
      <c r="AC1217" s="34">
        <v>9</v>
      </c>
      <c r="AD1217" s="38"/>
      <c r="AE1217" s="59" t="str">
        <f t="shared" si="56"/>
        <v>NO</v>
      </c>
      <c r="AF1217" s="38" t="e" cm="1">
        <f t="array" aca="1" ref="AF1217" ca="1">MIN(100, MAX(0, (IF(R1217="ESTUDIANTE", 31, 0)) + (IF(I1217&lt;=3, 30, IF(I1217&lt;=6, 20, 0))) +(IF(OR(E1217="413 - Control de Costes y Enlace Construcción", E1217="480 - Secretaría General del Consejo", E1217="132 - Civil y estructuras", E1217="136 - Mecánica", E1217="412 - Planificación", E1217="142 - Compras"), 25, 0)) +(IF(OR(S1217="GRADO ING. MECÁNICA", S1217="GRADO ING. ELÉCTRICA", S1217="GRADO DERECHO", S1217="GRADO ECONOMÍA", S1217="GRADO ING. TECNOLOGÍAS INDUSTRIALES"), 24, 0)) + (IF(AND(K1217&gt;=451, K1217&lt;=700), 23, 0)) + (IF(AND(AB1217&gt;=5, AB1217&lt;=8), 17, 0)) +(IF(_xludf.OR(_xludf.AND(AC1217&gt;=8, AC1217&lt;=10), _xludf.AND(AC1217&gt;=0, AC1217&lt;=5)), 16, 0)) + (IF(F1217="Madrid", 11, 0))))</f>
        <v>#NAME?</v>
      </c>
      <c r="AG1217" s="68"/>
      <c r="AH1217" s="71" t="s">
        <v>164</v>
      </c>
    </row>
    <row r="1218" spans="1:34" ht="14.4" x14ac:dyDescent="0.3">
      <c r="A1218" s="66" t="s">
        <v>2196</v>
      </c>
      <c r="B1218" s="66" t="s">
        <v>4313</v>
      </c>
      <c r="C1218" s="33">
        <v>1217</v>
      </c>
      <c r="D1218" s="33" t="s">
        <v>5397</v>
      </c>
      <c r="E1218" s="34" t="s">
        <v>5313</v>
      </c>
      <c r="F1218" s="34" t="s">
        <v>18</v>
      </c>
      <c r="G1218" s="57">
        <v>44461</v>
      </c>
      <c r="H1218" s="57">
        <v>44641</v>
      </c>
      <c r="I1218" s="34">
        <f t="shared" ref="I1218:I1281" si="57">DATEDIF(G1218, H1218, "M")</f>
        <v>5</v>
      </c>
      <c r="J1218" s="34">
        <v>35</v>
      </c>
      <c r="K1218" s="36">
        <v>825</v>
      </c>
      <c r="L1218" s="34" t="s">
        <v>17</v>
      </c>
      <c r="M1218" s="57">
        <v>35173</v>
      </c>
      <c r="N1218" s="37">
        <f>(YEAR(TablaMadre[[#This Row],[ALTA]])-YEAR(M1218))</f>
        <v>25</v>
      </c>
      <c r="O1218" s="34" t="s">
        <v>18</v>
      </c>
      <c r="P1218" s="34" t="s">
        <v>19</v>
      </c>
      <c r="Q1218" s="34" t="s">
        <v>518</v>
      </c>
      <c r="R1218" s="34" t="s">
        <v>21</v>
      </c>
      <c r="S1218" s="34" t="s">
        <v>151</v>
      </c>
      <c r="T1218" s="34"/>
      <c r="U1218" s="34"/>
      <c r="V1218" s="34" t="s">
        <v>22</v>
      </c>
      <c r="W1218" s="34" t="s">
        <v>127</v>
      </c>
      <c r="X1218" s="38" t="s">
        <v>173</v>
      </c>
      <c r="Y1218" s="62"/>
      <c r="Z1218" s="38" t="e">
        <f t="shared" ref="Z1218:Z1281" si="58">DATEDIF(H1218, Y1218, "y")</f>
        <v>#NUM!</v>
      </c>
      <c r="AA1218" s="38"/>
      <c r="AB1218" s="34">
        <v>10</v>
      </c>
      <c r="AC1218" s="34">
        <v>10</v>
      </c>
      <c r="AD1218" s="38"/>
      <c r="AE1218" s="59" t="str">
        <f t="shared" si="56"/>
        <v>NO</v>
      </c>
      <c r="AF1218" s="38" t="e" cm="1">
        <f t="array" aca="1" ref="AF1218" ca="1">MIN(100, MAX(0, (IF(R1218="ESTUDIANTE", 31, 0)) + (IF(I1218&lt;=3, 30, IF(I1218&lt;=6, 20, 0))) +(IF(OR(E1218="413 - Control de Costes y Enlace Construcción", E1218="480 - Secretaría General del Consejo", E1218="132 - Civil y estructuras", E1218="136 - Mecánica", E1218="412 - Planificación", E1218="142 - Compras"), 25, 0)) +(IF(OR(S1218="GRADO ING. MECÁNICA", S1218="GRADO ING. ELÉCTRICA", S1218="GRADO DERECHO", S1218="GRADO ECONOMÍA", S1218="GRADO ING. TECNOLOGÍAS INDUSTRIALES"), 24, 0)) + (IF(AND(K1218&gt;=451, K1218&lt;=700), 23, 0)) + (IF(AND(AB1218&gt;=5, AB1218&lt;=8), 17, 0)) +(IF(_xludf.OR(_xludf.AND(AC1218&gt;=8, AC1218&lt;=10), _xludf.AND(AC1218&gt;=0, AC1218&lt;=5)), 16, 0)) + (IF(F1218="Madrid", 11, 0))))</f>
        <v>#NAME?</v>
      </c>
      <c r="AG1218" s="68"/>
      <c r="AH1218" s="71" t="s">
        <v>164</v>
      </c>
    </row>
    <row r="1219" spans="1:34" ht="14.4" x14ac:dyDescent="0.3">
      <c r="A1219" s="66" t="s">
        <v>2197</v>
      </c>
      <c r="B1219" s="66" t="s">
        <v>4314</v>
      </c>
      <c r="C1219" s="33">
        <v>1218</v>
      </c>
      <c r="D1219" s="33" t="s">
        <v>5393</v>
      </c>
      <c r="E1219" s="34" t="s">
        <v>5235</v>
      </c>
      <c r="F1219" s="34" t="s">
        <v>18</v>
      </c>
      <c r="G1219" s="57">
        <v>44461</v>
      </c>
      <c r="H1219" s="57">
        <v>44825</v>
      </c>
      <c r="I1219" s="34">
        <f t="shared" si="57"/>
        <v>11</v>
      </c>
      <c r="J1219" s="34">
        <v>35</v>
      </c>
      <c r="K1219" s="36">
        <v>650</v>
      </c>
      <c r="L1219" s="34" t="s">
        <v>17</v>
      </c>
      <c r="M1219" s="57">
        <v>35559</v>
      </c>
      <c r="N1219" s="37">
        <f>(YEAR(TablaMadre[[#This Row],[ALTA]])-YEAR(M1219))</f>
        <v>24</v>
      </c>
      <c r="O1219" s="34" t="s">
        <v>18</v>
      </c>
      <c r="P1219" s="34" t="s">
        <v>19</v>
      </c>
      <c r="Q1219" s="34" t="s">
        <v>326</v>
      </c>
      <c r="R1219" s="58" t="s">
        <v>30</v>
      </c>
      <c r="S1219" s="34" t="s">
        <v>151</v>
      </c>
      <c r="T1219" s="34"/>
      <c r="U1219" s="34"/>
      <c r="V1219" s="34" t="s">
        <v>40</v>
      </c>
      <c r="W1219" s="34" t="s">
        <v>28</v>
      </c>
      <c r="X1219" s="38" t="s">
        <v>173</v>
      </c>
      <c r="Y1219" s="62"/>
      <c r="Z1219" s="38" t="e">
        <f t="shared" si="58"/>
        <v>#NUM!</v>
      </c>
      <c r="AA1219" s="38"/>
      <c r="AB1219" s="34">
        <v>9</v>
      </c>
      <c r="AC1219" s="34">
        <v>9</v>
      </c>
      <c r="AD1219" s="38"/>
      <c r="AE1219" s="59" t="str">
        <f t="shared" ref="AE1219:AE1282" si="59">IF(F1219=O1219, "NO", "SÍ")</f>
        <v>NO</v>
      </c>
      <c r="AF1219" s="38" t="e" cm="1">
        <f t="array" aca="1" ref="AF1219" ca="1">MIN(100, MAX(0, (IF(R1219="ESTUDIANTE", 31, 0)) + (IF(I1219&lt;=3, 30, IF(I1219&lt;=6, 20, 0))) +(IF(OR(E1219="413 - Control de Costes y Enlace Construcción", E1219="480 - Secretaría General del Consejo", E1219="132 - Civil y estructuras", E1219="136 - Mecánica", E1219="412 - Planificación", E1219="142 - Compras"), 25, 0)) +(IF(OR(S1219="GRADO ING. MECÁNICA", S1219="GRADO ING. ELÉCTRICA", S1219="GRADO DERECHO", S1219="GRADO ECONOMÍA", S1219="GRADO ING. TECNOLOGÍAS INDUSTRIALES"), 24, 0)) + (IF(AND(K1219&gt;=451, K1219&lt;=700), 23, 0)) + (IF(AND(AB1219&gt;=5, AB1219&lt;=8), 17, 0)) +(IF(_xludf.OR(_xludf.AND(AC1219&gt;=8, AC1219&lt;=10), _xludf.AND(AC1219&gt;=0, AC1219&lt;=5)), 16, 0)) + (IF(F1219="Madrid", 11, 0))))</f>
        <v>#NAME?</v>
      </c>
      <c r="AG1219" s="68"/>
      <c r="AH1219" s="71" t="s">
        <v>164</v>
      </c>
    </row>
    <row r="1220" spans="1:34" ht="14.4" x14ac:dyDescent="0.3">
      <c r="A1220" s="66" t="s">
        <v>2198</v>
      </c>
      <c r="B1220" s="66" t="s">
        <v>4315</v>
      </c>
      <c r="C1220" s="33">
        <v>1219</v>
      </c>
      <c r="D1220" s="33" t="s">
        <v>5394</v>
      </c>
      <c r="E1220" s="34" t="s">
        <v>5317</v>
      </c>
      <c r="F1220" s="34" t="s">
        <v>18</v>
      </c>
      <c r="G1220" s="57">
        <v>44461</v>
      </c>
      <c r="H1220" s="57">
        <v>44825</v>
      </c>
      <c r="I1220" s="34">
        <f t="shared" si="57"/>
        <v>11</v>
      </c>
      <c r="J1220" s="34">
        <v>35</v>
      </c>
      <c r="K1220" s="36">
        <v>825</v>
      </c>
      <c r="L1220" s="34" t="s">
        <v>17</v>
      </c>
      <c r="M1220" s="57">
        <v>34610</v>
      </c>
      <c r="N1220" s="37">
        <f>(YEAR(TablaMadre[[#This Row],[ALTA]])-YEAR(M1220))</f>
        <v>27</v>
      </c>
      <c r="O1220" s="34" t="s">
        <v>18</v>
      </c>
      <c r="P1220" s="34" t="s">
        <v>19</v>
      </c>
      <c r="Q1220" s="34" t="s">
        <v>306</v>
      </c>
      <c r="R1220" s="34" t="s">
        <v>21</v>
      </c>
      <c r="S1220" s="34" t="s">
        <v>307</v>
      </c>
      <c r="T1220" s="34"/>
      <c r="U1220" s="34"/>
      <c r="V1220" s="34" t="s">
        <v>40</v>
      </c>
      <c r="W1220" s="34" t="s">
        <v>23</v>
      </c>
      <c r="X1220" s="38" t="s">
        <v>164</v>
      </c>
      <c r="Y1220" s="62"/>
      <c r="Z1220" s="62" t="e">
        <f t="shared" si="58"/>
        <v>#NUM!</v>
      </c>
      <c r="AA1220" s="62"/>
      <c r="AB1220" s="34">
        <v>8</v>
      </c>
      <c r="AC1220" s="34">
        <v>7</v>
      </c>
      <c r="AD1220" s="38"/>
      <c r="AE1220" s="59" t="str">
        <f t="shared" si="59"/>
        <v>NO</v>
      </c>
      <c r="AF1220" s="38" t="e" cm="1">
        <f t="array" aca="1" ref="AF1220" ca="1">MIN(100, MAX(0, (IF(R1220="ESTUDIANTE", 31, 0)) + (IF(I1220&lt;=3, 30, IF(I1220&lt;=6, 20, 0))) +(IF(OR(E1220="413 - Control de Costes y Enlace Construcción", E1220="480 - Secretaría General del Consejo", E1220="132 - Civil y estructuras", E1220="136 - Mecánica", E1220="412 - Planificación", E1220="142 - Compras"), 25, 0)) +(IF(OR(S1220="GRADO ING. MECÁNICA", S1220="GRADO ING. ELÉCTRICA", S1220="GRADO DERECHO", S1220="GRADO ECONOMÍA", S1220="GRADO ING. TECNOLOGÍAS INDUSTRIALES"), 24, 0)) + (IF(AND(K1220&gt;=451, K1220&lt;=700), 23, 0)) + (IF(AND(AB1220&gt;=5, AB1220&lt;=8), 17, 0)) +(IF(_xludf.OR(_xludf.AND(AC1220&gt;=8, AC1220&lt;=10), _xludf.AND(AC1220&gt;=0, AC1220&lt;=5)), 16, 0)) + (IF(F1220="Madrid", 11, 0))))</f>
        <v>#NAME?</v>
      </c>
      <c r="AG1220" s="68"/>
      <c r="AH1220" s="71" t="s">
        <v>164</v>
      </c>
    </row>
    <row r="1221" spans="1:34" ht="14.4" x14ac:dyDescent="0.3">
      <c r="A1221" s="66" t="s">
        <v>2199</v>
      </c>
      <c r="B1221" s="66" t="s">
        <v>4316</v>
      </c>
      <c r="C1221" s="33">
        <v>1220</v>
      </c>
      <c r="D1221" s="33" t="s">
        <v>5395</v>
      </c>
      <c r="E1221" s="34" t="s">
        <v>5236</v>
      </c>
      <c r="F1221" s="34" t="s">
        <v>18</v>
      </c>
      <c r="G1221" s="57">
        <v>44461</v>
      </c>
      <c r="H1221" s="57">
        <v>44825</v>
      </c>
      <c r="I1221" s="34">
        <f t="shared" si="57"/>
        <v>11</v>
      </c>
      <c r="J1221" s="34">
        <v>35</v>
      </c>
      <c r="K1221" s="36">
        <v>825</v>
      </c>
      <c r="L1221" s="34" t="s">
        <v>17</v>
      </c>
      <c r="M1221" s="57">
        <v>36507</v>
      </c>
      <c r="N1221" s="37">
        <f>(YEAR(TablaMadre[[#This Row],[ALTA]])-YEAR(M1221))</f>
        <v>22</v>
      </c>
      <c r="O1221" s="34" t="s">
        <v>18</v>
      </c>
      <c r="P1221" s="34" t="s">
        <v>19</v>
      </c>
      <c r="Q1221" s="34" t="s">
        <v>559</v>
      </c>
      <c r="R1221" s="34" t="s">
        <v>21</v>
      </c>
      <c r="S1221" s="34" t="s">
        <v>884</v>
      </c>
      <c r="T1221" s="34"/>
      <c r="U1221" s="34"/>
      <c r="V1221" s="34" t="s">
        <v>56</v>
      </c>
      <c r="W1221" s="34" t="s">
        <v>181</v>
      </c>
      <c r="X1221" s="38" t="s">
        <v>164</v>
      </c>
      <c r="Y1221" s="62"/>
      <c r="Z1221" s="62" t="e">
        <f t="shared" si="58"/>
        <v>#NUM!</v>
      </c>
      <c r="AA1221" s="62"/>
      <c r="AB1221" s="34">
        <v>7</v>
      </c>
      <c r="AC1221" s="34">
        <v>10</v>
      </c>
      <c r="AD1221" s="38"/>
      <c r="AE1221" s="59" t="str">
        <f t="shared" si="59"/>
        <v>NO</v>
      </c>
      <c r="AF1221" s="38" t="e" cm="1">
        <f t="array" aca="1" ref="AF1221" ca="1">MIN(100, MAX(0, (IF(R1221="ESTUDIANTE", 31, 0)) + (IF(I1221&lt;=3, 30, IF(I1221&lt;=6, 20, 0))) +(IF(OR(E1221="413 - Control de Costes y Enlace Construcción", E1221="480 - Secretaría General del Consejo", E1221="132 - Civil y estructuras", E1221="136 - Mecánica", E1221="412 - Planificación", E1221="142 - Compras"), 25, 0)) +(IF(OR(S1221="GRADO ING. MECÁNICA", S1221="GRADO ING. ELÉCTRICA", S1221="GRADO DERECHO", S1221="GRADO ECONOMÍA", S1221="GRADO ING. TECNOLOGÍAS INDUSTRIALES"), 24, 0)) + (IF(AND(K1221&gt;=451, K1221&lt;=700), 23, 0)) + (IF(AND(AB1221&gt;=5, AB1221&lt;=8), 17, 0)) +(IF(_xludf.OR(_xludf.AND(AC1221&gt;=8, AC1221&lt;=10), _xludf.AND(AC1221&gt;=0, AC1221&lt;=5)), 16, 0)) + (IF(F1221="Madrid", 11, 0))))</f>
        <v>#NAME?</v>
      </c>
      <c r="AG1221" s="68"/>
      <c r="AH1221" s="71" t="s">
        <v>164</v>
      </c>
    </row>
    <row r="1222" spans="1:34" ht="14.4" x14ac:dyDescent="0.3">
      <c r="A1222" s="66" t="s">
        <v>2200</v>
      </c>
      <c r="B1222" s="66" t="s">
        <v>4317</v>
      </c>
      <c r="C1222" s="33">
        <v>1221</v>
      </c>
      <c r="D1222" s="33" t="s">
        <v>5396</v>
      </c>
      <c r="E1222" s="34" t="s">
        <v>5222</v>
      </c>
      <c r="F1222" s="34" t="s">
        <v>18</v>
      </c>
      <c r="G1222" s="57">
        <v>44466</v>
      </c>
      <c r="H1222" s="57">
        <v>44773</v>
      </c>
      <c r="I1222" s="34">
        <f t="shared" si="57"/>
        <v>10</v>
      </c>
      <c r="J1222" s="34">
        <v>35</v>
      </c>
      <c r="K1222" s="36">
        <v>825</v>
      </c>
      <c r="L1222" s="34" t="s">
        <v>17</v>
      </c>
      <c r="M1222" s="57">
        <v>36266</v>
      </c>
      <c r="N1222" s="37">
        <f>(YEAR(TablaMadre[[#This Row],[ALTA]])-YEAR(M1222))</f>
        <v>22</v>
      </c>
      <c r="O1222" s="34" t="s">
        <v>143</v>
      </c>
      <c r="P1222" s="34" t="s">
        <v>19</v>
      </c>
      <c r="Q1222" s="34" t="s">
        <v>297</v>
      </c>
      <c r="R1222" s="34" t="s">
        <v>21</v>
      </c>
      <c r="S1222" s="34" t="s">
        <v>297</v>
      </c>
      <c r="T1222" s="34"/>
      <c r="U1222" s="34"/>
      <c r="V1222" s="34" t="s">
        <v>180</v>
      </c>
      <c r="W1222" s="34" t="s">
        <v>181</v>
      </c>
      <c r="X1222" s="38" t="s">
        <v>164</v>
      </c>
      <c r="Y1222" s="62"/>
      <c r="Z1222" s="62" t="e">
        <f t="shared" si="58"/>
        <v>#NUM!</v>
      </c>
      <c r="AA1222" s="62"/>
      <c r="AB1222" s="34">
        <v>9</v>
      </c>
      <c r="AC1222" s="34">
        <v>9</v>
      </c>
      <c r="AD1222" s="38"/>
      <c r="AE1222" s="59" t="str">
        <f t="shared" si="59"/>
        <v>SÍ</v>
      </c>
      <c r="AF1222" s="38" t="e" cm="1">
        <f t="array" aca="1" ref="AF1222" ca="1">MIN(100, MAX(0, (IF(R1222="ESTUDIANTE", 31, 0)) + (IF(I1222&lt;=3, 30, IF(I1222&lt;=6, 20, 0))) +(IF(OR(E1222="413 - Control de Costes y Enlace Construcción", E1222="480 - Secretaría General del Consejo", E1222="132 - Civil y estructuras", E1222="136 - Mecánica", E1222="412 - Planificación", E1222="142 - Compras"), 25, 0)) +(IF(OR(S1222="GRADO ING. MECÁNICA", S1222="GRADO ING. ELÉCTRICA", S1222="GRADO DERECHO", S1222="GRADO ECONOMÍA", S1222="GRADO ING. TECNOLOGÍAS INDUSTRIALES"), 24, 0)) + (IF(AND(K1222&gt;=451, K1222&lt;=700), 23, 0)) + (IF(AND(AB1222&gt;=5, AB1222&lt;=8), 17, 0)) +(IF(_xludf.OR(_xludf.AND(AC1222&gt;=8, AC1222&lt;=10), _xludf.AND(AC1222&gt;=0, AC1222&lt;=5)), 16, 0)) + (IF(F1222="Madrid", 11, 0))))</f>
        <v>#NAME?</v>
      </c>
      <c r="AG1222" s="68"/>
      <c r="AH1222" s="71" t="s">
        <v>164</v>
      </c>
    </row>
    <row r="1223" spans="1:34" ht="14.4" x14ac:dyDescent="0.3">
      <c r="A1223" s="66" t="s">
        <v>2201</v>
      </c>
      <c r="B1223" s="66" t="s">
        <v>4318</v>
      </c>
      <c r="C1223" s="33">
        <v>1222</v>
      </c>
      <c r="D1223" s="33" t="s">
        <v>5397</v>
      </c>
      <c r="E1223" s="34" t="s">
        <v>5222</v>
      </c>
      <c r="F1223" s="34" t="s">
        <v>18</v>
      </c>
      <c r="G1223" s="57">
        <v>44466</v>
      </c>
      <c r="H1223" s="57">
        <v>44790</v>
      </c>
      <c r="I1223" s="34">
        <f t="shared" si="57"/>
        <v>10</v>
      </c>
      <c r="J1223" s="34">
        <v>35</v>
      </c>
      <c r="K1223" s="36">
        <v>825</v>
      </c>
      <c r="L1223" s="34" t="s">
        <v>17</v>
      </c>
      <c r="M1223" s="57">
        <v>35925</v>
      </c>
      <c r="N1223" s="37">
        <f>(YEAR(TablaMadre[[#This Row],[ALTA]])-YEAR(M1223))</f>
        <v>23</v>
      </c>
      <c r="O1223" s="34" t="s">
        <v>18</v>
      </c>
      <c r="P1223" s="34" t="s">
        <v>19</v>
      </c>
      <c r="Q1223" s="34" t="s">
        <v>297</v>
      </c>
      <c r="R1223" s="34" t="s">
        <v>21</v>
      </c>
      <c r="S1223" s="34" t="s">
        <v>297</v>
      </c>
      <c r="T1223" s="34"/>
      <c r="U1223" s="34"/>
      <c r="V1223" s="34" t="s">
        <v>22</v>
      </c>
      <c r="W1223" s="34" t="s">
        <v>28</v>
      </c>
      <c r="X1223" s="38" t="s">
        <v>164</v>
      </c>
      <c r="Y1223" s="62">
        <v>45059</v>
      </c>
      <c r="Z1223" s="38">
        <f t="shared" si="58"/>
        <v>0</v>
      </c>
      <c r="AA1223" s="38"/>
      <c r="AB1223" s="34">
        <v>8</v>
      </c>
      <c r="AC1223" s="34">
        <v>10</v>
      </c>
      <c r="AD1223" s="38"/>
      <c r="AE1223" s="59" t="str">
        <f t="shared" si="59"/>
        <v>NO</v>
      </c>
      <c r="AF1223" s="38" t="e" cm="1">
        <f t="array" aca="1" ref="AF1223" ca="1">MIN(100, MAX(0, (IF(R1223="ESTUDIANTE", 31, 0)) + (IF(I1223&lt;=3, 30, IF(I1223&lt;=6, 20, 0))) +(IF(OR(E1223="413 - Control de Costes y Enlace Construcción", E1223="480 - Secretaría General del Consejo", E1223="132 - Civil y estructuras", E1223="136 - Mecánica", E1223="412 - Planificación", E1223="142 - Compras"), 25, 0)) +(IF(OR(S1223="GRADO ING. MECÁNICA", S1223="GRADO ING. ELÉCTRICA", S1223="GRADO DERECHO", S1223="GRADO ECONOMÍA", S1223="GRADO ING. TECNOLOGÍAS INDUSTRIALES"), 24, 0)) + (IF(AND(K1223&gt;=451, K1223&lt;=700), 23, 0)) + (IF(AND(AB1223&gt;=5, AB1223&lt;=8), 17, 0)) +(IF(_xludf.OR(_xludf.AND(AC1223&gt;=8, AC1223&lt;=10), _xludf.AND(AC1223&gt;=0, AC1223&lt;=5)), 16, 0)) + (IF(F1223="Madrid", 11, 0))))</f>
        <v>#NAME?</v>
      </c>
      <c r="AG1223" s="68"/>
      <c r="AH1223" s="71" t="s">
        <v>164</v>
      </c>
    </row>
    <row r="1224" spans="1:34" ht="14.4" x14ac:dyDescent="0.3">
      <c r="A1224" s="66" t="s">
        <v>2202</v>
      </c>
      <c r="B1224" s="66" t="s">
        <v>4319</v>
      </c>
      <c r="C1224" s="33">
        <v>1223</v>
      </c>
      <c r="D1224" s="33" t="s">
        <v>5398</v>
      </c>
      <c r="E1224" s="34" t="s">
        <v>5318</v>
      </c>
      <c r="F1224" s="34" t="s">
        <v>18</v>
      </c>
      <c r="G1224" s="57">
        <v>44466</v>
      </c>
      <c r="H1224" s="57">
        <v>44830</v>
      </c>
      <c r="I1224" s="34">
        <f t="shared" si="57"/>
        <v>11</v>
      </c>
      <c r="J1224" s="34">
        <v>35</v>
      </c>
      <c r="K1224" s="36">
        <v>900</v>
      </c>
      <c r="L1224" s="34" t="s">
        <v>17</v>
      </c>
      <c r="M1224" s="57">
        <v>35404</v>
      </c>
      <c r="N1224" s="37">
        <f>(YEAR(TablaMadre[[#This Row],[ALTA]])-YEAR(M1224))</f>
        <v>25</v>
      </c>
      <c r="O1224" s="34" t="s">
        <v>18</v>
      </c>
      <c r="P1224" s="34" t="s">
        <v>19</v>
      </c>
      <c r="Q1224" s="34" t="s">
        <v>215</v>
      </c>
      <c r="R1224" s="34" t="s">
        <v>21</v>
      </c>
      <c r="S1224" s="34" t="s">
        <v>322</v>
      </c>
      <c r="T1224" s="34"/>
      <c r="U1224" s="34"/>
      <c r="V1224" s="34" t="s">
        <v>22</v>
      </c>
      <c r="W1224" s="34" t="s">
        <v>28</v>
      </c>
      <c r="X1224" s="38" t="s">
        <v>173</v>
      </c>
      <c r="Y1224" s="62"/>
      <c r="Z1224" s="38" t="e">
        <f t="shared" si="58"/>
        <v>#NUM!</v>
      </c>
      <c r="AA1224" s="38"/>
      <c r="AB1224" s="34">
        <v>8</v>
      </c>
      <c r="AC1224" s="34">
        <v>10</v>
      </c>
      <c r="AD1224" s="38"/>
      <c r="AE1224" s="59" t="str">
        <f t="shared" si="59"/>
        <v>NO</v>
      </c>
      <c r="AF1224" s="38" t="e" cm="1">
        <f t="array" aca="1" ref="AF1224" ca="1">MIN(100, MAX(0, (IF(R1224="ESTUDIANTE", 31, 0)) + (IF(I1224&lt;=3, 30, IF(I1224&lt;=6, 20, 0))) +(IF(OR(E1224="413 - Control de Costes y Enlace Construcción", E1224="480 - Secretaría General del Consejo", E1224="132 - Civil y estructuras", E1224="136 - Mecánica", E1224="412 - Planificación", E1224="142 - Compras"), 25, 0)) +(IF(OR(S1224="GRADO ING. MECÁNICA", S1224="GRADO ING. ELÉCTRICA", S1224="GRADO DERECHO", S1224="GRADO ECONOMÍA", S1224="GRADO ING. TECNOLOGÍAS INDUSTRIALES"), 24, 0)) + (IF(AND(K1224&gt;=451, K1224&lt;=700), 23, 0)) + (IF(AND(AB1224&gt;=5, AB1224&lt;=8), 17, 0)) +(IF(_xludf.OR(_xludf.AND(AC1224&gt;=8, AC1224&lt;=10), _xludf.AND(AC1224&gt;=0, AC1224&lt;=5)), 16, 0)) + (IF(F1224="Madrid", 11, 0))))</f>
        <v>#NAME?</v>
      </c>
      <c r="AG1224" s="68"/>
      <c r="AH1224" s="71" t="s">
        <v>164</v>
      </c>
    </row>
    <row r="1225" spans="1:34" ht="14.4" x14ac:dyDescent="0.3">
      <c r="A1225" s="66" t="s">
        <v>2203</v>
      </c>
      <c r="B1225" s="66" t="s">
        <v>4320</v>
      </c>
      <c r="C1225" s="33">
        <v>1224</v>
      </c>
      <c r="D1225" s="33" t="s">
        <v>5399</v>
      </c>
      <c r="E1225" s="34" t="s">
        <v>5222</v>
      </c>
      <c r="F1225" s="34" t="s">
        <v>18</v>
      </c>
      <c r="G1225" s="57">
        <v>44466</v>
      </c>
      <c r="H1225" s="57">
        <v>44830</v>
      </c>
      <c r="I1225" s="34">
        <f t="shared" si="57"/>
        <v>11</v>
      </c>
      <c r="J1225" s="34">
        <v>35</v>
      </c>
      <c r="K1225" s="36">
        <v>900</v>
      </c>
      <c r="L1225" s="34" t="s">
        <v>17</v>
      </c>
      <c r="M1225" s="57">
        <v>34404</v>
      </c>
      <c r="N1225" s="37">
        <f>(YEAR(TablaMadre[[#This Row],[ALTA]])-YEAR(M1225))</f>
        <v>27</v>
      </c>
      <c r="O1225" s="34" t="s">
        <v>191</v>
      </c>
      <c r="P1225" s="34" t="s">
        <v>19</v>
      </c>
      <c r="Q1225" s="34" t="s">
        <v>297</v>
      </c>
      <c r="R1225" s="34" t="s">
        <v>21</v>
      </c>
      <c r="S1225" s="34" t="s">
        <v>297</v>
      </c>
      <c r="T1225" s="34"/>
      <c r="U1225" s="34"/>
      <c r="V1225" s="34" t="s">
        <v>84</v>
      </c>
      <c r="W1225" s="34" t="s">
        <v>28</v>
      </c>
      <c r="X1225" s="38" t="s">
        <v>173</v>
      </c>
      <c r="Y1225" s="62"/>
      <c r="Z1225" s="38" t="e">
        <f t="shared" si="58"/>
        <v>#NUM!</v>
      </c>
      <c r="AA1225" s="38"/>
      <c r="AB1225" s="34">
        <v>10</v>
      </c>
      <c r="AC1225" s="34">
        <v>10</v>
      </c>
      <c r="AD1225" s="38"/>
      <c r="AE1225" s="59" t="str">
        <f t="shared" si="59"/>
        <v>SÍ</v>
      </c>
      <c r="AF1225" s="38" t="e" cm="1">
        <f t="array" aca="1" ref="AF1225" ca="1">MIN(100, MAX(0, (IF(R1225="ESTUDIANTE", 31, 0)) + (IF(I1225&lt;=3, 30, IF(I1225&lt;=6, 20, 0))) +(IF(OR(E1225="413 - Control de Costes y Enlace Construcción", E1225="480 - Secretaría General del Consejo", E1225="132 - Civil y estructuras", E1225="136 - Mecánica", E1225="412 - Planificación", E1225="142 - Compras"), 25, 0)) +(IF(OR(S1225="GRADO ING. MECÁNICA", S1225="GRADO ING. ELÉCTRICA", S1225="GRADO DERECHO", S1225="GRADO ECONOMÍA", S1225="GRADO ING. TECNOLOGÍAS INDUSTRIALES"), 24, 0)) + (IF(AND(K1225&gt;=451, K1225&lt;=700), 23, 0)) + (IF(AND(AB1225&gt;=5, AB1225&lt;=8), 17, 0)) +(IF(_xludf.OR(_xludf.AND(AC1225&gt;=8, AC1225&lt;=10), _xludf.AND(AC1225&gt;=0, AC1225&lt;=5)), 16, 0)) + (IF(F1225="Madrid", 11, 0))))</f>
        <v>#NAME?</v>
      </c>
      <c r="AG1225" s="68"/>
      <c r="AH1225" s="71" t="s">
        <v>164</v>
      </c>
    </row>
    <row r="1226" spans="1:34" ht="14.4" x14ac:dyDescent="0.3">
      <c r="A1226" s="66" t="s">
        <v>2204</v>
      </c>
      <c r="B1226" s="66" t="s">
        <v>4321</v>
      </c>
      <c r="C1226" s="33">
        <v>1225</v>
      </c>
      <c r="D1226" s="33" t="s">
        <v>5400</v>
      </c>
      <c r="E1226" s="34" t="s">
        <v>5319</v>
      </c>
      <c r="F1226" s="34" t="s">
        <v>18</v>
      </c>
      <c r="G1226" s="57">
        <v>44466</v>
      </c>
      <c r="H1226" s="57">
        <v>44830</v>
      </c>
      <c r="I1226" s="34">
        <f t="shared" si="57"/>
        <v>11</v>
      </c>
      <c r="J1226" s="34">
        <v>35</v>
      </c>
      <c r="K1226" s="36">
        <v>650</v>
      </c>
      <c r="L1226" s="34" t="s">
        <v>29</v>
      </c>
      <c r="M1226" s="57">
        <v>35117</v>
      </c>
      <c r="N1226" s="37">
        <f>(YEAR(TablaMadre[[#This Row],[ALTA]])-YEAR(M1226))</f>
        <v>25</v>
      </c>
      <c r="O1226" s="34" t="s">
        <v>153</v>
      </c>
      <c r="P1226" s="34" t="s">
        <v>19</v>
      </c>
      <c r="Q1226" s="34" t="s">
        <v>297</v>
      </c>
      <c r="R1226" s="58" t="s">
        <v>30</v>
      </c>
      <c r="S1226" s="34" t="s">
        <v>297</v>
      </c>
      <c r="T1226" s="34"/>
      <c r="U1226" s="34"/>
      <c r="V1226" s="34" t="s">
        <v>90</v>
      </c>
      <c r="W1226" s="34" t="s">
        <v>28</v>
      </c>
      <c r="X1226" s="38" t="s">
        <v>173</v>
      </c>
      <c r="Y1226" s="62"/>
      <c r="Z1226" s="38" t="e">
        <f t="shared" si="58"/>
        <v>#NUM!</v>
      </c>
      <c r="AA1226" s="38"/>
      <c r="AB1226" s="34">
        <v>10</v>
      </c>
      <c r="AC1226" s="34">
        <v>10</v>
      </c>
      <c r="AD1226" s="38"/>
      <c r="AE1226" s="59" t="str">
        <f t="shared" si="59"/>
        <v>SÍ</v>
      </c>
      <c r="AF1226" s="38" t="e" cm="1">
        <f t="array" aca="1" ref="AF1226" ca="1">MIN(100, MAX(0, (IF(R1226="ESTUDIANTE", 31, 0)) + (IF(I1226&lt;=3, 30, IF(I1226&lt;=6, 20, 0))) +(IF(OR(E1226="413 - Control de Costes y Enlace Construcción", E1226="480 - Secretaría General del Consejo", E1226="132 - Civil y estructuras", E1226="136 - Mecánica", E1226="412 - Planificación", E1226="142 - Compras"), 25, 0)) +(IF(OR(S1226="GRADO ING. MECÁNICA", S1226="GRADO ING. ELÉCTRICA", S1226="GRADO DERECHO", S1226="GRADO ECONOMÍA", S1226="GRADO ING. TECNOLOGÍAS INDUSTRIALES"), 24, 0)) + (IF(AND(K1226&gt;=451, K1226&lt;=700), 23, 0)) + (IF(AND(AB1226&gt;=5, AB1226&lt;=8), 17, 0)) +(IF(_xludf.OR(_xludf.AND(AC1226&gt;=8, AC1226&lt;=10), _xludf.AND(AC1226&gt;=0, AC1226&lt;=5)), 16, 0)) + (IF(F1226="Madrid", 11, 0))))</f>
        <v>#NAME?</v>
      </c>
      <c r="AG1226" s="68"/>
      <c r="AH1226" s="71" t="s">
        <v>164</v>
      </c>
    </row>
    <row r="1227" spans="1:34" ht="14.4" x14ac:dyDescent="0.3">
      <c r="A1227" s="66" t="s">
        <v>2205</v>
      </c>
      <c r="B1227" s="66" t="s">
        <v>4322</v>
      </c>
      <c r="C1227" s="33">
        <v>1226</v>
      </c>
      <c r="D1227" s="33" t="s">
        <v>5401</v>
      </c>
      <c r="E1227" s="34" t="s">
        <v>5222</v>
      </c>
      <c r="F1227" s="34" t="s">
        <v>18</v>
      </c>
      <c r="G1227" s="57">
        <v>44466</v>
      </c>
      <c r="H1227" s="57">
        <v>44830</v>
      </c>
      <c r="I1227" s="34">
        <f t="shared" si="57"/>
        <v>11</v>
      </c>
      <c r="J1227" s="34">
        <v>35</v>
      </c>
      <c r="K1227" s="36">
        <v>825</v>
      </c>
      <c r="L1227" s="34" t="s">
        <v>17</v>
      </c>
      <c r="M1227" s="57">
        <v>35789</v>
      </c>
      <c r="N1227" s="37">
        <f>(YEAR(TablaMadre[[#This Row],[ALTA]])-YEAR(M1227))</f>
        <v>24</v>
      </c>
      <c r="O1227" s="34" t="s">
        <v>837</v>
      </c>
      <c r="P1227" s="34" t="s">
        <v>560</v>
      </c>
      <c r="Q1227" s="34" t="s">
        <v>297</v>
      </c>
      <c r="R1227" s="34" t="s">
        <v>21</v>
      </c>
      <c r="S1227" s="34" t="s">
        <v>297</v>
      </c>
      <c r="T1227" s="34"/>
      <c r="U1227" s="34"/>
      <c r="V1227" s="34" t="s">
        <v>84</v>
      </c>
      <c r="W1227" s="34" t="s">
        <v>28</v>
      </c>
      <c r="X1227" s="38" t="s">
        <v>173</v>
      </c>
      <c r="Y1227" s="62"/>
      <c r="Z1227" s="38" t="e">
        <f t="shared" si="58"/>
        <v>#NUM!</v>
      </c>
      <c r="AA1227" s="38"/>
      <c r="AB1227" s="34">
        <v>8</v>
      </c>
      <c r="AC1227" s="34">
        <v>6</v>
      </c>
      <c r="AD1227" s="38"/>
      <c r="AE1227" s="59" t="str">
        <f t="shared" si="59"/>
        <v>SÍ</v>
      </c>
      <c r="AF1227" s="38" t="e" cm="1">
        <f t="array" aca="1" ref="AF1227" ca="1">MIN(100, MAX(0, (IF(R1227="ESTUDIANTE", 31, 0)) + (IF(I1227&lt;=3, 30, IF(I1227&lt;=6, 20, 0))) +(IF(OR(E1227="413 - Control de Costes y Enlace Construcción", E1227="480 - Secretaría General del Consejo", E1227="132 - Civil y estructuras", E1227="136 - Mecánica", E1227="412 - Planificación", E1227="142 - Compras"), 25, 0)) +(IF(OR(S1227="GRADO ING. MECÁNICA", S1227="GRADO ING. ELÉCTRICA", S1227="GRADO DERECHO", S1227="GRADO ECONOMÍA", S1227="GRADO ING. TECNOLOGÍAS INDUSTRIALES"), 24, 0)) + (IF(AND(K1227&gt;=451, K1227&lt;=700), 23, 0)) + (IF(AND(AB1227&gt;=5, AB1227&lt;=8), 17, 0)) +(IF(_xludf.OR(_xludf.AND(AC1227&gt;=8, AC1227&lt;=10), _xludf.AND(AC1227&gt;=0, AC1227&lt;=5)), 16, 0)) + (IF(F1227="Madrid", 11, 0))))</f>
        <v>#NAME?</v>
      </c>
      <c r="AG1227" s="68"/>
      <c r="AH1227" s="71" t="s">
        <v>164</v>
      </c>
    </row>
    <row r="1228" spans="1:34" ht="14.4" x14ac:dyDescent="0.3">
      <c r="A1228" s="66" t="s">
        <v>2206</v>
      </c>
      <c r="B1228" s="66" t="s">
        <v>4323</v>
      </c>
      <c r="C1228" s="33">
        <v>1227</v>
      </c>
      <c r="D1228" s="33" t="s">
        <v>5402</v>
      </c>
      <c r="E1228" s="34" t="s">
        <v>5224</v>
      </c>
      <c r="F1228" s="34" t="s">
        <v>18</v>
      </c>
      <c r="G1228" s="57">
        <v>44470</v>
      </c>
      <c r="H1228" s="57">
        <v>44659</v>
      </c>
      <c r="I1228" s="34">
        <f t="shared" si="57"/>
        <v>6</v>
      </c>
      <c r="J1228" s="34">
        <v>33</v>
      </c>
      <c r="K1228" s="36">
        <v>710</v>
      </c>
      <c r="L1228" s="34" t="s">
        <v>29</v>
      </c>
      <c r="M1228" s="57">
        <v>35661</v>
      </c>
      <c r="N1228" s="37">
        <f>(YEAR(TablaMadre[[#This Row],[ALTA]])-YEAR(M1228))</f>
        <v>24</v>
      </c>
      <c r="O1228" s="34" t="s">
        <v>75</v>
      </c>
      <c r="P1228" s="34" t="s">
        <v>19</v>
      </c>
      <c r="Q1228" s="34" t="s">
        <v>274</v>
      </c>
      <c r="R1228" s="34" t="s">
        <v>21</v>
      </c>
      <c r="S1228" s="34" t="s">
        <v>274</v>
      </c>
      <c r="T1228" s="34"/>
      <c r="U1228" s="34"/>
      <c r="V1228" s="34" t="s">
        <v>81</v>
      </c>
      <c r="W1228" s="34" t="s">
        <v>181</v>
      </c>
      <c r="X1228" s="38" t="s">
        <v>164</v>
      </c>
      <c r="Y1228" s="62"/>
      <c r="Z1228" s="62" t="e">
        <f t="shared" si="58"/>
        <v>#NUM!</v>
      </c>
      <c r="AA1228" s="62"/>
      <c r="AB1228" s="34">
        <v>8</v>
      </c>
      <c r="AC1228" s="34">
        <v>5</v>
      </c>
      <c r="AD1228" s="38"/>
      <c r="AE1228" s="59" t="str">
        <f t="shared" si="59"/>
        <v>SÍ</v>
      </c>
      <c r="AF1228" s="38" t="e" cm="1">
        <f t="array" aca="1" ref="AF1228" ca="1">MIN(100, MAX(0, (IF(R1228="ESTUDIANTE", 31, 0)) + (IF(I1228&lt;=3, 30, IF(I1228&lt;=6, 20, 0))) +(IF(OR(E1228="413 - Control de Costes y Enlace Construcción", E1228="480 - Secretaría General del Consejo", E1228="132 - Civil y estructuras", E1228="136 - Mecánica", E1228="412 - Planificación", E1228="142 - Compras"), 25, 0)) +(IF(OR(S1228="GRADO ING. MECÁNICA", S1228="GRADO ING. ELÉCTRICA", S1228="GRADO DERECHO", S1228="GRADO ECONOMÍA", S1228="GRADO ING. TECNOLOGÍAS INDUSTRIALES"), 24, 0)) + (IF(AND(K1228&gt;=451, K1228&lt;=700), 23, 0)) + (IF(AND(AB1228&gt;=5, AB1228&lt;=8), 17, 0)) +(IF(_xludf.OR(_xludf.AND(AC1228&gt;=8, AC1228&lt;=10), _xludf.AND(AC1228&gt;=0, AC1228&lt;=5)), 16, 0)) + (IF(F1228="Madrid", 11, 0))))</f>
        <v>#NAME?</v>
      </c>
      <c r="AG1228" s="68"/>
      <c r="AH1228" s="71" t="s">
        <v>164</v>
      </c>
    </row>
    <row r="1229" spans="1:34" ht="14.4" x14ac:dyDescent="0.3">
      <c r="A1229" s="66" t="s">
        <v>2207</v>
      </c>
      <c r="B1229" s="66" t="s">
        <v>4324</v>
      </c>
      <c r="C1229" s="33">
        <v>1228</v>
      </c>
      <c r="D1229" s="33" t="s">
        <v>5393</v>
      </c>
      <c r="E1229" s="34" t="s">
        <v>5222</v>
      </c>
      <c r="F1229" s="34" t="s">
        <v>18</v>
      </c>
      <c r="G1229" s="57">
        <v>44473</v>
      </c>
      <c r="H1229" s="57">
        <v>44654</v>
      </c>
      <c r="I1229" s="34">
        <f t="shared" si="57"/>
        <v>5</v>
      </c>
      <c r="J1229" s="34">
        <v>35</v>
      </c>
      <c r="K1229" s="36">
        <v>900</v>
      </c>
      <c r="L1229" s="34" t="s">
        <v>17</v>
      </c>
      <c r="M1229" s="57">
        <v>34514</v>
      </c>
      <c r="N1229" s="37">
        <f>(YEAR(TablaMadre[[#This Row],[ALTA]])-YEAR(M1229))</f>
        <v>27</v>
      </c>
      <c r="O1229" s="34" t="s">
        <v>304</v>
      </c>
      <c r="P1229" s="34" t="s">
        <v>19</v>
      </c>
      <c r="Q1229" s="34" t="s">
        <v>431</v>
      </c>
      <c r="R1229" s="34" t="s">
        <v>21</v>
      </c>
      <c r="S1229" s="34" t="s">
        <v>321</v>
      </c>
      <c r="T1229" s="34"/>
      <c r="U1229" s="34"/>
      <c r="V1229" s="34" t="s">
        <v>521</v>
      </c>
      <c r="W1229" s="34" t="s">
        <v>28</v>
      </c>
      <c r="X1229" s="38" t="s">
        <v>164</v>
      </c>
      <c r="Y1229" s="62">
        <v>45069</v>
      </c>
      <c r="Z1229" s="38">
        <f t="shared" si="58"/>
        <v>1</v>
      </c>
      <c r="AA1229" s="38"/>
      <c r="AB1229" s="34">
        <v>8</v>
      </c>
      <c r="AC1229" s="34">
        <v>9</v>
      </c>
      <c r="AD1229" s="38"/>
      <c r="AE1229" s="59" t="str">
        <f t="shared" si="59"/>
        <v>SÍ</v>
      </c>
      <c r="AF1229" s="38" t="e" cm="1">
        <f t="array" aca="1" ref="AF1229" ca="1">MIN(100, MAX(0, (IF(R1229="ESTUDIANTE", 31, 0)) + (IF(I1229&lt;=3, 30, IF(I1229&lt;=6, 20, 0))) +(IF(OR(E1229="413 - Control de Costes y Enlace Construcción", E1229="480 - Secretaría General del Consejo", E1229="132 - Civil y estructuras", E1229="136 - Mecánica", E1229="412 - Planificación", E1229="142 - Compras"), 25, 0)) +(IF(OR(S1229="GRADO ING. MECÁNICA", S1229="GRADO ING. ELÉCTRICA", S1229="GRADO DERECHO", S1229="GRADO ECONOMÍA", S1229="GRADO ING. TECNOLOGÍAS INDUSTRIALES"), 24, 0)) + (IF(AND(K1229&gt;=451, K1229&lt;=700), 23, 0)) + (IF(AND(AB1229&gt;=5, AB1229&lt;=8), 17, 0)) +(IF(_xludf.OR(_xludf.AND(AC1229&gt;=8, AC1229&lt;=10), _xludf.AND(AC1229&gt;=0, AC1229&lt;=5)), 16, 0)) + (IF(F1229="Madrid", 11, 0))))</f>
        <v>#NAME?</v>
      </c>
      <c r="AG1229" s="68"/>
      <c r="AH1229" s="71" t="s">
        <v>164</v>
      </c>
    </row>
    <row r="1230" spans="1:34" ht="14.4" x14ac:dyDescent="0.3">
      <c r="A1230" s="66" t="s">
        <v>2208</v>
      </c>
      <c r="B1230" s="66" t="s">
        <v>4325</v>
      </c>
      <c r="C1230" s="33">
        <v>1229</v>
      </c>
      <c r="D1230" s="33" t="s">
        <v>5394</v>
      </c>
      <c r="E1230" s="34" t="s">
        <v>5235</v>
      </c>
      <c r="F1230" s="34" t="s">
        <v>18</v>
      </c>
      <c r="G1230" s="57">
        <v>44473</v>
      </c>
      <c r="H1230" s="57">
        <v>44819</v>
      </c>
      <c r="I1230" s="34">
        <f t="shared" si="57"/>
        <v>11</v>
      </c>
      <c r="J1230" s="34">
        <v>35</v>
      </c>
      <c r="K1230" s="36">
        <v>900</v>
      </c>
      <c r="L1230" s="34" t="s">
        <v>29</v>
      </c>
      <c r="M1230" s="57">
        <v>35805</v>
      </c>
      <c r="N1230" s="37">
        <f>(YEAR(TablaMadre[[#This Row],[ALTA]])-YEAR(M1230))</f>
        <v>23</v>
      </c>
      <c r="O1230" s="34" t="s">
        <v>18</v>
      </c>
      <c r="P1230" s="34" t="s">
        <v>19</v>
      </c>
      <c r="Q1230" s="34" t="s">
        <v>554</v>
      </c>
      <c r="R1230" s="34" t="s">
        <v>21</v>
      </c>
      <c r="S1230" s="34" t="s">
        <v>151</v>
      </c>
      <c r="T1230" s="34"/>
      <c r="U1230" s="34"/>
      <c r="V1230" s="34" t="s">
        <v>40</v>
      </c>
      <c r="W1230" s="34" t="s">
        <v>181</v>
      </c>
      <c r="X1230" s="38" t="s">
        <v>164</v>
      </c>
      <c r="Y1230" s="62"/>
      <c r="Z1230" s="62" t="e">
        <f t="shared" si="58"/>
        <v>#NUM!</v>
      </c>
      <c r="AA1230" s="62"/>
      <c r="AB1230" s="34">
        <v>10</v>
      </c>
      <c r="AC1230" s="34">
        <v>10</v>
      </c>
      <c r="AD1230" s="38"/>
      <c r="AE1230" s="59" t="str">
        <f t="shared" si="59"/>
        <v>NO</v>
      </c>
      <c r="AF1230" s="38" t="e" cm="1">
        <f t="array" aca="1" ref="AF1230" ca="1">MIN(100, MAX(0, (IF(R1230="ESTUDIANTE", 31, 0)) + (IF(I1230&lt;=3, 30, IF(I1230&lt;=6, 20, 0))) +(IF(OR(E1230="413 - Control de Costes y Enlace Construcción", E1230="480 - Secretaría General del Consejo", E1230="132 - Civil y estructuras", E1230="136 - Mecánica", E1230="412 - Planificación", E1230="142 - Compras"), 25, 0)) +(IF(OR(S1230="GRADO ING. MECÁNICA", S1230="GRADO ING. ELÉCTRICA", S1230="GRADO DERECHO", S1230="GRADO ECONOMÍA", S1230="GRADO ING. TECNOLOGÍAS INDUSTRIALES"), 24, 0)) + (IF(AND(K1230&gt;=451, K1230&lt;=700), 23, 0)) + (IF(AND(AB1230&gt;=5, AB1230&lt;=8), 17, 0)) +(IF(_xludf.OR(_xludf.AND(AC1230&gt;=8, AC1230&lt;=10), _xludf.AND(AC1230&gt;=0, AC1230&lt;=5)), 16, 0)) + (IF(F1230="Madrid", 11, 0))))</f>
        <v>#NAME?</v>
      </c>
      <c r="AG1230" s="68"/>
      <c r="AH1230" s="71" t="s">
        <v>164</v>
      </c>
    </row>
    <row r="1231" spans="1:34" ht="14.4" x14ac:dyDescent="0.3">
      <c r="A1231" s="66" t="s">
        <v>2209</v>
      </c>
      <c r="B1231" s="66" t="s">
        <v>4326</v>
      </c>
      <c r="C1231" s="33">
        <v>1230</v>
      </c>
      <c r="D1231" s="33" t="s">
        <v>5403</v>
      </c>
      <c r="E1231" s="34" t="s">
        <v>5222</v>
      </c>
      <c r="F1231" s="34" t="s">
        <v>18</v>
      </c>
      <c r="G1231" s="57">
        <v>44473</v>
      </c>
      <c r="H1231" s="57">
        <v>44834</v>
      </c>
      <c r="I1231" s="34">
        <f t="shared" si="57"/>
        <v>11</v>
      </c>
      <c r="J1231" s="34">
        <v>35</v>
      </c>
      <c r="K1231" s="36">
        <v>825</v>
      </c>
      <c r="L1231" s="34" t="s">
        <v>17</v>
      </c>
      <c r="M1231" s="57">
        <v>35796</v>
      </c>
      <c r="N1231" s="37">
        <f>(YEAR(TablaMadre[[#This Row],[ALTA]])-YEAR(M1231))</f>
        <v>23</v>
      </c>
      <c r="O1231" s="34" t="s">
        <v>511</v>
      </c>
      <c r="P1231" s="34" t="s">
        <v>19</v>
      </c>
      <c r="Q1231" s="34" t="s">
        <v>297</v>
      </c>
      <c r="R1231" s="34" t="s">
        <v>21</v>
      </c>
      <c r="S1231" s="34" t="s">
        <v>297</v>
      </c>
      <c r="T1231" s="34"/>
      <c r="U1231" s="34"/>
      <c r="V1231" s="34" t="s">
        <v>56</v>
      </c>
      <c r="W1231" s="34" t="s">
        <v>28</v>
      </c>
      <c r="X1231" s="38" t="s">
        <v>173</v>
      </c>
      <c r="Y1231" s="62"/>
      <c r="Z1231" s="38" t="e">
        <f t="shared" si="58"/>
        <v>#NUM!</v>
      </c>
      <c r="AA1231" s="38"/>
      <c r="AB1231" s="34">
        <v>9</v>
      </c>
      <c r="AC1231" s="34">
        <v>10</v>
      </c>
      <c r="AD1231" s="38"/>
      <c r="AE1231" s="59" t="str">
        <f t="shared" si="59"/>
        <v>SÍ</v>
      </c>
      <c r="AF1231" s="38" t="e" cm="1">
        <f t="array" aca="1" ref="AF1231" ca="1">MIN(100, MAX(0, (IF(R1231="ESTUDIANTE", 31, 0)) + (IF(I1231&lt;=3, 30, IF(I1231&lt;=6, 20, 0))) +(IF(OR(E1231="413 - Control de Costes y Enlace Construcción", E1231="480 - Secretaría General del Consejo", E1231="132 - Civil y estructuras", E1231="136 - Mecánica", E1231="412 - Planificación", E1231="142 - Compras"), 25, 0)) +(IF(OR(S1231="GRADO ING. MECÁNICA", S1231="GRADO ING. ELÉCTRICA", S1231="GRADO DERECHO", S1231="GRADO ECONOMÍA", S1231="GRADO ING. TECNOLOGÍAS INDUSTRIALES"), 24, 0)) + (IF(AND(K1231&gt;=451, K1231&lt;=700), 23, 0)) + (IF(AND(AB1231&gt;=5, AB1231&lt;=8), 17, 0)) +(IF(_xludf.OR(_xludf.AND(AC1231&gt;=8, AC1231&lt;=10), _xludf.AND(AC1231&gt;=0, AC1231&lt;=5)), 16, 0)) + (IF(F1231="Madrid", 11, 0))))</f>
        <v>#NAME?</v>
      </c>
      <c r="AG1231" s="68"/>
      <c r="AH1231" s="71" t="s">
        <v>164</v>
      </c>
    </row>
    <row r="1232" spans="1:34" ht="14.4" x14ac:dyDescent="0.3">
      <c r="A1232" s="66" t="s">
        <v>2210</v>
      </c>
      <c r="B1232" s="66" t="s">
        <v>4327</v>
      </c>
      <c r="C1232" s="33">
        <v>1231</v>
      </c>
      <c r="D1232" s="33" t="s">
        <v>5404</v>
      </c>
      <c r="E1232" s="34" t="s">
        <v>5222</v>
      </c>
      <c r="F1232" s="34" t="s">
        <v>18</v>
      </c>
      <c r="G1232" s="57">
        <v>44473</v>
      </c>
      <c r="H1232" s="57">
        <v>44837</v>
      </c>
      <c r="I1232" s="34">
        <f t="shared" si="57"/>
        <v>11</v>
      </c>
      <c r="J1232" s="34">
        <v>35</v>
      </c>
      <c r="K1232" s="36">
        <v>825</v>
      </c>
      <c r="L1232" s="34" t="s">
        <v>29</v>
      </c>
      <c r="M1232" s="57">
        <v>35921</v>
      </c>
      <c r="N1232" s="37">
        <f>(YEAR(TablaMadre[[#This Row],[ALTA]])-YEAR(M1232))</f>
        <v>23</v>
      </c>
      <c r="O1232" s="34" t="s">
        <v>205</v>
      </c>
      <c r="P1232" s="34" t="s">
        <v>19</v>
      </c>
      <c r="Q1232" s="34" t="s">
        <v>297</v>
      </c>
      <c r="R1232" s="34" t="s">
        <v>21</v>
      </c>
      <c r="S1232" s="34" t="s">
        <v>297</v>
      </c>
      <c r="T1232" s="34"/>
      <c r="U1232" s="34"/>
      <c r="V1232" s="34" t="s">
        <v>56</v>
      </c>
      <c r="W1232" s="34" t="s">
        <v>28</v>
      </c>
      <c r="X1232" s="38" t="s">
        <v>164</v>
      </c>
      <c r="Y1232" s="62">
        <v>45162</v>
      </c>
      <c r="Z1232" s="38">
        <f t="shared" si="58"/>
        <v>0</v>
      </c>
      <c r="AA1232" s="38"/>
      <c r="AB1232" s="34">
        <v>8</v>
      </c>
      <c r="AC1232" s="34">
        <v>10</v>
      </c>
      <c r="AD1232" s="38"/>
      <c r="AE1232" s="59" t="str">
        <f t="shared" si="59"/>
        <v>SÍ</v>
      </c>
      <c r="AF1232" s="38" t="e" cm="1">
        <f t="array" aca="1" ref="AF1232" ca="1">MIN(100, MAX(0, (IF(R1232="ESTUDIANTE", 31, 0)) + (IF(I1232&lt;=3, 30, IF(I1232&lt;=6, 20, 0))) +(IF(OR(E1232="413 - Control de Costes y Enlace Construcción", E1232="480 - Secretaría General del Consejo", E1232="132 - Civil y estructuras", E1232="136 - Mecánica", E1232="412 - Planificación", E1232="142 - Compras"), 25, 0)) +(IF(OR(S1232="GRADO ING. MECÁNICA", S1232="GRADO ING. ELÉCTRICA", S1232="GRADO DERECHO", S1232="GRADO ECONOMÍA", S1232="GRADO ING. TECNOLOGÍAS INDUSTRIALES"), 24, 0)) + (IF(AND(K1232&gt;=451, K1232&lt;=700), 23, 0)) + (IF(AND(AB1232&gt;=5, AB1232&lt;=8), 17, 0)) +(IF(_xludf.OR(_xludf.AND(AC1232&gt;=8, AC1232&lt;=10), _xludf.AND(AC1232&gt;=0, AC1232&lt;=5)), 16, 0)) + (IF(F1232="Madrid", 11, 0))))</f>
        <v>#NAME?</v>
      </c>
      <c r="AG1232" s="68"/>
      <c r="AH1232" s="71" t="s">
        <v>164</v>
      </c>
    </row>
    <row r="1233" spans="1:34" ht="14.4" x14ac:dyDescent="0.3">
      <c r="A1233" s="66" t="s">
        <v>2211</v>
      </c>
      <c r="B1233" s="66" t="s">
        <v>4328</v>
      </c>
      <c r="C1233" s="33">
        <v>1232</v>
      </c>
      <c r="D1233" s="33" t="s">
        <v>5405</v>
      </c>
      <c r="E1233" s="34" t="s">
        <v>5316</v>
      </c>
      <c r="F1233" s="34" t="s">
        <v>18</v>
      </c>
      <c r="G1233" s="57">
        <v>44473</v>
      </c>
      <c r="H1233" s="57">
        <v>44837</v>
      </c>
      <c r="I1233" s="34">
        <f t="shared" si="57"/>
        <v>11</v>
      </c>
      <c r="J1233" s="34">
        <v>35</v>
      </c>
      <c r="K1233" s="36">
        <v>825</v>
      </c>
      <c r="L1233" s="34" t="s">
        <v>17</v>
      </c>
      <c r="M1233" s="57">
        <v>35836</v>
      </c>
      <c r="N1233" s="37">
        <f>(YEAR(TablaMadre[[#This Row],[ALTA]])-YEAR(M1233))</f>
        <v>23</v>
      </c>
      <c r="O1233" s="34" t="s">
        <v>18</v>
      </c>
      <c r="P1233" s="34" t="s">
        <v>19</v>
      </c>
      <c r="Q1233" s="34" t="s">
        <v>330</v>
      </c>
      <c r="R1233" s="34" t="s">
        <v>21</v>
      </c>
      <c r="S1233" s="34" t="s">
        <v>307</v>
      </c>
      <c r="T1233" s="34"/>
      <c r="U1233" s="34"/>
      <c r="V1233" s="34" t="s">
        <v>22</v>
      </c>
      <c r="W1233" s="34" t="s">
        <v>28</v>
      </c>
      <c r="X1233" s="38" t="s">
        <v>164</v>
      </c>
      <c r="Y1233" s="62">
        <v>45570</v>
      </c>
      <c r="Z1233" s="38">
        <f t="shared" si="58"/>
        <v>2</v>
      </c>
      <c r="AA1233" s="38"/>
      <c r="AB1233" s="34">
        <v>9</v>
      </c>
      <c r="AC1233" s="34">
        <v>8</v>
      </c>
      <c r="AD1233" s="38"/>
      <c r="AE1233" s="59" t="str">
        <f t="shared" si="59"/>
        <v>NO</v>
      </c>
      <c r="AF1233" s="38" t="e" cm="1">
        <f t="array" aca="1" ref="AF1233" ca="1">MIN(100, MAX(0, (IF(R1233="ESTUDIANTE", 31, 0)) + (IF(I1233&lt;=3, 30, IF(I1233&lt;=6, 20, 0))) +(IF(OR(E1233="413 - Control de Costes y Enlace Construcción", E1233="480 - Secretaría General del Consejo", E1233="132 - Civil y estructuras", E1233="136 - Mecánica", E1233="412 - Planificación", E1233="142 - Compras"), 25, 0)) +(IF(OR(S1233="GRADO ING. MECÁNICA", S1233="GRADO ING. ELÉCTRICA", S1233="GRADO DERECHO", S1233="GRADO ECONOMÍA", S1233="GRADO ING. TECNOLOGÍAS INDUSTRIALES"), 24, 0)) + (IF(AND(K1233&gt;=451, K1233&lt;=700), 23, 0)) + (IF(AND(AB1233&gt;=5, AB1233&lt;=8), 17, 0)) +(IF(_xludf.OR(_xludf.AND(AC1233&gt;=8, AC1233&lt;=10), _xludf.AND(AC1233&gt;=0, AC1233&lt;=5)), 16, 0)) + (IF(F1233="Madrid", 11, 0))))</f>
        <v>#NAME?</v>
      </c>
      <c r="AG1233" s="68"/>
      <c r="AH1233" s="71" t="s">
        <v>164</v>
      </c>
    </row>
    <row r="1234" spans="1:34" ht="14.4" x14ac:dyDescent="0.3">
      <c r="A1234" s="66" t="s">
        <v>2212</v>
      </c>
      <c r="B1234" s="66" t="s">
        <v>4329</v>
      </c>
      <c r="C1234" s="33">
        <v>1233</v>
      </c>
      <c r="D1234" s="33" t="s">
        <v>5396</v>
      </c>
      <c r="E1234" s="34" t="s">
        <v>5222</v>
      </c>
      <c r="F1234" s="34" t="s">
        <v>18</v>
      </c>
      <c r="G1234" s="57">
        <v>44473</v>
      </c>
      <c r="H1234" s="57">
        <v>44837</v>
      </c>
      <c r="I1234" s="34">
        <f t="shared" si="57"/>
        <v>11</v>
      </c>
      <c r="J1234" s="34">
        <v>35</v>
      </c>
      <c r="K1234" s="36">
        <v>825</v>
      </c>
      <c r="L1234" s="34" t="s">
        <v>17</v>
      </c>
      <c r="M1234" s="57">
        <v>35362</v>
      </c>
      <c r="N1234" s="37">
        <f>(YEAR(TablaMadre[[#This Row],[ALTA]])-YEAR(M1234))</f>
        <v>25</v>
      </c>
      <c r="O1234" s="34" t="s">
        <v>956</v>
      </c>
      <c r="P1234" s="34" t="s">
        <v>19</v>
      </c>
      <c r="Q1234" s="34" t="s">
        <v>297</v>
      </c>
      <c r="R1234" s="34" t="s">
        <v>21</v>
      </c>
      <c r="S1234" s="34" t="s">
        <v>297</v>
      </c>
      <c r="T1234" s="34"/>
      <c r="U1234" s="34"/>
      <c r="V1234" s="34" t="s">
        <v>50</v>
      </c>
      <c r="W1234" s="34" t="s">
        <v>28</v>
      </c>
      <c r="X1234" s="38" t="s">
        <v>164</v>
      </c>
      <c r="Y1234" s="62">
        <v>45444</v>
      </c>
      <c r="Z1234" s="38">
        <f t="shared" si="58"/>
        <v>1</v>
      </c>
      <c r="AA1234" s="38"/>
      <c r="AB1234" s="34">
        <v>7</v>
      </c>
      <c r="AC1234" s="34">
        <v>9</v>
      </c>
      <c r="AD1234" s="38"/>
      <c r="AE1234" s="59" t="str">
        <f t="shared" si="59"/>
        <v>SÍ</v>
      </c>
      <c r="AF1234" s="38" t="e" cm="1">
        <f t="array" aca="1" ref="AF1234" ca="1">MIN(100, MAX(0, (IF(R1234="ESTUDIANTE", 31, 0)) + (IF(I1234&lt;=3, 30, IF(I1234&lt;=6, 20, 0))) +(IF(OR(E1234="413 - Control de Costes y Enlace Construcción", E1234="480 - Secretaría General del Consejo", E1234="132 - Civil y estructuras", E1234="136 - Mecánica", E1234="412 - Planificación", E1234="142 - Compras"), 25, 0)) +(IF(OR(S1234="GRADO ING. MECÁNICA", S1234="GRADO ING. ELÉCTRICA", S1234="GRADO DERECHO", S1234="GRADO ECONOMÍA", S1234="GRADO ING. TECNOLOGÍAS INDUSTRIALES"), 24, 0)) + (IF(AND(K1234&gt;=451, K1234&lt;=700), 23, 0)) + (IF(AND(AB1234&gt;=5, AB1234&lt;=8), 17, 0)) +(IF(_xludf.OR(_xludf.AND(AC1234&gt;=8, AC1234&lt;=10), _xludf.AND(AC1234&gt;=0, AC1234&lt;=5)), 16, 0)) + (IF(F1234="Madrid", 11, 0))))</f>
        <v>#NAME?</v>
      </c>
      <c r="AG1234" s="68"/>
      <c r="AH1234" s="71" t="s">
        <v>164</v>
      </c>
    </row>
    <row r="1235" spans="1:34" ht="14.4" x14ac:dyDescent="0.3">
      <c r="A1235" s="66" t="s">
        <v>2213</v>
      </c>
      <c r="B1235" s="66" t="s">
        <v>4330</v>
      </c>
      <c r="C1235" s="33">
        <v>1234</v>
      </c>
      <c r="D1235" s="33" t="s">
        <v>5397</v>
      </c>
      <c r="E1235" s="34" t="s">
        <v>5235</v>
      </c>
      <c r="F1235" s="34" t="s">
        <v>18</v>
      </c>
      <c r="G1235" s="57">
        <v>44473</v>
      </c>
      <c r="H1235" s="57">
        <v>44837</v>
      </c>
      <c r="I1235" s="34">
        <f t="shared" si="57"/>
        <v>11</v>
      </c>
      <c r="J1235" s="34">
        <v>35</v>
      </c>
      <c r="K1235" s="36">
        <v>825</v>
      </c>
      <c r="L1235" s="34" t="s">
        <v>17</v>
      </c>
      <c r="M1235" s="57">
        <v>34712</v>
      </c>
      <c r="N1235" s="37">
        <f>(YEAR(TablaMadre[[#This Row],[ALTA]])-YEAR(M1235))</f>
        <v>26</v>
      </c>
      <c r="O1235" s="34" t="s">
        <v>18</v>
      </c>
      <c r="P1235" s="34" t="s">
        <v>19</v>
      </c>
      <c r="Q1235" s="34" t="s">
        <v>428</v>
      </c>
      <c r="R1235" s="34" t="s">
        <v>21</v>
      </c>
      <c r="S1235" s="34" t="s">
        <v>297</v>
      </c>
      <c r="T1235" s="34"/>
      <c r="U1235" s="34"/>
      <c r="V1235" s="34" t="s">
        <v>40</v>
      </c>
      <c r="W1235" s="34" t="s">
        <v>28</v>
      </c>
      <c r="X1235" s="38" t="s">
        <v>173</v>
      </c>
      <c r="Y1235" s="62"/>
      <c r="Z1235" s="38" t="e">
        <f t="shared" si="58"/>
        <v>#NUM!</v>
      </c>
      <c r="AA1235" s="38"/>
      <c r="AB1235" s="34">
        <v>10</v>
      </c>
      <c r="AC1235" s="34">
        <v>10</v>
      </c>
      <c r="AD1235" s="38"/>
      <c r="AE1235" s="59" t="str">
        <f t="shared" si="59"/>
        <v>NO</v>
      </c>
      <c r="AF1235" s="38" t="e" cm="1">
        <f t="array" aca="1" ref="AF1235" ca="1">MIN(100, MAX(0, (IF(R1235="ESTUDIANTE", 31, 0)) + (IF(I1235&lt;=3, 30, IF(I1235&lt;=6, 20, 0))) +(IF(OR(E1235="413 - Control de Costes y Enlace Construcción", E1235="480 - Secretaría General del Consejo", E1235="132 - Civil y estructuras", E1235="136 - Mecánica", E1235="412 - Planificación", E1235="142 - Compras"), 25, 0)) +(IF(OR(S1235="GRADO ING. MECÁNICA", S1235="GRADO ING. ELÉCTRICA", S1235="GRADO DERECHO", S1235="GRADO ECONOMÍA", S1235="GRADO ING. TECNOLOGÍAS INDUSTRIALES"), 24, 0)) + (IF(AND(K1235&gt;=451, K1235&lt;=700), 23, 0)) + (IF(AND(AB1235&gt;=5, AB1235&lt;=8), 17, 0)) +(IF(_xludf.OR(_xludf.AND(AC1235&gt;=8, AC1235&lt;=10), _xludf.AND(AC1235&gt;=0, AC1235&lt;=5)), 16, 0)) + (IF(F1235="Madrid", 11, 0))))</f>
        <v>#NAME?</v>
      </c>
      <c r="AG1235" s="68"/>
      <c r="AH1235" s="71" t="s">
        <v>164</v>
      </c>
    </row>
    <row r="1236" spans="1:34" ht="14.4" x14ac:dyDescent="0.3">
      <c r="A1236" s="66" t="s">
        <v>2214</v>
      </c>
      <c r="B1236" s="66" t="s">
        <v>4331</v>
      </c>
      <c r="C1236" s="33">
        <v>1235</v>
      </c>
      <c r="D1236" s="33" t="s">
        <v>5393</v>
      </c>
      <c r="E1236" s="34" t="s">
        <v>5313</v>
      </c>
      <c r="F1236" s="34" t="s">
        <v>18</v>
      </c>
      <c r="G1236" s="57">
        <v>44473</v>
      </c>
      <c r="H1236" s="57">
        <v>44837</v>
      </c>
      <c r="I1236" s="34">
        <f t="shared" si="57"/>
        <v>11</v>
      </c>
      <c r="J1236" s="34">
        <v>35</v>
      </c>
      <c r="K1236" s="36">
        <v>650</v>
      </c>
      <c r="L1236" s="34" t="s">
        <v>17</v>
      </c>
      <c r="M1236" s="57">
        <v>35384</v>
      </c>
      <c r="N1236" s="37">
        <f>(YEAR(TablaMadre[[#This Row],[ALTA]])-YEAR(M1236))</f>
        <v>25</v>
      </c>
      <c r="O1236" s="34" t="s">
        <v>18</v>
      </c>
      <c r="P1236" s="34" t="s">
        <v>19</v>
      </c>
      <c r="Q1236" s="34" t="s">
        <v>151</v>
      </c>
      <c r="R1236" s="58" t="s">
        <v>30</v>
      </c>
      <c r="S1236" s="34" t="s">
        <v>151</v>
      </c>
      <c r="T1236" s="34"/>
      <c r="U1236" s="34"/>
      <c r="V1236" s="34" t="s">
        <v>22</v>
      </c>
      <c r="W1236" s="34" t="s">
        <v>127</v>
      </c>
      <c r="X1236" s="38" t="s">
        <v>164</v>
      </c>
      <c r="Y1236" s="62">
        <v>45657</v>
      </c>
      <c r="Z1236" s="38">
        <f t="shared" si="58"/>
        <v>2</v>
      </c>
      <c r="AA1236" s="38"/>
      <c r="AB1236" s="34">
        <v>8</v>
      </c>
      <c r="AC1236" s="34">
        <v>8</v>
      </c>
      <c r="AD1236" s="38"/>
      <c r="AE1236" s="59" t="str">
        <f t="shared" si="59"/>
        <v>NO</v>
      </c>
      <c r="AF1236" s="38" t="e" cm="1">
        <f t="array" aca="1" ref="AF1236" ca="1">MIN(100, MAX(0, (IF(R1236="ESTUDIANTE", 31, 0)) + (IF(I1236&lt;=3, 30, IF(I1236&lt;=6, 20, 0))) +(IF(OR(E1236="413 - Control de Costes y Enlace Construcción", E1236="480 - Secretaría General del Consejo", E1236="132 - Civil y estructuras", E1236="136 - Mecánica", E1236="412 - Planificación", E1236="142 - Compras"), 25, 0)) +(IF(OR(S1236="GRADO ING. MECÁNICA", S1236="GRADO ING. ELÉCTRICA", S1236="GRADO DERECHO", S1236="GRADO ECONOMÍA", S1236="GRADO ING. TECNOLOGÍAS INDUSTRIALES"), 24, 0)) + (IF(AND(K1236&gt;=451, K1236&lt;=700), 23, 0)) + (IF(AND(AB1236&gt;=5, AB1236&lt;=8), 17, 0)) +(IF(_xludf.OR(_xludf.AND(AC1236&gt;=8, AC1236&lt;=10), _xludf.AND(AC1236&gt;=0, AC1236&lt;=5)), 16, 0)) + (IF(F1236="Madrid", 11, 0))))</f>
        <v>#NAME?</v>
      </c>
      <c r="AG1236" s="68"/>
      <c r="AH1236" s="71" t="s">
        <v>164</v>
      </c>
    </row>
    <row r="1237" spans="1:34" ht="14.4" x14ac:dyDescent="0.3">
      <c r="A1237" s="66" t="s">
        <v>2215</v>
      </c>
      <c r="B1237" s="66" t="s">
        <v>4332</v>
      </c>
      <c r="C1237" s="33">
        <v>1236</v>
      </c>
      <c r="D1237" s="33" t="s">
        <v>5394</v>
      </c>
      <c r="E1237" s="34" t="s">
        <v>5218</v>
      </c>
      <c r="F1237" s="34" t="s">
        <v>931</v>
      </c>
      <c r="G1237" s="57">
        <v>44474</v>
      </c>
      <c r="H1237" s="57">
        <v>44701</v>
      </c>
      <c r="I1237" s="34">
        <f t="shared" si="57"/>
        <v>7</v>
      </c>
      <c r="J1237" s="34">
        <v>40</v>
      </c>
      <c r="K1237" s="36">
        <v>500</v>
      </c>
      <c r="L1237" s="34" t="s">
        <v>17</v>
      </c>
      <c r="M1237" s="57">
        <v>35573</v>
      </c>
      <c r="N1237" s="37">
        <f>(YEAR(TablaMadre[[#This Row],[ALTA]])-YEAR(M1237))</f>
        <v>24</v>
      </c>
      <c r="O1237" s="34" t="s">
        <v>95</v>
      </c>
      <c r="P1237" s="34" t="s">
        <v>95</v>
      </c>
      <c r="Q1237" s="34" t="s">
        <v>151</v>
      </c>
      <c r="R1237" s="58" t="s">
        <v>30</v>
      </c>
      <c r="S1237" s="34" t="s">
        <v>151</v>
      </c>
      <c r="T1237" s="34"/>
      <c r="U1237" s="34"/>
      <c r="V1237" s="34" t="s">
        <v>90</v>
      </c>
      <c r="W1237" s="34" t="s">
        <v>97</v>
      </c>
      <c r="X1237" s="38" t="s">
        <v>164</v>
      </c>
      <c r="Y1237" s="62"/>
      <c r="Z1237" s="62" t="e">
        <f t="shared" si="58"/>
        <v>#NUM!</v>
      </c>
      <c r="AA1237" s="62"/>
      <c r="AB1237" s="34"/>
      <c r="AC1237" s="34"/>
      <c r="AD1237" s="38"/>
      <c r="AE1237" s="59" t="str">
        <f t="shared" si="59"/>
        <v>SÍ</v>
      </c>
      <c r="AF1237" s="38" t="e" cm="1">
        <f t="array" aca="1" ref="AF1237" ca="1">MIN(100, MAX(0, (IF(R1237="ESTUDIANTE", 31, 0)) + (IF(I1237&lt;=3, 30, IF(I1237&lt;=6, 20, 0))) +(IF(OR(E1237="413 - Control de Costes y Enlace Construcción", E1237="480 - Secretaría General del Consejo", E1237="132 - Civil y estructuras", E1237="136 - Mecánica", E1237="412 - Planificación", E1237="142 - Compras"), 25, 0)) +(IF(OR(S1237="GRADO ING. MECÁNICA", S1237="GRADO ING. ELÉCTRICA", S1237="GRADO DERECHO", S1237="GRADO ECONOMÍA", S1237="GRADO ING. TECNOLOGÍAS INDUSTRIALES"), 24, 0)) + (IF(AND(K1237&gt;=451, K1237&lt;=700), 23, 0)) + (IF(AND(AB1237&gt;=5, AB1237&lt;=8), 17, 0)) +(IF(_xludf.OR(_xludf.AND(AC1237&gt;=8, AC1237&lt;=10), _xludf.AND(AC1237&gt;=0, AC1237&lt;=5)), 16, 0)) + (IF(F1237="Madrid", 11, 0))))</f>
        <v>#NAME?</v>
      </c>
      <c r="AG1237" s="68"/>
      <c r="AH1237" s="71" t="s">
        <v>164</v>
      </c>
    </row>
    <row r="1238" spans="1:34" ht="14.4" x14ac:dyDescent="0.3">
      <c r="A1238" s="66" t="s">
        <v>2216</v>
      </c>
      <c r="B1238" s="66" t="s">
        <v>4333</v>
      </c>
      <c r="C1238" s="33">
        <v>1237</v>
      </c>
      <c r="D1238" s="33" t="s">
        <v>5395</v>
      </c>
      <c r="E1238" s="34" t="s">
        <v>5233</v>
      </c>
      <c r="F1238" s="34" t="s">
        <v>931</v>
      </c>
      <c r="G1238" s="57">
        <v>44474</v>
      </c>
      <c r="H1238" s="57">
        <v>44708</v>
      </c>
      <c r="I1238" s="34">
        <f t="shared" si="57"/>
        <v>7</v>
      </c>
      <c r="J1238" s="34">
        <v>40</v>
      </c>
      <c r="K1238" s="36">
        <v>500</v>
      </c>
      <c r="L1238" s="34" t="s">
        <v>17</v>
      </c>
      <c r="M1238" s="57">
        <v>35601</v>
      </c>
      <c r="N1238" s="37">
        <f>(YEAR(TablaMadre[[#This Row],[ALTA]])-YEAR(M1238))</f>
        <v>24</v>
      </c>
      <c r="O1238" s="34" t="s">
        <v>95</v>
      </c>
      <c r="P1238" s="34" t="s">
        <v>95</v>
      </c>
      <c r="Q1238" s="34" t="s">
        <v>136</v>
      </c>
      <c r="R1238" s="58" t="s">
        <v>30</v>
      </c>
      <c r="S1238" s="34" t="s">
        <v>136</v>
      </c>
      <c r="T1238" s="34"/>
      <c r="U1238" s="34"/>
      <c r="V1238" s="34" t="s">
        <v>90</v>
      </c>
      <c r="W1238" s="34" t="s">
        <v>97</v>
      </c>
      <c r="X1238" s="38" t="s">
        <v>164</v>
      </c>
      <c r="Y1238" s="62"/>
      <c r="Z1238" s="62" t="e">
        <f t="shared" si="58"/>
        <v>#NUM!</v>
      </c>
      <c r="AA1238" s="62"/>
      <c r="AB1238" s="34"/>
      <c r="AC1238" s="34"/>
      <c r="AD1238" s="38"/>
      <c r="AE1238" s="59" t="str">
        <f t="shared" si="59"/>
        <v>SÍ</v>
      </c>
      <c r="AF1238" s="38" t="e" cm="1">
        <f t="array" aca="1" ref="AF1238" ca="1">MIN(100, MAX(0, (IF(R1238="ESTUDIANTE", 31, 0)) + (IF(I1238&lt;=3, 30, IF(I1238&lt;=6, 20, 0))) +(IF(OR(E1238="413 - Control de Costes y Enlace Construcción", E1238="480 - Secretaría General del Consejo", E1238="132 - Civil y estructuras", E1238="136 - Mecánica", E1238="412 - Planificación", E1238="142 - Compras"), 25, 0)) +(IF(OR(S1238="GRADO ING. MECÁNICA", S1238="GRADO ING. ELÉCTRICA", S1238="GRADO DERECHO", S1238="GRADO ECONOMÍA", S1238="GRADO ING. TECNOLOGÍAS INDUSTRIALES"), 24, 0)) + (IF(AND(K1238&gt;=451, K1238&lt;=700), 23, 0)) + (IF(AND(AB1238&gt;=5, AB1238&lt;=8), 17, 0)) +(IF(_xludf.OR(_xludf.AND(AC1238&gt;=8, AC1238&lt;=10), _xludf.AND(AC1238&gt;=0, AC1238&lt;=5)), 16, 0)) + (IF(F1238="Madrid", 11, 0))))</f>
        <v>#NAME?</v>
      </c>
      <c r="AG1238" s="68"/>
      <c r="AH1238" s="71" t="s">
        <v>164</v>
      </c>
    </row>
    <row r="1239" spans="1:34" ht="14.4" x14ac:dyDescent="0.3">
      <c r="A1239" s="66" t="s">
        <v>2217</v>
      </c>
      <c r="B1239" s="66" t="s">
        <v>4334</v>
      </c>
      <c r="C1239" s="33">
        <v>1238</v>
      </c>
      <c r="D1239" s="33" t="s">
        <v>5396</v>
      </c>
      <c r="E1239" s="34" t="s">
        <v>5320</v>
      </c>
      <c r="F1239" s="34" t="s">
        <v>931</v>
      </c>
      <c r="G1239" s="57">
        <v>44475</v>
      </c>
      <c r="H1239" s="57">
        <v>44631</v>
      </c>
      <c r="I1239" s="34">
        <f t="shared" si="57"/>
        <v>5</v>
      </c>
      <c r="J1239" s="34">
        <v>35</v>
      </c>
      <c r="K1239" s="36">
        <v>300</v>
      </c>
      <c r="L1239" s="34" t="s">
        <v>17</v>
      </c>
      <c r="M1239" s="57">
        <v>36530</v>
      </c>
      <c r="N1239" s="37">
        <f>(YEAR(TablaMadre[[#This Row],[ALTA]])-YEAR(M1239))</f>
        <v>21</v>
      </c>
      <c r="O1239" s="34"/>
      <c r="P1239" s="34" t="s">
        <v>19</v>
      </c>
      <c r="Q1239" s="34" t="s">
        <v>513</v>
      </c>
      <c r="R1239" s="58" t="s">
        <v>30</v>
      </c>
      <c r="S1239" s="34" t="s">
        <v>26</v>
      </c>
      <c r="T1239" s="34"/>
      <c r="U1239" s="34"/>
      <c r="V1239" s="34" t="s">
        <v>27</v>
      </c>
      <c r="W1239" s="34" t="s">
        <v>23</v>
      </c>
      <c r="X1239" s="38" t="s">
        <v>164</v>
      </c>
      <c r="Y1239" s="62"/>
      <c r="Z1239" s="62" t="e">
        <f t="shared" si="58"/>
        <v>#NUM!</v>
      </c>
      <c r="AA1239" s="62"/>
      <c r="AB1239" s="34"/>
      <c r="AC1239" s="34"/>
      <c r="AD1239" s="38"/>
      <c r="AE1239" s="59" t="str">
        <f t="shared" si="59"/>
        <v>SÍ</v>
      </c>
      <c r="AF1239" s="38" t="e" cm="1">
        <f t="array" aca="1" ref="AF1239" ca="1">MIN(100, MAX(0, (IF(R1239="ESTUDIANTE", 31, 0)) + (IF(I1239&lt;=3, 30, IF(I1239&lt;=6, 20, 0))) +(IF(OR(E1239="413 - Control de Costes y Enlace Construcción", E1239="480 - Secretaría General del Consejo", E1239="132 - Civil y estructuras", E1239="136 - Mecánica", E1239="412 - Planificación", E1239="142 - Compras"), 25, 0)) +(IF(OR(S1239="GRADO ING. MECÁNICA", S1239="GRADO ING. ELÉCTRICA", S1239="GRADO DERECHO", S1239="GRADO ECONOMÍA", S1239="GRADO ING. TECNOLOGÍAS INDUSTRIALES"), 24, 0)) + (IF(AND(K1239&gt;=451, K1239&lt;=700), 23, 0)) + (IF(AND(AB1239&gt;=5, AB1239&lt;=8), 17, 0)) +(IF(_xludf.OR(_xludf.AND(AC1239&gt;=8, AC1239&lt;=10), _xludf.AND(AC1239&gt;=0, AC1239&lt;=5)), 16, 0)) + (IF(F1239="Madrid", 11, 0))))</f>
        <v>#NAME?</v>
      </c>
      <c r="AG1239" s="68"/>
      <c r="AH1239" s="71" t="s">
        <v>164</v>
      </c>
    </row>
    <row r="1240" spans="1:34" ht="14.4" x14ac:dyDescent="0.3">
      <c r="A1240" s="66" t="s">
        <v>2218</v>
      </c>
      <c r="B1240" s="66" t="s">
        <v>4335</v>
      </c>
      <c r="C1240" s="33">
        <v>1239</v>
      </c>
      <c r="D1240" s="33" t="s">
        <v>5397</v>
      </c>
      <c r="E1240" s="34" t="s">
        <v>5320</v>
      </c>
      <c r="F1240" s="34" t="s">
        <v>931</v>
      </c>
      <c r="G1240" s="57">
        <v>44475</v>
      </c>
      <c r="H1240" s="57">
        <v>44631</v>
      </c>
      <c r="I1240" s="34">
        <f t="shared" si="57"/>
        <v>5</v>
      </c>
      <c r="J1240" s="34">
        <v>35</v>
      </c>
      <c r="K1240" s="36">
        <v>300</v>
      </c>
      <c r="L1240" s="34" t="s">
        <v>17</v>
      </c>
      <c r="M1240" s="57">
        <v>35613</v>
      </c>
      <c r="N1240" s="37">
        <f>(YEAR(TablaMadre[[#This Row],[ALTA]])-YEAR(M1240))</f>
        <v>24</v>
      </c>
      <c r="O1240" s="34" t="s">
        <v>947</v>
      </c>
      <c r="P1240" s="34" t="s">
        <v>19</v>
      </c>
      <c r="Q1240" s="34" t="s">
        <v>513</v>
      </c>
      <c r="R1240" s="58" t="s">
        <v>30</v>
      </c>
      <c r="S1240" s="34" t="s">
        <v>26</v>
      </c>
      <c r="T1240" s="34"/>
      <c r="U1240" s="34"/>
      <c r="V1240" s="34" t="s">
        <v>27</v>
      </c>
      <c r="W1240" s="34" t="s">
        <v>23</v>
      </c>
      <c r="X1240" s="38" t="s">
        <v>164</v>
      </c>
      <c r="Y1240" s="62"/>
      <c r="Z1240" s="62" t="e">
        <f t="shared" si="58"/>
        <v>#NUM!</v>
      </c>
      <c r="AA1240" s="62"/>
      <c r="AB1240" s="34"/>
      <c r="AC1240" s="34"/>
      <c r="AD1240" s="38"/>
      <c r="AE1240" s="59" t="str">
        <f t="shared" si="59"/>
        <v>SÍ</v>
      </c>
      <c r="AF1240" s="38" t="e" cm="1">
        <f t="array" aca="1" ref="AF1240" ca="1">MIN(100, MAX(0, (IF(R1240="ESTUDIANTE", 31, 0)) + (IF(I1240&lt;=3, 30, IF(I1240&lt;=6, 20, 0))) +(IF(OR(E1240="413 - Control de Costes y Enlace Construcción", E1240="480 - Secretaría General del Consejo", E1240="132 - Civil y estructuras", E1240="136 - Mecánica", E1240="412 - Planificación", E1240="142 - Compras"), 25, 0)) +(IF(OR(S1240="GRADO ING. MECÁNICA", S1240="GRADO ING. ELÉCTRICA", S1240="GRADO DERECHO", S1240="GRADO ECONOMÍA", S1240="GRADO ING. TECNOLOGÍAS INDUSTRIALES"), 24, 0)) + (IF(AND(K1240&gt;=451, K1240&lt;=700), 23, 0)) + (IF(AND(AB1240&gt;=5, AB1240&lt;=8), 17, 0)) +(IF(_xludf.OR(_xludf.AND(AC1240&gt;=8, AC1240&lt;=10), _xludf.AND(AC1240&gt;=0, AC1240&lt;=5)), 16, 0)) + (IF(F1240="Madrid", 11, 0))))</f>
        <v>#NAME?</v>
      </c>
      <c r="AG1240" s="68"/>
      <c r="AH1240" s="71" t="s">
        <v>164</v>
      </c>
    </row>
    <row r="1241" spans="1:34" ht="14.4" x14ac:dyDescent="0.3">
      <c r="A1241" s="66" t="s">
        <v>2219</v>
      </c>
      <c r="B1241" s="66" t="s">
        <v>4336</v>
      </c>
      <c r="C1241" s="33">
        <v>1240</v>
      </c>
      <c r="D1241" s="33" t="s">
        <v>5398</v>
      </c>
      <c r="E1241" s="34" t="s">
        <v>5320</v>
      </c>
      <c r="F1241" s="34" t="s">
        <v>931</v>
      </c>
      <c r="G1241" s="57">
        <v>44475</v>
      </c>
      <c r="H1241" s="57">
        <v>44631</v>
      </c>
      <c r="I1241" s="34">
        <f t="shared" si="57"/>
        <v>5</v>
      </c>
      <c r="J1241" s="34">
        <v>35</v>
      </c>
      <c r="K1241" s="36">
        <v>300</v>
      </c>
      <c r="L1241" s="34" t="s">
        <v>17</v>
      </c>
      <c r="M1241" s="57">
        <v>37137</v>
      </c>
      <c r="N1241" s="37">
        <f>(YEAR(TablaMadre[[#This Row],[ALTA]])-YEAR(M1241))</f>
        <v>20</v>
      </c>
      <c r="O1241" s="34" t="s">
        <v>205</v>
      </c>
      <c r="P1241" s="34" t="s">
        <v>19</v>
      </c>
      <c r="Q1241" s="34" t="s">
        <v>513</v>
      </c>
      <c r="R1241" s="58" t="s">
        <v>30</v>
      </c>
      <c r="S1241" s="34" t="s">
        <v>26</v>
      </c>
      <c r="T1241" s="34"/>
      <c r="U1241" s="34"/>
      <c r="V1241" s="34" t="s">
        <v>27</v>
      </c>
      <c r="W1241" s="34" t="s">
        <v>23</v>
      </c>
      <c r="X1241" s="38" t="s">
        <v>164</v>
      </c>
      <c r="Y1241" s="62"/>
      <c r="Z1241" s="62" t="e">
        <f t="shared" si="58"/>
        <v>#NUM!</v>
      </c>
      <c r="AA1241" s="62"/>
      <c r="AB1241" s="34"/>
      <c r="AC1241" s="34"/>
      <c r="AD1241" s="38"/>
      <c r="AE1241" s="59" t="str">
        <f t="shared" si="59"/>
        <v>SÍ</v>
      </c>
      <c r="AF1241" s="38" t="e" cm="1">
        <f t="array" aca="1" ref="AF1241" ca="1">MIN(100, MAX(0, (IF(R1241="ESTUDIANTE", 31, 0)) + (IF(I1241&lt;=3, 30, IF(I1241&lt;=6, 20, 0))) +(IF(OR(E1241="413 - Control de Costes y Enlace Construcción", E1241="480 - Secretaría General del Consejo", E1241="132 - Civil y estructuras", E1241="136 - Mecánica", E1241="412 - Planificación", E1241="142 - Compras"), 25, 0)) +(IF(OR(S1241="GRADO ING. MECÁNICA", S1241="GRADO ING. ELÉCTRICA", S1241="GRADO DERECHO", S1241="GRADO ECONOMÍA", S1241="GRADO ING. TECNOLOGÍAS INDUSTRIALES"), 24, 0)) + (IF(AND(K1241&gt;=451, K1241&lt;=700), 23, 0)) + (IF(AND(AB1241&gt;=5, AB1241&lt;=8), 17, 0)) +(IF(_xludf.OR(_xludf.AND(AC1241&gt;=8, AC1241&lt;=10), _xludf.AND(AC1241&gt;=0, AC1241&lt;=5)), 16, 0)) + (IF(F1241="Madrid", 11, 0))))</f>
        <v>#NAME?</v>
      </c>
      <c r="AG1241" s="68"/>
      <c r="AH1241" s="71" t="s">
        <v>164</v>
      </c>
    </row>
    <row r="1242" spans="1:34" ht="14.4" x14ac:dyDescent="0.3">
      <c r="A1242" s="66" t="s">
        <v>2220</v>
      </c>
      <c r="B1242" s="66" t="s">
        <v>4337</v>
      </c>
      <c r="C1242" s="33">
        <v>1241</v>
      </c>
      <c r="D1242" s="33" t="s">
        <v>5399</v>
      </c>
      <c r="E1242" s="34" t="s">
        <v>5320</v>
      </c>
      <c r="F1242" s="34" t="s">
        <v>931</v>
      </c>
      <c r="G1242" s="57">
        <v>44475</v>
      </c>
      <c r="H1242" s="57">
        <v>44631</v>
      </c>
      <c r="I1242" s="34">
        <f t="shared" si="57"/>
        <v>5</v>
      </c>
      <c r="J1242" s="34">
        <v>35</v>
      </c>
      <c r="K1242" s="36">
        <v>300</v>
      </c>
      <c r="L1242" s="34" t="s">
        <v>17</v>
      </c>
      <c r="M1242" s="57">
        <v>36526</v>
      </c>
      <c r="N1242" s="37">
        <f>(YEAR(TablaMadre[[#This Row],[ALTA]])-YEAR(M1242))</f>
        <v>21</v>
      </c>
      <c r="O1242" s="34"/>
      <c r="P1242" s="34" t="s">
        <v>19</v>
      </c>
      <c r="Q1242" s="34" t="s">
        <v>513</v>
      </c>
      <c r="R1242" s="58" t="s">
        <v>30</v>
      </c>
      <c r="S1242" s="34" t="s">
        <v>26</v>
      </c>
      <c r="T1242" s="34"/>
      <c r="U1242" s="34"/>
      <c r="V1242" s="34" t="s">
        <v>27</v>
      </c>
      <c r="W1242" s="34" t="s">
        <v>23</v>
      </c>
      <c r="X1242" s="38" t="s">
        <v>164</v>
      </c>
      <c r="Y1242" s="62"/>
      <c r="Z1242" s="62" t="e">
        <f t="shared" si="58"/>
        <v>#NUM!</v>
      </c>
      <c r="AA1242" s="62"/>
      <c r="AB1242" s="34"/>
      <c r="AC1242" s="34"/>
      <c r="AD1242" s="38"/>
      <c r="AE1242" s="59" t="str">
        <f t="shared" si="59"/>
        <v>SÍ</v>
      </c>
      <c r="AF1242" s="38" t="e" cm="1">
        <f t="array" aca="1" ref="AF1242" ca="1">MIN(100, MAX(0, (IF(R1242="ESTUDIANTE", 31, 0)) + (IF(I1242&lt;=3, 30, IF(I1242&lt;=6, 20, 0))) +(IF(OR(E1242="413 - Control de Costes y Enlace Construcción", E1242="480 - Secretaría General del Consejo", E1242="132 - Civil y estructuras", E1242="136 - Mecánica", E1242="412 - Planificación", E1242="142 - Compras"), 25, 0)) +(IF(OR(S1242="GRADO ING. MECÁNICA", S1242="GRADO ING. ELÉCTRICA", S1242="GRADO DERECHO", S1242="GRADO ECONOMÍA", S1242="GRADO ING. TECNOLOGÍAS INDUSTRIALES"), 24, 0)) + (IF(AND(K1242&gt;=451, K1242&lt;=700), 23, 0)) + (IF(AND(AB1242&gt;=5, AB1242&lt;=8), 17, 0)) +(IF(_xludf.OR(_xludf.AND(AC1242&gt;=8, AC1242&lt;=10), _xludf.AND(AC1242&gt;=0, AC1242&lt;=5)), 16, 0)) + (IF(F1242="Madrid", 11, 0))))</f>
        <v>#NAME?</v>
      </c>
      <c r="AG1242" s="68"/>
      <c r="AH1242" s="71" t="s">
        <v>164</v>
      </c>
    </row>
    <row r="1243" spans="1:34" ht="14.4" x14ac:dyDescent="0.3">
      <c r="A1243" s="66" t="s">
        <v>2221</v>
      </c>
      <c r="B1243" s="66" t="s">
        <v>4338</v>
      </c>
      <c r="C1243" s="33">
        <v>1242</v>
      </c>
      <c r="D1243" s="33" t="s">
        <v>5400</v>
      </c>
      <c r="E1243" s="34" t="s">
        <v>5320</v>
      </c>
      <c r="F1243" s="34" t="s">
        <v>931</v>
      </c>
      <c r="G1243" s="57">
        <v>44475</v>
      </c>
      <c r="H1243" s="57">
        <v>44631</v>
      </c>
      <c r="I1243" s="34">
        <f t="shared" si="57"/>
        <v>5</v>
      </c>
      <c r="J1243" s="34">
        <v>35</v>
      </c>
      <c r="K1243" s="36">
        <v>300</v>
      </c>
      <c r="L1243" s="34" t="s">
        <v>17</v>
      </c>
      <c r="M1243" s="57">
        <v>36284</v>
      </c>
      <c r="N1243" s="37">
        <f>(YEAR(TablaMadre[[#This Row],[ALTA]])-YEAR(M1243))</f>
        <v>22</v>
      </c>
      <c r="O1243" s="34"/>
      <c r="P1243" s="34" t="s">
        <v>19</v>
      </c>
      <c r="Q1243" s="34" t="s">
        <v>513</v>
      </c>
      <c r="R1243" s="58" t="s">
        <v>30</v>
      </c>
      <c r="S1243" s="34" t="s">
        <v>26</v>
      </c>
      <c r="T1243" s="34"/>
      <c r="U1243" s="34"/>
      <c r="V1243" s="34" t="s">
        <v>27</v>
      </c>
      <c r="W1243" s="34" t="s">
        <v>23</v>
      </c>
      <c r="X1243" s="38" t="s">
        <v>164</v>
      </c>
      <c r="Y1243" s="62"/>
      <c r="Z1243" s="62" t="e">
        <f t="shared" si="58"/>
        <v>#NUM!</v>
      </c>
      <c r="AA1243" s="62"/>
      <c r="AB1243" s="34"/>
      <c r="AC1243" s="34"/>
      <c r="AD1243" s="38"/>
      <c r="AE1243" s="59" t="str">
        <f t="shared" si="59"/>
        <v>SÍ</v>
      </c>
      <c r="AF1243" s="38" t="e" cm="1">
        <f t="array" aca="1" ref="AF1243" ca="1">MIN(100, MAX(0, (IF(R1243="ESTUDIANTE", 31, 0)) + (IF(I1243&lt;=3, 30, IF(I1243&lt;=6, 20, 0))) +(IF(OR(E1243="413 - Control de Costes y Enlace Construcción", E1243="480 - Secretaría General del Consejo", E1243="132 - Civil y estructuras", E1243="136 - Mecánica", E1243="412 - Planificación", E1243="142 - Compras"), 25, 0)) +(IF(OR(S1243="GRADO ING. MECÁNICA", S1243="GRADO ING. ELÉCTRICA", S1243="GRADO DERECHO", S1243="GRADO ECONOMÍA", S1243="GRADO ING. TECNOLOGÍAS INDUSTRIALES"), 24, 0)) + (IF(AND(K1243&gt;=451, K1243&lt;=700), 23, 0)) + (IF(AND(AB1243&gt;=5, AB1243&lt;=8), 17, 0)) +(IF(_xludf.OR(_xludf.AND(AC1243&gt;=8, AC1243&lt;=10), _xludf.AND(AC1243&gt;=0, AC1243&lt;=5)), 16, 0)) + (IF(F1243="Madrid", 11, 0))))</f>
        <v>#NAME?</v>
      </c>
      <c r="AG1243" s="68"/>
      <c r="AH1243" s="71" t="s">
        <v>164</v>
      </c>
    </row>
    <row r="1244" spans="1:34" ht="14.4" x14ac:dyDescent="0.3">
      <c r="A1244" s="66" t="s">
        <v>2222</v>
      </c>
      <c r="B1244" s="66" t="s">
        <v>4339</v>
      </c>
      <c r="C1244" s="33">
        <v>1243</v>
      </c>
      <c r="D1244" s="33" t="s">
        <v>5401</v>
      </c>
      <c r="E1244" s="34" t="s">
        <v>5320</v>
      </c>
      <c r="F1244" s="34" t="s">
        <v>931</v>
      </c>
      <c r="G1244" s="57">
        <v>44475</v>
      </c>
      <c r="H1244" s="57">
        <v>44631</v>
      </c>
      <c r="I1244" s="34">
        <f t="shared" si="57"/>
        <v>5</v>
      </c>
      <c r="J1244" s="34">
        <v>35</v>
      </c>
      <c r="K1244" s="36">
        <v>300</v>
      </c>
      <c r="L1244" s="34" t="s">
        <v>17</v>
      </c>
      <c r="M1244" s="57">
        <v>36648</v>
      </c>
      <c r="N1244" s="37">
        <f>(YEAR(TablaMadre[[#This Row],[ALTA]])-YEAR(M1244))</f>
        <v>21</v>
      </c>
      <c r="O1244" s="34" t="s">
        <v>18</v>
      </c>
      <c r="P1244" s="34" t="s">
        <v>19</v>
      </c>
      <c r="Q1244" s="34" t="s">
        <v>513</v>
      </c>
      <c r="R1244" s="58" t="s">
        <v>30</v>
      </c>
      <c r="S1244" s="34" t="s">
        <v>26</v>
      </c>
      <c r="T1244" s="34"/>
      <c r="U1244" s="34"/>
      <c r="V1244" s="34" t="s">
        <v>27</v>
      </c>
      <c r="W1244" s="34" t="s">
        <v>28</v>
      </c>
      <c r="X1244" s="38" t="s">
        <v>164</v>
      </c>
      <c r="Y1244" s="62">
        <v>45016</v>
      </c>
      <c r="Z1244" s="38">
        <f t="shared" si="58"/>
        <v>1</v>
      </c>
      <c r="AA1244" s="38"/>
      <c r="AB1244" s="34"/>
      <c r="AC1244" s="34"/>
      <c r="AD1244" s="38"/>
      <c r="AE1244" s="59" t="str">
        <f t="shared" si="59"/>
        <v>SÍ</v>
      </c>
      <c r="AF1244" s="38" t="e" cm="1">
        <f t="array" aca="1" ref="AF1244" ca="1">MIN(100, MAX(0, (IF(R1244="ESTUDIANTE", 31, 0)) + (IF(I1244&lt;=3, 30, IF(I1244&lt;=6, 20, 0))) +(IF(OR(E1244="413 - Control de Costes y Enlace Construcción", E1244="480 - Secretaría General del Consejo", E1244="132 - Civil y estructuras", E1244="136 - Mecánica", E1244="412 - Planificación", E1244="142 - Compras"), 25, 0)) +(IF(OR(S1244="GRADO ING. MECÁNICA", S1244="GRADO ING. ELÉCTRICA", S1244="GRADO DERECHO", S1244="GRADO ECONOMÍA", S1244="GRADO ING. TECNOLOGÍAS INDUSTRIALES"), 24, 0)) + (IF(AND(K1244&gt;=451, K1244&lt;=700), 23, 0)) + (IF(AND(AB1244&gt;=5, AB1244&lt;=8), 17, 0)) +(IF(_xludf.OR(_xludf.AND(AC1244&gt;=8, AC1244&lt;=10), _xludf.AND(AC1244&gt;=0, AC1244&lt;=5)), 16, 0)) + (IF(F1244="Madrid", 11, 0))))</f>
        <v>#NAME?</v>
      </c>
      <c r="AG1244" s="68"/>
      <c r="AH1244" s="71" t="s">
        <v>164</v>
      </c>
    </row>
    <row r="1245" spans="1:34" ht="14.4" x14ac:dyDescent="0.3">
      <c r="A1245" s="66" t="s">
        <v>2223</v>
      </c>
      <c r="B1245" s="66" t="s">
        <v>4340</v>
      </c>
      <c r="C1245" s="33">
        <v>1244</v>
      </c>
      <c r="D1245" s="33" t="s">
        <v>5402</v>
      </c>
      <c r="E1245" s="34" t="s">
        <v>5320</v>
      </c>
      <c r="F1245" s="34" t="s">
        <v>931</v>
      </c>
      <c r="G1245" s="57">
        <v>44475</v>
      </c>
      <c r="H1245" s="57">
        <v>44636</v>
      </c>
      <c r="I1245" s="34">
        <f t="shared" si="57"/>
        <v>5</v>
      </c>
      <c r="J1245" s="34">
        <v>35</v>
      </c>
      <c r="K1245" s="36">
        <v>300</v>
      </c>
      <c r="L1245" s="34" t="s">
        <v>17</v>
      </c>
      <c r="M1245" s="57">
        <v>36586</v>
      </c>
      <c r="N1245" s="37">
        <f>(YEAR(TablaMadre[[#This Row],[ALTA]])-YEAR(M1245))</f>
        <v>21</v>
      </c>
      <c r="O1245" s="34" t="s">
        <v>18</v>
      </c>
      <c r="P1245" s="34" t="s">
        <v>19</v>
      </c>
      <c r="Q1245" s="34" t="s">
        <v>513</v>
      </c>
      <c r="R1245" s="58" t="s">
        <v>30</v>
      </c>
      <c r="S1245" s="34" t="s">
        <v>26</v>
      </c>
      <c r="T1245" s="34"/>
      <c r="U1245" s="34"/>
      <c r="V1245" s="34" t="s">
        <v>27</v>
      </c>
      <c r="W1245" s="34" t="s">
        <v>23</v>
      </c>
      <c r="X1245" s="38" t="s">
        <v>164</v>
      </c>
      <c r="Y1245" s="62"/>
      <c r="Z1245" s="62" t="e">
        <f t="shared" si="58"/>
        <v>#NUM!</v>
      </c>
      <c r="AA1245" s="62"/>
      <c r="AB1245" s="34"/>
      <c r="AC1245" s="34"/>
      <c r="AD1245" s="38"/>
      <c r="AE1245" s="59" t="str">
        <f t="shared" si="59"/>
        <v>SÍ</v>
      </c>
      <c r="AF1245" s="38" t="e" cm="1">
        <f t="array" aca="1" ref="AF1245" ca="1">MIN(100, MAX(0, (IF(R1245="ESTUDIANTE", 31, 0)) + (IF(I1245&lt;=3, 30, IF(I1245&lt;=6, 20, 0))) +(IF(OR(E1245="413 - Control de Costes y Enlace Construcción", E1245="480 - Secretaría General del Consejo", E1245="132 - Civil y estructuras", E1245="136 - Mecánica", E1245="412 - Planificación", E1245="142 - Compras"), 25, 0)) +(IF(OR(S1245="GRADO ING. MECÁNICA", S1245="GRADO ING. ELÉCTRICA", S1245="GRADO DERECHO", S1245="GRADO ECONOMÍA", S1245="GRADO ING. TECNOLOGÍAS INDUSTRIALES"), 24, 0)) + (IF(AND(K1245&gt;=451, K1245&lt;=700), 23, 0)) + (IF(AND(AB1245&gt;=5, AB1245&lt;=8), 17, 0)) +(IF(_xludf.OR(_xludf.AND(AC1245&gt;=8, AC1245&lt;=10), _xludf.AND(AC1245&gt;=0, AC1245&lt;=5)), 16, 0)) + (IF(F1245="Madrid", 11, 0))))</f>
        <v>#NAME?</v>
      </c>
      <c r="AG1245" s="68"/>
      <c r="AH1245" s="71" t="s">
        <v>164</v>
      </c>
    </row>
    <row r="1246" spans="1:34" ht="14.4" x14ac:dyDescent="0.3">
      <c r="A1246" s="66" t="s">
        <v>2224</v>
      </c>
      <c r="B1246" s="66" t="s">
        <v>4341</v>
      </c>
      <c r="C1246" s="33">
        <v>1245</v>
      </c>
      <c r="D1246" s="33" t="s">
        <v>5393</v>
      </c>
      <c r="E1246" s="34" t="s">
        <v>5235</v>
      </c>
      <c r="F1246" s="34" t="s">
        <v>18</v>
      </c>
      <c r="G1246" s="57">
        <v>44482</v>
      </c>
      <c r="H1246" s="57">
        <v>44804</v>
      </c>
      <c r="I1246" s="34">
        <f t="shared" si="57"/>
        <v>10</v>
      </c>
      <c r="J1246" s="34">
        <v>35</v>
      </c>
      <c r="K1246" s="36">
        <v>825</v>
      </c>
      <c r="L1246" s="34" t="s">
        <v>17</v>
      </c>
      <c r="M1246" s="57">
        <v>36077</v>
      </c>
      <c r="N1246" s="37">
        <f>(YEAR(TablaMadre[[#This Row],[ALTA]])-YEAR(M1246))</f>
        <v>23</v>
      </c>
      <c r="O1246" s="34" t="s">
        <v>68</v>
      </c>
      <c r="P1246" s="34" t="s">
        <v>19</v>
      </c>
      <c r="Q1246" s="34" t="s">
        <v>136</v>
      </c>
      <c r="R1246" s="34" t="s">
        <v>21</v>
      </c>
      <c r="S1246" s="34" t="s">
        <v>136</v>
      </c>
      <c r="T1246" s="34"/>
      <c r="U1246" s="34"/>
      <c r="V1246" s="34" t="s">
        <v>67</v>
      </c>
      <c r="W1246" s="34" t="s">
        <v>28</v>
      </c>
      <c r="X1246" s="38" t="s">
        <v>173</v>
      </c>
      <c r="Y1246" s="62"/>
      <c r="Z1246" s="38" t="e">
        <f t="shared" si="58"/>
        <v>#NUM!</v>
      </c>
      <c r="AA1246" s="38"/>
      <c r="AB1246" s="34">
        <v>8</v>
      </c>
      <c r="AC1246" s="34">
        <v>10</v>
      </c>
      <c r="AD1246" s="38"/>
      <c r="AE1246" s="59" t="str">
        <f t="shared" si="59"/>
        <v>SÍ</v>
      </c>
      <c r="AF1246" s="38" t="e" cm="1">
        <f t="array" aca="1" ref="AF1246" ca="1">MIN(100, MAX(0, (IF(R1246="ESTUDIANTE", 31, 0)) + (IF(I1246&lt;=3, 30, IF(I1246&lt;=6, 20, 0))) +(IF(OR(E1246="413 - Control de Costes y Enlace Construcción", E1246="480 - Secretaría General del Consejo", E1246="132 - Civil y estructuras", E1246="136 - Mecánica", E1246="412 - Planificación", E1246="142 - Compras"), 25, 0)) +(IF(OR(S1246="GRADO ING. MECÁNICA", S1246="GRADO ING. ELÉCTRICA", S1246="GRADO DERECHO", S1246="GRADO ECONOMÍA", S1246="GRADO ING. TECNOLOGÍAS INDUSTRIALES"), 24, 0)) + (IF(AND(K1246&gt;=451, K1246&lt;=700), 23, 0)) + (IF(AND(AB1246&gt;=5, AB1246&lt;=8), 17, 0)) +(IF(_xludf.OR(_xludf.AND(AC1246&gt;=8, AC1246&lt;=10), _xludf.AND(AC1246&gt;=0, AC1246&lt;=5)), 16, 0)) + (IF(F1246="Madrid", 11, 0))))</f>
        <v>#NAME?</v>
      </c>
      <c r="AG1246" s="68"/>
      <c r="AH1246" s="71" t="s">
        <v>164</v>
      </c>
    </row>
    <row r="1247" spans="1:34" ht="14.4" x14ac:dyDescent="0.3">
      <c r="A1247" s="66" t="s">
        <v>2225</v>
      </c>
      <c r="B1247" s="66" t="s">
        <v>4342</v>
      </c>
      <c r="C1247" s="33">
        <v>1246</v>
      </c>
      <c r="D1247" s="33" t="s">
        <v>5394</v>
      </c>
      <c r="E1247" s="34" t="s">
        <v>5314</v>
      </c>
      <c r="F1247" s="34" t="s">
        <v>18</v>
      </c>
      <c r="G1247" s="57">
        <v>44482</v>
      </c>
      <c r="H1247" s="57">
        <v>44846</v>
      </c>
      <c r="I1247" s="34">
        <f t="shared" si="57"/>
        <v>11</v>
      </c>
      <c r="J1247" s="34">
        <v>35</v>
      </c>
      <c r="K1247" s="36">
        <v>825</v>
      </c>
      <c r="L1247" s="34" t="s">
        <v>29</v>
      </c>
      <c r="M1247" s="57">
        <v>35133</v>
      </c>
      <c r="N1247" s="37">
        <f>(YEAR(TablaMadre[[#This Row],[ALTA]])-YEAR(M1247))</f>
        <v>25</v>
      </c>
      <c r="O1247" s="34" t="s">
        <v>18</v>
      </c>
      <c r="P1247" s="34" t="s">
        <v>19</v>
      </c>
      <c r="Q1247" s="34" t="s">
        <v>297</v>
      </c>
      <c r="R1247" s="34" t="s">
        <v>21</v>
      </c>
      <c r="S1247" s="34" t="s">
        <v>297</v>
      </c>
      <c r="T1247" s="34"/>
      <c r="U1247" s="34"/>
      <c r="V1247" s="34" t="s">
        <v>56</v>
      </c>
      <c r="W1247" s="34" t="s">
        <v>28</v>
      </c>
      <c r="X1247" s="38" t="s">
        <v>164</v>
      </c>
      <c r="Y1247" s="62">
        <v>45688</v>
      </c>
      <c r="Z1247" s="38">
        <f t="shared" si="58"/>
        <v>2</v>
      </c>
      <c r="AA1247" s="38"/>
      <c r="AB1247" s="34">
        <v>7</v>
      </c>
      <c r="AC1247" s="34">
        <v>8</v>
      </c>
      <c r="AD1247" s="38"/>
      <c r="AE1247" s="59" t="str">
        <f t="shared" si="59"/>
        <v>NO</v>
      </c>
      <c r="AF1247" s="38" t="e" cm="1">
        <f t="array" aca="1" ref="AF1247" ca="1">MIN(100, MAX(0, (IF(R1247="ESTUDIANTE", 31, 0)) + (IF(I1247&lt;=3, 30, IF(I1247&lt;=6, 20, 0))) +(IF(OR(E1247="413 - Control de Costes y Enlace Construcción", E1247="480 - Secretaría General del Consejo", E1247="132 - Civil y estructuras", E1247="136 - Mecánica", E1247="412 - Planificación", E1247="142 - Compras"), 25, 0)) +(IF(OR(S1247="GRADO ING. MECÁNICA", S1247="GRADO ING. ELÉCTRICA", S1247="GRADO DERECHO", S1247="GRADO ECONOMÍA", S1247="GRADO ING. TECNOLOGÍAS INDUSTRIALES"), 24, 0)) + (IF(AND(K1247&gt;=451, K1247&lt;=700), 23, 0)) + (IF(AND(AB1247&gt;=5, AB1247&lt;=8), 17, 0)) +(IF(_xludf.OR(_xludf.AND(AC1247&gt;=8, AC1247&lt;=10), _xludf.AND(AC1247&gt;=0, AC1247&lt;=5)), 16, 0)) + (IF(F1247="Madrid", 11, 0))))</f>
        <v>#NAME?</v>
      </c>
      <c r="AG1247" s="68"/>
      <c r="AH1247" s="71" t="s">
        <v>164</v>
      </c>
    </row>
    <row r="1248" spans="1:34" ht="14.4" x14ac:dyDescent="0.3">
      <c r="A1248" s="66" t="s">
        <v>2226</v>
      </c>
      <c r="B1248" s="66" t="s">
        <v>4343</v>
      </c>
      <c r="C1248" s="33">
        <v>1247</v>
      </c>
      <c r="D1248" s="33" t="s">
        <v>5403</v>
      </c>
      <c r="E1248" s="34" t="s">
        <v>5321</v>
      </c>
      <c r="F1248" s="34" t="s">
        <v>931</v>
      </c>
      <c r="G1248" s="57">
        <v>44487</v>
      </c>
      <c r="H1248" s="57">
        <v>44545</v>
      </c>
      <c r="I1248" s="34">
        <f t="shared" si="57"/>
        <v>1</v>
      </c>
      <c r="J1248" s="34">
        <v>35</v>
      </c>
      <c r="K1248" s="36">
        <v>0</v>
      </c>
      <c r="L1248" s="34" t="s">
        <v>17</v>
      </c>
      <c r="M1248" s="57">
        <v>36526</v>
      </c>
      <c r="N1248" s="37">
        <f>(YEAR(TablaMadre[[#This Row],[ALTA]])-YEAR(M1248))</f>
        <v>21</v>
      </c>
      <c r="O1248" s="34"/>
      <c r="P1248" s="34" t="s">
        <v>19</v>
      </c>
      <c r="Q1248" s="34" t="s">
        <v>506</v>
      </c>
      <c r="R1248" s="34" t="s">
        <v>30</v>
      </c>
      <c r="S1248" s="34" t="s">
        <v>229</v>
      </c>
      <c r="T1248" s="34"/>
      <c r="U1248" s="34"/>
      <c r="V1248" s="34" t="s">
        <v>163</v>
      </c>
      <c r="W1248" s="34" t="s">
        <v>23</v>
      </c>
      <c r="X1248" s="38" t="s">
        <v>164</v>
      </c>
      <c r="Y1248" s="62"/>
      <c r="Z1248" s="62" t="e">
        <f t="shared" si="58"/>
        <v>#NUM!</v>
      </c>
      <c r="AA1248" s="62"/>
      <c r="AB1248" s="34">
        <v>8</v>
      </c>
      <c r="AC1248" s="34"/>
      <c r="AD1248" s="38"/>
      <c r="AE1248" s="59" t="str">
        <f t="shared" si="59"/>
        <v>SÍ</v>
      </c>
      <c r="AF1248" s="38" t="e" cm="1">
        <f t="array" aca="1" ref="AF1248" ca="1">MIN(100, MAX(0, (IF(R1248="ESTUDIANTE", 31, 0)) + (IF(I1248&lt;=3, 30, IF(I1248&lt;=6, 20, 0))) +(IF(OR(E1248="413 - Control de Costes y Enlace Construcción", E1248="480 - Secretaría General del Consejo", E1248="132 - Civil y estructuras", E1248="136 - Mecánica", E1248="412 - Planificación", E1248="142 - Compras"), 25, 0)) +(IF(OR(S1248="GRADO ING. MECÁNICA", S1248="GRADO ING. ELÉCTRICA", S1248="GRADO DERECHO", S1248="GRADO ECONOMÍA", S1248="GRADO ING. TECNOLOGÍAS INDUSTRIALES"), 24, 0)) + (IF(AND(K1248&gt;=451, K1248&lt;=700), 23, 0)) + (IF(AND(AB1248&gt;=5, AB1248&lt;=8), 17, 0)) +(IF(_xludf.OR(_xludf.AND(AC1248&gt;=8, AC1248&lt;=10), _xludf.AND(AC1248&gt;=0, AC1248&lt;=5)), 16, 0)) + (IF(F1248="Madrid", 11, 0))))</f>
        <v>#NAME?</v>
      </c>
      <c r="AG1248" s="68"/>
      <c r="AH1248" s="71" t="s">
        <v>164</v>
      </c>
    </row>
    <row r="1249" spans="1:34" ht="14.4" x14ac:dyDescent="0.3">
      <c r="A1249" s="66" t="s">
        <v>2227</v>
      </c>
      <c r="B1249" s="66" t="s">
        <v>4344</v>
      </c>
      <c r="C1249" s="33">
        <v>1248</v>
      </c>
      <c r="D1249" s="33" t="s">
        <v>5404</v>
      </c>
      <c r="E1249" s="34" t="s">
        <v>5322</v>
      </c>
      <c r="F1249" s="34" t="s">
        <v>931</v>
      </c>
      <c r="G1249" s="57">
        <v>44487</v>
      </c>
      <c r="H1249" s="57">
        <v>44668</v>
      </c>
      <c r="I1249" s="34">
        <f t="shared" si="57"/>
        <v>5</v>
      </c>
      <c r="J1249" s="34">
        <v>35</v>
      </c>
      <c r="K1249" s="36">
        <v>825</v>
      </c>
      <c r="L1249" s="34" t="s">
        <v>17</v>
      </c>
      <c r="M1249" s="57">
        <v>34856</v>
      </c>
      <c r="N1249" s="37">
        <f>(YEAR(TablaMadre[[#This Row],[ALTA]])-YEAR(M1249))</f>
        <v>26</v>
      </c>
      <c r="O1249" s="34"/>
      <c r="P1249" s="34" t="s">
        <v>522</v>
      </c>
      <c r="Q1249" s="34" t="s">
        <v>523</v>
      </c>
      <c r="R1249" s="34" t="s">
        <v>21</v>
      </c>
      <c r="S1249" s="34" t="s">
        <v>307</v>
      </c>
      <c r="T1249" s="34"/>
      <c r="U1249" s="34"/>
      <c r="V1249" s="34" t="s">
        <v>22</v>
      </c>
      <c r="W1249" s="34" t="s">
        <v>181</v>
      </c>
      <c r="X1249" s="38" t="s">
        <v>164</v>
      </c>
      <c r="Y1249" s="62"/>
      <c r="Z1249" s="62" t="e">
        <f t="shared" si="58"/>
        <v>#NUM!</v>
      </c>
      <c r="AA1249" s="62"/>
      <c r="AB1249" s="34">
        <v>9</v>
      </c>
      <c r="AC1249" s="34">
        <v>10</v>
      </c>
      <c r="AD1249" s="38"/>
      <c r="AE1249" s="59" t="str">
        <f t="shared" si="59"/>
        <v>SÍ</v>
      </c>
      <c r="AF1249" s="38" t="e" cm="1">
        <f t="array" aca="1" ref="AF1249" ca="1">MIN(100, MAX(0, (IF(R1249="ESTUDIANTE", 31, 0)) + (IF(I1249&lt;=3, 30, IF(I1249&lt;=6, 20, 0))) +(IF(OR(E1249="413 - Control de Costes y Enlace Construcción", E1249="480 - Secretaría General del Consejo", E1249="132 - Civil y estructuras", E1249="136 - Mecánica", E1249="412 - Planificación", E1249="142 - Compras"), 25, 0)) +(IF(OR(S1249="GRADO ING. MECÁNICA", S1249="GRADO ING. ELÉCTRICA", S1249="GRADO DERECHO", S1249="GRADO ECONOMÍA", S1249="GRADO ING. TECNOLOGÍAS INDUSTRIALES"), 24, 0)) + (IF(AND(K1249&gt;=451, K1249&lt;=700), 23, 0)) + (IF(AND(AB1249&gt;=5, AB1249&lt;=8), 17, 0)) +(IF(_xludf.OR(_xludf.AND(AC1249&gt;=8, AC1249&lt;=10), _xludf.AND(AC1249&gt;=0, AC1249&lt;=5)), 16, 0)) + (IF(F1249="Madrid", 11, 0))))</f>
        <v>#NAME?</v>
      </c>
      <c r="AG1249" s="68"/>
      <c r="AH1249" s="71" t="s">
        <v>164</v>
      </c>
    </row>
    <row r="1250" spans="1:34" ht="14.4" x14ac:dyDescent="0.3">
      <c r="A1250" s="66" t="s">
        <v>2228</v>
      </c>
      <c r="B1250" s="66" t="s">
        <v>4345</v>
      </c>
      <c r="C1250" s="33">
        <v>1249</v>
      </c>
      <c r="D1250" s="33" t="s">
        <v>5405</v>
      </c>
      <c r="E1250" s="34" t="s">
        <v>5233</v>
      </c>
      <c r="F1250" s="34" t="s">
        <v>18</v>
      </c>
      <c r="G1250" s="57">
        <v>44487</v>
      </c>
      <c r="H1250" s="57">
        <v>44848</v>
      </c>
      <c r="I1250" s="34">
        <f t="shared" si="57"/>
        <v>11</v>
      </c>
      <c r="J1250" s="34">
        <v>35</v>
      </c>
      <c r="K1250" s="36">
        <v>825</v>
      </c>
      <c r="L1250" s="34" t="s">
        <v>17</v>
      </c>
      <c r="M1250" s="57">
        <v>35852</v>
      </c>
      <c r="N1250" s="37">
        <f>(YEAR(TablaMadre[[#This Row],[ALTA]])-YEAR(M1250))</f>
        <v>23</v>
      </c>
      <c r="O1250" s="34" t="s">
        <v>18</v>
      </c>
      <c r="P1250" s="34" t="s">
        <v>19</v>
      </c>
      <c r="Q1250" s="34" t="s">
        <v>136</v>
      </c>
      <c r="R1250" s="34" t="s">
        <v>21</v>
      </c>
      <c r="S1250" s="34" t="s">
        <v>136</v>
      </c>
      <c r="T1250" s="34"/>
      <c r="U1250" s="34"/>
      <c r="V1250" s="34" t="s">
        <v>67</v>
      </c>
      <c r="W1250" s="34" t="s">
        <v>181</v>
      </c>
      <c r="X1250" s="38" t="s">
        <v>164</v>
      </c>
      <c r="Y1250" s="62"/>
      <c r="Z1250" s="62" t="e">
        <f t="shared" si="58"/>
        <v>#NUM!</v>
      </c>
      <c r="AA1250" s="62"/>
      <c r="AB1250" s="34">
        <v>9</v>
      </c>
      <c r="AC1250" s="34">
        <v>10</v>
      </c>
      <c r="AD1250" s="38"/>
      <c r="AE1250" s="59" t="str">
        <f t="shared" si="59"/>
        <v>NO</v>
      </c>
      <c r="AF1250" s="38" t="e" cm="1">
        <f t="array" aca="1" ref="AF1250" ca="1">MIN(100, MAX(0, (IF(R1250="ESTUDIANTE", 31, 0)) + (IF(I1250&lt;=3, 30, IF(I1250&lt;=6, 20, 0))) +(IF(OR(E1250="413 - Control de Costes y Enlace Construcción", E1250="480 - Secretaría General del Consejo", E1250="132 - Civil y estructuras", E1250="136 - Mecánica", E1250="412 - Planificación", E1250="142 - Compras"), 25, 0)) +(IF(OR(S1250="GRADO ING. MECÁNICA", S1250="GRADO ING. ELÉCTRICA", S1250="GRADO DERECHO", S1250="GRADO ECONOMÍA", S1250="GRADO ING. TECNOLOGÍAS INDUSTRIALES"), 24, 0)) + (IF(AND(K1250&gt;=451, K1250&lt;=700), 23, 0)) + (IF(AND(AB1250&gt;=5, AB1250&lt;=8), 17, 0)) +(IF(_xludf.OR(_xludf.AND(AC1250&gt;=8, AC1250&lt;=10), _xludf.AND(AC1250&gt;=0, AC1250&lt;=5)), 16, 0)) + (IF(F1250="Madrid", 11, 0))))</f>
        <v>#NAME?</v>
      </c>
      <c r="AG1250" s="68"/>
      <c r="AH1250" s="71" t="s">
        <v>164</v>
      </c>
    </row>
    <row r="1251" spans="1:34" ht="14.4" x14ac:dyDescent="0.3">
      <c r="A1251" s="66" t="s">
        <v>2229</v>
      </c>
      <c r="B1251" s="66" t="s">
        <v>4346</v>
      </c>
      <c r="C1251" s="33">
        <v>1250</v>
      </c>
      <c r="D1251" s="33" t="s">
        <v>5396</v>
      </c>
      <c r="E1251" s="34" t="s">
        <v>5248</v>
      </c>
      <c r="F1251" s="34" t="s">
        <v>18</v>
      </c>
      <c r="G1251" s="57">
        <v>44487</v>
      </c>
      <c r="H1251" s="57">
        <v>44851</v>
      </c>
      <c r="I1251" s="34">
        <f t="shared" si="57"/>
        <v>11</v>
      </c>
      <c r="J1251" s="34">
        <v>35</v>
      </c>
      <c r="K1251" s="36">
        <v>900</v>
      </c>
      <c r="L1251" s="34" t="s">
        <v>17</v>
      </c>
      <c r="M1251" s="57">
        <v>34647</v>
      </c>
      <c r="N1251" s="37">
        <f>(YEAR(TablaMadre[[#This Row],[ALTA]])-YEAR(M1251))</f>
        <v>27</v>
      </c>
      <c r="O1251" s="34" t="s">
        <v>100</v>
      </c>
      <c r="P1251" s="34" t="s">
        <v>19</v>
      </c>
      <c r="Q1251" s="34" t="s">
        <v>447</v>
      </c>
      <c r="R1251" s="34" t="s">
        <v>21</v>
      </c>
      <c r="S1251" s="34" t="s">
        <v>297</v>
      </c>
      <c r="T1251" s="34"/>
      <c r="U1251" s="34"/>
      <c r="V1251" s="34" t="s">
        <v>84</v>
      </c>
      <c r="W1251" s="34" t="s">
        <v>28</v>
      </c>
      <c r="X1251" s="38" t="s">
        <v>173</v>
      </c>
      <c r="Y1251" s="62"/>
      <c r="Z1251" s="38" t="e">
        <f t="shared" si="58"/>
        <v>#NUM!</v>
      </c>
      <c r="AA1251" s="38"/>
      <c r="AB1251" s="34">
        <v>9</v>
      </c>
      <c r="AC1251" s="34">
        <v>10</v>
      </c>
      <c r="AD1251" s="38"/>
      <c r="AE1251" s="59" t="str">
        <f t="shared" si="59"/>
        <v>SÍ</v>
      </c>
      <c r="AF1251" s="38" t="e" cm="1">
        <f t="array" aca="1" ref="AF1251" ca="1">MIN(100, MAX(0, (IF(R1251="ESTUDIANTE", 31, 0)) + (IF(I1251&lt;=3, 30, IF(I1251&lt;=6, 20, 0))) +(IF(OR(E1251="413 - Control de Costes y Enlace Construcción", E1251="480 - Secretaría General del Consejo", E1251="132 - Civil y estructuras", E1251="136 - Mecánica", E1251="412 - Planificación", E1251="142 - Compras"), 25, 0)) +(IF(OR(S1251="GRADO ING. MECÁNICA", S1251="GRADO ING. ELÉCTRICA", S1251="GRADO DERECHO", S1251="GRADO ECONOMÍA", S1251="GRADO ING. TECNOLOGÍAS INDUSTRIALES"), 24, 0)) + (IF(AND(K1251&gt;=451, K1251&lt;=700), 23, 0)) + (IF(AND(AB1251&gt;=5, AB1251&lt;=8), 17, 0)) +(IF(_xludf.OR(_xludf.AND(AC1251&gt;=8, AC1251&lt;=10), _xludf.AND(AC1251&gt;=0, AC1251&lt;=5)), 16, 0)) + (IF(F1251="Madrid", 11, 0))))</f>
        <v>#NAME?</v>
      </c>
      <c r="AG1251" s="68"/>
      <c r="AH1251" s="71" t="s">
        <v>164</v>
      </c>
    </row>
    <row r="1252" spans="1:34" ht="14.4" x14ac:dyDescent="0.3">
      <c r="A1252" s="66" t="s">
        <v>2230</v>
      </c>
      <c r="B1252" s="66" t="s">
        <v>4347</v>
      </c>
      <c r="C1252" s="33">
        <v>1251</v>
      </c>
      <c r="D1252" s="33" t="s">
        <v>5397</v>
      </c>
      <c r="E1252" s="34" t="s">
        <v>5322</v>
      </c>
      <c r="F1252" s="34" t="s">
        <v>18</v>
      </c>
      <c r="G1252" s="57">
        <v>44502</v>
      </c>
      <c r="H1252" s="57">
        <v>44681</v>
      </c>
      <c r="I1252" s="34">
        <f t="shared" si="57"/>
        <v>5</v>
      </c>
      <c r="J1252" s="34">
        <v>35</v>
      </c>
      <c r="K1252" s="36">
        <v>885</v>
      </c>
      <c r="L1252" s="34" t="s">
        <v>17</v>
      </c>
      <c r="M1252" s="57">
        <v>33834</v>
      </c>
      <c r="N1252" s="37">
        <f>(YEAR(TablaMadre[[#This Row],[ALTA]])-YEAR(M1252))</f>
        <v>29</v>
      </c>
      <c r="O1252" s="34" t="s">
        <v>205</v>
      </c>
      <c r="P1252" s="34" t="s">
        <v>19</v>
      </c>
      <c r="Q1252" s="34" t="s">
        <v>447</v>
      </c>
      <c r="R1252" s="34" t="s">
        <v>21</v>
      </c>
      <c r="S1252" s="34" t="s">
        <v>297</v>
      </c>
      <c r="T1252" s="34"/>
      <c r="U1252" s="34"/>
      <c r="V1252" s="34" t="s">
        <v>207</v>
      </c>
      <c r="W1252" s="34" t="s">
        <v>23</v>
      </c>
      <c r="X1252" s="38" t="s">
        <v>164</v>
      </c>
      <c r="Y1252" s="62"/>
      <c r="Z1252" s="62" t="e">
        <f t="shared" si="58"/>
        <v>#NUM!</v>
      </c>
      <c r="AA1252" s="62"/>
      <c r="AB1252" s="34">
        <v>7</v>
      </c>
      <c r="AC1252" s="34" t="s">
        <v>524</v>
      </c>
      <c r="AD1252" s="38"/>
      <c r="AE1252" s="59" t="str">
        <f t="shared" si="59"/>
        <v>SÍ</v>
      </c>
      <c r="AF1252" s="38" t="e" cm="1">
        <f t="array" aca="1" ref="AF1252" ca="1">MIN(100, MAX(0, (IF(R1252="ESTUDIANTE", 31, 0)) + (IF(I1252&lt;=3, 30, IF(I1252&lt;=6, 20, 0))) +(IF(OR(E1252="413 - Control de Costes y Enlace Construcción", E1252="480 - Secretaría General del Consejo", E1252="132 - Civil y estructuras", E1252="136 - Mecánica", E1252="412 - Planificación", E1252="142 - Compras"), 25, 0)) +(IF(OR(S1252="GRADO ING. MECÁNICA", S1252="GRADO ING. ELÉCTRICA", S1252="GRADO DERECHO", S1252="GRADO ECONOMÍA", S1252="GRADO ING. TECNOLOGÍAS INDUSTRIALES"), 24, 0)) + (IF(AND(K1252&gt;=451, K1252&lt;=700), 23, 0)) + (IF(AND(AB1252&gt;=5, AB1252&lt;=8), 17, 0)) +(IF(_xludf.OR(_xludf.AND(AC1252&gt;=8, AC1252&lt;=10), _xludf.AND(AC1252&gt;=0, AC1252&lt;=5)), 16, 0)) + (IF(F1252="Madrid", 11, 0))))</f>
        <v>#NAME?</v>
      </c>
      <c r="AG1252" s="68"/>
      <c r="AH1252" s="71" t="s">
        <v>164</v>
      </c>
    </row>
    <row r="1253" spans="1:34" ht="14.4" x14ac:dyDescent="0.3">
      <c r="A1253" s="66" t="s">
        <v>2231</v>
      </c>
      <c r="B1253" s="66" t="s">
        <v>4348</v>
      </c>
      <c r="C1253" s="33">
        <v>1252</v>
      </c>
      <c r="D1253" s="33" t="s">
        <v>5393</v>
      </c>
      <c r="E1253" s="34" t="s">
        <v>5319</v>
      </c>
      <c r="F1253" s="34" t="s">
        <v>931</v>
      </c>
      <c r="G1253" s="57">
        <v>44502</v>
      </c>
      <c r="H1253" s="57">
        <v>44865</v>
      </c>
      <c r="I1253" s="34">
        <f t="shared" si="57"/>
        <v>11</v>
      </c>
      <c r="J1253" s="34">
        <v>35</v>
      </c>
      <c r="K1253" s="36">
        <v>885</v>
      </c>
      <c r="L1253" s="34" t="s">
        <v>17</v>
      </c>
      <c r="M1253" s="57">
        <v>36310</v>
      </c>
      <c r="N1253" s="37">
        <f>(YEAR(TablaMadre[[#This Row],[ALTA]])-YEAR(M1253))</f>
        <v>22</v>
      </c>
      <c r="O1253" s="34"/>
      <c r="P1253" s="34"/>
      <c r="Q1253" s="34" t="s">
        <v>297</v>
      </c>
      <c r="R1253" s="34" t="s">
        <v>21</v>
      </c>
      <c r="S1253" s="34" t="s">
        <v>297</v>
      </c>
      <c r="T1253" s="34"/>
      <c r="U1253" s="34"/>
      <c r="V1253" s="34" t="s">
        <v>84</v>
      </c>
      <c r="W1253" s="34" t="s">
        <v>28</v>
      </c>
      <c r="X1253" s="38" t="s">
        <v>173</v>
      </c>
      <c r="Y1253" s="62"/>
      <c r="Z1253" s="38" t="e">
        <f t="shared" si="58"/>
        <v>#NUM!</v>
      </c>
      <c r="AA1253" s="38"/>
      <c r="AB1253" s="34">
        <v>10</v>
      </c>
      <c r="AC1253" s="34">
        <v>10</v>
      </c>
      <c r="AD1253" s="38"/>
      <c r="AE1253" s="59" t="str">
        <f t="shared" si="59"/>
        <v>SÍ</v>
      </c>
      <c r="AF1253" s="38" t="e" cm="1">
        <f t="array" aca="1" ref="AF1253" ca="1">MIN(100, MAX(0, (IF(R1253="ESTUDIANTE", 31, 0)) + (IF(I1253&lt;=3, 30, IF(I1253&lt;=6, 20, 0))) +(IF(OR(E1253="413 - Control de Costes y Enlace Construcción", E1253="480 - Secretaría General del Consejo", E1253="132 - Civil y estructuras", E1253="136 - Mecánica", E1253="412 - Planificación", E1253="142 - Compras"), 25, 0)) +(IF(OR(S1253="GRADO ING. MECÁNICA", S1253="GRADO ING. ELÉCTRICA", S1253="GRADO DERECHO", S1253="GRADO ECONOMÍA", S1253="GRADO ING. TECNOLOGÍAS INDUSTRIALES"), 24, 0)) + (IF(AND(K1253&gt;=451, K1253&lt;=700), 23, 0)) + (IF(AND(AB1253&gt;=5, AB1253&lt;=8), 17, 0)) +(IF(_xludf.OR(_xludf.AND(AC1253&gt;=8, AC1253&lt;=10), _xludf.AND(AC1253&gt;=0, AC1253&lt;=5)), 16, 0)) + (IF(F1253="Madrid", 11, 0))))</f>
        <v>#NAME?</v>
      </c>
      <c r="AG1253" s="68"/>
      <c r="AH1253" s="71" t="s">
        <v>164</v>
      </c>
    </row>
    <row r="1254" spans="1:34" ht="14.4" x14ac:dyDescent="0.3">
      <c r="A1254" s="66" t="s">
        <v>2232</v>
      </c>
      <c r="B1254" s="66" t="s">
        <v>4349</v>
      </c>
      <c r="C1254" s="33">
        <v>1253</v>
      </c>
      <c r="D1254" s="33" t="s">
        <v>5394</v>
      </c>
      <c r="E1254" s="34" t="s">
        <v>5285</v>
      </c>
      <c r="F1254" s="34" t="s">
        <v>18</v>
      </c>
      <c r="G1254" s="57">
        <v>44502</v>
      </c>
      <c r="H1254" s="57">
        <v>44866</v>
      </c>
      <c r="I1254" s="34">
        <f t="shared" si="57"/>
        <v>11</v>
      </c>
      <c r="J1254" s="34">
        <v>35</v>
      </c>
      <c r="K1254" s="36">
        <v>885</v>
      </c>
      <c r="L1254" s="34" t="s">
        <v>29</v>
      </c>
      <c r="M1254" s="57">
        <v>34291</v>
      </c>
      <c r="N1254" s="37">
        <f>(YEAR(TablaMadre[[#This Row],[ALTA]])-YEAR(M1254))</f>
        <v>28</v>
      </c>
      <c r="O1254" s="34" t="s">
        <v>191</v>
      </c>
      <c r="P1254" s="34" t="s">
        <v>191</v>
      </c>
      <c r="Q1254" s="34" t="s">
        <v>569</v>
      </c>
      <c r="R1254" s="34" t="s">
        <v>21</v>
      </c>
      <c r="S1254" s="34" t="s">
        <v>151</v>
      </c>
      <c r="T1254" s="34"/>
      <c r="U1254" s="34"/>
      <c r="V1254" s="34" t="s">
        <v>90</v>
      </c>
      <c r="W1254" s="34" t="s">
        <v>28</v>
      </c>
      <c r="X1254" s="38" t="s">
        <v>173</v>
      </c>
      <c r="Y1254" s="62"/>
      <c r="Z1254" s="38" t="e">
        <f t="shared" si="58"/>
        <v>#NUM!</v>
      </c>
      <c r="AA1254" s="38"/>
      <c r="AB1254" s="34">
        <v>10</v>
      </c>
      <c r="AC1254" s="34">
        <v>10</v>
      </c>
      <c r="AD1254" s="38"/>
      <c r="AE1254" s="59" t="str">
        <f t="shared" si="59"/>
        <v>SÍ</v>
      </c>
      <c r="AF1254" s="38" t="e" cm="1">
        <f t="array" aca="1" ref="AF1254" ca="1">MIN(100, MAX(0, (IF(R1254="ESTUDIANTE", 31, 0)) + (IF(I1254&lt;=3, 30, IF(I1254&lt;=6, 20, 0))) +(IF(OR(E1254="413 - Control de Costes y Enlace Construcción", E1254="480 - Secretaría General del Consejo", E1254="132 - Civil y estructuras", E1254="136 - Mecánica", E1254="412 - Planificación", E1254="142 - Compras"), 25, 0)) +(IF(OR(S1254="GRADO ING. MECÁNICA", S1254="GRADO ING. ELÉCTRICA", S1254="GRADO DERECHO", S1254="GRADO ECONOMÍA", S1254="GRADO ING. TECNOLOGÍAS INDUSTRIALES"), 24, 0)) + (IF(AND(K1254&gt;=451, K1254&lt;=700), 23, 0)) + (IF(AND(AB1254&gt;=5, AB1254&lt;=8), 17, 0)) +(IF(_xludf.OR(_xludf.AND(AC1254&gt;=8, AC1254&lt;=10), _xludf.AND(AC1254&gt;=0, AC1254&lt;=5)), 16, 0)) + (IF(F1254="Madrid", 11, 0))))</f>
        <v>#NAME?</v>
      </c>
      <c r="AG1254" s="68"/>
      <c r="AH1254" s="71" t="s">
        <v>164</v>
      </c>
    </row>
    <row r="1255" spans="1:34" ht="14.4" x14ac:dyDescent="0.3">
      <c r="A1255" s="66" t="s">
        <v>2233</v>
      </c>
      <c r="B1255" s="66" t="s">
        <v>4350</v>
      </c>
      <c r="C1255" s="33">
        <v>1254</v>
      </c>
      <c r="D1255" s="33" t="s">
        <v>5395</v>
      </c>
      <c r="E1255" s="34" t="s">
        <v>5252</v>
      </c>
      <c r="F1255" s="34" t="s">
        <v>18</v>
      </c>
      <c r="G1255" s="57">
        <v>44502</v>
      </c>
      <c r="H1255" s="57">
        <v>44866</v>
      </c>
      <c r="I1255" s="34">
        <f t="shared" si="57"/>
        <v>11</v>
      </c>
      <c r="J1255" s="34">
        <v>35</v>
      </c>
      <c r="K1255" s="36">
        <v>900</v>
      </c>
      <c r="L1255" s="34" t="s">
        <v>17</v>
      </c>
      <c r="M1255" s="57">
        <v>34661</v>
      </c>
      <c r="N1255" s="37">
        <f>(YEAR(TablaMadre[[#This Row],[ALTA]])-YEAR(M1255))</f>
        <v>27</v>
      </c>
      <c r="O1255" s="34" t="s">
        <v>18</v>
      </c>
      <c r="P1255" s="34" t="s">
        <v>19</v>
      </c>
      <c r="Q1255" s="34" t="s">
        <v>447</v>
      </c>
      <c r="R1255" s="34" t="s">
        <v>21</v>
      </c>
      <c r="S1255" s="34" t="s">
        <v>297</v>
      </c>
      <c r="T1255" s="34"/>
      <c r="U1255" s="34"/>
      <c r="V1255" s="34" t="s">
        <v>22</v>
      </c>
      <c r="W1255" s="34" t="s">
        <v>28</v>
      </c>
      <c r="X1255" s="38" t="s">
        <v>173</v>
      </c>
      <c r="Y1255" s="62"/>
      <c r="Z1255" s="38" t="e">
        <f t="shared" si="58"/>
        <v>#NUM!</v>
      </c>
      <c r="AA1255" s="38"/>
      <c r="AB1255" s="34">
        <v>8</v>
      </c>
      <c r="AC1255" s="34">
        <v>9</v>
      </c>
      <c r="AD1255" s="38"/>
      <c r="AE1255" s="59" t="str">
        <f t="shared" si="59"/>
        <v>NO</v>
      </c>
      <c r="AF1255" s="38" t="e" cm="1">
        <f t="array" aca="1" ref="AF1255" ca="1">MIN(100, MAX(0, (IF(R1255="ESTUDIANTE", 31, 0)) + (IF(I1255&lt;=3, 30, IF(I1255&lt;=6, 20, 0))) +(IF(OR(E1255="413 - Control de Costes y Enlace Construcción", E1255="480 - Secretaría General del Consejo", E1255="132 - Civil y estructuras", E1255="136 - Mecánica", E1255="412 - Planificación", E1255="142 - Compras"), 25, 0)) +(IF(OR(S1255="GRADO ING. MECÁNICA", S1255="GRADO ING. ELÉCTRICA", S1255="GRADO DERECHO", S1255="GRADO ECONOMÍA", S1255="GRADO ING. TECNOLOGÍAS INDUSTRIALES"), 24, 0)) + (IF(AND(K1255&gt;=451, K1255&lt;=700), 23, 0)) + (IF(AND(AB1255&gt;=5, AB1255&lt;=8), 17, 0)) +(IF(_xludf.OR(_xludf.AND(AC1255&gt;=8, AC1255&lt;=10), _xludf.AND(AC1255&gt;=0, AC1255&lt;=5)), 16, 0)) + (IF(F1255="Madrid", 11, 0))))</f>
        <v>#NAME?</v>
      </c>
      <c r="AG1255" s="68"/>
      <c r="AH1255" s="71" t="s">
        <v>164</v>
      </c>
    </row>
    <row r="1256" spans="1:34" ht="14.4" x14ac:dyDescent="0.3">
      <c r="A1256" s="66" t="s">
        <v>2234</v>
      </c>
      <c r="B1256" s="66" t="s">
        <v>4351</v>
      </c>
      <c r="C1256" s="33">
        <v>1255</v>
      </c>
      <c r="D1256" s="33" t="s">
        <v>5396</v>
      </c>
      <c r="E1256" s="34" t="s">
        <v>5252</v>
      </c>
      <c r="F1256" s="34" t="s">
        <v>18</v>
      </c>
      <c r="G1256" s="57">
        <v>44502</v>
      </c>
      <c r="H1256" s="57">
        <v>44866</v>
      </c>
      <c r="I1256" s="34">
        <f t="shared" si="57"/>
        <v>11</v>
      </c>
      <c r="J1256" s="34">
        <v>35</v>
      </c>
      <c r="K1256" s="36">
        <v>825</v>
      </c>
      <c r="L1256" s="34" t="s">
        <v>17</v>
      </c>
      <c r="M1256" s="57">
        <v>36075</v>
      </c>
      <c r="N1256" s="37">
        <f>(YEAR(TablaMadre[[#This Row],[ALTA]])-YEAR(M1256))</f>
        <v>23</v>
      </c>
      <c r="O1256" s="34" t="s">
        <v>18</v>
      </c>
      <c r="P1256" s="34" t="s">
        <v>19</v>
      </c>
      <c r="Q1256" s="34" t="s">
        <v>136</v>
      </c>
      <c r="R1256" s="34" t="s">
        <v>21</v>
      </c>
      <c r="S1256" s="34" t="s">
        <v>136</v>
      </c>
      <c r="T1256" s="34"/>
      <c r="U1256" s="34"/>
      <c r="V1256" s="34" t="s">
        <v>22</v>
      </c>
      <c r="W1256" s="34" t="s">
        <v>28</v>
      </c>
      <c r="X1256" s="38" t="s">
        <v>173</v>
      </c>
      <c r="Y1256" s="62"/>
      <c r="Z1256" s="38" t="e">
        <f t="shared" si="58"/>
        <v>#NUM!</v>
      </c>
      <c r="AA1256" s="38"/>
      <c r="AB1256" s="34">
        <v>9</v>
      </c>
      <c r="AC1256" s="34">
        <v>10</v>
      </c>
      <c r="AD1256" s="38"/>
      <c r="AE1256" s="59" t="str">
        <f t="shared" si="59"/>
        <v>NO</v>
      </c>
      <c r="AF1256" s="38" t="e" cm="1">
        <f t="array" aca="1" ref="AF1256" ca="1">MIN(100, MAX(0, (IF(R1256="ESTUDIANTE", 31, 0)) + (IF(I1256&lt;=3, 30, IF(I1256&lt;=6, 20, 0))) +(IF(OR(E1256="413 - Control de Costes y Enlace Construcción", E1256="480 - Secretaría General del Consejo", E1256="132 - Civil y estructuras", E1256="136 - Mecánica", E1256="412 - Planificación", E1256="142 - Compras"), 25, 0)) +(IF(OR(S1256="GRADO ING. MECÁNICA", S1256="GRADO ING. ELÉCTRICA", S1256="GRADO DERECHO", S1256="GRADO ECONOMÍA", S1256="GRADO ING. TECNOLOGÍAS INDUSTRIALES"), 24, 0)) + (IF(AND(K1256&gt;=451, K1256&lt;=700), 23, 0)) + (IF(AND(AB1256&gt;=5, AB1256&lt;=8), 17, 0)) +(IF(_xludf.OR(_xludf.AND(AC1256&gt;=8, AC1256&lt;=10), _xludf.AND(AC1256&gt;=0, AC1256&lt;=5)), 16, 0)) + (IF(F1256="Madrid", 11, 0))))</f>
        <v>#NAME?</v>
      </c>
      <c r="AG1256" s="68"/>
      <c r="AH1256" s="71" t="s">
        <v>164</v>
      </c>
    </row>
    <row r="1257" spans="1:34" ht="14.4" x14ac:dyDescent="0.3">
      <c r="A1257" s="66" t="s">
        <v>2235</v>
      </c>
      <c r="B1257" s="66" t="s">
        <v>4352</v>
      </c>
      <c r="C1257" s="33">
        <v>1256</v>
      </c>
      <c r="D1257" s="33" t="s">
        <v>5397</v>
      </c>
      <c r="E1257" s="34" t="s">
        <v>5252</v>
      </c>
      <c r="F1257" s="34" t="s">
        <v>18</v>
      </c>
      <c r="G1257" s="57">
        <v>44502</v>
      </c>
      <c r="H1257" s="57">
        <v>44866</v>
      </c>
      <c r="I1257" s="34">
        <f t="shared" si="57"/>
        <v>11</v>
      </c>
      <c r="J1257" s="34">
        <v>35</v>
      </c>
      <c r="K1257" s="36">
        <v>700</v>
      </c>
      <c r="L1257" s="34" t="s">
        <v>29</v>
      </c>
      <c r="M1257" s="57">
        <v>34136</v>
      </c>
      <c r="N1257" s="37">
        <f>(YEAR(TablaMadre[[#This Row],[ALTA]])-YEAR(M1257))</f>
        <v>28</v>
      </c>
      <c r="O1257" s="34" t="s">
        <v>350</v>
      </c>
      <c r="P1257" s="34" t="s">
        <v>19</v>
      </c>
      <c r="Q1257" s="34" t="s">
        <v>537</v>
      </c>
      <c r="R1257" s="58" t="s">
        <v>30</v>
      </c>
      <c r="S1257" s="34" t="s">
        <v>322</v>
      </c>
      <c r="T1257" s="34"/>
      <c r="U1257" s="34"/>
      <c r="V1257" s="34" t="s">
        <v>22</v>
      </c>
      <c r="W1257" s="34" t="s">
        <v>28</v>
      </c>
      <c r="X1257" s="38" t="s">
        <v>173</v>
      </c>
      <c r="Y1257" s="62"/>
      <c r="Z1257" s="38" t="e">
        <f t="shared" si="58"/>
        <v>#NUM!</v>
      </c>
      <c r="AA1257" s="38"/>
      <c r="AB1257" s="34">
        <v>6</v>
      </c>
      <c r="AC1257" s="34">
        <v>9</v>
      </c>
      <c r="AD1257" s="38"/>
      <c r="AE1257" s="59" t="str">
        <f t="shared" si="59"/>
        <v>SÍ</v>
      </c>
      <c r="AF1257" s="38" t="e" cm="1">
        <f t="array" aca="1" ref="AF1257" ca="1">MIN(100, MAX(0, (IF(R1257="ESTUDIANTE", 31, 0)) + (IF(I1257&lt;=3, 30, IF(I1257&lt;=6, 20, 0))) +(IF(OR(E1257="413 - Control de Costes y Enlace Construcción", E1257="480 - Secretaría General del Consejo", E1257="132 - Civil y estructuras", E1257="136 - Mecánica", E1257="412 - Planificación", E1257="142 - Compras"), 25, 0)) +(IF(OR(S1257="GRADO ING. MECÁNICA", S1257="GRADO ING. ELÉCTRICA", S1257="GRADO DERECHO", S1257="GRADO ECONOMÍA", S1257="GRADO ING. TECNOLOGÍAS INDUSTRIALES"), 24, 0)) + (IF(AND(K1257&gt;=451, K1257&lt;=700), 23, 0)) + (IF(AND(AB1257&gt;=5, AB1257&lt;=8), 17, 0)) +(IF(_xludf.OR(_xludf.AND(AC1257&gt;=8, AC1257&lt;=10), _xludf.AND(AC1257&gt;=0, AC1257&lt;=5)), 16, 0)) + (IF(F1257="Madrid", 11, 0))))</f>
        <v>#NAME?</v>
      </c>
      <c r="AG1257" s="68"/>
      <c r="AH1257" s="71" t="s">
        <v>164</v>
      </c>
    </row>
    <row r="1258" spans="1:34" ht="14.4" x14ac:dyDescent="0.3">
      <c r="A1258" s="66" t="s">
        <v>2236</v>
      </c>
      <c r="B1258" s="66" t="s">
        <v>4353</v>
      </c>
      <c r="C1258" s="33">
        <v>1257</v>
      </c>
      <c r="D1258" s="33" t="s">
        <v>5398</v>
      </c>
      <c r="E1258" s="34" t="s">
        <v>5216</v>
      </c>
      <c r="F1258" s="34" t="s">
        <v>18</v>
      </c>
      <c r="G1258" s="57">
        <v>44502</v>
      </c>
      <c r="H1258" s="57">
        <v>44866</v>
      </c>
      <c r="I1258" s="34">
        <f t="shared" si="57"/>
        <v>11</v>
      </c>
      <c r="J1258" s="34">
        <v>35</v>
      </c>
      <c r="K1258" s="36">
        <v>885</v>
      </c>
      <c r="L1258" s="34" t="s">
        <v>17</v>
      </c>
      <c r="M1258" s="57">
        <v>34932</v>
      </c>
      <c r="N1258" s="37">
        <f>(YEAR(TablaMadre[[#This Row],[ALTA]])-YEAR(M1258))</f>
        <v>26</v>
      </c>
      <c r="O1258" s="34" t="s">
        <v>153</v>
      </c>
      <c r="P1258" s="34" t="s">
        <v>282</v>
      </c>
      <c r="Q1258" s="34" t="s">
        <v>570</v>
      </c>
      <c r="R1258" s="34" t="s">
        <v>21</v>
      </c>
      <c r="S1258" s="34" t="s">
        <v>136</v>
      </c>
      <c r="T1258" s="34"/>
      <c r="U1258" s="34"/>
      <c r="V1258" s="34" t="s">
        <v>311</v>
      </c>
      <c r="W1258" s="34" t="s">
        <v>28</v>
      </c>
      <c r="X1258" s="38" t="s">
        <v>173</v>
      </c>
      <c r="Y1258" s="62"/>
      <c r="Z1258" s="38" t="e">
        <f t="shared" si="58"/>
        <v>#NUM!</v>
      </c>
      <c r="AA1258" s="38"/>
      <c r="AB1258" s="34">
        <v>6</v>
      </c>
      <c r="AC1258" s="34">
        <v>8</v>
      </c>
      <c r="AD1258" s="38"/>
      <c r="AE1258" s="59" t="str">
        <f t="shared" si="59"/>
        <v>SÍ</v>
      </c>
      <c r="AF1258" s="38" t="e" cm="1">
        <f t="array" aca="1" ref="AF1258" ca="1">MIN(100, MAX(0, (IF(R1258="ESTUDIANTE", 31, 0)) + (IF(I1258&lt;=3, 30, IF(I1258&lt;=6, 20, 0))) +(IF(OR(E1258="413 - Control de Costes y Enlace Construcción", E1258="480 - Secretaría General del Consejo", E1258="132 - Civil y estructuras", E1258="136 - Mecánica", E1258="412 - Planificación", E1258="142 - Compras"), 25, 0)) +(IF(OR(S1258="GRADO ING. MECÁNICA", S1258="GRADO ING. ELÉCTRICA", S1258="GRADO DERECHO", S1258="GRADO ECONOMÍA", S1258="GRADO ING. TECNOLOGÍAS INDUSTRIALES"), 24, 0)) + (IF(AND(K1258&gt;=451, K1258&lt;=700), 23, 0)) + (IF(AND(AB1258&gt;=5, AB1258&lt;=8), 17, 0)) +(IF(_xludf.OR(_xludf.AND(AC1258&gt;=8, AC1258&lt;=10), _xludf.AND(AC1258&gt;=0, AC1258&lt;=5)), 16, 0)) + (IF(F1258="Madrid", 11, 0))))</f>
        <v>#NAME?</v>
      </c>
      <c r="AG1258" s="68"/>
      <c r="AH1258" s="71" t="s">
        <v>164</v>
      </c>
    </row>
    <row r="1259" spans="1:34" ht="14.4" x14ac:dyDescent="0.3">
      <c r="A1259" s="66" t="s">
        <v>2237</v>
      </c>
      <c r="B1259" s="66" t="s">
        <v>4354</v>
      </c>
      <c r="C1259" s="33">
        <v>1258</v>
      </c>
      <c r="D1259" s="33" t="s">
        <v>5399</v>
      </c>
      <c r="E1259" s="34" t="s">
        <v>5323</v>
      </c>
      <c r="F1259" s="34" t="s">
        <v>931</v>
      </c>
      <c r="G1259" s="57">
        <v>44502</v>
      </c>
      <c r="H1259" s="57">
        <v>44866</v>
      </c>
      <c r="I1259" s="34">
        <f t="shared" si="57"/>
        <v>11</v>
      </c>
      <c r="J1259" s="34">
        <v>35</v>
      </c>
      <c r="K1259" s="36">
        <v>885</v>
      </c>
      <c r="L1259" s="34" t="s">
        <v>17</v>
      </c>
      <c r="M1259" s="57">
        <v>35641</v>
      </c>
      <c r="N1259" s="37">
        <f>(YEAR(TablaMadre[[#This Row],[ALTA]])-YEAR(M1259))</f>
        <v>24</v>
      </c>
      <c r="O1259" s="34"/>
      <c r="P1259" s="34" t="s">
        <v>19</v>
      </c>
      <c r="Q1259" s="34" t="s">
        <v>384</v>
      </c>
      <c r="R1259" s="34" t="s">
        <v>21</v>
      </c>
      <c r="S1259" s="34" t="s">
        <v>384</v>
      </c>
      <c r="T1259" s="34"/>
      <c r="U1259" s="34"/>
      <c r="V1259" s="34" t="s">
        <v>56</v>
      </c>
      <c r="W1259" s="34" t="s">
        <v>28</v>
      </c>
      <c r="X1259" s="38" t="s">
        <v>173</v>
      </c>
      <c r="Y1259" s="62"/>
      <c r="Z1259" s="38" t="e">
        <f t="shared" si="58"/>
        <v>#NUM!</v>
      </c>
      <c r="AA1259" s="38"/>
      <c r="AB1259" s="34">
        <v>10</v>
      </c>
      <c r="AC1259" s="34">
        <v>10</v>
      </c>
      <c r="AD1259" s="38"/>
      <c r="AE1259" s="59" t="str">
        <f t="shared" si="59"/>
        <v>SÍ</v>
      </c>
      <c r="AF1259" s="38" t="e" cm="1">
        <f t="array" aca="1" ref="AF1259" ca="1">MIN(100, MAX(0, (IF(R1259="ESTUDIANTE", 31, 0)) + (IF(I1259&lt;=3, 30, IF(I1259&lt;=6, 20, 0))) +(IF(OR(E1259="413 - Control de Costes y Enlace Construcción", E1259="480 - Secretaría General del Consejo", E1259="132 - Civil y estructuras", E1259="136 - Mecánica", E1259="412 - Planificación", E1259="142 - Compras"), 25, 0)) +(IF(OR(S1259="GRADO ING. MECÁNICA", S1259="GRADO ING. ELÉCTRICA", S1259="GRADO DERECHO", S1259="GRADO ECONOMÍA", S1259="GRADO ING. TECNOLOGÍAS INDUSTRIALES"), 24, 0)) + (IF(AND(K1259&gt;=451, K1259&lt;=700), 23, 0)) + (IF(AND(AB1259&gt;=5, AB1259&lt;=8), 17, 0)) +(IF(_xludf.OR(_xludf.AND(AC1259&gt;=8, AC1259&lt;=10), _xludf.AND(AC1259&gt;=0, AC1259&lt;=5)), 16, 0)) + (IF(F1259="Madrid", 11, 0))))</f>
        <v>#NAME?</v>
      </c>
      <c r="AG1259" s="68"/>
      <c r="AH1259" s="71" t="s">
        <v>164</v>
      </c>
    </row>
    <row r="1260" spans="1:34" ht="14.4" x14ac:dyDescent="0.3">
      <c r="A1260" s="66" t="s">
        <v>2238</v>
      </c>
      <c r="B1260" s="66" t="s">
        <v>4355</v>
      </c>
      <c r="C1260" s="33">
        <v>1259</v>
      </c>
      <c r="D1260" s="33" t="s">
        <v>5400</v>
      </c>
      <c r="E1260" s="34" t="s">
        <v>5285</v>
      </c>
      <c r="F1260" s="34" t="s">
        <v>931</v>
      </c>
      <c r="G1260" s="57">
        <v>44502</v>
      </c>
      <c r="H1260" s="57">
        <v>44866</v>
      </c>
      <c r="I1260" s="34">
        <f t="shared" si="57"/>
        <v>11</v>
      </c>
      <c r="J1260" s="34">
        <v>35</v>
      </c>
      <c r="K1260" s="36">
        <v>885</v>
      </c>
      <c r="L1260" s="34" t="s">
        <v>17</v>
      </c>
      <c r="M1260" s="57">
        <v>36736</v>
      </c>
      <c r="N1260" s="37">
        <f>(YEAR(TablaMadre[[#This Row],[ALTA]])-YEAR(M1260))</f>
        <v>21</v>
      </c>
      <c r="O1260" s="34"/>
      <c r="P1260" s="34"/>
      <c r="Q1260" s="34" t="s">
        <v>518</v>
      </c>
      <c r="R1260" s="34" t="s">
        <v>21</v>
      </c>
      <c r="S1260" s="34" t="s">
        <v>151</v>
      </c>
      <c r="T1260" s="34"/>
      <c r="U1260" s="34"/>
      <c r="V1260" s="34" t="s">
        <v>193</v>
      </c>
      <c r="W1260" s="34" t="s">
        <v>28</v>
      </c>
      <c r="X1260" s="38" t="s">
        <v>173</v>
      </c>
      <c r="Y1260" s="62"/>
      <c r="Z1260" s="38" t="e">
        <f t="shared" si="58"/>
        <v>#NUM!</v>
      </c>
      <c r="AA1260" s="38"/>
      <c r="AB1260" s="34">
        <v>7</v>
      </c>
      <c r="AC1260" s="34">
        <v>8</v>
      </c>
      <c r="AD1260" s="38"/>
      <c r="AE1260" s="59" t="str">
        <f t="shared" si="59"/>
        <v>SÍ</v>
      </c>
      <c r="AF1260" s="38" t="e" cm="1">
        <f t="array" aca="1" ref="AF1260" ca="1">MIN(100, MAX(0, (IF(R1260="ESTUDIANTE", 31, 0)) + (IF(I1260&lt;=3, 30, IF(I1260&lt;=6, 20, 0))) +(IF(OR(E1260="413 - Control de Costes y Enlace Construcción", E1260="480 - Secretaría General del Consejo", E1260="132 - Civil y estructuras", E1260="136 - Mecánica", E1260="412 - Planificación", E1260="142 - Compras"), 25, 0)) +(IF(OR(S1260="GRADO ING. MECÁNICA", S1260="GRADO ING. ELÉCTRICA", S1260="GRADO DERECHO", S1260="GRADO ECONOMÍA", S1260="GRADO ING. TECNOLOGÍAS INDUSTRIALES"), 24, 0)) + (IF(AND(K1260&gt;=451, K1260&lt;=700), 23, 0)) + (IF(AND(AB1260&gt;=5, AB1260&lt;=8), 17, 0)) +(IF(_xludf.OR(_xludf.AND(AC1260&gt;=8, AC1260&lt;=10), _xludf.AND(AC1260&gt;=0, AC1260&lt;=5)), 16, 0)) + (IF(F1260="Madrid", 11, 0))))</f>
        <v>#NAME?</v>
      </c>
      <c r="AG1260" s="68"/>
      <c r="AH1260" s="71" t="s">
        <v>164</v>
      </c>
    </row>
    <row r="1261" spans="1:34" ht="14.4" x14ac:dyDescent="0.3">
      <c r="A1261" s="66" t="s">
        <v>2239</v>
      </c>
      <c r="B1261" s="66" t="s">
        <v>4356</v>
      </c>
      <c r="C1261" s="33">
        <v>1260</v>
      </c>
      <c r="D1261" s="33" t="s">
        <v>5401</v>
      </c>
      <c r="E1261" s="34" t="s">
        <v>5252</v>
      </c>
      <c r="F1261" s="34" t="s">
        <v>931</v>
      </c>
      <c r="G1261" s="57">
        <v>44502</v>
      </c>
      <c r="H1261" s="57">
        <v>44866</v>
      </c>
      <c r="I1261" s="34">
        <f t="shared" si="57"/>
        <v>11</v>
      </c>
      <c r="J1261" s="34">
        <v>35</v>
      </c>
      <c r="K1261" s="36">
        <v>885</v>
      </c>
      <c r="L1261" s="34" t="s">
        <v>29</v>
      </c>
      <c r="M1261" s="57">
        <v>36392</v>
      </c>
      <c r="N1261" s="37">
        <f>(YEAR(TablaMadre[[#This Row],[ALTA]])-YEAR(M1261))</f>
        <v>22</v>
      </c>
      <c r="O1261" s="34"/>
      <c r="P1261" s="34"/>
      <c r="Q1261" s="34" t="s">
        <v>571</v>
      </c>
      <c r="R1261" s="34" t="s">
        <v>21</v>
      </c>
      <c r="S1261" s="34" t="s">
        <v>322</v>
      </c>
      <c r="T1261" s="34"/>
      <c r="U1261" s="34"/>
      <c r="V1261" s="34" t="s">
        <v>22</v>
      </c>
      <c r="W1261" s="34" t="s">
        <v>28</v>
      </c>
      <c r="X1261" s="38" t="s">
        <v>164</v>
      </c>
      <c r="Y1261" s="62">
        <v>45252</v>
      </c>
      <c r="Z1261" s="38">
        <f t="shared" si="58"/>
        <v>1</v>
      </c>
      <c r="AA1261" s="38"/>
      <c r="AB1261" s="34">
        <v>8</v>
      </c>
      <c r="AC1261" s="34">
        <v>10</v>
      </c>
      <c r="AD1261" s="38"/>
      <c r="AE1261" s="59" t="str">
        <f t="shared" si="59"/>
        <v>SÍ</v>
      </c>
      <c r="AF1261" s="38" t="e" cm="1">
        <f t="array" aca="1" ref="AF1261" ca="1">MIN(100, MAX(0, (IF(R1261="ESTUDIANTE", 31, 0)) + (IF(I1261&lt;=3, 30, IF(I1261&lt;=6, 20, 0))) +(IF(OR(E1261="413 - Control de Costes y Enlace Construcción", E1261="480 - Secretaría General del Consejo", E1261="132 - Civil y estructuras", E1261="136 - Mecánica", E1261="412 - Planificación", E1261="142 - Compras"), 25, 0)) +(IF(OR(S1261="GRADO ING. MECÁNICA", S1261="GRADO ING. ELÉCTRICA", S1261="GRADO DERECHO", S1261="GRADO ECONOMÍA", S1261="GRADO ING. TECNOLOGÍAS INDUSTRIALES"), 24, 0)) + (IF(AND(K1261&gt;=451, K1261&lt;=700), 23, 0)) + (IF(AND(AB1261&gt;=5, AB1261&lt;=8), 17, 0)) +(IF(_xludf.OR(_xludf.AND(AC1261&gt;=8, AC1261&lt;=10), _xludf.AND(AC1261&gt;=0, AC1261&lt;=5)), 16, 0)) + (IF(F1261="Madrid", 11, 0))))</f>
        <v>#NAME?</v>
      </c>
      <c r="AG1261" s="68"/>
      <c r="AH1261" s="71" t="s">
        <v>164</v>
      </c>
    </row>
    <row r="1262" spans="1:34" ht="14.4" x14ac:dyDescent="0.3">
      <c r="A1262" s="66" t="s">
        <v>2240</v>
      </c>
      <c r="B1262" s="66" t="s">
        <v>4357</v>
      </c>
      <c r="C1262" s="33">
        <v>1261</v>
      </c>
      <c r="D1262" s="33" t="s">
        <v>5402</v>
      </c>
      <c r="E1262" s="34" t="s">
        <v>5252</v>
      </c>
      <c r="F1262" s="34" t="s">
        <v>18</v>
      </c>
      <c r="G1262" s="57">
        <v>44502</v>
      </c>
      <c r="H1262" s="57">
        <v>44866</v>
      </c>
      <c r="I1262" s="34">
        <f t="shared" si="57"/>
        <v>11</v>
      </c>
      <c r="J1262" s="34">
        <v>35</v>
      </c>
      <c r="K1262" s="36">
        <v>900</v>
      </c>
      <c r="L1262" s="34" t="s">
        <v>17</v>
      </c>
      <c r="M1262" s="57">
        <v>34870</v>
      </c>
      <c r="N1262" s="37">
        <f>(YEAR(TablaMadre[[#This Row],[ALTA]])-YEAR(M1262))</f>
        <v>26</v>
      </c>
      <c r="O1262" s="34" t="s">
        <v>18</v>
      </c>
      <c r="P1262" s="34" t="s">
        <v>19</v>
      </c>
      <c r="Q1262" s="34" t="s">
        <v>447</v>
      </c>
      <c r="R1262" s="34" t="s">
        <v>21</v>
      </c>
      <c r="S1262" s="34" t="s">
        <v>297</v>
      </c>
      <c r="T1262" s="34"/>
      <c r="U1262" s="34"/>
      <c r="V1262" s="34" t="s">
        <v>56</v>
      </c>
      <c r="W1262" s="34" t="s">
        <v>28</v>
      </c>
      <c r="X1262" s="38" t="s">
        <v>164</v>
      </c>
      <c r="Y1262" s="62">
        <v>45402</v>
      </c>
      <c r="Z1262" s="38">
        <f t="shared" si="58"/>
        <v>1</v>
      </c>
      <c r="AA1262" s="38"/>
      <c r="AB1262" s="34">
        <v>8</v>
      </c>
      <c r="AC1262" s="34">
        <v>9</v>
      </c>
      <c r="AD1262" s="38"/>
      <c r="AE1262" s="59" t="str">
        <f t="shared" si="59"/>
        <v>NO</v>
      </c>
      <c r="AF1262" s="38" t="e" cm="1">
        <f t="array" aca="1" ref="AF1262" ca="1">MIN(100, MAX(0, (IF(R1262="ESTUDIANTE", 31, 0)) + (IF(I1262&lt;=3, 30, IF(I1262&lt;=6, 20, 0))) +(IF(OR(E1262="413 - Control de Costes y Enlace Construcción", E1262="480 - Secretaría General del Consejo", E1262="132 - Civil y estructuras", E1262="136 - Mecánica", E1262="412 - Planificación", E1262="142 - Compras"), 25, 0)) +(IF(OR(S1262="GRADO ING. MECÁNICA", S1262="GRADO ING. ELÉCTRICA", S1262="GRADO DERECHO", S1262="GRADO ECONOMÍA", S1262="GRADO ING. TECNOLOGÍAS INDUSTRIALES"), 24, 0)) + (IF(AND(K1262&gt;=451, K1262&lt;=700), 23, 0)) + (IF(AND(AB1262&gt;=5, AB1262&lt;=8), 17, 0)) +(IF(_xludf.OR(_xludf.AND(AC1262&gt;=8, AC1262&lt;=10), _xludf.AND(AC1262&gt;=0, AC1262&lt;=5)), 16, 0)) + (IF(F1262="Madrid", 11, 0))))</f>
        <v>#NAME?</v>
      </c>
      <c r="AG1262" s="68"/>
      <c r="AH1262" s="71" t="s">
        <v>164</v>
      </c>
    </row>
    <row r="1263" spans="1:34" ht="14.4" x14ac:dyDescent="0.3">
      <c r="A1263" s="66" t="s">
        <v>2241</v>
      </c>
      <c r="B1263" s="66" t="s">
        <v>4358</v>
      </c>
      <c r="C1263" s="33">
        <v>1262</v>
      </c>
      <c r="D1263" s="33" t="s">
        <v>5393</v>
      </c>
      <c r="E1263" s="34" t="s">
        <v>5235</v>
      </c>
      <c r="F1263" s="34" t="s">
        <v>18</v>
      </c>
      <c r="G1263" s="57">
        <v>44512</v>
      </c>
      <c r="H1263" s="57">
        <v>44771</v>
      </c>
      <c r="I1263" s="34">
        <f t="shared" si="57"/>
        <v>8</v>
      </c>
      <c r="J1263" s="34">
        <v>35</v>
      </c>
      <c r="K1263" s="36">
        <v>825</v>
      </c>
      <c r="L1263" s="34" t="s">
        <v>29</v>
      </c>
      <c r="M1263" s="57">
        <v>35824</v>
      </c>
      <c r="N1263" s="37">
        <f>(YEAR(TablaMadre[[#This Row],[ALTA]])-YEAR(M1263))</f>
        <v>23</v>
      </c>
      <c r="O1263" s="34" t="s">
        <v>945</v>
      </c>
      <c r="P1263" s="34" t="s">
        <v>19</v>
      </c>
      <c r="Q1263" s="34" t="s">
        <v>542</v>
      </c>
      <c r="R1263" s="34" t="s">
        <v>21</v>
      </c>
      <c r="S1263" s="34" t="s">
        <v>151</v>
      </c>
      <c r="T1263" s="34"/>
      <c r="U1263" s="34"/>
      <c r="V1263" s="34" t="s">
        <v>239</v>
      </c>
      <c r="W1263" s="34" t="s">
        <v>181</v>
      </c>
      <c r="X1263" s="38" t="s">
        <v>164</v>
      </c>
      <c r="Y1263" s="62"/>
      <c r="Z1263" s="62" t="e">
        <f t="shared" si="58"/>
        <v>#NUM!</v>
      </c>
      <c r="AA1263" s="62"/>
      <c r="AB1263" s="34">
        <v>9</v>
      </c>
      <c r="AC1263" s="34">
        <v>7</v>
      </c>
      <c r="AD1263" s="38"/>
      <c r="AE1263" s="59" t="str">
        <f t="shared" si="59"/>
        <v>SÍ</v>
      </c>
      <c r="AF1263" s="38" t="e" cm="1">
        <f t="array" aca="1" ref="AF1263" ca="1">MIN(100, MAX(0, (IF(R1263="ESTUDIANTE", 31, 0)) + (IF(I1263&lt;=3, 30, IF(I1263&lt;=6, 20, 0))) +(IF(OR(E1263="413 - Control de Costes y Enlace Construcción", E1263="480 - Secretaría General del Consejo", E1263="132 - Civil y estructuras", E1263="136 - Mecánica", E1263="412 - Planificación", E1263="142 - Compras"), 25, 0)) +(IF(OR(S1263="GRADO ING. MECÁNICA", S1263="GRADO ING. ELÉCTRICA", S1263="GRADO DERECHO", S1263="GRADO ECONOMÍA", S1263="GRADO ING. TECNOLOGÍAS INDUSTRIALES"), 24, 0)) + (IF(AND(K1263&gt;=451, K1263&lt;=700), 23, 0)) + (IF(AND(AB1263&gt;=5, AB1263&lt;=8), 17, 0)) +(IF(_xludf.OR(_xludf.AND(AC1263&gt;=8, AC1263&lt;=10), _xludf.AND(AC1263&gt;=0, AC1263&lt;=5)), 16, 0)) + (IF(F1263="Madrid", 11, 0))))</f>
        <v>#NAME?</v>
      </c>
      <c r="AG1263" s="68"/>
      <c r="AH1263" s="71" t="s">
        <v>164</v>
      </c>
    </row>
    <row r="1264" spans="1:34" ht="14.4" x14ac:dyDescent="0.3">
      <c r="A1264" s="66" t="s">
        <v>2242</v>
      </c>
      <c r="B1264" s="66" t="s">
        <v>4359</v>
      </c>
      <c r="C1264" s="33">
        <v>1263</v>
      </c>
      <c r="D1264" s="33" t="s">
        <v>5394</v>
      </c>
      <c r="E1264" s="34" t="s">
        <v>5285</v>
      </c>
      <c r="F1264" s="34" t="s">
        <v>18</v>
      </c>
      <c r="G1264" s="57">
        <v>44512</v>
      </c>
      <c r="H1264" s="57">
        <v>44876</v>
      </c>
      <c r="I1264" s="34">
        <f t="shared" si="57"/>
        <v>11</v>
      </c>
      <c r="J1264" s="34">
        <v>35</v>
      </c>
      <c r="K1264" s="36">
        <v>900</v>
      </c>
      <c r="L1264" s="34" t="s">
        <v>17</v>
      </c>
      <c r="M1264" s="57">
        <v>34126</v>
      </c>
      <c r="N1264" s="37">
        <f>(YEAR(TablaMadre[[#This Row],[ALTA]])-YEAR(M1264))</f>
        <v>28</v>
      </c>
      <c r="O1264" s="34" t="s">
        <v>575</v>
      </c>
      <c r="P1264" s="34" t="s">
        <v>575</v>
      </c>
      <c r="Q1264" s="34" t="s">
        <v>576</v>
      </c>
      <c r="R1264" s="34" t="s">
        <v>21</v>
      </c>
      <c r="S1264" s="34" t="s">
        <v>151</v>
      </c>
      <c r="T1264" s="34"/>
      <c r="U1264" s="34"/>
      <c r="V1264" s="34" t="s">
        <v>37</v>
      </c>
      <c r="W1264" s="34" t="s">
        <v>28</v>
      </c>
      <c r="X1264" s="38" t="s">
        <v>164</v>
      </c>
      <c r="Y1264" s="62">
        <v>45242</v>
      </c>
      <c r="Z1264" s="38">
        <f t="shared" si="58"/>
        <v>1</v>
      </c>
      <c r="AA1264" s="38"/>
      <c r="AB1264" s="34">
        <v>10</v>
      </c>
      <c r="AC1264" s="34">
        <v>9</v>
      </c>
      <c r="AD1264" s="38"/>
      <c r="AE1264" s="59" t="str">
        <f t="shared" si="59"/>
        <v>SÍ</v>
      </c>
      <c r="AF1264" s="38" t="e" cm="1">
        <f t="array" aca="1" ref="AF1264" ca="1">MIN(100, MAX(0, (IF(R1264="ESTUDIANTE", 31, 0)) + (IF(I1264&lt;=3, 30, IF(I1264&lt;=6, 20, 0))) +(IF(OR(E1264="413 - Control de Costes y Enlace Construcción", E1264="480 - Secretaría General del Consejo", E1264="132 - Civil y estructuras", E1264="136 - Mecánica", E1264="412 - Planificación", E1264="142 - Compras"), 25, 0)) +(IF(OR(S1264="GRADO ING. MECÁNICA", S1264="GRADO ING. ELÉCTRICA", S1264="GRADO DERECHO", S1264="GRADO ECONOMÍA", S1264="GRADO ING. TECNOLOGÍAS INDUSTRIALES"), 24, 0)) + (IF(AND(K1264&gt;=451, K1264&lt;=700), 23, 0)) + (IF(AND(AB1264&gt;=5, AB1264&lt;=8), 17, 0)) +(IF(_xludf.OR(_xludf.AND(AC1264&gt;=8, AC1264&lt;=10), _xludf.AND(AC1264&gt;=0, AC1264&lt;=5)), 16, 0)) + (IF(F1264="Madrid", 11, 0))))</f>
        <v>#NAME?</v>
      </c>
      <c r="AG1264" s="68"/>
      <c r="AH1264" s="71" t="s">
        <v>164</v>
      </c>
    </row>
    <row r="1265" spans="1:34" ht="14.4" x14ac:dyDescent="0.3">
      <c r="A1265" s="66" t="s">
        <v>2243</v>
      </c>
      <c r="B1265" s="66" t="s">
        <v>4360</v>
      </c>
      <c r="C1265" s="33">
        <v>1264</v>
      </c>
      <c r="D1265" s="33" t="s">
        <v>5403</v>
      </c>
      <c r="E1265" s="34" t="s">
        <v>5216</v>
      </c>
      <c r="F1265" s="34" t="s">
        <v>18</v>
      </c>
      <c r="G1265" s="57">
        <v>44515</v>
      </c>
      <c r="H1265" s="57">
        <v>44879</v>
      </c>
      <c r="I1265" s="34">
        <f t="shared" si="57"/>
        <v>11</v>
      </c>
      <c r="J1265" s="34">
        <v>35</v>
      </c>
      <c r="K1265" s="36">
        <v>825</v>
      </c>
      <c r="L1265" s="34" t="s">
        <v>29</v>
      </c>
      <c r="M1265" s="57">
        <v>34908</v>
      </c>
      <c r="N1265" s="37">
        <f>(YEAR(TablaMadre[[#This Row],[ALTA]])-YEAR(M1265))</f>
        <v>26</v>
      </c>
      <c r="O1265" s="34" t="s">
        <v>18</v>
      </c>
      <c r="P1265" s="34" t="s">
        <v>19</v>
      </c>
      <c r="Q1265" s="34" t="s">
        <v>297</v>
      </c>
      <c r="R1265" s="34" t="s">
        <v>21</v>
      </c>
      <c r="S1265" s="34" t="s">
        <v>297</v>
      </c>
      <c r="T1265" s="34"/>
      <c r="U1265" s="34"/>
      <c r="V1265" s="34" t="s">
        <v>22</v>
      </c>
      <c r="W1265" s="34" t="s">
        <v>28</v>
      </c>
      <c r="X1265" s="38" t="s">
        <v>164</v>
      </c>
      <c r="Y1265" s="62">
        <v>45108</v>
      </c>
      <c r="Z1265" s="38">
        <f t="shared" si="58"/>
        <v>0</v>
      </c>
      <c r="AA1265" s="38"/>
      <c r="AB1265" s="34">
        <v>10</v>
      </c>
      <c r="AC1265" s="34">
        <v>10</v>
      </c>
      <c r="AD1265" s="38"/>
      <c r="AE1265" s="59" t="str">
        <f t="shared" si="59"/>
        <v>NO</v>
      </c>
      <c r="AF1265" s="38" t="e" cm="1">
        <f t="array" aca="1" ref="AF1265" ca="1">MIN(100, MAX(0, (IF(R1265="ESTUDIANTE", 31, 0)) + (IF(I1265&lt;=3, 30, IF(I1265&lt;=6, 20, 0))) +(IF(OR(E1265="413 - Control de Costes y Enlace Construcción", E1265="480 - Secretaría General del Consejo", E1265="132 - Civil y estructuras", E1265="136 - Mecánica", E1265="412 - Planificación", E1265="142 - Compras"), 25, 0)) +(IF(OR(S1265="GRADO ING. MECÁNICA", S1265="GRADO ING. ELÉCTRICA", S1265="GRADO DERECHO", S1265="GRADO ECONOMÍA", S1265="GRADO ING. TECNOLOGÍAS INDUSTRIALES"), 24, 0)) + (IF(AND(K1265&gt;=451, K1265&lt;=700), 23, 0)) + (IF(AND(AB1265&gt;=5, AB1265&lt;=8), 17, 0)) +(IF(_xludf.OR(_xludf.AND(AC1265&gt;=8, AC1265&lt;=10), _xludf.AND(AC1265&gt;=0, AC1265&lt;=5)), 16, 0)) + (IF(F1265="Madrid", 11, 0))))</f>
        <v>#NAME?</v>
      </c>
      <c r="AG1265" s="68"/>
      <c r="AH1265" s="71" t="s">
        <v>164</v>
      </c>
    </row>
    <row r="1266" spans="1:34" ht="14.4" x14ac:dyDescent="0.3">
      <c r="A1266" s="66" t="s">
        <v>2244</v>
      </c>
      <c r="B1266" s="66" t="s">
        <v>4361</v>
      </c>
      <c r="C1266" s="33">
        <v>1265</v>
      </c>
      <c r="D1266" s="33" t="s">
        <v>5404</v>
      </c>
      <c r="E1266" s="34" t="s">
        <v>5216</v>
      </c>
      <c r="F1266" s="34" t="s">
        <v>18</v>
      </c>
      <c r="G1266" s="57">
        <v>44515</v>
      </c>
      <c r="H1266" s="57">
        <v>44879</v>
      </c>
      <c r="I1266" s="34">
        <f t="shared" si="57"/>
        <v>11</v>
      </c>
      <c r="J1266" s="34">
        <v>35</v>
      </c>
      <c r="K1266" s="36">
        <v>900</v>
      </c>
      <c r="L1266" s="34" t="s">
        <v>29</v>
      </c>
      <c r="M1266" s="57">
        <v>35594</v>
      </c>
      <c r="N1266" s="37">
        <f>(YEAR(TablaMadre[[#This Row],[ALTA]])-YEAR(M1266))</f>
        <v>24</v>
      </c>
      <c r="O1266" s="34" t="s">
        <v>18</v>
      </c>
      <c r="P1266" s="34" t="s">
        <v>19</v>
      </c>
      <c r="Q1266" s="34" t="s">
        <v>549</v>
      </c>
      <c r="R1266" s="34" t="s">
        <v>21</v>
      </c>
      <c r="S1266" s="34" t="s">
        <v>297</v>
      </c>
      <c r="T1266" s="34"/>
      <c r="U1266" s="34"/>
      <c r="V1266" s="34" t="s">
        <v>84</v>
      </c>
      <c r="W1266" s="34" t="s">
        <v>28</v>
      </c>
      <c r="X1266" s="38" t="s">
        <v>173</v>
      </c>
      <c r="Y1266" s="62"/>
      <c r="Z1266" s="38" t="e">
        <f t="shared" si="58"/>
        <v>#NUM!</v>
      </c>
      <c r="AA1266" s="38"/>
      <c r="AB1266" s="34">
        <v>9</v>
      </c>
      <c r="AC1266" s="34">
        <v>9</v>
      </c>
      <c r="AD1266" s="38"/>
      <c r="AE1266" s="59" t="str">
        <f t="shared" si="59"/>
        <v>NO</v>
      </c>
      <c r="AF1266" s="38" t="e" cm="1">
        <f t="array" aca="1" ref="AF1266" ca="1">MIN(100, MAX(0, (IF(R1266="ESTUDIANTE", 31, 0)) + (IF(I1266&lt;=3, 30, IF(I1266&lt;=6, 20, 0))) +(IF(OR(E1266="413 - Control de Costes y Enlace Construcción", E1266="480 - Secretaría General del Consejo", E1266="132 - Civil y estructuras", E1266="136 - Mecánica", E1266="412 - Planificación", E1266="142 - Compras"), 25, 0)) +(IF(OR(S1266="GRADO ING. MECÁNICA", S1266="GRADO ING. ELÉCTRICA", S1266="GRADO DERECHO", S1266="GRADO ECONOMÍA", S1266="GRADO ING. TECNOLOGÍAS INDUSTRIALES"), 24, 0)) + (IF(AND(K1266&gt;=451, K1266&lt;=700), 23, 0)) + (IF(AND(AB1266&gt;=5, AB1266&lt;=8), 17, 0)) +(IF(_xludf.OR(_xludf.AND(AC1266&gt;=8, AC1266&lt;=10), _xludf.AND(AC1266&gt;=0, AC1266&lt;=5)), 16, 0)) + (IF(F1266="Madrid", 11, 0))))</f>
        <v>#NAME?</v>
      </c>
      <c r="AG1266" s="68"/>
      <c r="AH1266" s="71" t="s">
        <v>164</v>
      </c>
    </row>
    <row r="1267" spans="1:34" ht="14.4" x14ac:dyDescent="0.3">
      <c r="A1267" s="66" t="s">
        <v>2245</v>
      </c>
      <c r="B1267" s="66" t="s">
        <v>4362</v>
      </c>
      <c r="C1267" s="33">
        <v>1266</v>
      </c>
      <c r="D1267" s="33" t="s">
        <v>5405</v>
      </c>
      <c r="E1267" s="34" t="s">
        <v>5216</v>
      </c>
      <c r="F1267" s="34" t="s">
        <v>931</v>
      </c>
      <c r="G1267" s="57">
        <v>44515</v>
      </c>
      <c r="H1267" s="57">
        <v>44879</v>
      </c>
      <c r="I1267" s="34">
        <f t="shared" si="57"/>
        <v>11</v>
      </c>
      <c r="J1267" s="34">
        <v>35</v>
      </c>
      <c r="K1267" s="36">
        <v>825</v>
      </c>
      <c r="L1267" s="34" t="s">
        <v>29</v>
      </c>
      <c r="M1267" s="57">
        <v>36282</v>
      </c>
      <c r="N1267" s="37">
        <f>(YEAR(TablaMadre[[#This Row],[ALTA]])-YEAR(M1267))</f>
        <v>22</v>
      </c>
      <c r="O1267" s="34"/>
      <c r="P1267" s="34" t="s">
        <v>19</v>
      </c>
      <c r="Q1267" s="34" t="s">
        <v>297</v>
      </c>
      <c r="R1267" s="34" t="s">
        <v>21</v>
      </c>
      <c r="S1267" s="34" t="s">
        <v>297</v>
      </c>
      <c r="T1267" s="34"/>
      <c r="U1267" s="34"/>
      <c r="V1267" s="34" t="s">
        <v>22</v>
      </c>
      <c r="W1267" s="34" t="s">
        <v>28</v>
      </c>
      <c r="X1267" s="38" t="s">
        <v>164</v>
      </c>
      <c r="Y1267" s="62">
        <v>45635</v>
      </c>
      <c r="Z1267" s="38">
        <f t="shared" si="58"/>
        <v>2</v>
      </c>
      <c r="AA1267" s="38"/>
      <c r="AB1267" s="34">
        <v>10</v>
      </c>
      <c r="AC1267" s="34">
        <v>10</v>
      </c>
      <c r="AD1267" s="38"/>
      <c r="AE1267" s="59" t="str">
        <f t="shared" si="59"/>
        <v>SÍ</v>
      </c>
      <c r="AF1267" s="38" t="e" cm="1">
        <f t="array" aca="1" ref="AF1267" ca="1">MIN(100, MAX(0, (IF(R1267="ESTUDIANTE", 31, 0)) + (IF(I1267&lt;=3, 30, IF(I1267&lt;=6, 20, 0))) +(IF(OR(E1267="413 - Control de Costes y Enlace Construcción", E1267="480 - Secretaría General del Consejo", E1267="132 - Civil y estructuras", E1267="136 - Mecánica", E1267="412 - Planificación", E1267="142 - Compras"), 25, 0)) +(IF(OR(S1267="GRADO ING. MECÁNICA", S1267="GRADO ING. ELÉCTRICA", S1267="GRADO DERECHO", S1267="GRADO ECONOMÍA", S1267="GRADO ING. TECNOLOGÍAS INDUSTRIALES"), 24, 0)) + (IF(AND(K1267&gt;=451, K1267&lt;=700), 23, 0)) + (IF(AND(AB1267&gt;=5, AB1267&lt;=8), 17, 0)) +(IF(_xludf.OR(_xludf.AND(AC1267&gt;=8, AC1267&lt;=10), _xludf.AND(AC1267&gt;=0, AC1267&lt;=5)), 16, 0)) + (IF(F1267="Madrid", 11, 0))))</f>
        <v>#NAME?</v>
      </c>
      <c r="AG1267" s="68"/>
      <c r="AH1267" s="71" t="s">
        <v>164</v>
      </c>
    </row>
    <row r="1268" spans="1:34" ht="14.4" x14ac:dyDescent="0.3">
      <c r="A1268" s="66" t="s">
        <v>2246</v>
      </c>
      <c r="B1268" s="66" t="s">
        <v>4363</v>
      </c>
      <c r="C1268" s="33">
        <v>1267</v>
      </c>
      <c r="D1268" s="33" t="s">
        <v>5396</v>
      </c>
      <c r="E1268" s="34" t="s">
        <v>5324</v>
      </c>
      <c r="F1268" s="34" t="s">
        <v>18</v>
      </c>
      <c r="G1268" s="57">
        <v>44522</v>
      </c>
      <c r="H1268" s="57">
        <v>44592</v>
      </c>
      <c r="I1268" s="34">
        <f t="shared" si="57"/>
        <v>2</v>
      </c>
      <c r="J1268" s="34">
        <v>35</v>
      </c>
      <c r="K1268" s="36">
        <v>450</v>
      </c>
      <c r="L1268" s="34" t="s">
        <v>17</v>
      </c>
      <c r="M1268" s="57">
        <v>35461</v>
      </c>
      <c r="N1268" s="37">
        <f>(YEAR(TablaMadre[[#This Row],[ALTA]])-YEAR(M1268))</f>
        <v>24</v>
      </c>
      <c r="O1268" s="34" t="s">
        <v>18</v>
      </c>
      <c r="P1268" s="34" t="s">
        <v>19</v>
      </c>
      <c r="Q1268" s="34" t="s">
        <v>509</v>
      </c>
      <c r="R1268" s="58" t="s">
        <v>30</v>
      </c>
      <c r="S1268" s="34" t="s">
        <v>26</v>
      </c>
      <c r="T1268" s="34"/>
      <c r="U1268" s="34"/>
      <c r="V1268" s="34" t="s">
        <v>510</v>
      </c>
      <c r="W1268" s="34" t="s">
        <v>23</v>
      </c>
      <c r="X1268" s="38" t="s">
        <v>164</v>
      </c>
      <c r="Y1268" s="62"/>
      <c r="Z1268" s="62" t="e">
        <f t="shared" si="58"/>
        <v>#NUM!</v>
      </c>
      <c r="AA1268" s="62"/>
      <c r="AB1268" s="34"/>
      <c r="AC1268" s="34"/>
      <c r="AD1268" s="38"/>
      <c r="AE1268" s="59" t="str">
        <f t="shared" si="59"/>
        <v>NO</v>
      </c>
      <c r="AF1268" s="38" t="e" cm="1">
        <f t="array" aca="1" ref="AF1268" ca="1">MIN(100, MAX(0, (IF(R1268="ESTUDIANTE", 31, 0)) + (IF(I1268&lt;=3, 30, IF(I1268&lt;=6, 20, 0))) +(IF(OR(E1268="413 - Control de Costes y Enlace Construcción", E1268="480 - Secretaría General del Consejo", E1268="132 - Civil y estructuras", E1268="136 - Mecánica", E1268="412 - Planificación", E1268="142 - Compras"), 25, 0)) +(IF(OR(S1268="GRADO ING. MECÁNICA", S1268="GRADO ING. ELÉCTRICA", S1268="GRADO DERECHO", S1268="GRADO ECONOMÍA", S1268="GRADO ING. TECNOLOGÍAS INDUSTRIALES"), 24, 0)) + (IF(AND(K1268&gt;=451, K1268&lt;=700), 23, 0)) + (IF(AND(AB1268&gt;=5, AB1268&lt;=8), 17, 0)) +(IF(_xludf.OR(_xludf.AND(AC1268&gt;=8, AC1268&lt;=10), _xludf.AND(AC1268&gt;=0, AC1268&lt;=5)), 16, 0)) + (IF(F1268="Madrid", 11, 0))))</f>
        <v>#NAME?</v>
      </c>
      <c r="AG1268" s="68"/>
      <c r="AH1268" s="71" t="s">
        <v>164</v>
      </c>
    </row>
    <row r="1269" spans="1:34" ht="14.4" x14ac:dyDescent="0.3">
      <c r="A1269" s="66" t="s">
        <v>2247</v>
      </c>
      <c r="B1269" s="66" t="s">
        <v>4364</v>
      </c>
      <c r="C1269" s="33">
        <v>1268</v>
      </c>
      <c r="D1269" s="33" t="s">
        <v>5397</v>
      </c>
      <c r="E1269" s="34" t="s">
        <v>5251</v>
      </c>
      <c r="F1269" s="34" t="s">
        <v>18</v>
      </c>
      <c r="G1269" s="57">
        <v>44522</v>
      </c>
      <c r="H1269" s="57">
        <v>44608</v>
      </c>
      <c r="I1269" s="34">
        <f t="shared" si="57"/>
        <v>2</v>
      </c>
      <c r="J1269" s="34">
        <v>35</v>
      </c>
      <c r="K1269" s="36">
        <v>900</v>
      </c>
      <c r="L1269" s="34" t="s">
        <v>17</v>
      </c>
      <c r="M1269" s="57">
        <v>35483</v>
      </c>
      <c r="N1269" s="37">
        <f>(YEAR(TablaMadre[[#This Row],[ALTA]])-YEAR(M1269))</f>
        <v>24</v>
      </c>
      <c r="O1269" s="34" t="s">
        <v>511</v>
      </c>
      <c r="P1269" s="34" t="s">
        <v>19</v>
      </c>
      <c r="Q1269" s="34" t="s">
        <v>512</v>
      </c>
      <c r="R1269" s="34" t="s">
        <v>21</v>
      </c>
      <c r="S1269" s="34" t="s">
        <v>384</v>
      </c>
      <c r="T1269" s="34"/>
      <c r="U1269" s="34"/>
      <c r="V1269" s="34" t="s">
        <v>22</v>
      </c>
      <c r="W1269" s="34" t="s">
        <v>181</v>
      </c>
      <c r="X1269" s="38" t="s">
        <v>164</v>
      </c>
      <c r="Y1269" s="62"/>
      <c r="Z1269" s="62" t="e">
        <f t="shared" si="58"/>
        <v>#NUM!</v>
      </c>
      <c r="AA1269" s="62"/>
      <c r="AB1269" s="34"/>
      <c r="AC1269" s="34">
        <v>5</v>
      </c>
      <c r="AD1269" s="38"/>
      <c r="AE1269" s="59" t="str">
        <f t="shared" si="59"/>
        <v>SÍ</v>
      </c>
      <c r="AF1269" s="38" t="e" cm="1">
        <f t="array" aca="1" ref="AF1269" ca="1">MIN(100, MAX(0, (IF(R1269="ESTUDIANTE", 31, 0)) + (IF(I1269&lt;=3, 30, IF(I1269&lt;=6, 20, 0))) +(IF(OR(E1269="413 - Control de Costes y Enlace Construcción", E1269="480 - Secretaría General del Consejo", E1269="132 - Civil y estructuras", E1269="136 - Mecánica", E1269="412 - Planificación", E1269="142 - Compras"), 25, 0)) +(IF(OR(S1269="GRADO ING. MECÁNICA", S1269="GRADO ING. ELÉCTRICA", S1269="GRADO DERECHO", S1269="GRADO ECONOMÍA", S1269="GRADO ING. TECNOLOGÍAS INDUSTRIALES"), 24, 0)) + (IF(AND(K1269&gt;=451, K1269&lt;=700), 23, 0)) + (IF(AND(AB1269&gt;=5, AB1269&lt;=8), 17, 0)) +(IF(_xludf.OR(_xludf.AND(AC1269&gt;=8, AC1269&lt;=10), _xludf.AND(AC1269&gt;=0, AC1269&lt;=5)), 16, 0)) + (IF(F1269="Madrid", 11, 0))))</f>
        <v>#NAME?</v>
      </c>
      <c r="AG1269" s="68"/>
      <c r="AH1269" s="71" t="s">
        <v>164</v>
      </c>
    </row>
    <row r="1270" spans="1:34" ht="14.4" x14ac:dyDescent="0.3">
      <c r="A1270" s="66" t="s">
        <v>2248</v>
      </c>
      <c r="B1270" s="66" t="s">
        <v>4365</v>
      </c>
      <c r="C1270" s="33">
        <v>1269</v>
      </c>
      <c r="D1270" s="33" t="s">
        <v>5393</v>
      </c>
      <c r="E1270" s="34" t="s">
        <v>5285</v>
      </c>
      <c r="F1270" s="34" t="s">
        <v>18</v>
      </c>
      <c r="G1270" s="57">
        <v>44522</v>
      </c>
      <c r="H1270" s="57">
        <v>44712</v>
      </c>
      <c r="I1270" s="34">
        <f t="shared" si="57"/>
        <v>6</v>
      </c>
      <c r="J1270" s="34">
        <v>35</v>
      </c>
      <c r="K1270" s="36">
        <v>900</v>
      </c>
      <c r="L1270" s="34" t="s">
        <v>17</v>
      </c>
      <c r="M1270" s="57">
        <v>35641</v>
      </c>
      <c r="N1270" s="37">
        <f>(YEAR(TablaMadre[[#This Row],[ALTA]])-YEAR(M1270))</f>
        <v>24</v>
      </c>
      <c r="O1270" s="34" t="s">
        <v>92</v>
      </c>
      <c r="P1270" s="34" t="s">
        <v>19</v>
      </c>
      <c r="Q1270" s="34" t="s">
        <v>530</v>
      </c>
      <c r="R1270" s="34" t="s">
        <v>21</v>
      </c>
      <c r="S1270" s="34" t="s">
        <v>151</v>
      </c>
      <c r="T1270" s="34"/>
      <c r="U1270" s="34"/>
      <c r="V1270" s="34" t="s">
        <v>22</v>
      </c>
      <c r="W1270" s="34" t="s">
        <v>181</v>
      </c>
      <c r="X1270" s="38" t="s">
        <v>164</v>
      </c>
      <c r="Y1270" s="62"/>
      <c r="Z1270" s="62" t="e">
        <f t="shared" si="58"/>
        <v>#NUM!</v>
      </c>
      <c r="AA1270" s="62"/>
      <c r="AB1270" s="34">
        <v>8</v>
      </c>
      <c r="AC1270" s="34">
        <v>10</v>
      </c>
      <c r="AD1270" s="38"/>
      <c r="AE1270" s="59" t="str">
        <f t="shared" si="59"/>
        <v>SÍ</v>
      </c>
      <c r="AF1270" s="38" t="e" cm="1">
        <f t="array" aca="1" ref="AF1270" ca="1">MIN(100, MAX(0, (IF(R1270="ESTUDIANTE", 31, 0)) + (IF(I1270&lt;=3, 30, IF(I1270&lt;=6, 20, 0))) +(IF(OR(E1270="413 - Control de Costes y Enlace Construcción", E1270="480 - Secretaría General del Consejo", E1270="132 - Civil y estructuras", E1270="136 - Mecánica", E1270="412 - Planificación", E1270="142 - Compras"), 25, 0)) +(IF(OR(S1270="GRADO ING. MECÁNICA", S1270="GRADO ING. ELÉCTRICA", S1270="GRADO DERECHO", S1270="GRADO ECONOMÍA", S1270="GRADO ING. TECNOLOGÍAS INDUSTRIALES"), 24, 0)) + (IF(AND(K1270&gt;=451, K1270&lt;=700), 23, 0)) + (IF(AND(AB1270&gt;=5, AB1270&lt;=8), 17, 0)) +(IF(_xludf.OR(_xludf.AND(AC1270&gt;=8, AC1270&lt;=10), _xludf.AND(AC1270&gt;=0, AC1270&lt;=5)), 16, 0)) + (IF(F1270="Madrid", 11, 0))))</f>
        <v>#NAME?</v>
      </c>
      <c r="AG1270" s="68"/>
      <c r="AH1270" s="71" t="s">
        <v>164</v>
      </c>
    </row>
    <row r="1271" spans="1:34" ht="14.4" x14ac:dyDescent="0.3">
      <c r="A1271" s="66" t="s">
        <v>2249</v>
      </c>
      <c r="B1271" s="66" t="s">
        <v>4366</v>
      </c>
      <c r="C1271" s="33">
        <v>1270</v>
      </c>
      <c r="D1271" s="33" t="s">
        <v>5394</v>
      </c>
      <c r="E1271" s="34" t="s">
        <v>5325</v>
      </c>
      <c r="F1271" s="34" t="s">
        <v>18</v>
      </c>
      <c r="G1271" s="57">
        <v>44522</v>
      </c>
      <c r="H1271" s="57">
        <v>44851</v>
      </c>
      <c r="I1271" s="34">
        <f t="shared" si="57"/>
        <v>10</v>
      </c>
      <c r="J1271" s="34">
        <v>35</v>
      </c>
      <c r="K1271" s="36">
        <v>800</v>
      </c>
      <c r="L1271" s="34" t="s">
        <v>17</v>
      </c>
      <c r="M1271" s="57">
        <v>35027</v>
      </c>
      <c r="N1271" s="37">
        <f>(YEAR(TablaMadre[[#This Row],[ALTA]])-YEAR(M1271))</f>
        <v>26</v>
      </c>
      <c r="O1271" s="34" t="s">
        <v>563</v>
      </c>
      <c r="P1271" s="34" t="s">
        <v>563</v>
      </c>
      <c r="Q1271" s="34" t="s">
        <v>564</v>
      </c>
      <c r="R1271" s="34" t="s">
        <v>21</v>
      </c>
      <c r="S1271" s="34" t="s">
        <v>229</v>
      </c>
      <c r="T1271" s="34"/>
      <c r="U1271" s="34"/>
      <c r="V1271" s="34" t="s">
        <v>90</v>
      </c>
      <c r="W1271" s="34" t="s">
        <v>23</v>
      </c>
      <c r="X1271" s="38" t="s">
        <v>164</v>
      </c>
      <c r="Y1271" s="62"/>
      <c r="Z1271" s="62" t="e">
        <f t="shared" si="58"/>
        <v>#NUM!</v>
      </c>
      <c r="AA1271" s="62"/>
      <c r="AB1271" s="34">
        <v>9</v>
      </c>
      <c r="AC1271" s="34">
        <v>9</v>
      </c>
      <c r="AD1271" s="38"/>
      <c r="AE1271" s="59" t="str">
        <f t="shared" si="59"/>
        <v>SÍ</v>
      </c>
      <c r="AF1271" s="38" t="e" cm="1">
        <f t="array" aca="1" ref="AF1271" ca="1">MIN(100, MAX(0, (IF(R1271="ESTUDIANTE", 31, 0)) + (IF(I1271&lt;=3, 30, IF(I1271&lt;=6, 20, 0))) +(IF(OR(E1271="413 - Control de Costes y Enlace Construcción", E1271="480 - Secretaría General del Consejo", E1271="132 - Civil y estructuras", E1271="136 - Mecánica", E1271="412 - Planificación", E1271="142 - Compras"), 25, 0)) +(IF(OR(S1271="GRADO ING. MECÁNICA", S1271="GRADO ING. ELÉCTRICA", S1271="GRADO DERECHO", S1271="GRADO ECONOMÍA", S1271="GRADO ING. TECNOLOGÍAS INDUSTRIALES"), 24, 0)) + (IF(AND(K1271&gt;=451, K1271&lt;=700), 23, 0)) + (IF(AND(AB1271&gt;=5, AB1271&lt;=8), 17, 0)) +(IF(_xludf.OR(_xludf.AND(AC1271&gt;=8, AC1271&lt;=10), _xludf.AND(AC1271&gt;=0, AC1271&lt;=5)), 16, 0)) + (IF(F1271="Madrid", 11, 0))))</f>
        <v>#NAME?</v>
      </c>
      <c r="AG1271" s="68"/>
      <c r="AH1271" s="71" t="s">
        <v>164</v>
      </c>
    </row>
    <row r="1272" spans="1:34" ht="14.4" x14ac:dyDescent="0.3">
      <c r="A1272" s="66" t="s">
        <v>2250</v>
      </c>
      <c r="B1272" s="66" t="s">
        <v>4367</v>
      </c>
      <c r="C1272" s="33">
        <v>1271</v>
      </c>
      <c r="D1272" s="33" t="s">
        <v>5395</v>
      </c>
      <c r="E1272" s="34" t="s">
        <v>5233</v>
      </c>
      <c r="F1272" s="34" t="s">
        <v>18</v>
      </c>
      <c r="G1272" s="57">
        <v>44522</v>
      </c>
      <c r="H1272" s="57">
        <v>44886</v>
      </c>
      <c r="I1272" s="34">
        <f t="shared" si="57"/>
        <v>11</v>
      </c>
      <c r="J1272" s="34">
        <v>35</v>
      </c>
      <c r="K1272" s="36">
        <v>900</v>
      </c>
      <c r="L1272" s="34" t="s">
        <v>29</v>
      </c>
      <c r="M1272" s="57">
        <v>35646</v>
      </c>
      <c r="N1272" s="37">
        <f>(YEAR(TablaMadre[[#This Row],[ALTA]])-YEAR(M1272))</f>
        <v>24</v>
      </c>
      <c r="O1272" s="34" t="s">
        <v>153</v>
      </c>
      <c r="P1272" s="34" t="s">
        <v>19</v>
      </c>
      <c r="Q1272" s="34" t="s">
        <v>578</v>
      </c>
      <c r="R1272" s="34" t="s">
        <v>21</v>
      </c>
      <c r="S1272" s="34" t="s">
        <v>136</v>
      </c>
      <c r="T1272" s="34"/>
      <c r="U1272" s="34"/>
      <c r="V1272" s="34" t="s">
        <v>67</v>
      </c>
      <c r="W1272" s="34" t="s">
        <v>28</v>
      </c>
      <c r="X1272" s="38" t="s">
        <v>173</v>
      </c>
      <c r="Y1272" s="62"/>
      <c r="Z1272" s="38" t="e">
        <f t="shared" si="58"/>
        <v>#NUM!</v>
      </c>
      <c r="AA1272" s="38"/>
      <c r="AB1272" s="34">
        <v>9</v>
      </c>
      <c r="AC1272" s="34">
        <v>10</v>
      </c>
      <c r="AD1272" s="38"/>
      <c r="AE1272" s="59" t="str">
        <f t="shared" si="59"/>
        <v>SÍ</v>
      </c>
      <c r="AF1272" s="38" t="e" cm="1">
        <f t="array" aca="1" ref="AF1272" ca="1">MIN(100, MAX(0, (IF(R1272="ESTUDIANTE", 31, 0)) + (IF(I1272&lt;=3, 30, IF(I1272&lt;=6, 20, 0))) +(IF(OR(E1272="413 - Control de Costes y Enlace Construcción", E1272="480 - Secretaría General del Consejo", E1272="132 - Civil y estructuras", E1272="136 - Mecánica", E1272="412 - Planificación", E1272="142 - Compras"), 25, 0)) +(IF(OR(S1272="GRADO ING. MECÁNICA", S1272="GRADO ING. ELÉCTRICA", S1272="GRADO DERECHO", S1272="GRADO ECONOMÍA", S1272="GRADO ING. TECNOLOGÍAS INDUSTRIALES"), 24, 0)) + (IF(AND(K1272&gt;=451, K1272&lt;=700), 23, 0)) + (IF(AND(AB1272&gt;=5, AB1272&lt;=8), 17, 0)) +(IF(_xludf.OR(_xludf.AND(AC1272&gt;=8, AC1272&lt;=10), _xludf.AND(AC1272&gt;=0, AC1272&lt;=5)), 16, 0)) + (IF(F1272="Madrid", 11, 0))))</f>
        <v>#NAME?</v>
      </c>
      <c r="AG1272" s="68"/>
      <c r="AH1272" s="71" t="s">
        <v>164</v>
      </c>
    </row>
    <row r="1273" spans="1:34" ht="14.4" x14ac:dyDescent="0.3">
      <c r="A1273" s="66" t="s">
        <v>2251</v>
      </c>
      <c r="B1273" s="66" t="s">
        <v>4368</v>
      </c>
      <c r="C1273" s="33">
        <v>1272</v>
      </c>
      <c r="D1273" s="33" t="s">
        <v>5396</v>
      </c>
      <c r="E1273" s="34" t="s">
        <v>5323</v>
      </c>
      <c r="F1273" s="34" t="s">
        <v>18</v>
      </c>
      <c r="G1273" s="57">
        <v>44522</v>
      </c>
      <c r="H1273" s="57">
        <v>44886</v>
      </c>
      <c r="I1273" s="34">
        <f t="shared" si="57"/>
        <v>11</v>
      </c>
      <c r="J1273" s="34">
        <v>35</v>
      </c>
      <c r="K1273" s="36">
        <v>825</v>
      </c>
      <c r="L1273" s="34" t="s">
        <v>29</v>
      </c>
      <c r="M1273" s="57">
        <v>35151</v>
      </c>
      <c r="N1273" s="37">
        <f>(YEAR(TablaMadre[[#This Row],[ALTA]])-YEAR(M1273))</f>
        <v>25</v>
      </c>
      <c r="O1273" s="34" t="s">
        <v>18</v>
      </c>
      <c r="P1273" s="34" t="s">
        <v>19</v>
      </c>
      <c r="Q1273" s="34" t="s">
        <v>579</v>
      </c>
      <c r="R1273" s="34" t="s">
        <v>21</v>
      </c>
      <c r="S1273" s="34" t="s">
        <v>384</v>
      </c>
      <c r="T1273" s="34"/>
      <c r="U1273" s="34"/>
      <c r="V1273" s="34" t="s">
        <v>22</v>
      </c>
      <c r="W1273" s="34" t="s">
        <v>28</v>
      </c>
      <c r="X1273" s="38" t="s">
        <v>173</v>
      </c>
      <c r="Y1273" s="62"/>
      <c r="Z1273" s="38" t="e">
        <f t="shared" si="58"/>
        <v>#NUM!</v>
      </c>
      <c r="AA1273" s="38"/>
      <c r="AB1273" s="34">
        <v>10</v>
      </c>
      <c r="AC1273" s="34">
        <v>10</v>
      </c>
      <c r="AD1273" s="38"/>
      <c r="AE1273" s="59" t="str">
        <f t="shared" si="59"/>
        <v>NO</v>
      </c>
      <c r="AF1273" s="38" t="e" cm="1">
        <f t="array" aca="1" ref="AF1273" ca="1">MIN(100, MAX(0, (IF(R1273="ESTUDIANTE", 31, 0)) + (IF(I1273&lt;=3, 30, IF(I1273&lt;=6, 20, 0))) +(IF(OR(E1273="413 - Control de Costes y Enlace Construcción", E1273="480 - Secretaría General del Consejo", E1273="132 - Civil y estructuras", E1273="136 - Mecánica", E1273="412 - Planificación", E1273="142 - Compras"), 25, 0)) +(IF(OR(S1273="GRADO ING. MECÁNICA", S1273="GRADO ING. ELÉCTRICA", S1273="GRADO DERECHO", S1273="GRADO ECONOMÍA", S1273="GRADO ING. TECNOLOGÍAS INDUSTRIALES"), 24, 0)) + (IF(AND(K1273&gt;=451, K1273&lt;=700), 23, 0)) + (IF(AND(AB1273&gt;=5, AB1273&lt;=8), 17, 0)) +(IF(_xludf.OR(_xludf.AND(AC1273&gt;=8, AC1273&lt;=10), _xludf.AND(AC1273&gt;=0, AC1273&lt;=5)), 16, 0)) + (IF(F1273="Madrid", 11, 0))))</f>
        <v>#NAME?</v>
      </c>
      <c r="AG1273" s="68"/>
      <c r="AH1273" s="71" t="s">
        <v>164</v>
      </c>
    </row>
    <row r="1274" spans="1:34" ht="14.4" x14ac:dyDescent="0.3">
      <c r="A1274" s="66" t="s">
        <v>2252</v>
      </c>
      <c r="B1274" s="66" t="s">
        <v>4369</v>
      </c>
      <c r="C1274" s="33">
        <v>1273</v>
      </c>
      <c r="D1274" s="33" t="s">
        <v>5397</v>
      </c>
      <c r="E1274" s="34" t="s">
        <v>5224</v>
      </c>
      <c r="F1274" s="34" t="s">
        <v>18</v>
      </c>
      <c r="G1274" s="57">
        <v>44524</v>
      </c>
      <c r="H1274" s="57">
        <v>44631</v>
      </c>
      <c r="I1274" s="34">
        <f t="shared" si="57"/>
        <v>3</v>
      </c>
      <c r="J1274" s="34">
        <v>35</v>
      </c>
      <c r="K1274" s="36">
        <v>650</v>
      </c>
      <c r="L1274" s="34" t="s">
        <v>29</v>
      </c>
      <c r="M1274" s="57">
        <v>36736</v>
      </c>
      <c r="N1274" s="37">
        <f>(YEAR(TablaMadre[[#This Row],[ALTA]])-YEAR(M1274))</f>
        <v>21</v>
      </c>
      <c r="O1274" s="34" t="s">
        <v>18</v>
      </c>
      <c r="P1274" s="34" t="s">
        <v>19</v>
      </c>
      <c r="Q1274" s="34" t="s">
        <v>514</v>
      </c>
      <c r="R1274" s="58" t="s">
        <v>30</v>
      </c>
      <c r="S1274" s="34" t="s">
        <v>316</v>
      </c>
      <c r="T1274" s="34"/>
      <c r="U1274" s="34"/>
      <c r="V1274" s="34" t="s">
        <v>40</v>
      </c>
      <c r="W1274" s="34" t="s">
        <v>181</v>
      </c>
      <c r="X1274" s="38" t="s">
        <v>164</v>
      </c>
      <c r="Y1274" s="62"/>
      <c r="Z1274" s="62" t="e">
        <f t="shared" si="58"/>
        <v>#NUM!</v>
      </c>
      <c r="AA1274" s="62"/>
      <c r="AB1274" s="34"/>
      <c r="AC1274" s="34">
        <v>10</v>
      </c>
      <c r="AD1274" s="38"/>
      <c r="AE1274" s="59" t="str">
        <f t="shared" si="59"/>
        <v>NO</v>
      </c>
      <c r="AF1274" s="38" t="e" cm="1">
        <f t="array" aca="1" ref="AF1274" ca="1">MIN(100, MAX(0, (IF(R1274="ESTUDIANTE", 31, 0)) + (IF(I1274&lt;=3, 30, IF(I1274&lt;=6, 20, 0))) +(IF(OR(E1274="413 - Control de Costes y Enlace Construcción", E1274="480 - Secretaría General del Consejo", E1274="132 - Civil y estructuras", E1274="136 - Mecánica", E1274="412 - Planificación", E1274="142 - Compras"), 25, 0)) +(IF(OR(S1274="GRADO ING. MECÁNICA", S1274="GRADO ING. ELÉCTRICA", S1274="GRADO DERECHO", S1274="GRADO ECONOMÍA", S1274="GRADO ING. TECNOLOGÍAS INDUSTRIALES"), 24, 0)) + (IF(AND(K1274&gt;=451, K1274&lt;=700), 23, 0)) + (IF(AND(AB1274&gt;=5, AB1274&lt;=8), 17, 0)) +(IF(_xludf.OR(_xludf.AND(AC1274&gt;=8, AC1274&lt;=10), _xludf.AND(AC1274&gt;=0, AC1274&lt;=5)), 16, 0)) + (IF(F1274="Madrid", 11, 0))))</f>
        <v>#NAME?</v>
      </c>
      <c r="AG1274" s="68"/>
      <c r="AH1274" s="71" t="s">
        <v>164</v>
      </c>
    </row>
    <row r="1275" spans="1:34" ht="14.4" x14ac:dyDescent="0.3">
      <c r="A1275" s="66" t="s">
        <v>2253</v>
      </c>
      <c r="B1275" s="66" t="s">
        <v>4370</v>
      </c>
      <c r="C1275" s="33">
        <v>1274</v>
      </c>
      <c r="D1275" s="33" t="s">
        <v>5398</v>
      </c>
      <c r="E1275" s="34" t="s">
        <v>5266</v>
      </c>
      <c r="F1275" s="34" t="s">
        <v>18</v>
      </c>
      <c r="G1275" s="57">
        <v>44524</v>
      </c>
      <c r="H1275" s="57">
        <v>44705</v>
      </c>
      <c r="I1275" s="34">
        <f t="shared" si="57"/>
        <v>6</v>
      </c>
      <c r="J1275" s="34">
        <v>35</v>
      </c>
      <c r="K1275" s="36">
        <v>750</v>
      </c>
      <c r="L1275" s="34" t="s">
        <v>17</v>
      </c>
      <c r="M1275" s="57">
        <v>33834</v>
      </c>
      <c r="N1275" s="37">
        <f>(YEAR(TablaMadre[[#This Row],[ALTA]])-YEAR(M1275))</f>
        <v>29</v>
      </c>
      <c r="O1275" s="34" t="s">
        <v>525</v>
      </c>
      <c r="P1275" s="34" t="s">
        <v>19</v>
      </c>
      <c r="Q1275" s="34" t="s">
        <v>526</v>
      </c>
      <c r="R1275" s="34" t="s">
        <v>21</v>
      </c>
      <c r="S1275" s="34" t="s">
        <v>527</v>
      </c>
      <c r="T1275" s="34"/>
      <c r="U1275" s="34"/>
      <c r="V1275" s="34" t="s">
        <v>56</v>
      </c>
      <c r="W1275" s="34" t="s">
        <v>181</v>
      </c>
      <c r="X1275" s="38" t="s">
        <v>173</v>
      </c>
      <c r="Y1275" s="62"/>
      <c r="Z1275" s="62" t="e">
        <f t="shared" si="58"/>
        <v>#NUM!</v>
      </c>
      <c r="AA1275" s="62"/>
      <c r="AB1275" s="34">
        <v>10</v>
      </c>
      <c r="AC1275" s="34">
        <v>9</v>
      </c>
      <c r="AD1275" s="38"/>
      <c r="AE1275" s="59" t="str">
        <f t="shared" si="59"/>
        <v>SÍ</v>
      </c>
      <c r="AF1275" s="38" t="e" cm="1">
        <f t="array" aca="1" ref="AF1275" ca="1">MIN(100, MAX(0, (IF(R1275="ESTUDIANTE", 31, 0)) + (IF(I1275&lt;=3, 30, IF(I1275&lt;=6, 20, 0))) +(IF(OR(E1275="413 - Control de Costes y Enlace Construcción", E1275="480 - Secretaría General del Consejo", E1275="132 - Civil y estructuras", E1275="136 - Mecánica", E1275="412 - Planificación", E1275="142 - Compras"), 25, 0)) +(IF(OR(S1275="GRADO ING. MECÁNICA", S1275="GRADO ING. ELÉCTRICA", S1275="GRADO DERECHO", S1275="GRADO ECONOMÍA", S1275="GRADO ING. TECNOLOGÍAS INDUSTRIALES"), 24, 0)) + (IF(AND(K1275&gt;=451, K1275&lt;=700), 23, 0)) + (IF(AND(AB1275&gt;=5, AB1275&lt;=8), 17, 0)) +(IF(_xludf.OR(_xludf.AND(AC1275&gt;=8, AC1275&lt;=10), _xludf.AND(AC1275&gt;=0, AC1275&lt;=5)), 16, 0)) + (IF(F1275="Madrid", 11, 0))))</f>
        <v>#NAME?</v>
      </c>
      <c r="AG1275" s="68"/>
      <c r="AH1275" s="71" t="s">
        <v>164</v>
      </c>
    </row>
    <row r="1276" spans="1:34" ht="14.4" x14ac:dyDescent="0.3">
      <c r="A1276" s="66" t="s">
        <v>2254</v>
      </c>
      <c r="B1276" s="66" t="s">
        <v>4371</v>
      </c>
      <c r="C1276" s="33">
        <v>1275</v>
      </c>
      <c r="D1276" s="33" t="s">
        <v>5399</v>
      </c>
      <c r="E1276" s="34" t="s">
        <v>5313</v>
      </c>
      <c r="F1276" s="34" t="s">
        <v>18</v>
      </c>
      <c r="G1276" s="57">
        <v>44529</v>
      </c>
      <c r="H1276" s="57">
        <v>44529</v>
      </c>
      <c r="I1276" s="34">
        <f t="shared" si="57"/>
        <v>0</v>
      </c>
      <c r="J1276" s="34">
        <v>35</v>
      </c>
      <c r="K1276" s="36">
        <v>825</v>
      </c>
      <c r="L1276" s="34" t="s">
        <v>29</v>
      </c>
      <c r="M1276" s="57">
        <v>36392</v>
      </c>
      <c r="N1276" s="37">
        <f>(YEAR(TablaMadre[[#This Row],[ALTA]])-YEAR(M1276))</f>
        <v>22</v>
      </c>
      <c r="O1276" s="34" t="s">
        <v>92</v>
      </c>
      <c r="P1276" s="34" t="s">
        <v>19</v>
      </c>
      <c r="Q1276" s="34" t="s">
        <v>505</v>
      </c>
      <c r="R1276" s="34" t="s">
        <v>21</v>
      </c>
      <c r="S1276" s="34" t="s">
        <v>277</v>
      </c>
      <c r="T1276" s="34"/>
      <c r="U1276" s="34"/>
      <c r="V1276" s="34" t="s">
        <v>33</v>
      </c>
      <c r="W1276" s="34" t="s">
        <v>181</v>
      </c>
      <c r="X1276" s="38" t="s">
        <v>164</v>
      </c>
      <c r="Y1276" s="62"/>
      <c r="Z1276" s="62" t="e">
        <f t="shared" si="58"/>
        <v>#NUM!</v>
      </c>
      <c r="AA1276" s="62"/>
      <c r="AB1276" s="34"/>
      <c r="AC1276" s="34"/>
      <c r="AD1276" s="38"/>
      <c r="AE1276" s="59" t="str">
        <f t="shared" si="59"/>
        <v>SÍ</v>
      </c>
      <c r="AF1276" s="38" t="e" cm="1">
        <f t="array" aca="1" ref="AF1276" ca="1">MIN(100, MAX(0, (IF(R1276="ESTUDIANTE", 31, 0)) + (IF(I1276&lt;=3, 30, IF(I1276&lt;=6, 20, 0))) +(IF(OR(E1276="413 - Control de Costes y Enlace Construcción", E1276="480 - Secretaría General del Consejo", E1276="132 - Civil y estructuras", E1276="136 - Mecánica", E1276="412 - Planificación", E1276="142 - Compras"), 25, 0)) +(IF(OR(S1276="GRADO ING. MECÁNICA", S1276="GRADO ING. ELÉCTRICA", S1276="GRADO DERECHO", S1276="GRADO ECONOMÍA", S1276="GRADO ING. TECNOLOGÍAS INDUSTRIALES"), 24, 0)) + (IF(AND(K1276&gt;=451, K1276&lt;=700), 23, 0)) + (IF(AND(AB1276&gt;=5, AB1276&lt;=8), 17, 0)) +(IF(_xludf.OR(_xludf.AND(AC1276&gt;=8, AC1276&lt;=10), _xludf.AND(AC1276&gt;=0, AC1276&lt;=5)), 16, 0)) + (IF(F1276="Madrid", 11, 0))))</f>
        <v>#NAME?</v>
      </c>
      <c r="AG1276" s="68"/>
      <c r="AH1276" s="71" t="s">
        <v>164</v>
      </c>
    </row>
    <row r="1277" spans="1:34" ht="14.4" x14ac:dyDescent="0.3">
      <c r="A1277" s="66" t="s">
        <v>2255</v>
      </c>
      <c r="B1277" s="66" t="s">
        <v>4372</v>
      </c>
      <c r="C1277" s="33">
        <v>1276</v>
      </c>
      <c r="D1277" s="33" t="s">
        <v>5400</v>
      </c>
      <c r="E1277" s="34" t="s">
        <v>5246</v>
      </c>
      <c r="F1277" s="34" t="s">
        <v>18</v>
      </c>
      <c r="G1277" s="57">
        <v>44531</v>
      </c>
      <c r="H1277" s="57">
        <v>44712</v>
      </c>
      <c r="I1277" s="34">
        <f t="shared" si="57"/>
        <v>5</v>
      </c>
      <c r="J1277" s="34">
        <v>35</v>
      </c>
      <c r="K1277" s="36">
        <v>825</v>
      </c>
      <c r="L1277" s="34" t="s">
        <v>17</v>
      </c>
      <c r="M1277" s="57">
        <v>36244</v>
      </c>
      <c r="N1277" s="37">
        <f>(YEAR(TablaMadre[[#This Row],[ALTA]])-YEAR(M1277))</f>
        <v>22</v>
      </c>
      <c r="O1277" s="34" t="s">
        <v>202</v>
      </c>
      <c r="P1277" s="34" t="s">
        <v>19</v>
      </c>
      <c r="Q1277" s="34" t="s">
        <v>531</v>
      </c>
      <c r="R1277" s="34" t="s">
        <v>21</v>
      </c>
      <c r="S1277" s="34" t="s">
        <v>322</v>
      </c>
      <c r="T1277" s="34"/>
      <c r="U1277" s="34"/>
      <c r="V1277" s="34" t="s">
        <v>22</v>
      </c>
      <c r="W1277" s="34" t="s">
        <v>28</v>
      </c>
      <c r="X1277" s="38" t="s">
        <v>164</v>
      </c>
      <c r="Y1277" s="62">
        <v>45078</v>
      </c>
      <c r="Z1277" s="38">
        <f t="shared" si="58"/>
        <v>1</v>
      </c>
      <c r="AA1277" s="38"/>
      <c r="AB1277" s="34">
        <v>9</v>
      </c>
      <c r="AC1277" s="34">
        <v>10</v>
      </c>
      <c r="AD1277" s="38"/>
      <c r="AE1277" s="59" t="str">
        <f t="shared" si="59"/>
        <v>SÍ</v>
      </c>
      <c r="AF1277" s="38" t="e" cm="1">
        <f t="array" aca="1" ref="AF1277" ca="1">MIN(100, MAX(0, (IF(R1277="ESTUDIANTE", 31, 0)) + (IF(I1277&lt;=3, 30, IF(I1277&lt;=6, 20, 0))) +(IF(OR(E1277="413 - Control de Costes y Enlace Construcción", E1277="480 - Secretaría General del Consejo", E1277="132 - Civil y estructuras", E1277="136 - Mecánica", E1277="412 - Planificación", E1277="142 - Compras"), 25, 0)) +(IF(OR(S1277="GRADO ING. MECÁNICA", S1277="GRADO ING. ELÉCTRICA", S1277="GRADO DERECHO", S1277="GRADO ECONOMÍA", S1277="GRADO ING. TECNOLOGÍAS INDUSTRIALES"), 24, 0)) + (IF(AND(K1277&gt;=451, K1277&lt;=700), 23, 0)) + (IF(AND(AB1277&gt;=5, AB1277&lt;=8), 17, 0)) +(IF(_xludf.OR(_xludf.AND(AC1277&gt;=8, AC1277&lt;=10), _xludf.AND(AC1277&gt;=0, AC1277&lt;=5)), 16, 0)) + (IF(F1277="Madrid", 11, 0))))</f>
        <v>#NAME?</v>
      </c>
      <c r="AG1277" s="68"/>
      <c r="AH1277" s="71" t="s">
        <v>164</v>
      </c>
    </row>
    <row r="1278" spans="1:34" s="4" customFormat="1" ht="14.4" x14ac:dyDescent="0.3">
      <c r="A1278" s="66" t="s">
        <v>2256</v>
      </c>
      <c r="B1278" s="66" t="s">
        <v>4373</v>
      </c>
      <c r="C1278" s="33">
        <v>1277</v>
      </c>
      <c r="D1278" s="33" t="s">
        <v>5401</v>
      </c>
      <c r="E1278" s="34" t="s">
        <v>5246</v>
      </c>
      <c r="F1278" s="34" t="s">
        <v>18</v>
      </c>
      <c r="G1278" s="57">
        <v>44531</v>
      </c>
      <c r="H1278" s="57">
        <v>44895</v>
      </c>
      <c r="I1278" s="34">
        <f t="shared" si="57"/>
        <v>11</v>
      </c>
      <c r="J1278" s="34">
        <v>35</v>
      </c>
      <c r="K1278" s="36">
        <v>825</v>
      </c>
      <c r="L1278" s="34" t="s">
        <v>17</v>
      </c>
      <c r="M1278" s="57">
        <v>35493</v>
      </c>
      <c r="N1278" s="37">
        <f>(YEAR(TablaMadre[[#This Row],[ALTA]])-YEAR(M1278))</f>
        <v>24</v>
      </c>
      <c r="O1278" s="34" t="s">
        <v>18</v>
      </c>
      <c r="P1278" s="34" t="s">
        <v>19</v>
      </c>
      <c r="Q1278" s="34" t="s">
        <v>277</v>
      </c>
      <c r="R1278" s="34" t="s">
        <v>21</v>
      </c>
      <c r="S1278" s="34" t="s">
        <v>277</v>
      </c>
      <c r="T1278" s="34"/>
      <c r="U1278" s="34"/>
      <c r="V1278" s="34" t="s">
        <v>67</v>
      </c>
      <c r="W1278" s="34" t="s">
        <v>28</v>
      </c>
      <c r="X1278" s="34" t="s">
        <v>164</v>
      </c>
      <c r="Y1278" s="57">
        <v>44979</v>
      </c>
      <c r="Z1278" s="34">
        <f t="shared" si="58"/>
        <v>0</v>
      </c>
      <c r="AA1278" s="34"/>
      <c r="AB1278" s="34">
        <v>9</v>
      </c>
      <c r="AC1278" s="34">
        <v>10</v>
      </c>
      <c r="AD1278" s="34"/>
      <c r="AE1278" s="59" t="str">
        <f t="shared" si="59"/>
        <v>NO</v>
      </c>
      <c r="AF1278" s="34" t="e" cm="1">
        <f t="array" aca="1" ref="AF1278" ca="1">MIN(100, MAX(0, (IF(R1278="ESTUDIANTE", 31, 0)) + (IF(I1278&lt;=3, 30, IF(I1278&lt;=6, 20, 0))) +(IF(OR(E1278="413 - Control de Costes y Enlace Construcción", E1278="480 - Secretaría General del Consejo", E1278="132 - Civil y estructuras", E1278="136 - Mecánica", E1278="412 - Planificación", E1278="142 - Compras"), 25, 0)) +(IF(OR(S1278="GRADO ING. MECÁNICA", S1278="GRADO ING. ELÉCTRICA", S1278="GRADO DERECHO", S1278="GRADO ECONOMÍA", S1278="GRADO ING. TECNOLOGÍAS INDUSTRIALES"), 24, 0)) + (IF(AND(K1278&gt;=451, K1278&lt;=700), 23, 0)) + (IF(AND(AB1278&gt;=5, AB1278&lt;=8), 17, 0)) +(IF(_xludf.OR(_xludf.AND(AC1278&gt;=8, AC1278&lt;=10), _xludf.AND(AC1278&gt;=0, AC1278&lt;=5)), 16, 0)) + (IF(F1278="Madrid", 11, 0))))</f>
        <v>#NAME?</v>
      </c>
      <c r="AG1278" s="69"/>
      <c r="AH1278" s="71" t="s">
        <v>164</v>
      </c>
    </row>
    <row r="1279" spans="1:34" ht="14.4" x14ac:dyDescent="0.3">
      <c r="A1279" s="66" t="s">
        <v>2257</v>
      </c>
      <c r="B1279" s="66" t="s">
        <v>4374</v>
      </c>
      <c r="C1279" s="33">
        <v>1278</v>
      </c>
      <c r="D1279" s="33" t="s">
        <v>5402</v>
      </c>
      <c r="E1279" s="34" t="s">
        <v>5326</v>
      </c>
      <c r="F1279" s="34" t="s">
        <v>18</v>
      </c>
      <c r="G1279" s="57">
        <v>44539</v>
      </c>
      <c r="H1279" s="57">
        <v>44571</v>
      </c>
      <c r="I1279" s="34">
        <f t="shared" si="57"/>
        <v>1</v>
      </c>
      <c r="J1279" s="34">
        <v>30</v>
      </c>
      <c r="K1279" s="36">
        <v>560</v>
      </c>
      <c r="L1279" s="34" t="s">
        <v>17</v>
      </c>
      <c r="M1279" s="57">
        <v>36092</v>
      </c>
      <c r="N1279" s="37">
        <f>(YEAR(TablaMadre[[#This Row],[ALTA]])-YEAR(M1279))</f>
        <v>23</v>
      </c>
      <c r="O1279" s="34" t="s">
        <v>939</v>
      </c>
      <c r="P1279" s="34" t="s">
        <v>19</v>
      </c>
      <c r="Q1279" s="34" t="s">
        <v>508</v>
      </c>
      <c r="R1279" s="58" t="s">
        <v>30</v>
      </c>
      <c r="S1279" s="34" t="s">
        <v>508</v>
      </c>
      <c r="T1279" s="34"/>
      <c r="U1279" s="34"/>
      <c r="V1279" s="34" t="s">
        <v>84</v>
      </c>
      <c r="W1279" s="34" t="s">
        <v>23</v>
      </c>
      <c r="X1279" s="38" t="s">
        <v>164</v>
      </c>
      <c r="Y1279" s="62"/>
      <c r="Z1279" s="62" t="e">
        <f t="shared" si="58"/>
        <v>#NUM!</v>
      </c>
      <c r="AA1279" s="62"/>
      <c r="AB1279" s="34"/>
      <c r="AC1279" s="34"/>
      <c r="AD1279" s="38"/>
      <c r="AE1279" s="59" t="str">
        <f t="shared" si="59"/>
        <v>SÍ</v>
      </c>
      <c r="AF1279" s="38" t="e" cm="1">
        <f t="array" aca="1" ref="AF1279" ca="1">MIN(100, MAX(0, (IF(R1279="ESTUDIANTE", 31, 0)) + (IF(I1279&lt;=3, 30, IF(I1279&lt;=6, 20, 0))) +(IF(OR(E1279="413 - Control de Costes y Enlace Construcción", E1279="480 - Secretaría General del Consejo", E1279="132 - Civil y estructuras", E1279="136 - Mecánica", E1279="412 - Planificación", E1279="142 - Compras"), 25, 0)) +(IF(OR(S1279="GRADO ING. MECÁNICA", S1279="GRADO ING. ELÉCTRICA", S1279="GRADO DERECHO", S1279="GRADO ECONOMÍA", S1279="GRADO ING. TECNOLOGÍAS INDUSTRIALES"), 24, 0)) + (IF(AND(K1279&gt;=451, K1279&lt;=700), 23, 0)) + (IF(AND(AB1279&gt;=5, AB1279&lt;=8), 17, 0)) +(IF(_xludf.OR(_xludf.AND(AC1279&gt;=8, AC1279&lt;=10), _xludf.AND(AC1279&gt;=0, AC1279&lt;=5)), 16, 0)) + (IF(F1279="Madrid", 11, 0))))</f>
        <v>#NAME?</v>
      </c>
      <c r="AG1279" s="68"/>
      <c r="AH1279" s="71" t="s">
        <v>164</v>
      </c>
    </row>
    <row r="1280" spans="1:34" ht="14.4" x14ac:dyDescent="0.3">
      <c r="A1280" s="66" t="s">
        <v>2258</v>
      </c>
      <c r="B1280" s="66" t="s">
        <v>4375</v>
      </c>
      <c r="C1280" s="33">
        <v>1279</v>
      </c>
      <c r="D1280" s="33" t="s">
        <v>5393</v>
      </c>
      <c r="E1280" s="34" t="s">
        <v>5233</v>
      </c>
      <c r="F1280" s="34" t="s">
        <v>18</v>
      </c>
      <c r="G1280" s="57">
        <v>44546</v>
      </c>
      <c r="H1280" s="57">
        <v>44869</v>
      </c>
      <c r="I1280" s="34">
        <f t="shared" si="57"/>
        <v>10</v>
      </c>
      <c r="J1280" s="34">
        <v>35</v>
      </c>
      <c r="K1280" s="36">
        <v>825</v>
      </c>
      <c r="L1280" s="34" t="s">
        <v>17</v>
      </c>
      <c r="M1280" s="57">
        <v>35241</v>
      </c>
      <c r="N1280" s="37">
        <f>(YEAR(TablaMadre[[#This Row],[ALTA]])-YEAR(M1280))</f>
        <v>25</v>
      </c>
      <c r="O1280" s="34" t="s">
        <v>18</v>
      </c>
      <c r="P1280" s="34" t="s">
        <v>19</v>
      </c>
      <c r="Q1280" s="34" t="s">
        <v>573</v>
      </c>
      <c r="R1280" s="34" t="s">
        <v>21</v>
      </c>
      <c r="S1280" s="34" t="s">
        <v>136</v>
      </c>
      <c r="T1280" s="34"/>
      <c r="U1280" s="34"/>
      <c r="V1280" s="34" t="s">
        <v>67</v>
      </c>
      <c r="W1280" s="34" t="s">
        <v>181</v>
      </c>
      <c r="X1280" s="38" t="s">
        <v>164</v>
      </c>
      <c r="Y1280" s="62"/>
      <c r="Z1280" s="62" t="e">
        <f t="shared" si="58"/>
        <v>#NUM!</v>
      </c>
      <c r="AA1280" s="62"/>
      <c r="AB1280" s="34">
        <v>9</v>
      </c>
      <c r="AC1280" s="34">
        <v>9</v>
      </c>
      <c r="AD1280" s="38"/>
      <c r="AE1280" s="59" t="str">
        <f t="shared" si="59"/>
        <v>NO</v>
      </c>
      <c r="AF1280" s="38" t="e" cm="1">
        <f t="array" aca="1" ref="AF1280" ca="1">MIN(100, MAX(0, (IF(R1280="ESTUDIANTE", 31, 0)) + (IF(I1280&lt;=3, 30, IF(I1280&lt;=6, 20, 0))) +(IF(OR(E1280="413 - Control de Costes y Enlace Construcción", E1280="480 - Secretaría General del Consejo", E1280="132 - Civil y estructuras", E1280="136 - Mecánica", E1280="412 - Planificación", E1280="142 - Compras"), 25, 0)) +(IF(OR(S1280="GRADO ING. MECÁNICA", S1280="GRADO ING. ELÉCTRICA", S1280="GRADO DERECHO", S1280="GRADO ECONOMÍA", S1280="GRADO ING. TECNOLOGÍAS INDUSTRIALES"), 24, 0)) + (IF(AND(K1280&gt;=451, K1280&lt;=700), 23, 0)) + (IF(AND(AB1280&gt;=5, AB1280&lt;=8), 17, 0)) +(IF(_xludf.OR(_xludf.AND(AC1280&gt;=8, AC1280&lt;=10), _xludf.AND(AC1280&gt;=0, AC1280&lt;=5)), 16, 0)) + (IF(F1280="Madrid", 11, 0))))</f>
        <v>#NAME?</v>
      </c>
      <c r="AG1280" s="68"/>
      <c r="AH1280" s="71" t="s">
        <v>164</v>
      </c>
    </row>
    <row r="1281" spans="1:34" ht="14.4" x14ac:dyDescent="0.3">
      <c r="A1281" s="66" t="s">
        <v>2259</v>
      </c>
      <c r="B1281" s="66" t="s">
        <v>4376</v>
      </c>
      <c r="C1281" s="33">
        <v>1280</v>
      </c>
      <c r="D1281" s="33" t="s">
        <v>5394</v>
      </c>
      <c r="E1281" s="34" t="s">
        <v>5327</v>
      </c>
      <c r="F1281" s="34" t="s">
        <v>18</v>
      </c>
      <c r="G1281" s="57">
        <v>44564</v>
      </c>
      <c r="H1281" s="57">
        <v>44651</v>
      </c>
      <c r="I1281" s="34">
        <f t="shared" si="57"/>
        <v>2</v>
      </c>
      <c r="J1281" s="34">
        <v>35</v>
      </c>
      <c r="K1281" s="36">
        <v>825</v>
      </c>
      <c r="L1281" s="34" t="s">
        <v>17</v>
      </c>
      <c r="M1281" s="57">
        <v>36157</v>
      </c>
      <c r="N1281" s="37">
        <f>(YEAR(TablaMadre[[#This Row],[ALTA]])-YEAR(M1281))</f>
        <v>24</v>
      </c>
      <c r="O1281" s="34" t="s">
        <v>939</v>
      </c>
      <c r="P1281" s="34" t="s">
        <v>19</v>
      </c>
      <c r="Q1281" s="34" t="s">
        <v>520</v>
      </c>
      <c r="R1281" s="34" t="s">
        <v>21</v>
      </c>
      <c r="S1281" s="34" t="s">
        <v>307</v>
      </c>
      <c r="T1281" s="34"/>
      <c r="U1281" s="34"/>
      <c r="V1281" s="34" t="s">
        <v>310</v>
      </c>
      <c r="W1281" s="34" t="s">
        <v>47</v>
      </c>
      <c r="X1281" s="38" t="s">
        <v>164</v>
      </c>
      <c r="Y1281" s="62">
        <v>44652</v>
      </c>
      <c r="Z1281" s="38">
        <f t="shared" si="58"/>
        <v>0</v>
      </c>
      <c r="AA1281" s="38"/>
      <c r="AB1281" s="34"/>
      <c r="AC1281" s="34"/>
      <c r="AD1281" s="38"/>
      <c r="AE1281" s="59" t="str">
        <f t="shared" si="59"/>
        <v>SÍ</v>
      </c>
      <c r="AF1281" s="38" t="e" cm="1">
        <f t="array" aca="1" ref="AF1281" ca="1">MIN(100, MAX(0, (IF(R1281="ESTUDIANTE", 31, 0)) + (IF(I1281&lt;=3, 30, IF(I1281&lt;=6, 20, 0))) +(IF(OR(E1281="413 - Control de Costes y Enlace Construcción", E1281="480 - Secretaría General del Consejo", E1281="132 - Civil y estructuras", E1281="136 - Mecánica", E1281="412 - Planificación", E1281="142 - Compras"), 25, 0)) +(IF(OR(S1281="GRADO ING. MECÁNICA", S1281="GRADO ING. ELÉCTRICA", S1281="GRADO DERECHO", S1281="GRADO ECONOMÍA", S1281="GRADO ING. TECNOLOGÍAS INDUSTRIALES"), 24, 0)) + (IF(AND(K1281&gt;=451, K1281&lt;=700), 23, 0)) + (IF(AND(AB1281&gt;=5, AB1281&lt;=8), 17, 0)) +(IF(_xludf.OR(_xludf.AND(AC1281&gt;=8, AC1281&lt;=10), _xludf.AND(AC1281&gt;=0, AC1281&lt;=5)), 16, 0)) + (IF(F1281="Madrid", 11, 0))))</f>
        <v>#NAME?</v>
      </c>
      <c r="AG1281" s="68"/>
      <c r="AH1281" s="71" t="s">
        <v>164</v>
      </c>
    </row>
    <row r="1282" spans="1:34" ht="14.4" x14ac:dyDescent="0.3">
      <c r="A1282" s="66" t="s">
        <v>2260</v>
      </c>
      <c r="B1282" s="66" t="s">
        <v>4377</v>
      </c>
      <c r="C1282" s="33">
        <v>1281</v>
      </c>
      <c r="D1282" s="33" t="s">
        <v>5403</v>
      </c>
      <c r="E1282" s="34" t="s">
        <v>5319</v>
      </c>
      <c r="F1282" s="34" t="s">
        <v>18</v>
      </c>
      <c r="G1282" s="57">
        <v>44568</v>
      </c>
      <c r="H1282" s="57">
        <v>44834</v>
      </c>
      <c r="I1282" s="34">
        <f t="shared" ref="I1282:I1345" si="60">DATEDIF(G1282, H1282, "M")</f>
        <v>8</v>
      </c>
      <c r="J1282" s="34">
        <v>35</v>
      </c>
      <c r="K1282" s="36">
        <v>825</v>
      </c>
      <c r="L1282" s="34" t="s">
        <v>29</v>
      </c>
      <c r="M1282" s="57">
        <v>35626</v>
      </c>
      <c r="N1282" s="37">
        <f>(YEAR(TablaMadre[[#This Row],[ALTA]])-YEAR(M1282))</f>
        <v>25</v>
      </c>
      <c r="O1282" s="34" t="s">
        <v>257</v>
      </c>
      <c r="P1282" s="34" t="s">
        <v>19</v>
      </c>
      <c r="Q1282" s="34" t="s">
        <v>533</v>
      </c>
      <c r="R1282" s="34" t="s">
        <v>21</v>
      </c>
      <c r="S1282" s="34" t="s">
        <v>297</v>
      </c>
      <c r="T1282" s="34"/>
      <c r="U1282" s="34"/>
      <c r="V1282" s="34" t="s">
        <v>56</v>
      </c>
      <c r="W1282" s="34" t="s">
        <v>181</v>
      </c>
      <c r="X1282" s="38" t="s">
        <v>164</v>
      </c>
      <c r="Y1282" s="62">
        <v>44835</v>
      </c>
      <c r="Z1282" s="38">
        <f t="shared" ref="Z1282:Z1345" si="61">DATEDIF(H1282, Y1282, "y")</f>
        <v>0</v>
      </c>
      <c r="AA1282" s="38"/>
      <c r="AB1282" s="34">
        <v>9</v>
      </c>
      <c r="AC1282" s="34">
        <v>10</v>
      </c>
      <c r="AD1282" s="38"/>
      <c r="AE1282" s="59" t="str">
        <f t="shared" si="59"/>
        <v>SÍ</v>
      </c>
      <c r="AF1282" s="38" t="e" cm="1">
        <f t="array" aca="1" ref="AF1282" ca="1">MIN(100, MAX(0, (IF(R1282="ESTUDIANTE", 31, 0)) + (IF(I1282&lt;=3, 30, IF(I1282&lt;=6, 20, 0))) +(IF(OR(E1282="413 - Control de Costes y Enlace Construcción", E1282="480 - Secretaría General del Consejo", E1282="132 - Civil y estructuras", E1282="136 - Mecánica", E1282="412 - Planificación", E1282="142 - Compras"), 25, 0)) +(IF(OR(S1282="GRADO ING. MECÁNICA", S1282="GRADO ING. ELÉCTRICA", S1282="GRADO DERECHO", S1282="GRADO ECONOMÍA", S1282="GRADO ING. TECNOLOGÍAS INDUSTRIALES"), 24, 0)) + (IF(AND(K1282&gt;=451, K1282&lt;=700), 23, 0)) + (IF(AND(AB1282&gt;=5, AB1282&lt;=8), 17, 0)) +(IF(_xludf.OR(_xludf.AND(AC1282&gt;=8, AC1282&lt;=10), _xludf.AND(AC1282&gt;=0, AC1282&lt;=5)), 16, 0)) + (IF(F1282="Madrid", 11, 0))))</f>
        <v>#NAME?</v>
      </c>
      <c r="AG1282" s="68"/>
      <c r="AH1282" s="71" t="s">
        <v>164</v>
      </c>
    </row>
    <row r="1283" spans="1:34" ht="14.4" x14ac:dyDescent="0.3">
      <c r="A1283" s="66" t="s">
        <v>2261</v>
      </c>
      <c r="B1283" s="66" t="s">
        <v>4378</v>
      </c>
      <c r="C1283" s="33">
        <v>1282</v>
      </c>
      <c r="D1283" s="33" t="s">
        <v>5404</v>
      </c>
      <c r="E1283" s="34" t="s">
        <v>5319</v>
      </c>
      <c r="F1283" s="34" t="s">
        <v>18</v>
      </c>
      <c r="G1283" s="57">
        <v>44568</v>
      </c>
      <c r="H1283" s="57">
        <v>44932</v>
      </c>
      <c r="I1283" s="34">
        <f t="shared" si="60"/>
        <v>11</v>
      </c>
      <c r="J1283" s="34">
        <v>35</v>
      </c>
      <c r="K1283" s="36">
        <v>900</v>
      </c>
      <c r="L1283" s="34" t="s">
        <v>29</v>
      </c>
      <c r="M1283" s="57">
        <v>35365</v>
      </c>
      <c r="N1283" s="37">
        <f>(YEAR(TablaMadre[[#This Row],[ALTA]])-YEAR(M1283))</f>
        <v>26</v>
      </c>
      <c r="O1283" s="34" t="s">
        <v>18</v>
      </c>
      <c r="P1283" s="34" t="s">
        <v>19</v>
      </c>
      <c r="Q1283" s="34" t="s">
        <v>589</v>
      </c>
      <c r="R1283" s="34" t="s">
        <v>21</v>
      </c>
      <c r="S1283" s="34" t="s">
        <v>429</v>
      </c>
      <c r="T1283" s="34"/>
      <c r="U1283" s="34"/>
      <c r="V1283" s="34" t="s">
        <v>40</v>
      </c>
      <c r="W1283" s="34" t="s">
        <v>28</v>
      </c>
      <c r="X1283" s="38" t="s">
        <v>164</v>
      </c>
      <c r="Y1283" s="62">
        <v>45964</v>
      </c>
      <c r="Z1283" s="38">
        <f t="shared" si="61"/>
        <v>2</v>
      </c>
      <c r="AA1283" s="38"/>
      <c r="AB1283" s="34">
        <v>7</v>
      </c>
      <c r="AC1283" s="34">
        <v>8</v>
      </c>
      <c r="AD1283" s="38"/>
      <c r="AE1283" s="59" t="str">
        <f t="shared" ref="AE1283:AE1346" si="62">IF(F1283=O1283, "NO", "SÍ")</f>
        <v>NO</v>
      </c>
      <c r="AF1283" s="38" t="e" cm="1">
        <f t="array" aca="1" ref="AF1283" ca="1">MIN(100, MAX(0, (IF(R1283="ESTUDIANTE", 31, 0)) + (IF(I1283&lt;=3, 30, IF(I1283&lt;=6, 20, 0))) +(IF(OR(E1283="413 - Control de Costes y Enlace Construcción", E1283="480 - Secretaría General del Consejo", E1283="132 - Civil y estructuras", E1283="136 - Mecánica", E1283="412 - Planificación", E1283="142 - Compras"), 25, 0)) +(IF(OR(S1283="GRADO ING. MECÁNICA", S1283="GRADO ING. ELÉCTRICA", S1283="GRADO DERECHO", S1283="GRADO ECONOMÍA", S1283="GRADO ING. TECNOLOGÍAS INDUSTRIALES"), 24, 0)) + (IF(AND(K1283&gt;=451, K1283&lt;=700), 23, 0)) + (IF(AND(AB1283&gt;=5, AB1283&lt;=8), 17, 0)) +(IF(_xludf.OR(_xludf.AND(AC1283&gt;=8, AC1283&lt;=10), _xludf.AND(AC1283&gt;=0, AC1283&lt;=5)), 16, 0)) + (IF(F1283="Madrid", 11, 0))))</f>
        <v>#NAME?</v>
      </c>
      <c r="AG1283" s="68"/>
      <c r="AH1283" s="71" t="s">
        <v>164</v>
      </c>
    </row>
    <row r="1284" spans="1:34" ht="14.4" x14ac:dyDescent="0.3">
      <c r="A1284" s="66" t="s">
        <v>2262</v>
      </c>
      <c r="B1284" s="66" t="s">
        <v>4379</v>
      </c>
      <c r="C1284" s="33">
        <v>1283</v>
      </c>
      <c r="D1284" s="33" t="s">
        <v>5405</v>
      </c>
      <c r="E1284" s="34" t="s">
        <v>5315</v>
      </c>
      <c r="F1284" s="34" t="s">
        <v>931</v>
      </c>
      <c r="G1284" s="57">
        <v>44571</v>
      </c>
      <c r="H1284" s="57">
        <v>44742</v>
      </c>
      <c r="I1284" s="34">
        <f t="shared" si="60"/>
        <v>5</v>
      </c>
      <c r="J1284" s="34">
        <v>35</v>
      </c>
      <c r="K1284" s="36">
        <v>300</v>
      </c>
      <c r="L1284" s="34" t="s">
        <v>17</v>
      </c>
      <c r="M1284" s="57">
        <v>33834</v>
      </c>
      <c r="N1284" s="37">
        <f>(YEAR(TablaMadre[[#This Row],[ALTA]])-YEAR(M1284))</f>
        <v>30</v>
      </c>
      <c r="O1284" s="34" t="s">
        <v>18</v>
      </c>
      <c r="P1284" s="34" t="s">
        <v>19</v>
      </c>
      <c r="Q1284" s="34" t="s">
        <v>535</v>
      </c>
      <c r="R1284" s="58" t="s">
        <v>30</v>
      </c>
      <c r="S1284" s="34" t="s">
        <v>26</v>
      </c>
      <c r="T1284" s="34"/>
      <c r="U1284" s="34"/>
      <c r="V1284" s="34" t="s">
        <v>27</v>
      </c>
      <c r="W1284" s="34" t="s">
        <v>23</v>
      </c>
      <c r="X1284" s="38" t="s">
        <v>164</v>
      </c>
      <c r="Y1284" s="62"/>
      <c r="Z1284" s="38" t="e">
        <f t="shared" si="61"/>
        <v>#NUM!</v>
      </c>
      <c r="AA1284" s="38"/>
      <c r="AB1284" s="34" t="s">
        <v>347</v>
      </c>
      <c r="AC1284" s="34" t="s">
        <v>347</v>
      </c>
      <c r="AD1284" s="38"/>
      <c r="AE1284" s="59" t="str">
        <f t="shared" si="62"/>
        <v>SÍ</v>
      </c>
      <c r="AF1284" s="38" t="e" cm="1">
        <f t="array" aca="1" ref="AF1284" ca="1">MIN(100, MAX(0, (IF(R1284="ESTUDIANTE", 31, 0)) + (IF(I1284&lt;=3, 30, IF(I1284&lt;=6, 20, 0))) +(IF(OR(E1284="413 - Control de Costes y Enlace Construcción", E1284="480 - Secretaría General del Consejo", E1284="132 - Civil y estructuras", E1284="136 - Mecánica", E1284="412 - Planificación", E1284="142 - Compras"), 25, 0)) +(IF(OR(S1284="GRADO ING. MECÁNICA", S1284="GRADO ING. ELÉCTRICA", S1284="GRADO DERECHO", S1284="GRADO ECONOMÍA", S1284="GRADO ING. TECNOLOGÍAS INDUSTRIALES"), 24, 0)) + (IF(AND(K1284&gt;=451, K1284&lt;=700), 23, 0)) + (IF(AND(AB1284&gt;=5, AB1284&lt;=8), 17, 0)) +(IF(_xludf.OR(_xludf.AND(AC1284&gt;=8, AC1284&lt;=10), _xludf.AND(AC1284&gt;=0, AC1284&lt;=5)), 16, 0)) + (IF(F1284="Madrid", 11, 0))))</f>
        <v>#NAME?</v>
      </c>
      <c r="AG1284" s="68"/>
      <c r="AH1284" s="71" t="s">
        <v>164</v>
      </c>
    </row>
    <row r="1285" spans="1:34" ht="14.4" x14ac:dyDescent="0.3">
      <c r="A1285" s="66" t="s">
        <v>2263</v>
      </c>
      <c r="B1285" s="66" t="s">
        <v>4380</v>
      </c>
      <c r="C1285" s="33">
        <v>1284</v>
      </c>
      <c r="D1285" s="33" t="s">
        <v>5396</v>
      </c>
      <c r="E1285" s="34" t="s">
        <v>5235</v>
      </c>
      <c r="F1285" s="34" t="s">
        <v>18</v>
      </c>
      <c r="G1285" s="57">
        <v>44571</v>
      </c>
      <c r="H1285" s="57">
        <v>44751</v>
      </c>
      <c r="I1285" s="34">
        <f t="shared" si="60"/>
        <v>5</v>
      </c>
      <c r="J1285" s="34">
        <v>35</v>
      </c>
      <c r="K1285" s="36">
        <v>900</v>
      </c>
      <c r="L1285" s="34" t="s">
        <v>29</v>
      </c>
      <c r="M1285" s="57">
        <v>34859</v>
      </c>
      <c r="N1285" s="37">
        <f>(YEAR(TablaMadre[[#This Row],[ALTA]])-YEAR(M1285))</f>
        <v>27</v>
      </c>
      <c r="O1285" s="34" t="s">
        <v>257</v>
      </c>
      <c r="P1285" s="34" t="s">
        <v>19</v>
      </c>
      <c r="Q1285" s="34" t="s">
        <v>536</v>
      </c>
      <c r="R1285" s="34" t="s">
        <v>21</v>
      </c>
      <c r="S1285" s="34" t="s">
        <v>297</v>
      </c>
      <c r="T1285" s="34"/>
      <c r="U1285" s="34"/>
      <c r="V1285" s="34" t="s">
        <v>56</v>
      </c>
      <c r="W1285" s="34" t="s">
        <v>28</v>
      </c>
      <c r="X1285" s="38" t="s">
        <v>173</v>
      </c>
      <c r="Y1285" s="62"/>
      <c r="Z1285" s="38" t="e">
        <f t="shared" si="61"/>
        <v>#NUM!</v>
      </c>
      <c r="AA1285" s="38"/>
      <c r="AB1285" s="34">
        <v>9</v>
      </c>
      <c r="AC1285" s="34">
        <v>10</v>
      </c>
      <c r="AD1285" s="38"/>
      <c r="AE1285" s="59" t="str">
        <f t="shared" si="62"/>
        <v>SÍ</v>
      </c>
      <c r="AF1285" s="38" t="e" cm="1">
        <f t="array" aca="1" ref="AF1285" ca="1">MIN(100, MAX(0, (IF(R1285="ESTUDIANTE", 31, 0)) + (IF(I1285&lt;=3, 30, IF(I1285&lt;=6, 20, 0))) +(IF(OR(E1285="413 - Control de Costes y Enlace Construcción", E1285="480 - Secretaría General del Consejo", E1285="132 - Civil y estructuras", E1285="136 - Mecánica", E1285="412 - Planificación", E1285="142 - Compras"), 25, 0)) +(IF(OR(S1285="GRADO ING. MECÁNICA", S1285="GRADO ING. ELÉCTRICA", S1285="GRADO DERECHO", S1285="GRADO ECONOMÍA", S1285="GRADO ING. TECNOLOGÍAS INDUSTRIALES"), 24, 0)) + (IF(AND(K1285&gt;=451, K1285&lt;=700), 23, 0)) + (IF(AND(AB1285&gt;=5, AB1285&lt;=8), 17, 0)) +(IF(_xludf.OR(_xludf.AND(AC1285&gt;=8, AC1285&lt;=10), _xludf.AND(AC1285&gt;=0, AC1285&lt;=5)), 16, 0)) + (IF(F1285="Madrid", 11, 0))))</f>
        <v>#NAME?</v>
      </c>
      <c r="AG1285" s="68"/>
      <c r="AH1285" s="71" t="s">
        <v>164</v>
      </c>
    </row>
    <row r="1286" spans="1:34" ht="14.4" x14ac:dyDescent="0.3">
      <c r="A1286" s="66" t="s">
        <v>2264</v>
      </c>
      <c r="B1286" s="66" t="s">
        <v>4381</v>
      </c>
      <c r="C1286" s="33">
        <v>1285</v>
      </c>
      <c r="D1286" s="33" t="s">
        <v>5397</v>
      </c>
      <c r="E1286" s="34" t="s">
        <v>5313</v>
      </c>
      <c r="F1286" s="34" t="s">
        <v>18</v>
      </c>
      <c r="G1286" s="57">
        <v>44571</v>
      </c>
      <c r="H1286" s="57">
        <v>44751</v>
      </c>
      <c r="I1286" s="34">
        <f t="shared" si="60"/>
        <v>5</v>
      </c>
      <c r="J1286" s="34">
        <v>35</v>
      </c>
      <c r="K1286" s="36">
        <v>825</v>
      </c>
      <c r="L1286" s="34" t="s">
        <v>29</v>
      </c>
      <c r="M1286" s="57">
        <v>34035</v>
      </c>
      <c r="N1286" s="37">
        <f>(YEAR(TablaMadre[[#This Row],[ALTA]])-YEAR(M1286))</f>
        <v>29</v>
      </c>
      <c r="O1286" s="34" t="s">
        <v>952</v>
      </c>
      <c r="P1286" s="34" t="s">
        <v>19</v>
      </c>
      <c r="Q1286" s="34" t="s">
        <v>537</v>
      </c>
      <c r="R1286" s="34" t="s">
        <v>21</v>
      </c>
      <c r="S1286" s="34" t="s">
        <v>322</v>
      </c>
      <c r="T1286" s="34"/>
      <c r="U1286" s="34"/>
      <c r="V1286" s="34" t="s">
        <v>74</v>
      </c>
      <c r="W1286" s="34" t="s">
        <v>127</v>
      </c>
      <c r="X1286" s="38" t="s">
        <v>164</v>
      </c>
      <c r="Y1286" s="62">
        <v>45700</v>
      </c>
      <c r="Z1286" s="38">
        <f t="shared" si="61"/>
        <v>2</v>
      </c>
      <c r="AA1286" s="38"/>
      <c r="AB1286" s="34">
        <v>10</v>
      </c>
      <c r="AC1286" s="34">
        <v>10</v>
      </c>
      <c r="AD1286" s="38"/>
      <c r="AE1286" s="59" t="str">
        <f t="shared" si="62"/>
        <v>SÍ</v>
      </c>
      <c r="AF1286" s="38" t="e" cm="1">
        <f t="array" aca="1" ref="AF1286" ca="1">MIN(100, MAX(0, (IF(R1286="ESTUDIANTE", 31, 0)) + (IF(I1286&lt;=3, 30, IF(I1286&lt;=6, 20, 0))) +(IF(OR(E1286="413 - Control de Costes y Enlace Construcción", E1286="480 - Secretaría General del Consejo", E1286="132 - Civil y estructuras", E1286="136 - Mecánica", E1286="412 - Planificación", E1286="142 - Compras"), 25, 0)) +(IF(OR(S1286="GRADO ING. MECÁNICA", S1286="GRADO ING. ELÉCTRICA", S1286="GRADO DERECHO", S1286="GRADO ECONOMÍA", S1286="GRADO ING. TECNOLOGÍAS INDUSTRIALES"), 24, 0)) + (IF(AND(K1286&gt;=451, K1286&lt;=700), 23, 0)) + (IF(AND(AB1286&gt;=5, AB1286&lt;=8), 17, 0)) +(IF(_xludf.OR(_xludf.AND(AC1286&gt;=8, AC1286&lt;=10), _xludf.AND(AC1286&gt;=0, AC1286&lt;=5)), 16, 0)) + (IF(F1286="Madrid", 11, 0))))</f>
        <v>#NAME?</v>
      </c>
      <c r="AG1286" s="68"/>
      <c r="AH1286" s="71" t="s">
        <v>164</v>
      </c>
    </row>
    <row r="1287" spans="1:34" ht="14.4" x14ac:dyDescent="0.3">
      <c r="A1287" s="66" t="s">
        <v>2265</v>
      </c>
      <c r="B1287" s="66" t="s">
        <v>4382</v>
      </c>
      <c r="C1287" s="33">
        <v>1286</v>
      </c>
      <c r="D1287" s="33" t="s">
        <v>5393</v>
      </c>
      <c r="E1287" s="34" t="s">
        <v>5235</v>
      </c>
      <c r="F1287" s="34" t="s">
        <v>18</v>
      </c>
      <c r="G1287" s="57">
        <v>44571</v>
      </c>
      <c r="H1287" s="57">
        <v>44822</v>
      </c>
      <c r="I1287" s="34">
        <f t="shared" si="60"/>
        <v>8</v>
      </c>
      <c r="J1287" s="34">
        <v>35</v>
      </c>
      <c r="K1287" s="36">
        <v>825</v>
      </c>
      <c r="L1287" s="34" t="s">
        <v>29</v>
      </c>
      <c r="M1287" s="57">
        <v>36736</v>
      </c>
      <c r="N1287" s="37">
        <f>(YEAR(TablaMadre[[#This Row],[ALTA]])-YEAR(M1287))</f>
        <v>22</v>
      </c>
      <c r="O1287" s="34" t="s">
        <v>558</v>
      </c>
      <c r="P1287" s="34" t="s">
        <v>19</v>
      </c>
      <c r="Q1287" s="34" t="s">
        <v>515</v>
      </c>
      <c r="R1287" s="34" t="s">
        <v>21</v>
      </c>
      <c r="S1287" s="34" t="s">
        <v>297</v>
      </c>
      <c r="T1287" s="34"/>
      <c r="U1287" s="34"/>
      <c r="V1287" s="34" t="s">
        <v>56</v>
      </c>
      <c r="W1287" s="34" t="s">
        <v>28</v>
      </c>
      <c r="X1287" s="38" t="s">
        <v>173</v>
      </c>
      <c r="Y1287" s="62"/>
      <c r="Z1287" s="38" t="e">
        <f t="shared" si="61"/>
        <v>#NUM!</v>
      </c>
      <c r="AA1287" s="38"/>
      <c r="AB1287" s="34">
        <v>9</v>
      </c>
      <c r="AC1287" s="34">
        <v>10</v>
      </c>
      <c r="AD1287" s="38"/>
      <c r="AE1287" s="59" t="str">
        <f t="shared" si="62"/>
        <v>SÍ</v>
      </c>
      <c r="AF1287" s="38" t="e" cm="1">
        <f t="array" aca="1" ref="AF1287" ca="1">MIN(100, MAX(0, (IF(R1287="ESTUDIANTE", 31, 0)) + (IF(I1287&lt;=3, 30, IF(I1287&lt;=6, 20, 0))) +(IF(OR(E1287="413 - Control de Costes y Enlace Construcción", E1287="480 - Secretaría General del Consejo", E1287="132 - Civil y estructuras", E1287="136 - Mecánica", E1287="412 - Planificación", E1287="142 - Compras"), 25, 0)) +(IF(OR(S1287="GRADO ING. MECÁNICA", S1287="GRADO ING. ELÉCTRICA", S1287="GRADO DERECHO", S1287="GRADO ECONOMÍA", S1287="GRADO ING. TECNOLOGÍAS INDUSTRIALES"), 24, 0)) + (IF(AND(K1287&gt;=451, K1287&lt;=700), 23, 0)) + (IF(AND(AB1287&gt;=5, AB1287&lt;=8), 17, 0)) +(IF(_xludf.OR(_xludf.AND(AC1287&gt;=8, AC1287&lt;=10), _xludf.AND(AC1287&gt;=0, AC1287&lt;=5)), 16, 0)) + (IF(F1287="Madrid", 11, 0))))</f>
        <v>#NAME?</v>
      </c>
      <c r="AG1287" s="68"/>
      <c r="AH1287" s="71" t="s">
        <v>164</v>
      </c>
    </row>
    <row r="1288" spans="1:34" ht="14.4" x14ac:dyDescent="0.3">
      <c r="A1288" s="66" t="s">
        <v>2266</v>
      </c>
      <c r="B1288" s="66" t="s">
        <v>4383</v>
      </c>
      <c r="C1288" s="33">
        <v>1287</v>
      </c>
      <c r="D1288" s="33" t="s">
        <v>5394</v>
      </c>
      <c r="E1288" s="34" t="s">
        <v>5322</v>
      </c>
      <c r="F1288" s="34" t="s">
        <v>18</v>
      </c>
      <c r="G1288" s="57">
        <v>44571</v>
      </c>
      <c r="H1288" s="57">
        <v>44935</v>
      </c>
      <c r="I1288" s="34">
        <f t="shared" si="60"/>
        <v>11</v>
      </c>
      <c r="J1288" s="34">
        <v>35</v>
      </c>
      <c r="K1288" s="36">
        <v>825</v>
      </c>
      <c r="L1288" s="34" t="s">
        <v>29</v>
      </c>
      <c r="M1288" s="57">
        <v>36392</v>
      </c>
      <c r="N1288" s="37">
        <f>(YEAR(TablaMadre[[#This Row],[ALTA]])-YEAR(M1288))</f>
        <v>23</v>
      </c>
      <c r="O1288" s="34" t="s">
        <v>18</v>
      </c>
      <c r="P1288" s="34" t="s">
        <v>19</v>
      </c>
      <c r="Q1288" s="34" t="s">
        <v>136</v>
      </c>
      <c r="R1288" s="34" t="s">
        <v>21</v>
      </c>
      <c r="S1288" s="34" t="s">
        <v>136</v>
      </c>
      <c r="T1288" s="34"/>
      <c r="U1288" s="34"/>
      <c r="V1288" s="34" t="s">
        <v>22</v>
      </c>
      <c r="W1288" s="34" t="s">
        <v>28</v>
      </c>
      <c r="X1288" s="38" t="s">
        <v>173</v>
      </c>
      <c r="Y1288" s="62"/>
      <c r="Z1288" s="38" t="e">
        <f t="shared" si="61"/>
        <v>#NUM!</v>
      </c>
      <c r="AA1288" s="38"/>
      <c r="AB1288" s="34">
        <v>10</v>
      </c>
      <c r="AC1288" s="34">
        <v>10</v>
      </c>
      <c r="AD1288" s="38"/>
      <c r="AE1288" s="59" t="str">
        <f t="shared" si="62"/>
        <v>NO</v>
      </c>
      <c r="AF1288" s="38" t="e" cm="1">
        <f t="array" aca="1" ref="AF1288" ca="1">MIN(100, MAX(0, (IF(R1288="ESTUDIANTE", 31, 0)) + (IF(I1288&lt;=3, 30, IF(I1288&lt;=6, 20, 0))) +(IF(OR(E1288="413 - Control de Costes y Enlace Construcción", E1288="480 - Secretaría General del Consejo", E1288="132 - Civil y estructuras", E1288="136 - Mecánica", E1288="412 - Planificación", E1288="142 - Compras"), 25, 0)) +(IF(OR(S1288="GRADO ING. MECÁNICA", S1288="GRADO ING. ELÉCTRICA", S1288="GRADO DERECHO", S1288="GRADO ECONOMÍA", S1288="GRADO ING. TECNOLOGÍAS INDUSTRIALES"), 24, 0)) + (IF(AND(K1288&gt;=451, K1288&lt;=700), 23, 0)) + (IF(AND(AB1288&gt;=5, AB1288&lt;=8), 17, 0)) +(IF(_xludf.OR(_xludf.AND(AC1288&gt;=8, AC1288&lt;=10), _xludf.AND(AC1288&gt;=0, AC1288&lt;=5)), 16, 0)) + (IF(F1288="Madrid", 11, 0))))</f>
        <v>#NAME?</v>
      </c>
      <c r="AG1288" s="68"/>
      <c r="AH1288" s="71" t="s">
        <v>164</v>
      </c>
    </row>
    <row r="1289" spans="1:34" ht="14.4" x14ac:dyDescent="0.3">
      <c r="A1289" s="66" t="s">
        <v>2267</v>
      </c>
      <c r="B1289" s="66" t="s">
        <v>4384</v>
      </c>
      <c r="C1289" s="33">
        <v>1288</v>
      </c>
      <c r="D1289" s="33" t="s">
        <v>5395</v>
      </c>
      <c r="E1289" s="34" t="s">
        <v>5328</v>
      </c>
      <c r="F1289" s="34" t="s">
        <v>18</v>
      </c>
      <c r="G1289" s="57">
        <v>44571</v>
      </c>
      <c r="H1289" s="57">
        <v>44868</v>
      </c>
      <c r="I1289" s="34">
        <f t="shared" si="60"/>
        <v>9</v>
      </c>
      <c r="J1289" s="34">
        <v>35</v>
      </c>
      <c r="K1289" s="36">
        <v>650</v>
      </c>
      <c r="L1289" s="34" t="s">
        <v>17</v>
      </c>
      <c r="M1289" s="57">
        <v>33984</v>
      </c>
      <c r="N1289" s="37">
        <f>(YEAR(TablaMadre[[#This Row],[ALTA]])-YEAR(M1289))</f>
        <v>29</v>
      </c>
      <c r="O1289" s="34" t="s">
        <v>563</v>
      </c>
      <c r="P1289" s="34" t="s">
        <v>593</v>
      </c>
      <c r="Q1289" s="34" t="s">
        <v>594</v>
      </c>
      <c r="R1289" s="58" t="s">
        <v>30</v>
      </c>
      <c r="S1289" s="34" t="s">
        <v>26</v>
      </c>
      <c r="T1289" s="34"/>
      <c r="U1289" s="34"/>
      <c r="V1289" s="34" t="s">
        <v>27</v>
      </c>
      <c r="W1289" s="34" t="s">
        <v>28</v>
      </c>
      <c r="X1289" s="38" t="s">
        <v>173</v>
      </c>
      <c r="Y1289" s="62"/>
      <c r="Z1289" s="38" t="e">
        <f t="shared" si="61"/>
        <v>#NUM!</v>
      </c>
      <c r="AA1289" s="38"/>
      <c r="AB1289" s="34">
        <v>9</v>
      </c>
      <c r="AC1289" s="34">
        <v>10</v>
      </c>
      <c r="AD1289" s="38"/>
      <c r="AE1289" s="59" t="str">
        <f t="shared" si="62"/>
        <v>SÍ</v>
      </c>
      <c r="AF1289" s="38" t="e" cm="1">
        <f t="array" aca="1" ref="AF1289" ca="1">MIN(100, MAX(0, (IF(R1289="ESTUDIANTE", 31, 0)) + (IF(I1289&lt;=3, 30, IF(I1289&lt;=6, 20, 0))) +(IF(OR(E1289="413 - Control de Costes y Enlace Construcción", E1289="480 - Secretaría General del Consejo", E1289="132 - Civil y estructuras", E1289="136 - Mecánica", E1289="412 - Planificación", E1289="142 - Compras"), 25, 0)) +(IF(OR(S1289="GRADO ING. MECÁNICA", S1289="GRADO ING. ELÉCTRICA", S1289="GRADO DERECHO", S1289="GRADO ECONOMÍA", S1289="GRADO ING. TECNOLOGÍAS INDUSTRIALES"), 24, 0)) + (IF(AND(K1289&gt;=451, K1289&lt;=700), 23, 0)) + (IF(AND(AB1289&gt;=5, AB1289&lt;=8), 17, 0)) +(IF(_xludf.OR(_xludf.AND(AC1289&gt;=8, AC1289&lt;=10), _xludf.AND(AC1289&gt;=0, AC1289&lt;=5)), 16, 0)) + (IF(F1289="Madrid", 11, 0))))</f>
        <v>#NAME?</v>
      </c>
      <c r="AG1289" s="68"/>
      <c r="AH1289" s="71" t="s">
        <v>164</v>
      </c>
    </row>
    <row r="1290" spans="1:34" ht="14.4" x14ac:dyDescent="0.3">
      <c r="A1290" s="66" t="s">
        <v>2268</v>
      </c>
      <c r="B1290" s="66" t="s">
        <v>4385</v>
      </c>
      <c r="C1290" s="33">
        <v>1289</v>
      </c>
      <c r="D1290" s="33" t="s">
        <v>5396</v>
      </c>
      <c r="E1290" s="34" t="s">
        <v>5246</v>
      </c>
      <c r="F1290" s="34" t="s">
        <v>18</v>
      </c>
      <c r="G1290" s="57">
        <v>44571</v>
      </c>
      <c r="H1290" s="57">
        <v>45005</v>
      </c>
      <c r="I1290" s="34">
        <f t="shared" si="60"/>
        <v>14</v>
      </c>
      <c r="J1290" s="34">
        <v>35</v>
      </c>
      <c r="K1290" s="36">
        <v>825</v>
      </c>
      <c r="L1290" s="34" t="s">
        <v>29</v>
      </c>
      <c r="M1290" s="57">
        <v>36780</v>
      </c>
      <c r="N1290" s="37">
        <f>(YEAR(TablaMadre[[#This Row],[ALTA]])-YEAR(M1290))</f>
        <v>22</v>
      </c>
      <c r="O1290" s="34" t="s">
        <v>18</v>
      </c>
      <c r="P1290" s="34" t="s">
        <v>19</v>
      </c>
      <c r="Q1290" s="34" t="s">
        <v>277</v>
      </c>
      <c r="R1290" s="34" t="s">
        <v>21</v>
      </c>
      <c r="S1290" s="34" t="s">
        <v>277</v>
      </c>
      <c r="T1290" s="34"/>
      <c r="U1290" s="34"/>
      <c r="V1290" s="34" t="s">
        <v>22</v>
      </c>
      <c r="W1290" s="34" t="s">
        <v>28</v>
      </c>
      <c r="X1290" s="38" t="s">
        <v>164</v>
      </c>
      <c r="Y1290" s="62">
        <v>45888</v>
      </c>
      <c r="Z1290" s="38">
        <f t="shared" si="61"/>
        <v>2</v>
      </c>
      <c r="AA1290" s="38"/>
      <c r="AB1290" s="34">
        <v>9</v>
      </c>
      <c r="AC1290" s="34">
        <v>9</v>
      </c>
      <c r="AD1290" s="38"/>
      <c r="AE1290" s="59" t="str">
        <f t="shared" si="62"/>
        <v>NO</v>
      </c>
      <c r="AF1290" s="38" t="e" cm="1">
        <f t="array" aca="1" ref="AF1290" ca="1">MIN(100, MAX(0, (IF(R1290="ESTUDIANTE", 31, 0)) + (IF(I1290&lt;=3, 30, IF(I1290&lt;=6, 20, 0))) +(IF(OR(E1290="413 - Control de Costes y Enlace Construcción", E1290="480 - Secretaría General del Consejo", E1290="132 - Civil y estructuras", E1290="136 - Mecánica", E1290="412 - Planificación", E1290="142 - Compras"), 25, 0)) +(IF(OR(S1290="GRADO ING. MECÁNICA", S1290="GRADO ING. ELÉCTRICA", S1290="GRADO DERECHO", S1290="GRADO ECONOMÍA", S1290="GRADO ING. TECNOLOGÍAS INDUSTRIALES"), 24, 0)) + (IF(AND(K1290&gt;=451, K1290&lt;=700), 23, 0)) + (IF(AND(AB1290&gt;=5, AB1290&lt;=8), 17, 0)) +(IF(_xludf.OR(_xludf.AND(AC1290&gt;=8, AC1290&lt;=10), _xludf.AND(AC1290&gt;=0, AC1290&lt;=5)), 16, 0)) + (IF(F1290="Madrid", 11, 0))))</f>
        <v>#NAME?</v>
      </c>
      <c r="AG1290" s="68"/>
      <c r="AH1290" s="71" t="s">
        <v>164</v>
      </c>
    </row>
    <row r="1291" spans="1:34" ht="14.4" x14ac:dyDescent="0.3">
      <c r="A1291" s="66" t="s">
        <v>2269</v>
      </c>
      <c r="B1291" s="66" t="s">
        <v>4386</v>
      </c>
      <c r="C1291" s="33">
        <v>1290</v>
      </c>
      <c r="D1291" s="33" t="s">
        <v>5397</v>
      </c>
      <c r="E1291" s="34" t="s">
        <v>5235</v>
      </c>
      <c r="F1291" s="34" t="s">
        <v>18</v>
      </c>
      <c r="G1291" s="57">
        <v>44572</v>
      </c>
      <c r="H1291" s="57">
        <v>44631</v>
      </c>
      <c r="I1291" s="34">
        <f t="shared" si="60"/>
        <v>2</v>
      </c>
      <c r="J1291" s="34">
        <v>35</v>
      </c>
      <c r="K1291" s="36">
        <v>825</v>
      </c>
      <c r="L1291" s="34" t="s">
        <v>29</v>
      </c>
      <c r="M1291" s="57">
        <v>36154</v>
      </c>
      <c r="N1291" s="37">
        <f>(YEAR(TablaMadre[[#This Row],[ALTA]])-YEAR(M1291))</f>
        <v>24</v>
      </c>
      <c r="O1291" s="34" t="s">
        <v>941</v>
      </c>
      <c r="P1291" s="34" t="s">
        <v>19</v>
      </c>
      <c r="Q1291" s="34" t="s">
        <v>515</v>
      </c>
      <c r="R1291" s="34" t="s">
        <v>21</v>
      </c>
      <c r="S1291" s="34" t="s">
        <v>297</v>
      </c>
      <c r="T1291" s="34"/>
      <c r="U1291" s="34"/>
      <c r="V1291" s="34" t="s">
        <v>163</v>
      </c>
      <c r="W1291" s="34" t="s">
        <v>181</v>
      </c>
      <c r="X1291" s="38" t="s">
        <v>164</v>
      </c>
      <c r="Y1291" s="62"/>
      <c r="Z1291" s="38" t="e">
        <f t="shared" si="61"/>
        <v>#NUM!</v>
      </c>
      <c r="AA1291" s="38"/>
      <c r="AB1291" s="34"/>
      <c r="AC1291" s="34"/>
      <c r="AD1291" s="38"/>
      <c r="AE1291" s="59" t="str">
        <f t="shared" si="62"/>
        <v>SÍ</v>
      </c>
      <c r="AF1291" s="38" t="e" cm="1">
        <f t="array" aca="1" ref="AF1291" ca="1">MIN(100, MAX(0, (IF(R1291="ESTUDIANTE", 31, 0)) + (IF(I1291&lt;=3, 30, IF(I1291&lt;=6, 20, 0))) +(IF(OR(E1291="413 - Control de Costes y Enlace Construcción", E1291="480 - Secretaría General del Consejo", E1291="132 - Civil y estructuras", E1291="136 - Mecánica", E1291="412 - Planificación", E1291="142 - Compras"), 25, 0)) +(IF(OR(S1291="GRADO ING. MECÁNICA", S1291="GRADO ING. ELÉCTRICA", S1291="GRADO DERECHO", S1291="GRADO ECONOMÍA", S1291="GRADO ING. TECNOLOGÍAS INDUSTRIALES"), 24, 0)) + (IF(AND(K1291&gt;=451, K1291&lt;=700), 23, 0)) + (IF(AND(AB1291&gt;=5, AB1291&lt;=8), 17, 0)) +(IF(_xludf.OR(_xludf.AND(AC1291&gt;=8, AC1291&lt;=10), _xludf.AND(AC1291&gt;=0, AC1291&lt;=5)), 16, 0)) + (IF(F1291="Madrid", 11, 0))))</f>
        <v>#NAME?</v>
      </c>
      <c r="AG1291" s="68"/>
      <c r="AH1291" s="71" t="s">
        <v>164</v>
      </c>
    </row>
    <row r="1292" spans="1:34" ht="14.4" x14ac:dyDescent="0.3">
      <c r="A1292" s="66" t="s">
        <v>2270</v>
      </c>
      <c r="B1292" s="66" t="s">
        <v>4387</v>
      </c>
      <c r="C1292" s="33">
        <v>1291</v>
      </c>
      <c r="D1292" s="33" t="s">
        <v>5398</v>
      </c>
      <c r="E1292" s="34" t="s">
        <v>5246</v>
      </c>
      <c r="F1292" s="34" t="s">
        <v>18</v>
      </c>
      <c r="G1292" s="57">
        <v>44578</v>
      </c>
      <c r="H1292" s="57">
        <v>44881</v>
      </c>
      <c r="I1292" s="34">
        <f t="shared" si="60"/>
        <v>9</v>
      </c>
      <c r="J1292" s="34">
        <v>35</v>
      </c>
      <c r="K1292" s="36">
        <v>650</v>
      </c>
      <c r="L1292" s="34" t="s">
        <v>17</v>
      </c>
      <c r="M1292" s="57">
        <v>36135</v>
      </c>
      <c r="N1292" s="37">
        <f>(YEAR(TablaMadre[[#This Row],[ALTA]])-YEAR(M1292))</f>
        <v>24</v>
      </c>
      <c r="O1292" s="34" t="s">
        <v>511</v>
      </c>
      <c r="P1292" s="34" t="s">
        <v>19</v>
      </c>
      <c r="Q1292" s="34" t="s">
        <v>322</v>
      </c>
      <c r="R1292" s="58" t="s">
        <v>30</v>
      </c>
      <c r="S1292" s="34" t="s">
        <v>322</v>
      </c>
      <c r="T1292" s="34"/>
      <c r="U1292" s="34"/>
      <c r="V1292" s="34" t="s">
        <v>207</v>
      </c>
      <c r="W1292" s="34" t="s">
        <v>47</v>
      </c>
      <c r="X1292" s="38" t="s">
        <v>164</v>
      </c>
      <c r="Y1292" s="62"/>
      <c r="Z1292" s="38" t="e">
        <f t="shared" si="61"/>
        <v>#NUM!</v>
      </c>
      <c r="AA1292" s="38"/>
      <c r="AB1292" s="34">
        <v>6</v>
      </c>
      <c r="AC1292" s="34">
        <v>8</v>
      </c>
      <c r="AD1292" s="38"/>
      <c r="AE1292" s="59" t="str">
        <f t="shared" si="62"/>
        <v>SÍ</v>
      </c>
      <c r="AF1292" s="38" t="e" cm="1">
        <f t="array" aca="1" ref="AF1292" ca="1">MIN(100, MAX(0, (IF(R1292="ESTUDIANTE", 31, 0)) + (IF(I1292&lt;=3, 30, IF(I1292&lt;=6, 20, 0))) +(IF(OR(E1292="413 - Control de Costes y Enlace Construcción", E1292="480 - Secretaría General del Consejo", E1292="132 - Civil y estructuras", E1292="136 - Mecánica", E1292="412 - Planificación", E1292="142 - Compras"), 25, 0)) +(IF(OR(S1292="GRADO ING. MECÁNICA", S1292="GRADO ING. ELÉCTRICA", S1292="GRADO DERECHO", S1292="GRADO ECONOMÍA", S1292="GRADO ING. TECNOLOGÍAS INDUSTRIALES"), 24, 0)) + (IF(AND(K1292&gt;=451, K1292&lt;=700), 23, 0)) + (IF(AND(AB1292&gt;=5, AB1292&lt;=8), 17, 0)) +(IF(_xludf.OR(_xludf.AND(AC1292&gt;=8, AC1292&lt;=10), _xludf.AND(AC1292&gt;=0, AC1292&lt;=5)), 16, 0)) + (IF(F1292="Madrid", 11, 0))))</f>
        <v>#NAME?</v>
      </c>
      <c r="AG1292" s="68"/>
      <c r="AH1292" s="71" t="s">
        <v>164</v>
      </c>
    </row>
    <row r="1293" spans="1:34" ht="14.4" x14ac:dyDescent="0.3">
      <c r="A1293" s="66" t="s">
        <v>2271</v>
      </c>
      <c r="B1293" s="66" t="s">
        <v>4388</v>
      </c>
      <c r="C1293" s="33">
        <v>1292</v>
      </c>
      <c r="D1293" s="33" t="s">
        <v>5399</v>
      </c>
      <c r="E1293" s="34" t="s">
        <v>5217</v>
      </c>
      <c r="F1293" s="34" t="s">
        <v>18</v>
      </c>
      <c r="G1293" s="57">
        <v>44578</v>
      </c>
      <c r="H1293" s="57">
        <v>44942</v>
      </c>
      <c r="I1293" s="34">
        <f t="shared" si="60"/>
        <v>11</v>
      </c>
      <c r="J1293" s="34">
        <v>35</v>
      </c>
      <c r="K1293" s="36">
        <v>900</v>
      </c>
      <c r="L1293" s="34" t="s">
        <v>29</v>
      </c>
      <c r="M1293" s="57">
        <v>35688</v>
      </c>
      <c r="N1293" s="37">
        <f>(YEAR(TablaMadre[[#This Row],[ALTA]])-YEAR(M1293))</f>
        <v>25</v>
      </c>
      <c r="O1293" s="34" t="s">
        <v>18</v>
      </c>
      <c r="P1293" s="34" t="s">
        <v>19</v>
      </c>
      <c r="Q1293" s="34" t="s">
        <v>596</v>
      </c>
      <c r="R1293" s="34" t="s">
        <v>21</v>
      </c>
      <c r="S1293" s="34" t="s">
        <v>297</v>
      </c>
      <c r="T1293" s="34"/>
      <c r="U1293" s="34"/>
      <c r="V1293" s="34" t="s">
        <v>84</v>
      </c>
      <c r="W1293" s="34" t="s">
        <v>28</v>
      </c>
      <c r="X1293" s="38" t="s">
        <v>173</v>
      </c>
      <c r="Y1293" s="62"/>
      <c r="Z1293" s="38" t="e">
        <f t="shared" si="61"/>
        <v>#NUM!</v>
      </c>
      <c r="AA1293" s="38"/>
      <c r="AB1293" s="34">
        <v>9</v>
      </c>
      <c r="AC1293" s="34">
        <v>9</v>
      </c>
      <c r="AD1293" s="38"/>
      <c r="AE1293" s="59" t="str">
        <f t="shared" si="62"/>
        <v>NO</v>
      </c>
      <c r="AF1293" s="38" t="e" cm="1">
        <f t="array" aca="1" ref="AF1293" ca="1">MIN(100, MAX(0, (IF(R1293="ESTUDIANTE", 31, 0)) + (IF(I1293&lt;=3, 30, IF(I1293&lt;=6, 20, 0))) +(IF(OR(E1293="413 - Control de Costes y Enlace Construcción", E1293="480 - Secretaría General del Consejo", E1293="132 - Civil y estructuras", E1293="136 - Mecánica", E1293="412 - Planificación", E1293="142 - Compras"), 25, 0)) +(IF(OR(S1293="GRADO ING. MECÁNICA", S1293="GRADO ING. ELÉCTRICA", S1293="GRADO DERECHO", S1293="GRADO ECONOMÍA", S1293="GRADO ING. TECNOLOGÍAS INDUSTRIALES"), 24, 0)) + (IF(AND(K1293&gt;=451, K1293&lt;=700), 23, 0)) + (IF(AND(AB1293&gt;=5, AB1293&lt;=8), 17, 0)) +(IF(_xludf.OR(_xludf.AND(AC1293&gt;=8, AC1293&lt;=10), _xludf.AND(AC1293&gt;=0, AC1293&lt;=5)), 16, 0)) + (IF(F1293="Madrid", 11, 0))))</f>
        <v>#NAME?</v>
      </c>
      <c r="AG1293" s="68"/>
      <c r="AH1293" s="71" t="s">
        <v>164</v>
      </c>
    </row>
    <row r="1294" spans="1:34" ht="14.4" x14ac:dyDescent="0.3">
      <c r="A1294" s="66" t="s">
        <v>2272</v>
      </c>
      <c r="B1294" s="66" t="s">
        <v>4389</v>
      </c>
      <c r="C1294" s="33">
        <v>1293</v>
      </c>
      <c r="D1294" s="33" t="s">
        <v>5400</v>
      </c>
      <c r="E1294" s="34" t="s">
        <v>5329</v>
      </c>
      <c r="F1294" s="34" t="s">
        <v>931</v>
      </c>
      <c r="G1294" s="57">
        <v>44580</v>
      </c>
      <c r="H1294" s="57">
        <v>44708</v>
      </c>
      <c r="I1294" s="34">
        <f t="shared" si="60"/>
        <v>4</v>
      </c>
      <c r="J1294" s="34">
        <v>35</v>
      </c>
      <c r="K1294" s="36">
        <v>650</v>
      </c>
      <c r="L1294" s="34" t="s">
        <v>17</v>
      </c>
      <c r="M1294" s="57">
        <v>36524</v>
      </c>
      <c r="N1294" s="37">
        <f>(YEAR(TablaMadre[[#This Row],[ALTA]])-YEAR(M1294))</f>
        <v>23</v>
      </c>
      <c r="O1294" s="34"/>
      <c r="P1294" s="34" t="s">
        <v>19</v>
      </c>
      <c r="Q1294" s="34" t="s">
        <v>291</v>
      </c>
      <c r="R1294" s="58" t="s">
        <v>30</v>
      </c>
      <c r="S1294" s="34" t="s">
        <v>291</v>
      </c>
      <c r="T1294" s="34"/>
      <c r="U1294" s="34"/>
      <c r="V1294" s="34" t="s">
        <v>84</v>
      </c>
      <c r="W1294" s="34" t="s">
        <v>181</v>
      </c>
      <c r="X1294" s="38" t="s">
        <v>164</v>
      </c>
      <c r="Y1294" s="62"/>
      <c r="Z1294" s="38" t="e">
        <f t="shared" si="61"/>
        <v>#NUM!</v>
      </c>
      <c r="AA1294" s="38"/>
      <c r="AB1294" s="34"/>
      <c r="AC1294" s="34"/>
      <c r="AD1294" s="38"/>
      <c r="AE1294" s="59" t="str">
        <f t="shared" si="62"/>
        <v>SÍ</v>
      </c>
      <c r="AF1294" s="38" t="e" cm="1">
        <f t="array" aca="1" ref="AF1294" ca="1">MIN(100, MAX(0, (IF(R1294="ESTUDIANTE", 31, 0)) + (IF(I1294&lt;=3, 30, IF(I1294&lt;=6, 20, 0))) +(IF(OR(E1294="413 - Control de Costes y Enlace Construcción", E1294="480 - Secretaría General del Consejo", E1294="132 - Civil y estructuras", E1294="136 - Mecánica", E1294="412 - Planificación", E1294="142 - Compras"), 25, 0)) +(IF(OR(S1294="GRADO ING. MECÁNICA", S1294="GRADO ING. ELÉCTRICA", S1294="GRADO DERECHO", S1294="GRADO ECONOMÍA", S1294="GRADO ING. TECNOLOGÍAS INDUSTRIALES"), 24, 0)) + (IF(AND(K1294&gt;=451, K1294&lt;=700), 23, 0)) + (IF(AND(AB1294&gt;=5, AB1294&lt;=8), 17, 0)) +(IF(_xludf.OR(_xludf.AND(AC1294&gt;=8, AC1294&lt;=10), _xludf.AND(AC1294&gt;=0, AC1294&lt;=5)), 16, 0)) + (IF(F1294="Madrid", 11, 0))))</f>
        <v>#NAME?</v>
      </c>
      <c r="AG1294" s="68"/>
      <c r="AH1294" s="71" t="s">
        <v>164</v>
      </c>
    </row>
    <row r="1295" spans="1:34" ht="14.4" x14ac:dyDescent="0.3">
      <c r="A1295" s="66" t="s">
        <v>2273</v>
      </c>
      <c r="B1295" s="66" t="s">
        <v>4390</v>
      </c>
      <c r="C1295" s="33">
        <v>1294</v>
      </c>
      <c r="D1295" s="33" t="s">
        <v>5401</v>
      </c>
      <c r="E1295" s="34" t="s">
        <v>5319</v>
      </c>
      <c r="F1295" s="34" t="s">
        <v>18</v>
      </c>
      <c r="G1295" s="57">
        <v>44580</v>
      </c>
      <c r="H1295" s="57">
        <v>44944</v>
      </c>
      <c r="I1295" s="34">
        <f t="shared" si="60"/>
        <v>11</v>
      </c>
      <c r="J1295" s="34">
        <v>35</v>
      </c>
      <c r="K1295" s="36">
        <v>825</v>
      </c>
      <c r="L1295" s="34" t="s">
        <v>29</v>
      </c>
      <c r="M1295" s="57">
        <v>35342</v>
      </c>
      <c r="N1295" s="37">
        <f>(YEAR(TablaMadre[[#This Row],[ALTA]])-YEAR(M1295))</f>
        <v>26</v>
      </c>
      <c r="O1295" s="34" t="s">
        <v>563</v>
      </c>
      <c r="P1295" s="34" t="s">
        <v>593</v>
      </c>
      <c r="Q1295" s="34" t="s">
        <v>297</v>
      </c>
      <c r="R1295" s="34" t="s">
        <v>21</v>
      </c>
      <c r="S1295" s="34" t="s">
        <v>297</v>
      </c>
      <c r="T1295" s="34"/>
      <c r="U1295" s="34"/>
      <c r="V1295" s="34" t="s">
        <v>22</v>
      </c>
      <c r="W1295" s="34" t="s">
        <v>28</v>
      </c>
      <c r="X1295" s="38" t="s">
        <v>164</v>
      </c>
      <c r="Y1295" s="62"/>
      <c r="Z1295" s="38" t="e">
        <f t="shared" si="61"/>
        <v>#NUM!</v>
      </c>
      <c r="AA1295" s="38"/>
      <c r="AB1295" s="34">
        <v>8</v>
      </c>
      <c r="AC1295" s="34">
        <v>10</v>
      </c>
      <c r="AD1295" s="38"/>
      <c r="AE1295" s="59" t="str">
        <f t="shared" si="62"/>
        <v>SÍ</v>
      </c>
      <c r="AF1295" s="38" t="e" cm="1">
        <f t="array" aca="1" ref="AF1295" ca="1">MIN(100, MAX(0, (IF(R1295="ESTUDIANTE", 31, 0)) + (IF(I1295&lt;=3, 30, IF(I1295&lt;=6, 20, 0))) +(IF(OR(E1295="413 - Control de Costes y Enlace Construcción", E1295="480 - Secretaría General del Consejo", E1295="132 - Civil y estructuras", E1295="136 - Mecánica", E1295="412 - Planificación", E1295="142 - Compras"), 25, 0)) +(IF(OR(S1295="GRADO ING. MECÁNICA", S1295="GRADO ING. ELÉCTRICA", S1295="GRADO DERECHO", S1295="GRADO ECONOMÍA", S1295="GRADO ING. TECNOLOGÍAS INDUSTRIALES"), 24, 0)) + (IF(AND(K1295&gt;=451, K1295&lt;=700), 23, 0)) + (IF(AND(AB1295&gt;=5, AB1295&lt;=8), 17, 0)) +(IF(_xludf.OR(_xludf.AND(AC1295&gt;=8, AC1295&lt;=10), _xludf.AND(AC1295&gt;=0, AC1295&lt;=5)), 16, 0)) + (IF(F1295="Madrid", 11, 0))))</f>
        <v>#NAME?</v>
      </c>
      <c r="AG1295" s="68"/>
      <c r="AH1295" s="71" t="s">
        <v>164</v>
      </c>
    </row>
    <row r="1296" spans="1:34" ht="14.4" x14ac:dyDescent="0.3">
      <c r="A1296" s="66" t="s">
        <v>2274</v>
      </c>
      <c r="B1296" s="66" t="s">
        <v>4391</v>
      </c>
      <c r="C1296" s="33">
        <v>1295</v>
      </c>
      <c r="D1296" s="33" t="s">
        <v>5402</v>
      </c>
      <c r="E1296" s="34" t="s">
        <v>5224</v>
      </c>
      <c r="F1296" s="34" t="s">
        <v>18</v>
      </c>
      <c r="G1296" s="57">
        <v>44585</v>
      </c>
      <c r="H1296" s="57">
        <v>44708</v>
      </c>
      <c r="I1296" s="34">
        <f t="shared" si="60"/>
        <v>4</v>
      </c>
      <c r="J1296" s="34">
        <v>35</v>
      </c>
      <c r="K1296" s="36">
        <v>650</v>
      </c>
      <c r="L1296" s="34" t="s">
        <v>29</v>
      </c>
      <c r="M1296" s="57">
        <v>36736</v>
      </c>
      <c r="N1296" s="37">
        <f>(YEAR(TablaMadre[[#This Row],[ALTA]])-YEAR(M1296))</f>
        <v>22</v>
      </c>
      <c r="O1296" s="34" t="s">
        <v>75</v>
      </c>
      <c r="P1296" s="34" t="s">
        <v>19</v>
      </c>
      <c r="Q1296" s="34" t="s">
        <v>528</v>
      </c>
      <c r="R1296" s="58" t="s">
        <v>30</v>
      </c>
      <c r="S1296" s="34" t="s">
        <v>274</v>
      </c>
      <c r="T1296" s="34"/>
      <c r="U1296" s="34"/>
      <c r="V1296" s="34" t="s">
        <v>40</v>
      </c>
      <c r="W1296" s="34" t="s">
        <v>181</v>
      </c>
      <c r="X1296" s="38" t="s">
        <v>164</v>
      </c>
      <c r="Y1296" s="62"/>
      <c r="Z1296" s="38" t="e">
        <f t="shared" si="61"/>
        <v>#NUM!</v>
      </c>
      <c r="AA1296" s="38"/>
      <c r="AB1296" s="34" t="s">
        <v>529</v>
      </c>
      <c r="AC1296" s="34"/>
      <c r="AD1296" s="38"/>
      <c r="AE1296" s="59" t="str">
        <f t="shared" si="62"/>
        <v>SÍ</v>
      </c>
      <c r="AF1296" s="38" t="e" cm="1">
        <f t="array" aca="1" ref="AF1296" ca="1">MIN(100, MAX(0, (IF(R1296="ESTUDIANTE", 31, 0)) + (IF(I1296&lt;=3, 30, IF(I1296&lt;=6, 20, 0))) +(IF(OR(E1296="413 - Control de Costes y Enlace Construcción", E1296="480 - Secretaría General del Consejo", E1296="132 - Civil y estructuras", E1296="136 - Mecánica", E1296="412 - Planificación", E1296="142 - Compras"), 25, 0)) +(IF(OR(S1296="GRADO ING. MECÁNICA", S1296="GRADO ING. ELÉCTRICA", S1296="GRADO DERECHO", S1296="GRADO ECONOMÍA", S1296="GRADO ING. TECNOLOGÍAS INDUSTRIALES"), 24, 0)) + (IF(AND(K1296&gt;=451, K1296&lt;=700), 23, 0)) + (IF(AND(AB1296&gt;=5, AB1296&lt;=8), 17, 0)) +(IF(_xludf.OR(_xludf.AND(AC1296&gt;=8, AC1296&lt;=10), _xludf.AND(AC1296&gt;=0, AC1296&lt;=5)), 16, 0)) + (IF(F1296="Madrid", 11, 0))))</f>
        <v>#NAME?</v>
      </c>
      <c r="AG1296" s="68"/>
      <c r="AH1296" s="71" t="s">
        <v>164</v>
      </c>
    </row>
    <row r="1297" spans="1:34" ht="14.4" x14ac:dyDescent="0.3">
      <c r="A1297" s="66" t="s">
        <v>2275</v>
      </c>
      <c r="B1297" s="66" t="s">
        <v>4392</v>
      </c>
      <c r="C1297" s="33">
        <v>1296</v>
      </c>
      <c r="D1297" s="33" t="s">
        <v>5393</v>
      </c>
      <c r="E1297" s="34" t="s">
        <v>5233</v>
      </c>
      <c r="F1297" s="34" t="s">
        <v>18</v>
      </c>
      <c r="G1297" s="57">
        <v>44585</v>
      </c>
      <c r="H1297" s="57">
        <v>44765</v>
      </c>
      <c r="I1297" s="34">
        <f t="shared" si="60"/>
        <v>5</v>
      </c>
      <c r="J1297" s="34">
        <v>35</v>
      </c>
      <c r="K1297" s="36">
        <v>900</v>
      </c>
      <c r="L1297" s="34" t="s">
        <v>29</v>
      </c>
      <c r="M1297" s="57">
        <v>34733</v>
      </c>
      <c r="N1297" s="37">
        <f>(YEAR(TablaMadre[[#This Row],[ALTA]])-YEAR(M1297))</f>
        <v>27</v>
      </c>
      <c r="O1297" s="34" t="s">
        <v>304</v>
      </c>
      <c r="P1297" s="34" t="s">
        <v>19</v>
      </c>
      <c r="Q1297" s="34" t="s">
        <v>540</v>
      </c>
      <c r="R1297" s="34" t="s">
        <v>21</v>
      </c>
      <c r="S1297" s="34" t="s">
        <v>136</v>
      </c>
      <c r="T1297" s="34"/>
      <c r="U1297" s="34"/>
      <c r="V1297" s="34" t="s">
        <v>122</v>
      </c>
      <c r="W1297" s="34" t="s">
        <v>28</v>
      </c>
      <c r="X1297" s="38" t="s">
        <v>173</v>
      </c>
      <c r="Y1297" s="62"/>
      <c r="Z1297" s="38" t="e">
        <f t="shared" si="61"/>
        <v>#NUM!</v>
      </c>
      <c r="AA1297" s="38"/>
      <c r="AB1297" s="34">
        <v>9</v>
      </c>
      <c r="AC1297" s="34">
        <v>9</v>
      </c>
      <c r="AD1297" s="38"/>
      <c r="AE1297" s="59" t="str">
        <f t="shared" si="62"/>
        <v>SÍ</v>
      </c>
      <c r="AF1297" s="38" t="e" cm="1">
        <f t="array" aca="1" ref="AF1297" ca="1">MIN(100, MAX(0, (IF(R1297="ESTUDIANTE", 31, 0)) + (IF(I1297&lt;=3, 30, IF(I1297&lt;=6, 20, 0))) +(IF(OR(E1297="413 - Control de Costes y Enlace Construcción", E1297="480 - Secretaría General del Consejo", E1297="132 - Civil y estructuras", E1297="136 - Mecánica", E1297="412 - Planificación", E1297="142 - Compras"), 25, 0)) +(IF(OR(S1297="GRADO ING. MECÁNICA", S1297="GRADO ING. ELÉCTRICA", S1297="GRADO DERECHO", S1297="GRADO ECONOMÍA", S1297="GRADO ING. TECNOLOGÍAS INDUSTRIALES"), 24, 0)) + (IF(AND(K1297&gt;=451, K1297&lt;=700), 23, 0)) + (IF(AND(AB1297&gt;=5, AB1297&lt;=8), 17, 0)) +(IF(_xludf.OR(_xludf.AND(AC1297&gt;=8, AC1297&lt;=10), _xludf.AND(AC1297&gt;=0, AC1297&lt;=5)), 16, 0)) + (IF(F1297="Madrid", 11, 0))))</f>
        <v>#NAME?</v>
      </c>
      <c r="AG1297" s="68"/>
      <c r="AH1297" s="71" t="s">
        <v>164</v>
      </c>
    </row>
    <row r="1298" spans="1:34" ht="14.4" x14ac:dyDescent="0.3">
      <c r="A1298" s="66" t="s">
        <v>2276</v>
      </c>
      <c r="B1298" s="66" t="s">
        <v>4393</v>
      </c>
      <c r="C1298" s="33">
        <v>1297</v>
      </c>
      <c r="D1298" s="33" t="s">
        <v>5394</v>
      </c>
      <c r="E1298" s="34" t="s">
        <v>5246</v>
      </c>
      <c r="F1298" s="34" t="s">
        <v>18</v>
      </c>
      <c r="G1298" s="57">
        <v>44586</v>
      </c>
      <c r="H1298" s="57">
        <v>44880</v>
      </c>
      <c r="I1298" s="34">
        <f t="shared" si="60"/>
        <v>9</v>
      </c>
      <c r="J1298" s="34">
        <v>35</v>
      </c>
      <c r="K1298" s="36">
        <v>650</v>
      </c>
      <c r="L1298" s="34" t="s">
        <v>17</v>
      </c>
      <c r="M1298" s="57">
        <v>36264</v>
      </c>
      <c r="N1298" s="37">
        <f>(YEAR(TablaMadre[[#This Row],[ALTA]])-YEAR(M1298))</f>
        <v>23</v>
      </c>
      <c r="O1298" s="34" t="s">
        <v>18</v>
      </c>
      <c r="P1298" s="34" t="s">
        <v>19</v>
      </c>
      <c r="Q1298" s="34" t="s">
        <v>577</v>
      </c>
      <c r="R1298" s="58" t="s">
        <v>30</v>
      </c>
      <c r="S1298" s="34" t="s">
        <v>151</v>
      </c>
      <c r="T1298" s="34"/>
      <c r="U1298" s="34"/>
      <c r="V1298" s="34" t="s">
        <v>40</v>
      </c>
      <c r="W1298" s="34" t="s">
        <v>28</v>
      </c>
      <c r="X1298" s="38" t="s">
        <v>164</v>
      </c>
      <c r="Y1298" s="62">
        <v>45000</v>
      </c>
      <c r="Z1298" s="38">
        <f t="shared" si="61"/>
        <v>0</v>
      </c>
      <c r="AA1298" s="38"/>
      <c r="AB1298" s="34">
        <v>7</v>
      </c>
      <c r="AC1298" s="34">
        <v>9</v>
      </c>
      <c r="AD1298" s="38"/>
      <c r="AE1298" s="59" t="str">
        <f t="shared" si="62"/>
        <v>NO</v>
      </c>
      <c r="AF1298" s="38" t="e" cm="1">
        <f t="array" aca="1" ref="AF1298" ca="1">MIN(100, MAX(0, (IF(R1298="ESTUDIANTE", 31, 0)) + (IF(I1298&lt;=3, 30, IF(I1298&lt;=6, 20, 0))) +(IF(OR(E1298="413 - Control de Costes y Enlace Construcción", E1298="480 - Secretaría General del Consejo", E1298="132 - Civil y estructuras", E1298="136 - Mecánica", E1298="412 - Planificación", E1298="142 - Compras"), 25, 0)) +(IF(OR(S1298="GRADO ING. MECÁNICA", S1298="GRADO ING. ELÉCTRICA", S1298="GRADO DERECHO", S1298="GRADO ECONOMÍA", S1298="GRADO ING. TECNOLOGÍAS INDUSTRIALES"), 24, 0)) + (IF(AND(K1298&gt;=451, K1298&lt;=700), 23, 0)) + (IF(AND(AB1298&gt;=5, AB1298&lt;=8), 17, 0)) +(IF(_xludf.OR(_xludf.AND(AC1298&gt;=8, AC1298&lt;=10), _xludf.AND(AC1298&gt;=0, AC1298&lt;=5)), 16, 0)) + (IF(F1298="Madrid", 11, 0))))</f>
        <v>#NAME?</v>
      </c>
      <c r="AG1298" s="68"/>
      <c r="AH1298" s="71" t="s">
        <v>164</v>
      </c>
    </row>
    <row r="1299" spans="1:34" ht="14.4" x14ac:dyDescent="0.3">
      <c r="A1299" s="66" t="s">
        <v>2277</v>
      </c>
      <c r="B1299" s="66" t="s">
        <v>4394</v>
      </c>
      <c r="C1299" s="33">
        <v>1298</v>
      </c>
      <c r="D1299" s="33" t="s">
        <v>5403</v>
      </c>
      <c r="E1299" s="34" t="s">
        <v>5266</v>
      </c>
      <c r="F1299" s="34" t="s">
        <v>18</v>
      </c>
      <c r="G1299" s="57">
        <v>44593</v>
      </c>
      <c r="H1299" s="57">
        <v>44913</v>
      </c>
      <c r="I1299" s="34">
        <f t="shared" si="60"/>
        <v>10</v>
      </c>
      <c r="J1299" s="34">
        <v>35</v>
      </c>
      <c r="K1299" s="36">
        <v>750</v>
      </c>
      <c r="L1299" s="34" t="s">
        <v>17</v>
      </c>
      <c r="M1299" s="57">
        <v>34579</v>
      </c>
      <c r="N1299" s="37">
        <f>(YEAR(TablaMadre[[#This Row],[ALTA]])-YEAR(M1299))</f>
        <v>28</v>
      </c>
      <c r="O1299" s="34" t="s">
        <v>18</v>
      </c>
      <c r="P1299" s="34" t="s">
        <v>19</v>
      </c>
      <c r="Q1299" s="34" t="s">
        <v>583</v>
      </c>
      <c r="R1299" s="34" t="s">
        <v>21</v>
      </c>
      <c r="S1299" s="34" t="s">
        <v>884</v>
      </c>
      <c r="T1299" s="34"/>
      <c r="U1299" s="34"/>
      <c r="V1299" s="34" t="s">
        <v>67</v>
      </c>
      <c r="W1299" s="34" t="s">
        <v>28</v>
      </c>
      <c r="X1299" s="38" t="s">
        <v>173</v>
      </c>
      <c r="Y1299" s="62"/>
      <c r="Z1299" s="38" t="e">
        <f t="shared" si="61"/>
        <v>#NUM!</v>
      </c>
      <c r="AA1299" s="38"/>
      <c r="AB1299" s="34">
        <v>10</v>
      </c>
      <c r="AC1299" s="34">
        <v>10</v>
      </c>
      <c r="AD1299" s="38"/>
      <c r="AE1299" s="59" t="str">
        <f t="shared" si="62"/>
        <v>NO</v>
      </c>
      <c r="AF1299" s="38" t="e" cm="1">
        <f t="array" aca="1" ref="AF1299" ca="1">MIN(100, MAX(0, (IF(R1299="ESTUDIANTE", 31, 0)) + (IF(I1299&lt;=3, 30, IF(I1299&lt;=6, 20, 0))) +(IF(OR(E1299="413 - Control de Costes y Enlace Construcción", E1299="480 - Secretaría General del Consejo", E1299="132 - Civil y estructuras", E1299="136 - Mecánica", E1299="412 - Planificación", E1299="142 - Compras"), 25, 0)) +(IF(OR(S1299="GRADO ING. MECÁNICA", S1299="GRADO ING. ELÉCTRICA", S1299="GRADO DERECHO", S1299="GRADO ECONOMÍA", S1299="GRADO ING. TECNOLOGÍAS INDUSTRIALES"), 24, 0)) + (IF(AND(K1299&gt;=451, K1299&lt;=700), 23, 0)) + (IF(AND(AB1299&gt;=5, AB1299&lt;=8), 17, 0)) +(IF(_xludf.OR(_xludf.AND(AC1299&gt;=8, AC1299&lt;=10), _xludf.AND(AC1299&gt;=0, AC1299&lt;=5)), 16, 0)) + (IF(F1299="Madrid", 11, 0))))</f>
        <v>#NAME?</v>
      </c>
      <c r="AG1299" s="68"/>
      <c r="AH1299" s="71" t="s">
        <v>164</v>
      </c>
    </row>
    <row r="1300" spans="1:34" ht="14.4" x14ac:dyDescent="0.3">
      <c r="A1300" s="66" t="s">
        <v>2278</v>
      </c>
      <c r="B1300" s="66" t="s">
        <v>4395</v>
      </c>
      <c r="C1300" s="33">
        <v>1299</v>
      </c>
      <c r="D1300" s="33" t="s">
        <v>5404</v>
      </c>
      <c r="E1300" s="34" t="s">
        <v>5314</v>
      </c>
      <c r="F1300" s="34" t="s">
        <v>18</v>
      </c>
      <c r="G1300" s="57">
        <v>44593</v>
      </c>
      <c r="H1300" s="57">
        <v>44957</v>
      </c>
      <c r="I1300" s="34">
        <f t="shared" si="60"/>
        <v>11</v>
      </c>
      <c r="J1300" s="34">
        <v>35</v>
      </c>
      <c r="K1300" s="36">
        <v>900</v>
      </c>
      <c r="L1300" s="34" t="s">
        <v>17</v>
      </c>
      <c r="M1300" s="57">
        <v>35753</v>
      </c>
      <c r="N1300" s="37">
        <f>(YEAR(TablaMadre[[#This Row],[ALTA]])-YEAR(M1300))</f>
        <v>25</v>
      </c>
      <c r="O1300" s="34" t="s">
        <v>654</v>
      </c>
      <c r="P1300" s="34" t="s">
        <v>19</v>
      </c>
      <c r="Q1300" s="34" t="s">
        <v>600</v>
      </c>
      <c r="R1300" s="34" t="s">
        <v>21</v>
      </c>
      <c r="S1300" s="34" t="s">
        <v>136</v>
      </c>
      <c r="T1300" s="34"/>
      <c r="U1300" s="34"/>
      <c r="V1300" s="34" t="s">
        <v>137</v>
      </c>
      <c r="W1300" s="34" t="s">
        <v>28</v>
      </c>
      <c r="X1300" s="38" t="s">
        <v>173</v>
      </c>
      <c r="Y1300" s="62"/>
      <c r="Z1300" s="38" t="e">
        <f t="shared" si="61"/>
        <v>#NUM!</v>
      </c>
      <c r="AA1300" s="38"/>
      <c r="AB1300" s="34">
        <v>9</v>
      </c>
      <c r="AC1300" s="34">
        <v>9</v>
      </c>
      <c r="AD1300" s="38"/>
      <c r="AE1300" s="59" t="str">
        <f t="shared" si="62"/>
        <v>SÍ</v>
      </c>
      <c r="AF1300" s="38" t="e" cm="1">
        <f t="array" aca="1" ref="AF1300" ca="1">MIN(100, MAX(0, (IF(R1300="ESTUDIANTE", 31, 0)) + (IF(I1300&lt;=3, 30, IF(I1300&lt;=6, 20, 0))) +(IF(OR(E1300="413 - Control de Costes y Enlace Construcción", E1300="480 - Secretaría General del Consejo", E1300="132 - Civil y estructuras", E1300="136 - Mecánica", E1300="412 - Planificación", E1300="142 - Compras"), 25, 0)) +(IF(OR(S1300="GRADO ING. MECÁNICA", S1300="GRADO ING. ELÉCTRICA", S1300="GRADO DERECHO", S1300="GRADO ECONOMÍA", S1300="GRADO ING. TECNOLOGÍAS INDUSTRIALES"), 24, 0)) + (IF(AND(K1300&gt;=451, K1300&lt;=700), 23, 0)) + (IF(AND(AB1300&gt;=5, AB1300&lt;=8), 17, 0)) +(IF(_xludf.OR(_xludf.AND(AC1300&gt;=8, AC1300&lt;=10), _xludf.AND(AC1300&gt;=0, AC1300&lt;=5)), 16, 0)) + (IF(F1300="Madrid", 11, 0))))</f>
        <v>#NAME?</v>
      </c>
      <c r="AG1300" s="68"/>
      <c r="AH1300" s="71" t="s">
        <v>164</v>
      </c>
    </row>
    <row r="1301" spans="1:34" ht="14.4" x14ac:dyDescent="0.3">
      <c r="A1301" s="66" t="s">
        <v>2279</v>
      </c>
      <c r="B1301" s="66" t="s">
        <v>4396</v>
      </c>
      <c r="C1301" s="33">
        <v>1300</v>
      </c>
      <c r="D1301" s="33" t="s">
        <v>5405</v>
      </c>
      <c r="E1301" s="34" t="s">
        <v>5330</v>
      </c>
      <c r="F1301" s="34" t="s">
        <v>18</v>
      </c>
      <c r="G1301" s="57">
        <v>44593</v>
      </c>
      <c r="H1301" s="57">
        <v>44957</v>
      </c>
      <c r="I1301" s="34">
        <f t="shared" si="60"/>
        <v>11</v>
      </c>
      <c r="J1301" s="34">
        <v>35</v>
      </c>
      <c r="K1301" s="36">
        <v>900</v>
      </c>
      <c r="L1301" s="34" t="s">
        <v>17</v>
      </c>
      <c r="M1301" s="57">
        <v>34699</v>
      </c>
      <c r="N1301" s="37">
        <f>(YEAR(TablaMadre[[#This Row],[ALTA]])-YEAR(M1301))</f>
        <v>28</v>
      </c>
      <c r="O1301" s="34" t="s">
        <v>654</v>
      </c>
      <c r="P1301" s="34" t="s">
        <v>19</v>
      </c>
      <c r="Q1301" s="34" t="s">
        <v>406</v>
      </c>
      <c r="R1301" s="34" t="s">
        <v>21</v>
      </c>
      <c r="S1301" s="34" t="s">
        <v>297</v>
      </c>
      <c r="T1301" s="34"/>
      <c r="U1301" s="34"/>
      <c r="V1301" s="34" t="s">
        <v>79</v>
      </c>
      <c r="W1301" s="34" t="s">
        <v>28</v>
      </c>
      <c r="X1301" s="38" t="s">
        <v>164</v>
      </c>
      <c r="Y1301" s="62"/>
      <c r="Z1301" s="38" t="e">
        <f t="shared" si="61"/>
        <v>#NUM!</v>
      </c>
      <c r="AA1301" s="38"/>
      <c r="AB1301" s="34">
        <v>10</v>
      </c>
      <c r="AC1301" s="34">
        <v>10</v>
      </c>
      <c r="AD1301" s="38"/>
      <c r="AE1301" s="59" t="str">
        <f t="shared" si="62"/>
        <v>SÍ</v>
      </c>
      <c r="AF1301" s="38" t="e" cm="1">
        <f t="array" aca="1" ref="AF1301" ca="1">MIN(100, MAX(0, (IF(R1301="ESTUDIANTE", 31, 0)) + (IF(I1301&lt;=3, 30, IF(I1301&lt;=6, 20, 0))) +(IF(OR(E1301="413 - Control de Costes y Enlace Construcción", E1301="480 - Secretaría General del Consejo", E1301="132 - Civil y estructuras", E1301="136 - Mecánica", E1301="412 - Planificación", E1301="142 - Compras"), 25, 0)) +(IF(OR(S1301="GRADO ING. MECÁNICA", S1301="GRADO ING. ELÉCTRICA", S1301="GRADO DERECHO", S1301="GRADO ECONOMÍA", S1301="GRADO ING. TECNOLOGÍAS INDUSTRIALES"), 24, 0)) + (IF(AND(K1301&gt;=451, K1301&lt;=700), 23, 0)) + (IF(AND(AB1301&gt;=5, AB1301&lt;=8), 17, 0)) +(IF(_xludf.OR(_xludf.AND(AC1301&gt;=8, AC1301&lt;=10), _xludf.AND(AC1301&gt;=0, AC1301&lt;=5)), 16, 0)) + (IF(F1301="Madrid", 11, 0))))</f>
        <v>#NAME?</v>
      </c>
      <c r="AG1301" s="68"/>
      <c r="AH1301" s="71" t="s">
        <v>164</v>
      </c>
    </row>
    <row r="1302" spans="1:34" ht="14.4" x14ac:dyDescent="0.3">
      <c r="A1302" s="66" t="s">
        <v>2280</v>
      </c>
      <c r="B1302" s="66" t="s">
        <v>4397</v>
      </c>
      <c r="C1302" s="33">
        <v>1301</v>
      </c>
      <c r="D1302" s="33" t="s">
        <v>5396</v>
      </c>
      <c r="E1302" s="34" t="s">
        <v>5322</v>
      </c>
      <c r="F1302" s="34" t="s">
        <v>18</v>
      </c>
      <c r="G1302" s="57">
        <v>44593</v>
      </c>
      <c r="H1302" s="57">
        <v>44957</v>
      </c>
      <c r="I1302" s="34">
        <f t="shared" si="60"/>
        <v>11</v>
      </c>
      <c r="J1302" s="34">
        <v>35</v>
      </c>
      <c r="K1302" s="36">
        <v>900</v>
      </c>
      <c r="L1302" s="34" t="s">
        <v>17</v>
      </c>
      <c r="M1302" s="57">
        <v>34921</v>
      </c>
      <c r="N1302" s="37">
        <f>(YEAR(TablaMadre[[#This Row],[ALTA]])-YEAR(M1302))</f>
        <v>27</v>
      </c>
      <c r="O1302" s="34" t="s">
        <v>18</v>
      </c>
      <c r="P1302" s="34" t="s">
        <v>19</v>
      </c>
      <c r="Q1302" s="34" t="s">
        <v>601</v>
      </c>
      <c r="R1302" s="34" t="s">
        <v>21</v>
      </c>
      <c r="S1302" s="34" t="s">
        <v>136</v>
      </c>
      <c r="T1302" s="34"/>
      <c r="U1302" s="34"/>
      <c r="V1302" s="34" t="s">
        <v>67</v>
      </c>
      <c r="W1302" s="34" t="s">
        <v>28</v>
      </c>
      <c r="X1302" s="38" t="s">
        <v>164</v>
      </c>
      <c r="Y1302" s="62">
        <v>45161</v>
      </c>
      <c r="Z1302" s="38">
        <f t="shared" si="61"/>
        <v>0</v>
      </c>
      <c r="AA1302" s="38"/>
      <c r="AB1302" s="34">
        <v>8</v>
      </c>
      <c r="AC1302" s="34">
        <v>7</v>
      </c>
      <c r="AD1302" s="38"/>
      <c r="AE1302" s="59" t="str">
        <f t="shared" si="62"/>
        <v>NO</v>
      </c>
      <c r="AF1302" s="38" t="e" cm="1">
        <f t="array" aca="1" ref="AF1302" ca="1">MIN(100, MAX(0, (IF(R1302="ESTUDIANTE", 31, 0)) + (IF(I1302&lt;=3, 30, IF(I1302&lt;=6, 20, 0))) +(IF(OR(E1302="413 - Control de Costes y Enlace Construcción", E1302="480 - Secretaría General del Consejo", E1302="132 - Civil y estructuras", E1302="136 - Mecánica", E1302="412 - Planificación", E1302="142 - Compras"), 25, 0)) +(IF(OR(S1302="GRADO ING. MECÁNICA", S1302="GRADO ING. ELÉCTRICA", S1302="GRADO DERECHO", S1302="GRADO ECONOMÍA", S1302="GRADO ING. TECNOLOGÍAS INDUSTRIALES"), 24, 0)) + (IF(AND(K1302&gt;=451, K1302&lt;=700), 23, 0)) + (IF(AND(AB1302&gt;=5, AB1302&lt;=8), 17, 0)) +(IF(_xludf.OR(_xludf.AND(AC1302&gt;=8, AC1302&lt;=10), _xludf.AND(AC1302&gt;=0, AC1302&lt;=5)), 16, 0)) + (IF(F1302="Madrid", 11, 0))))</f>
        <v>#NAME?</v>
      </c>
      <c r="AG1302" s="68"/>
      <c r="AH1302" s="71" t="s">
        <v>164</v>
      </c>
    </row>
    <row r="1303" spans="1:34" ht="14.4" x14ac:dyDescent="0.3">
      <c r="A1303" s="66" t="s">
        <v>2281</v>
      </c>
      <c r="B1303" s="66" t="s">
        <v>4398</v>
      </c>
      <c r="C1303" s="33">
        <v>1302</v>
      </c>
      <c r="D1303" s="33" t="s">
        <v>5397</v>
      </c>
      <c r="E1303" s="34" t="s">
        <v>5331</v>
      </c>
      <c r="F1303" s="34" t="s">
        <v>18</v>
      </c>
      <c r="G1303" s="57">
        <v>44606</v>
      </c>
      <c r="H1303" s="57">
        <v>44782</v>
      </c>
      <c r="I1303" s="34">
        <f t="shared" si="60"/>
        <v>5</v>
      </c>
      <c r="J1303" s="34">
        <v>35</v>
      </c>
      <c r="K1303" s="36">
        <v>700</v>
      </c>
      <c r="L1303" s="34" t="s">
        <v>17</v>
      </c>
      <c r="M1303" s="57">
        <v>35452</v>
      </c>
      <c r="N1303" s="37">
        <f>(YEAR(TablaMadre[[#This Row],[ALTA]])-YEAR(M1303))</f>
        <v>25</v>
      </c>
      <c r="O1303" s="34" t="s">
        <v>70</v>
      </c>
      <c r="P1303" s="34" t="s">
        <v>19</v>
      </c>
      <c r="Q1303" s="34" t="s">
        <v>330</v>
      </c>
      <c r="R1303" s="58" t="s">
        <v>30</v>
      </c>
      <c r="S1303" s="34" t="s">
        <v>307</v>
      </c>
      <c r="T1303" s="34"/>
      <c r="U1303" s="34"/>
      <c r="V1303" s="34" t="s">
        <v>22</v>
      </c>
      <c r="W1303" s="34" t="s">
        <v>181</v>
      </c>
      <c r="X1303" s="38" t="s">
        <v>164</v>
      </c>
      <c r="Y1303" s="62"/>
      <c r="Z1303" s="38" t="e">
        <f t="shared" si="61"/>
        <v>#NUM!</v>
      </c>
      <c r="AA1303" s="38"/>
      <c r="AB1303" s="34" t="s">
        <v>544</v>
      </c>
      <c r="AC1303" s="34" t="s">
        <v>544</v>
      </c>
      <c r="AD1303" s="38"/>
      <c r="AE1303" s="59" t="str">
        <f t="shared" si="62"/>
        <v>SÍ</v>
      </c>
      <c r="AF1303" s="38" t="e" cm="1">
        <f t="array" aca="1" ref="AF1303" ca="1">MIN(100, MAX(0, (IF(R1303="ESTUDIANTE", 31, 0)) + (IF(I1303&lt;=3, 30, IF(I1303&lt;=6, 20, 0))) +(IF(OR(E1303="413 - Control de Costes y Enlace Construcción", E1303="480 - Secretaría General del Consejo", E1303="132 - Civil y estructuras", E1303="136 - Mecánica", E1303="412 - Planificación", E1303="142 - Compras"), 25, 0)) +(IF(OR(S1303="GRADO ING. MECÁNICA", S1303="GRADO ING. ELÉCTRICA", S1303="GRADO DERECHO", S1303="GRADO ECONOMÍA", S1303="GRADO ING. TECNOLOGÍAS INDUSTRIALES"), 24, 0)) + (IF(AND(K1303&gt;=451, K1303&lt;=700), 23, 0)) + (IF(AND(AB1303&gt;=5, AB1303&lt;=8), 17, 0)) +(IF(_xludf.OR(_xludf.AND(AC1303&gt;=8, AC1303&lt;=10), _xludf.AND(AC1303&gt;=0, AC1303&lt;=5)), 16, 0)) + (IF(F1303="Madrid", 11, 0))))</f>
        <v>#NAME?</v>
      </c>
      <c r="AG1303" s="68"/>
      <c r="AH1303" s="71" t="s">
        <v>164</v>
      </c>
    </row>
    <row r="1304" spans="1:34" ht="14.4" x14ac:dyDescent="0.3">
      <c r="A1304" s="66" t="s">
        <v>2282</v>
      </c>
      <c r="B1304" s="66" t="s">
        <v>4399</v>
      </c>
      <c r="C1304" s="33">
        <v>1303</v>
      </c>
      <c r="D1304" s="33" t="s">
        <v>5393</v>
      </c>
      <c r="E1304" s="34" t="s">
        <v>5317</v>
      </c>
      <c r="F1304" s="34" t="s">
        <v>18</v>
      </c>
      <c r="G1304" s="57">
        <v>44606</v>
      </c>
      <c r="H1304" s="57">
        <v>44926</v>
      </c>
      <c r="I1304" s="34">
        <f t="shared" si="60"/>
        <v>10</v>
      </c>
      <c r="J1304" s="34">
        <v>35</v>
      </c>
      <c r="K1304" s="36">
        <v>750</v>
      </c>
      <c r="L1304" s="34" t="s">
        <v>29</v>
      </c>
      <c r="M1304" s="57">
        <v>36312</v>
      </c>
      <c r="N1304" s="37">
        <f>(YEAR(TablaMadre[[#This Row],[ALTA]])-YEAR(M1304))</f>
        <v>23</v>
      </c>
      <c r="O1304" s="34" t="s">
        <v>153</v>
      </c>
      <c r="P1304" s="34" t="s">
        <v>19</v>
      </c>
      <c r="Q1304" s="34" t="s">
        <v>587</v>
      </c>
      <c r="R1304" s="34" t="s">
        <v>21</v>
      </c>
      <c r="S1304" s="34" t="s">
        <v>229</v>
      </c>
      <c r="T1304" s="34"/>
      <c r="U1304" s="34"/>
      <c r="V1304" s="34" t="s">
        <v>40</v>
      </c>
      <c r="W1304" s="34" t="s">
        <v>28</v>
      </c>
      <c r="X1304" s="38" t="s">
        <v>173</v>
      </c>
      <c r="Y1304" s="62"/>
      <c r="Z1304" s="38" t="e">
        <f t="shared" si="61"/>
        <v>#NUM!</v>
      </c>
      <c r="AA1304" s="38"/>
      <c r="AB1304" s="34">
        <v>10</v>
      </c>
      <c r="AC1304" s="34">
        <v>9</v>
      </c>
      <c r="AD1304" s="38"/>
      <c r="AE1304" s="59" t="str">
        <f t="shared" si="62"/>
        <v>SÍ</v>
      </c>
      <c r="AF1304" s="38" t="e" cm="1">
        <f t="array" aca="1" ref="AF1304" ca="1">MIN(100, MAX(0, (IF(R1304="ESTUDIANTE", 31, 0)) + (IF(I1304&lt;=3, 30, IF(I1304&lt;=6, 20, 0))) +(IF(OR(E1304="413 - Control de Costes y Enlace Construcción", E1304="480 - Secretaría General del Consejo", E1304="132 - Civil y estructuras", E1304="136 - Mecánica", E1304="412 - Planificación", E1304="142 - Compras"), 25, 0)) +(IF(OR(S1304="GRADO ING. MECÁNICA", S1304="GRADO ING. ELÉCTRICA", S1304="GRADO DERECHO", S1304="GRADO ECONOMÍA", S1304="GRADO ING. TECNOLOGÍAS INDUSTRIALES"), 24, 0)) + (IF(AND(K1304&gt;=451, K1304&lt;=700), 23, 0)) + (IF(AND(AB1304&gt;=5, AB1304&lt;=8), 17, 0)) +(IF(_xludf.OR(_xludf.AND(AC1304&gt;=8, AC1304&lt;=10), _xludf.AND(AC1304&gt;=0, AC1304&lt;=5)), 16, 0)) + (IF(F1304="Madrid", 11, 0))))</f>
        <v>#NAME?</v>
      </c>
      <c r="AG1304" s="68"/>
      <c r="AH1304" s="71" t="s">
        <v>164</v>
      </c>
    </row>
    <row r="1305" spans="1:34" ht="14.4" x14ac:dyDescent="0.3">
      <c r="A1305" s="66" t="s">
        <v>2283</v>
      </c>
      <c r="B1305" s="66" t="s">
        <v>4400</v>
      </c>
      <c r="C1305" s="33">
        <v>1304</v>
      </c>
      <c r="D1305" s="33" t="s">
        <v>5394</v>
      </c>
      <c r="E1305" s="34" t="s">
        <v>5241</v>
      </c>
      <c r="F1305" s="34" t="s">
        <v>18</v>
      </c>
      <c r="G1305" s="57">
        <v>44608</v>
      </c>
      <c r="H1305" s="57">
        <v>44644</v>
      </c>
      <c r="I1305" s="34">
        <f t="shared" si="60"/>
        <v>1</v>
      </c>
      <c r="J1305" s="34">
        <v>35</v>
      </c>
      <c r="K1305" s="36">
        <v>825</v>
      </c>
      <c r="L1305" s="34" t="s">
        <v>17</v>
      </c>
      <c r="M1305" s="57">
        <v>35911</v>
      </c>
      <c r="N1305" s="37">
        <f>(YEAR(TablaMadre[[#This Row],[ALTA]])-YEAR(M1305))</f>
        <v>24</v>
      </c>
      <c r="O1305" s="34" t="s">
        <v>205</v>
      </c>
      <c r="P1305" s="34" t="s">
        <v>19</v>
      </c>
      <c r="Q1305" s="34" t="s">
        <v>519</v>
      </c>
      <c r="R1305" s="34" t="s">
        <v>21</v>
      </c>
      <c r="S1305" s="34" t="s">
        <v>307</v>
      </c>
      <c r="T1305" s="34"/>
      <c r="U1305" s="34"/>
      <c r="V1305" s="34" t="s">
        <v>22</v>
      </c>
      <c r="W1305" s="34" t="s">
        <v>181</v>
      </c>
      <c r="X1305" s="38" t="s">
        <v>164</v>
      </c>
      <c r="Y1305" s="62"/>
      <c r="Z1305" s="38" t="e">
        <f t="shared" si="61"/>
        <v>#NUM!</v>
      </c>
      <c r="AA1305" s="38"/>
      <c r="AB1305" s="34"/>
      <c r="AC1305" s="34"/>
      <c r="AD1305" s="38"/>
      <c r="AE1305" s="59" t="str">
        <f t="shared" si="62"/>
        <v>SÍ</v>
      </c>
      <c r="AF1305" s="38" t="e" cm="1">
        <f t="array" aca="1" ref="AF1305" ca="1">MIN(100, MAX(0, (IF(R1305="ESTUDIANTE", 31, 0)) + (IF(I1305&lt;=3, 30, IF(I1305&lt;=6, 20, 0))) +(IF(OR(E1305="413 - Control de Costes y Enlace Construcción", E1305="480 - Secretaría General del Consejo", E1305="132 - Civil y estructuras", E1305="136 - Mecánica", E1305="412 - Planificación", E1305="142 - Compras"), 25, 0)) +(IF(OR(S1305="GRADO ING. MECÁNICA", S1305="GRADO ING. ELÉCTRICA", S1305="GRADO DERECHO", S1305="GRADO ECONOMÍA", S1305="GRADO ING. TECNOLOGÍAS INDUSTRIALES"), 24, 0)) + (IF(AND(K1305&gt;=451, K1305&lt;=700), 23, 0)) + (IF(AND(AB1305&gt;=5, AB1305&lt;=8), 17, 0)) +(IF(_xludf.OR(_xludf.AND(AC1305&gt;=8, AC1305&lt;=10), _xludf.AND(AC1305&gt;=0, AC1305&lt;=5)), 16, 0)) + (IF(F1305="Madrid", 11, 0))))</f>
        <v>#NAME?</v>
      </c>
      <c r="AG1305" s="68"/>
      <c r="AH1305" s="71" t="s">
        <v>164</v>
      </c>
    </row>
    <row r="1306" spans="1:34" ht="14.4" x14ac:dyDescent="0.3">
      <c r="A1306" s="66" t="s">
        <v>2284</v>
      </c>
      <c r="B1306" s="66" t="s">
        <v>4401</v>
      </c>
      <c r="C1306" s="33">
        <v>1305</v>
      </c>
      <c r="D1306" s="33" t="s">
        <v>5395</v>
      </c>
      <c r="E1306" s="34" t="s">
        <v>5241</v>
      </c>
      <c r="F1306" s="34" t="s">
        <v>18</v>
      </c>
      <c r="G1306" s="57">
        <v>44608</v>
      </c>
      <c r="H1306" s="57">
        <v>44788</v>
      </c>
      <c r="I1306" s="34">
        <f t="shared" si="60"/>
        <v>5</v>
      </c>
      <c r="J1306" s="34">
        <v>35</v>
      </c>
      <c r="K1306" s="36">
        <v>825</v>
      </c>
      <c r="L1306" s="34" t="s">
        <v>17</v>
      </c>
      <c r="M1306" s="57">
        <v>36234</v>
      </c>
      <c r="N1306" s="37">
        <f>(YEAR(TablaMadre[[#This Row],[ALTA]])-YEAR(M1306))</f>
        <v>23</v>
      </c>
      <c r="O1306" s="34" t="s">
        <v>146</v>
      </c>
      <c r="P1306" s="34" t="s">
        <v>19</v>
      </c>
      <c r="Q1306" s="34" t="s">
        <v>546</v>
      </c>
      <c r="R1306" s="34" t="s">
        <v>21</v>
      </c>
      <c r="S1306" s="34" t="s">
        <v>473</v>
      </c>
      <c r="T1306" s="34"/>
      <c r="U1306" s="34"/>
      <c r="V1306" s="34" t="s">
        <v>22</v>
      </c>
      <c r="W1306" s="34" t="s">
        <v>28</v>
      </c>
      <c r="X1306" s="38" t="s">
        <v>164</v>
      </c>
      <c r="Y1306" s="62">
        <v>45154</v>
      </c>
      <c r="Z1306" s="38">
        <f t="shared" si="61"/>
        <v>1</v>
      </c>
      <c r="AA1306" s="38"/>
      <c r="AB1306" s="34">
        <v>8</v>
      </c>
      <c r="AC1306" s="34">
        <v>10</v>
      </c>
      <c r="AD1306" s="38"/>
      <c r="AE1306" s="59" t="str">
        <f t="shared" si="62"/>
        <v>SÍ</v>
      </c>
      <c r="AF1306" s="38" t="e" cm="1">
        <f t="array" aca="1" ref="AF1306" ca="1">MIN(100, MAX(0, (IF(R1306="ESTUDIANTE", 31, 0)) + (IF(I1306&lt;=3, 30, IF(I1306&lt;=6, 20, 0))) +(IF(OR(E1306="413 - Control de Costes y Enlace Construcción", E1306="480 - Secretaría General del Consejo", E1306="132 - Civil y estructuras", E1306="136 - Mecánica", E1306="412 - Planificación", E1306="142 - Compras"), 25, 0)) +(IF(OR(S1306="GRADO ING. MECÁNICA", S1306="GRADO ING. ELÉCTRICA", S1306="GRADO DERECHO", S1306="GRADO ECONOMÍA", S1306="GRADO ING. TECNOLOGÍAS INDUSTRIALES"), 24, 0)) + (IF(AND(K1306&gt;=451, K1306&lt;=700), 23, 0)) + (IF(AND(AB1306&gt;=5, AB1306&lt;=8), 17, 0)) +(IF(_xludf.OR(_xludf.AND(AC1306&gt;=8, AC1306&lt;=10), _xludf.AND(AC1306&gt;=0, AC1306&lt;=5)), 16, 0)) + (IF(F1306="Madrid", 11, 0))))</f>
        <v>#NAME?</v>
      </c>
      <c r="AG1306" s="68"/>
      <c r="AH1306" s="71" t="s">
        <v>164</v>
      </c>
    </row>
    <row r="1307" spans="1:34" ht="14.4" x14ac:dyDescent="0.3">
      <c r="A1307" s="66" t="s">
        <v>2285</v>
      </c>
      <c r="B1307" s="66" t="s">
        <v>4402</v>
      </c>
      <c r="C1307" s="33">
        <v>1306</v>
      </c>
      <c r="D1307" s="33" t="s">
        <v>5396</v>
      </c>
      <c r="E1307" s="34" t="s">
        <v>5241</v>
      </c>
      <c r="F1307" s="34" t="s">
        <v>18</v>
      </c>
      <c r="G1307" s="57">
        <v>44608</v>
      </c>
      <c r="H1307" s="57">
        <v>44788</v>
      </c>
      <c r="I1307" s="34">
        <f t="shared" si="60"/>
        <v>5</v>
      </c>
      <c r="J1307" s="34">
        <v>35</v>
      </c>
      <c r="K1307" s="36">
        <v>825</v>
      </c>
      <c r="L1307" s="34" t="s">
        <v>29</v>
      </c>
      <c r="M1307" s="57">
        <v>34016</v>
      </c>
      <c r="N1307" s="37">
        <f>(YEAR(TablaMadre[[#This Row],[ALTA]])-YEAR(M1307))</f>
        <v>29</v>
      </c>
      <c r="O1307" s="34" t="s">
        <v>153</v>
      </c>
      <c r="P1307" s="34" t="s">
        <v>19</v>
      </c>
      <c r="Q1307" s="34" t="s">
        <v>297</v>
      </c>
      <c r="R1307" s="34" t="s">
        <v>21</v>
      </c>
      <c r="S1307" s="34" t="s">
        <v>297</v>
      </c>
      <c r="T1307" s="34"/>
      <c r="U1307" s="34"/>
      <c r="V1307" s="34" t="s">
        <v>56</v>
      </c>
      <c r="W1307" s="34" t="s">
        <v>28</v>
      </c>
      <c r="X1307" s="38" t="s">
        <v>173</v>
      </c>
      <c r="Y1307" s="62"/>
      <c r="Z1307" s="38" t="e">
        <f t="shared" si="61"/>
        <v>#NUM!</v>
      </c>
      <c r="AA1307" s="38"/>
      <c r="AB1307" s="34">
        <v>8</v>
      </c>
      <c r="AC1307" s="34">
        <v>10</v>
      </c>
      <c r="AD1307" s="38"/>
      <c r="AE1307" s="59" t="str">
        <f t="shared" si="62"/>
        <v>SÍ</v>
      </c>
      <c r="AF1307" s="38" t="e" cm="1">
        <f t="array" aca="1" ref="AF1307" ca="1">MIN(100, MAX(0, (IF(R1307="ESTUDIANTE", 31, 0)) + (IF(I1307&lt;=3, 30, IF(I1307&lt;=6, 20, 0))) +(IF(OR(E1307="413 - Control de Costes y Enlace Construcción", E1307="480 - Secretaría General del Consejo", E1307="132 - Civil y estructuras", E1307="136 - Mecánica", E1307="412 - Planificación", E1307="142 - Compras"), 25, 0)) +(IF(OR(S1307="GRADO ING. MECÁNICA", S1307="GRADO ING. ELÉCTRICA", S1307="GRADO DERECHO", S1307="GRADO ECONOMÍA", S1307="GRADO ING. TECNOLOGÍAS INDUSTRIALES"), 24, 0)) + (IF(AND(K1307&gt;=451, K1307&lt;=700), 23, 0)) + (IF(AND(AB1307&gt;=5, AB1307&lt;=8), 17, 0)) +(IF(_xludf.OR(_xludf.AND(AC1307&gt;=8, AC1307&lt;=10), _xludf.AND(AC1307&gt;=0, AC1307&lt;=5)), 16, 0)) + (IF(F1307="Madrid", 11, 0))))</f>
        <v>#NAME?</v>
      </c>
      <c r="AG1307" s="68"/>
      <c r="AH1307" s="71" t="s">
        <v>164</v>
      </c>
    </row>
    <row r="1308" spans="1:34" ht="14.4" x14ac:dyDescent="0.3">
      <c r="A1308" s="66" t="s">
        <v>2286</v>
      </c>
      <c r="B1308" s="66" t="s">
        <v>4403</v>
      </c>
      <c r="C1308" s="33">
        <v>1307</v>
      </c>
      <c r="D1308" s="33" t="s">
        <v>5397</v>
      </c>
      <c r="E1308" s="34" t="s">
        <v>5241</v>
      </c>
      <c r="F1308" s="34" t="s">
        <v>18</v>
      </c>
      <c r="G1308" s="57">
        <v>44608</v>
      </c>
      <c r="H1308" s="57">
        <v>44880</v>
      </c>
      <c r="I1308" s="34">
        <f t="shared" si="60"/>
        <v>8</v>
      </c>
      <c r="J1308" s="34">
        <v>35</v>
      </c>
      <c r="K1308" s="36">
        <v>700</v>
      </c>
      <c r="L1308" s="34" t="s">
        <v>17</v>
      </c>
      <c r="M1308" s="57">
        <v>34707</v>
      </c>
      <c r="N1308" s="37">
        <f>(YEAR(TablaMadre[[#This Row],[ALTA]])-YEAR(M1308))</f>
        <v>27</v>
      </c>
      <c r="O1308" s="34" t="s">
        <v>18</v>
      </c>
      <c r="P1308" s="34" t="s">
        <v>19</v>
      </c>
      <c r="Q1308" s="34" t="s">
        <v>306</v>
      </c>
      <c r="R1308" s="58" t="s">
        <v>30</v>
      </c>
      <c r="S1308" s="34" t="s">
        <v>307</v>
      </c>
      <c r="T1308" s="34"/>
      <c r="U1308" s="34"/>
      <c r="V1308" s="34" t="s">
        <v>22</v>
      </c>
      <c r="W1308" s="34" t="s">
        <v>28</v>
      </c>
      <c r="X1308" s="38" t="s">
        <v>173</v>
      </c>
      <c r="Y1308" s="62"/>
      <c r="Z1308" s="38" t="e">
        <f t="shared" si="61"/>
        <v>#NUM!</v>
      </c>
      <c r="AA1308" s="38"/>
      <c r="AB1308" s="34">
        <v>8</v>
      </c>
      <c r="AC1308" s="34">
        <v>9</v>
      </c>
      <c r="AD1308" s="38"/>
      <c r="AE1308" s="59" t="str">
        <f t="shared" si="62"/>
        <v>NO</v>
      </c>
      <c r="AF1308" s="38" t="e" cm="1">
        <f t="array" aca="1" ref="AF1308" ca="1">MIN(100, MAX(0, (IF(R1308="ESTUDIANTE", 31, 0)) + (IF(I1308&lt;=3, 30, IF(I1308&lt;=6, 20, 0))) +(IF(OR(E1308="413 - Control de Costes y Enlace Construcción", E1308="480 - Secretaría General del Consejo", E1308="132 - Civil y estructuras", E1308="136 - Mecánica", E1308="412 - Planificación", E1308="142 - Compras"), 25, 0)) +(IF(OR(S1308="GRADO ING. MECÁNICA", S1308="GRADO ING. ELÉCTRICA", S1308="GRADO DERECHO", S1308="GRADO ECONOMÍA", S1308="GRADO ING. TECNOLOGÍAS INDUSTRIALES"), 24, 0)) + (IF(AND(K1308&gt;=451, K1308&lt;=700), 23, 0)) + (IF(AND(AB1308&gt;=5, AB1308&lt;=8), 17, 0)) +(IF(_xludf.OR(_xludf.AND(AC1308&gt;=8, AC1308&lt;=10), _xludf.AND(AC1308&gt;=0, AC1308&lt;=5)), 16, 0)) + (IF(F1308="Madrid", 11, 0))))</f>
        <v>#NAME?</v>
      </c>
      <c r="AG1308" s="68"/>
      <c r="AH1308" s="71" t="s">
        <v>164</v>
      </c>
    </row>
    <row r="1309" spans="1:34" ht="14.4" x14ac:dyDescent="0.3">
      <c r="A1309" s="66" t="s">
        <v>2287</v>
      </c>
      <c r="B1309" s="66" t="s">
        <v>4404</v>
      </c>
      <c r="C1309" s="33">
        <v>1308</v>
      </c>
      <c r="D1309" s="33" t="s">
        <v>5398</v>
      </c>
      <c r="E1309" s="34" t="s">
        <v>5241</v>
      </c>
      <c r="F1309" s="34" t="s">
        <v>931</v>
      </c>
      <c r="G1309" s="57">
        <v>44610</v>
      </c>
      <c r="H1309" s="57">
        <v>44790</v>
      </c>
      <c r="I1309" s="34">
        <f t="shared" si="60"/>
        <v>5</v>
      </c>
      <c r="J1309" s="34">
        <v>35</v>
      </c>
      <c r="K1309" s="36">
        <v>900</v>
      </c>
      <c r="L1309" s="34" t="s">
        <v>29</v>
      </c>
      <c r="M1309" s="57">
        <v>34379</v>
      </c>
      <c r="N1309" s="37">
        <f>(YEAR(TablaMadre[[#This Row],[ALTA]])-YEAR(M1309))</f>
        <v>28</v>
      </c>
      <c r="O1309" s="34"/>
      <c r="P1309" s="34" t="s">
        <v>19</v>
      </c>
      <c r="Q1309" s="34" t="s">
        <v>547</v>
      </c>
      <c r="R1309" s="34" t="s">
        <v>21</v>
      </c>
      <c r="S1309" s="34" t="s">
        <v>297</v>
      </c>
      <c r="T1309" s="34"/>
      <c r="U1309" s="34"/>
      <c r="V1309" s="34" t="s">
        <v>84</v>
      </c>
      <c r="W1309" s="34" t="s">
        <v>28</v>
      </c>
      <c r="X1309" s="38" t="s">
        <v>164</v>
      </c>
      <c r="Y1309" s="62">
        <v>45378</v>
      </c>
      <c r="Z1309" s="38">
        <f t="shared" si="61"/>
        <v>1</v>
      </c>
      <c r="AA1309" s="38"/>
      <c r="AB1309" s="34">
        <v>7</v>
      </c>
      <c r="AC1309" s="34">
        <v>10</v>
      </c>
      <c r="AD1309" s="38"/>
      <c r="AE1309" s="59" t="str">
        <f t="shared" si="62"/>
        <v>SÍ</v>
      </c>
      <c r="AF1309" s="38" t="e" cm="1">
        <f t="array" aca="1" ref="AF1309" ca="1">MIN(100, MAX(0, (IF(R1309="ESTUDIANTE", 31, 0)) + (IF(I1309&lt;=3, 30, IF(I1309&lt;=6, 20, 0))) +(IF(OR(E1309="413 - Control de Costes y Enlace Construcción", E1309="480 - Secretaría General del Consejo", E1309="132 - Civil y estructuras", E1309="136 - Mecánica", E1309="412 - Planificación", E1309="142 - Compras"), 25, 0)) +(IF(OR(S1309="GRADO ING. MECÁNICA", S1309="GRADO ING. ELÉCTRICA", S1309="GRADO DERECHO", S1309="GRADO ECONOMÍA", S1309="GRADO ING. TECNOLOGÍAS INDUSTRIALES"), 24, 0)) + (IF(AND(K1309&gt;=451, K1309&lt;=700), 23, 0)) + (IF(AND(AB1309&gt;=5, AB1309&lt;=8), 17, 0)) +(IF(_xludf.OR(_xludf.AND(AC1309&gt;=8, AC1309&lt;=10), _xludf.AND(AC1309&gt;=0, AC1309&lt;=5)), 16, 0)) + (IF(F1309="Madrid", 11, 0))))</f>
        <v>#NAME?</v>
      </c>
      <c r="AG1309" s="68"/>
      <c r="AH1309" s="71" t="s">
        <v>164</v>
      </c>
    </row>
    <row r="1310" spans="1:34" ht="14.4" x14ac:dyDescent="0.3">
      <c r="A1310" s="66" t="s">
        <v>2288</v>
      </c>
      <c r="B1310" s="66" t="s">
        <v>4405</v>
      </c>
      <c r="C1310" s="33">
        <v>1309</v>
      </c>
      <c r="D1310" s="33" t="s">
        <v>5399</v>
      </c>
      <c r="E1310" s="34" t="s">
        <v>5222</v>
      </c>
      <c r="F1310" s="34" t="s">
        <v>18</v>
      </c>
      <c r="G1310" s="57">
        <v>44615</v>
      </c>
      <c r="H1310" s="57">
        <v>44979</v>
      </c>
      <c r="I1310" s="34">
        <f t="shared" si="60"/>
        <v>11</v>
      </c>
      <c r="J1310" s="34">
        <v>35</v>
      </c>
      <c r="K1310" s="36">
        <v>825</v>
      </c>
      <c r="L1310" s="34" t="s">
        <v>17</v>
      </c>
      <c r="M1310" s="57">
        <v>36269</v>
      </c>
      <c r="N1310" s="37">
        <f>(YEAR(TablaMadre[[#This Row],[ALTA]])-YEAR(M1310))</f>
        <v>23</v>
      </c>
      <c r="O1310" s="34" t="s">
        <v>18</v>
      </c>
      <c r="P1310" s="34" t="s">
        <v>19</v>
      </c>
      <c r="Q1310" s="34" t="s">
        <v>533</v>
      </c>
      <c r="R1310" s="34" t="s">
        <v>21</v>
      </c>
      <c r="S1310" s="34" t="s">
        <v>297</v>
      </c>
      <c r="T1310" s="34"/>
      <c r="U1310" s="34"/>
      <c r="V1310" s="34" t="s">
        <v>56</v>
      </c>
      <c r="W1310" s="34" t="s">
        <v>28</v>
      </c>
      <c r="X1310" s="38" t="s">
        <v>164</v>
      </c>
      <c r="Y1310" s="62">
        <v>45199</v>
      </c>
      <c r="Z1310" s="38">
        <f t="shared" si="61"/>
        <v>0</v>
      </c>
      <c r="AA1310" s="38"/>
      <c r="AB1310" s="34">
        <v>7</v>
      </c>
      <c r="AC1310" s="34">
        <v>9</v>
      </c>
      <c r="AD1310" s="38"/>
      <c r="AE1310" s="59" t="str">
        <f t="shared" si="62"/>
        <v>NO</v>
      </c>
      <c r="AF1310" s="38" t="e" cm="1">
        <f t="array" aca="1" ref="AF1310" ca="1">MIN(100, MAX(0, (IF(R1310="ESTUDIANTE", 31, 0)) + (IF(I1310&lt;=3, 30, IF(I1310&lt;=6, 20, 0))) +(IF(OR(E1310="413 - Control de Costes y Enlace Construcción", E1310="480 - Secretaría General del Consejo", E1310="132 - Civil y estructuras", E1310="136 - Mecánica", E1310="412 - Planificación", E1310="142 - Compras"), 25, 0)) +(IF(OR(S1310="GRADO ING. MECÁNICA", S1310="GRADO ING. ELÉCTRICA", S1310="GRADO DERECHO", S1310="GRADO ECONOMÍA", S1310="GRADO ING. TECNOLOGÍAS INDUSTRIALES"), 24, 0)) + (IF(AND(K1310&gt;=451, K1310&lt;=700), 23, 0)) + (IF(AND(AB1310&gt;=5, AB1310&lt;=8), 17, 0)) +(IF(_xludf.OR(_xludf.AND(AC1310&gt;=8, AC1310&lt;=10), _xludf.AND(AC1310&gt;=0, AC1310&lt;=5)), 16, 0)) + (IF(F1310="Madrid", 11, 0))))</f>
        <v>#NAME?</v>
      </c>
      <c r="AG1310" s="68"/>
      <c r="AH1310" s="71" t="s">
        <v>164</v>
      </c>
    </row>
    <row r="1311" spans="1:34" ht="14.4" x14ac:dyDescent="0.3">
      <c r="A1311" s="66" t="s">
        <v>2289</v>
      </c>
      <c r="B1311" s="66" t="s">
        <v>4406</v>
      </c>
      <c r="C1311" s="33">
        <v>1310</v>
      </c>
      <c r="D1311" s="33" t="s">
        <v>5400</v>
      </c>
      <c r="E1311" s="34" t="s">
        <v>5319</v>
      </c>
      <c r="F1311" s="34" t="s">
        <v>18</v>
      </c>
      <c r="G1311" s="57">
        <v>44615</v>
      </c>
      <c r="H1311" s="57">
        <v>44979</v>
      </c>
      <c r="I1311" s="34">
        <f t="shared" si="60"/>
        <v>11</v>
      </c>
      <c r="J1311" s="34">
        <v>35</v>
      </c>
      <c r="K1311" s="36">
        <v>900</v>
      </c>
      <c r="L1311" s="34" t="s">
        <v>17</v>
      </c>
      <c r="M1311" s="57">
        <v>35243</v>
      </c>
      <c r="N1311" s="37">
        <f>(YEAR(TablaMadre[[#This Row],[ALTA]])-YEAR(M1311))</f>
        <v>26</v>
      </c>
      <c r="O1311" s="34" t="s">
        <v>257</v>
      </c>
      <c r="P1311" s="34" t="s">
        <v>19</v>
      </c>
      <c r="Q1311" s="34" t="s">
        <v>428</v>
      </c>
      <c r="R1311" s="34" t="s">
        <v>21</v>
      </c>
      <c r="S1311" s="34" t="s">
        <v>297</v>
      </c>
      <c r="T1311" s="34"/>
      <c r="U1311" s="34"/>
      <c r="V1311" s="34" t="s">
        <v>56</v>
      </c>
      <c r="W1311" s="34" t="s">
        <v>28</v>
      </c>
      <c r="X1311" s="38" t="s">
        <v>173</v>
      </c>
      <c r="Y1311" s="62"/>
      <c r="Z1311" s="38" t="e">
        <f t="shared" si="61"/>
        <v>#NUM!</v>
      </c>
      <c r="AA1311" s="38"/>
      <c r="AB1311" s="34">
        <v>10</v>
      </c>
      <c r="AC1311" s="34">
        <v>10</v>
      </c>
      <c r="AD1311" s="38"/>
      <c r="AE1311" s="59" t="str">
        <f t="shared" si="62"/>
        <v>SÍ</v>
      </c>
      <c r="AF1311" s="38" t="e" cm="1">
        <f t="array" aca="1" ref="AF1311" ca="1">MIN(100, MAX(0, (IF(R1311="ESTUDIANTE", 31, 0)) + (IF(I1311&lt;=3, 30, IF(I1311&lt;=6, 20, 0))) +(IF(OR(E1311="413 - Control de Costes y Enlace Construcción", E1311="480 - Secretaría General del Consejo", E1311="132 - Civil y estructuras", E1311="136 - Mecánica", E1311="412 - Planificación", E1311="142 - Compras"), 25, 0)) +(IF(OR(S1311="GRADO ING. MECÁNICA", S1311="GRADO ING. ELÉCTRICA", S1311="GRADO DERECHO", S1311="GRADO ECONOMÍA", S1311="GRADO ING. TECNOLOGÍAS INDUSTRIALES"), 24, 0)) + (IF(AND(K1311&gt;=451, K1311&lt;=700), 23, 0)) + (IF(AND(AB1311&gt;=5, AB1311&lt;=8), 17, 0)) +(IF(_xludf.OR(_xludf.AND(AC1311&gt;=8, AC1311&lt;=10), _xludf.AND(AC1311&gt;=0, AC1311&lt;=5)), 16, 0)) + (IF(F1311="Madrid", 11, 0))))</f>
        <v>#NAME?</v>
      </c>
      <c r="AG1311" s="68"/>
      <c r="AH1311" s="71" t="s">
        <v>164</v>
      </c>
    </row>
    <row r="1312" spans="1:34" ht="14.4" x14ac:dyDescent="0.3">
      <c r="A1312" s="66" t="s">
        <v>2290</v>
      </c>
      <c r="B1312" s="66" t="s">
        <v>4407</v>
      </c>
      <c r="C1312" s="33">
        <v>1311</v>
      </c>
      <c r="D1312" s="33" t="s">
        <v>5401</v>
      </c>
      <c r="E1312" s="34" t="s">
        <v>5224</v>
      </c>
      <c r="F1312" s="34" t="s">
        <v>18</v>
      </c>
      <c r="G1312" s="57">
        <v>44617</v>
      </c>
      <c r="H1312" s="57">
        <v>44797</v>
      </c>
      <c r="I1312" s="34">
        <f t="shared" si="60"/>
        <v>5</v>
      </c>
      <c r="J1312" s="34">
        <v>35</v>
      </c>
      <c r="K1312" s="36">
        <v>750</v>
      </c>
      <c r="L1312" s="34" t="s">
        <v>17</v>
      </c>
      <c r="M1312" s="57">
        <v>35577</v>
      </c>
      <c r="N1312" s="37">
        <f>(YEAR(TablaMadre[[#This Row],[ALTA]])-YEAR(M1312))</f>
        <v>25</v>
      </c>
      <c r="O1312" s="34" t="s">
        <v>18</v>
      </c>
      <c r="P1312" s="34" t="s">
        <v>19</v>
      </c>
      <c r="Q1312" s="34" t="s">
        <v>274</v>
      </c>
      <c r="R1312" s="34" t="s">
        <v>21</v>
      </c>
      <c r="S1312" s="34" t="s">
        <v>274</v>
      </c>
      <c r="T1312" s="34"/>
      <c r="U1312" s="34"/>
      <c r="V1312" s="34" t="s">
        <v>84</v>
      </c>
      <c r="W1312" s="34" t="s">
        <v>28</v>
      </c>
      <c r="X1312" s="38" t="s">
        <v>173</v>
      </c>
      <c r="Y1312" s="62"/>
      <c r="Z1312" s="38" t="e">
        <f t="shared" si="61"/>
        <v>#NUM!</v>
      </c>
      <c r="AA1312" s="38"/>
      <c r="AB1312" s="34" t="s">
        <v>544</v>
      </c>
      <c r="AC1312" s="34">
        <v>9</v>
      </c>
      <c r="AD1312" s="38"/>
      <c r="AE1312" s="59" t="str">
        <f t="shared" si="62"/>
        <v>NO</v>
      </c>
      <c r="AF1312" s="38" t="e" cm="1">
        <f t="array" aca="1" ref="AF1312" ca="1">MIN(100, MAX(0, (IF(R1312="ESTUDIANTE", 31, 0)) + (IF(I1312&lt;=3, 30, IF(I1312&lt;=6, 20, 0))) +(IF(OR(E1312="413 - Control de Costes y Enlace Construcción", E1312="480 - Secretaría General del Consejo", E1312="132 - Civil y estructuras", E1312="136 - Mecánica", E1312="412 - Planificación", E1312="142 - Compras"), 25, 0)) +(IF(OR(S1312="GRADO ING. MECÁNICA", S1312="GRADO ING. ELÉCTRICA", S1312="GRADO DERECHO", S1312="GRADO ECONOMÍA", S1312="GRADO ING. TECNOLOGÍAS INDUSTRIALES"), 24, 0)) + (IF(AND(K1312&gt;=451, K1312&lt;=700), 23, 0)) + (IF(AND(AB1312&gt;=5, AB1312&lt;=8), 17, 0)) +(IF(_xludf.OR(_xludf.AND(AC1312&gt;=8, AC1312&lt;=10), _xludf.AND(AC1312&gt;=0, AC1312&lt;=5)), 16, 0)) + (IF(F1312="Madrid", 11, 0))))</f>
        <v>#NAME?</v>
      </c>
      <c r="AG1312" s="68"/>
      <c r="AH1312" s="71" t="s">
        <v>164</v>
      </c>
    </row>
    <row r="1313" spans="1:34" ht="14.4" x14ac:dyDescent="0.3">
      <c r="A1313" s="66" t="s">
        <v>2120</v>
      </c>
      <c r="B1313" s="66" t="s">
        <v>4237</v>
      </c>
      <c r="C1313" s="33">
        <v>1313</v>
      </c>
      <c r="D1313" s="33" t="s">
        <v>5402</v>
      </c>
      <c r="E1313" s="34" t="s">
        <v>5233</v>
      </c>
      <c r="F1313" s="34" t="s">
        <v>18</v>
      </c>
      <c r="G1313" s="57">
        <v>44621</v>
      </c>
      <c r="H1313" s="57">
        <v>44804</v>
      </c>
      <c r="I1313" s="34">
        <f t="shared" si="60"/>
        <v>5</v>
      </c>
      <c r="J1313" s="34">
        <v>35</v>
      </c>
      <c r="K1313" s="36">
        <v>825</v>
      </c>
      <c r="L1313" s="34" t="s">
        <v>17</v>
      </c>
      <c r="M1313" s="57">
        <v>36182</v>
      </c>
      <c r="N1313" s="37">
        <f>(YEAR(TablaMadre[[#This Row],[ALTA]])-YEAR(M1313))</f>
        <v>23</v>
      </c>
      <c r="O1313" s="34" t="s">
        <v>18</v>
      </c>
      <c r="P1313" s="34" t="s">
        <v>19</v>
      </c>
      <c r="Q1313" s="34" t="s">
        <v>136</v>
      </c>
      <c r="R1313" s="34" t="s">
        <v>21</v>
      </c>
      <c r="S1313" s="34" t="s">
        <v>136</v>
      </c>
      <c r="T1313" s="34"/>
      <c r="U1313" s="34"/>
      <c r="V1313" s="34" t="s">
        <v>22</v>
      </c>
      <c r="W1313" s="34" t="s">
        <v>181</v>
      </c>
      <c r="X1313" s="38" t="s">
        <v>164</v>
      </c>
      <c r="Y1313" s="62"/>
      <c r="Z1313" s="38" t="e">
        <f t="shared" si="61"/>
        <v>#NUM!</v>
      </c>
      <c r="AA1313" s="38"/>
      <c r="AB1313" s="34">
        <v>7</v>
      </c>
      <c r="AC1313" s="34"/>
      <c r="AD1313" s="38"/>
      <c r="AE1313" s="59" t="str">
        <f t="shared" si="62"/>
        <v>NO</v>
      </c>
      <c r="AF1313" s="38" t="e" cm="1">
        <f t="array" aca="1" ref="AF1313" ca="1">MIN(100, MAX(0, (IF(R1313="ESTUDIANTE", 31, 0)) + (IF(I1313&lt;=3, 30, IF(I1313&lt;=6, 20, 0))) +(IF(OR(E1313="413 - Control de Costes y Enlace Construcción", E1313="480 - Secretaría General del Consejo", E1313="132 - Civil y estructuras", E1313="136 - Mecánica", E1313="412 - Planificación", E1313="142 - Compras"), 25, 0)) +(IF(OR(S1313="GRADO ING. MECÁNICA", S1313="GRADO ING. ELÉCTRICA", S1313="GRADO DERECHO", S1313="GRADO ECONOMÍA", S1313="GRADO ING. TECNOLOGÍAS INDUSTRIALES"), 24, 0)) + (IF(AND(K1313&gt;=451, K1313&lt;=700), 23, 0)) + (IF(AND(AB1313&gt;=5, AB1313&lt;=8), 17, 0)) +(IF(_xludf.OR(_xludf.AND(AC1313&gt;=8, AC1313&lt;=10), _xludf.AND(AC1313&gt;=0, AC1313&lt;=5)), 16, 0)) + (IF(F1313="Madrid", 11, 0))))</f>
        <v>#NAME?</v>
      </c>
      <c r="AG1313" s="68"/>
      <c r="AH1313" s="71" t="s">
        <v>164</v>
      </c>
    </row>
    <row r="1314" spans="1:34" ht="14.4" x14ac:dyDescent="0.3">
      <c r="A1314" s="66" t="s">
        <v>2121</v>
      </c>
      <c r="B1314" s="66" t="s">
        <v>4238</v>
      </c>
      <c r="C1314" s="33">
        <v>1316</v>
      </c>
      <c r="D1314" s="33" t="s">
        <v>5393</v>
      </c>
      <c r="E1314" s="34" t="s">
        <v>5273</v>
      </c>
      <c r="F1314" s="34" t="s">
        <v>18</v>
      </c>
      <c r="G1314" s="57">
        <v>44621</v>
      </c>
      <c r="H1314" s="57">
        <v>44848</v>
      </c>
      <c r="I1314" s="34">
        <f t="shared" si="60"/>
        <v>7</v>
      </c>
      <c r="J1314" s="34">
        <v>35</v>
      </c>
      <c r="K1314" s="36">
        <v>825</v>
      </c>
      <c r="L1314" s="34" t="s">
        <v>17</v>
      </c>
      <c r="M1314" s="57">
        <v>35449</v>
      </c>
      <c r="N1314" s="37">
        <f>(YEAR(TablaMadre[[#This Row],[ALTA]])-YEAR(M1314))</f>
        <v>25</v>
      </c>
      <c r="O1314" s="34" t="s">
        <v>18</v>
      </c>
      <c r="P1314" s="34" t="s">
        <v>19</v>
      </c>
      <c r="Q1314" s="34" t="s">
        <v>562</v>
      </c>
      <c r="R1314" s="34" t="s">
        <v>21</v>
      </c>
      <c r="S1314" s="34" t="s">
        <v>384</v>
      </c>
      <c r="T1314" s="34"/>
      <c r="U1314" s="34"/>
      <c r="V1314" s="34" t="s">
        <v>40</v>
      </c>
      <c r="W1314" s="34" t="s">
        <v>181</v>
      </c>
      <c r="X1314" s="38" t="s">
        <v>164</v>
      </c>
      <c r="Y1314" s="62"/>
      <c r="Z1314" s="38" t="e">
        <f t="shared" si="61"/>
        <v>#NUM!</v>
      </c>
      <c r="AA1314" s="38"/>
      <c r="AB1314" s="34">
        <v>7</v>
      </c>
      <c r="AC1314" s="34">
        <v>10</v>
      </c>
      <c r="AD1314" s="38"/>
      <c r="AE1314" s="59" t="str">
        <f t="shared" si="62"/>
        <v>NO</v>
      </c>
      <c r="AF1314" s="38" t="e" cm="1">
        <f t="array" aca="1" ref="AF1314" ca="1">MIN(100, MAX(0, (IF(R1314="ESTUDIANTE", 31, 0)) + (IF(I1314&lt;=3, 30, IF(I1314&lt;=6, 20, 0))) +(IF(OR(E1314="413 - Control de Costes y Enlace Construcción", E1314="480 - Secretaría General del Consejo", E1314="132 - Civil y estructuras", E1314="136 - Mecánica", E1314="412 - Planificación", E1314="142 - Compras"), 25, 0)) +(IF(OR(S1314="GRADO ING. MECÁNICA", S1314="GRADO ING. ELÉCTRICA", S1314="GRADO DERECHO", S1314="GRADO ECONOMÍA", S1314="GRADO ING. TECNOLOGÍAS INDUSTRIALES"), 24, 0)) + (IF(AND(K1314&gt;=451, K1314&lt;=700), 23, 0)) + (IF(AND(AB1314&gt;=5, AB1314&lt;=8), 17, 0)) +(IF(_xludf.OR(_xludf.AND(AC1314&gt;=8, AC1314&lt;=10), _xludf.AND(AC1314&gt;=0, AC1314&lt;=5)), 16, 0)) + (IF(F1314="Madrid", 11, 0))))</f>
        <v>#NAME?</v>
      </c>
      <c r="AG1314" s="68"/>
      <c r="AH1314" s="71" t="s">
        <v>164</v>
      </c>
    </row>
    <row r="1315" spans="1:34" ht="14.4" x14ac:dyDescent="0.3">
      <c r="A1315" s="66" t="s">
        <v>2291</v>
      </c>
      <c r="B1315" s="66" t="s">
        <v>4408</v>
      </c>
      <c r="C1315" s="33">
        <v>1312</v>
      </c>
      <c r="D1315" s="33" t="s">
        <v>5394</v>
      </c>
      <c r="E1315" s="34" t="s">
        <v>5222</v>
      </c>
      <c r="F1315" s="34" t="s">
        <v>18</v>
      </c>
      <c r="G1315" s="57">
        <v>44621</v>
      </c>
      <c r="H1315" s="57">
        <v>44743</v>
      </c>
      <c r="I1315" s="34">
        <f t="shared" si="60"/>
        <v>4</v>
      </c>
      <c r="J1315" s="34">
        <v>35</v>
      </c>
      <c r="K1315" s="36">
        <v>825</v>
      </c>
      <c r="L1315" s="34" t="s">
        <v>17</v>
      </c>
      <c r="M1315" s="57">
        <v>36189</v>
      </c>
      <c r="N1315" s="37">
        <f>(YEAR(TablaMadre[[#This Row],[ALTA]])-YEAR(M1315))</f>
        <v>23</v>
      </c>
      <c r="O1315" s="34" t="s">
        <v>257</v>
      </c>
      <c r="P1315" s="34" t="s">
        <v>19</v>
      </c>
      <c r="Q1315" s="34" t="s">
        <v>297</v>
      </c>
      <c r="R1315" s="34" t="s">
        <v>21</v>
      </c>
      <c r="S1315" s="34" t="s">
        <v>297</v>
      </c>
      <c r="T1315" s="34"/>
      <c r="U1315" s="34"/>
      <c r="V1315" s="34" t="s">
        <v>22</v>
      </c>
      <c r="W1315" s="34" t="s">
        <v>181</v>
      </c>
      <c r="X1315" s="38" t="s">
        <v>164</v>
      </c>
      <c r="Y1315" s="62"/>
      <c r="Z1315" s="38" t="e">
        <f t="shared" si="61"/>
        <v>#NUM!</v>
      </c>
      <c r="AA1315" s="38"/>
      <c r="AB1315" s="34"/>
      <c r="AC1315" s="34"/>
      <c r="AD1315" s="38"/>
      <c r="AE1315" s="59" t="str">
        <f t="shared" si="62"/>
        <v>SÍ</v>
      </c>
      <c r="AF1315" s="38" t="e" cm="1">
        <f t="array" aca="1" ref="AF1315" ca="1">MIN(100, MAX(0, (IF(R1315="ESTUDIANTE", 31, 0)) + (IF(I1315&lt;=3, 30, IF(I1315&lt;=6, 20, 0))) +(IF(OR(E1315="413 - Control de Costes y Enlace Construcción", E1315="480 - Secretaría General del Consejo", E1315="132 - Civil y estructuras", E1315="136 - Mecánica", E1315="412 - Planificación", E1315="142 - Compras"), 25, 0)) +(IF(OR(S1315="GRADO ING. MECÁNICA", S1315="GRADO ING. ELÉCTRICA", S1315="GRADO DERECHO", S1315="GRADO ECONOMÍA", S1315="GRADO ING. TECNOLOGÍAS INDUSTRIALES"), 24, 0)) + (IF(AND(K1315&gt;=451, K1315&lt;=700), 23, 0)) + (IF(AND(AB1315&gt;=5, AB1315&lt;=8), 17, 0)) +(IF(_xludf.OR(_xludf.AND(AC1315&gt;=8, AC1315&lt;=10), _xludf.AND(AC1315&gt;=0, AC1315&lt;=5)), 16, 0)) + (IF(F1315="Madrid", 11, 0))))</f>
        <v>#NAME?</v>
      </c>
      <c r="AG1315" s="68"/>
      <c r="AH1315" s="71" t="s">
        <v>164</v>
      </c>
    </row>
    <row r="1316" spans="1:34" ht="14.4" x14ac:dyDescent="0.3">
      <c r="A1316" s="66" t="s">
        <v>2293</v>
      </c>
      <c r="B1316" s="66" t="s">
        <v>4410</v>
      </c>
      <c r="C1316" s="33">
        <v>1314</v>
      </c>
      <c r="D1316" s="33" t="s">
        <v>5403</v>
      </c>
      <c r="E1316" s="34" t="s">
        <v>5222</v>
      </c>
      <c r="F1316" s="34" t="s">
        <v>18</v>
      </c>
      <c r="G1316" s="57">
        <v>44621</v>
      </c>
      <c r="H1316" s="57">
        <v>44804</v>
      </c>
      <c r="I1316" s="34">
        <f t="shared" si="60"/>
        <v>5</v>
      </c>
      <c r="J1316" s="34">
        <v>35</v>
      </c>
      <c r="K1316" s="36">
        <v>825</v>
      </c>
      <c r="L1316" s="34" t="s">
        <v>17</v>
      </c>
      <c r="M1316" s="57">
        <v>35306</v>
      </c>
      <c r="N1316" s="37">
        <f>(YEAR(TablaMadre[[#This Row],[ALTA]])-YEAR(M1316))</f>
        <v>26</v>
      </c>
      <c r="O1316" s="34" t="s">
        <v>323</v>
      </c>
      <c r="P1316" s="34" t="s">
        <v>19</v>
      </c>
      <c r="Q1316" s="34" t="s">
        <v>297</v>
      </c>
      <c r="R1316" s="34" t="s">
        <v>21</v>
      </c>
      <c r="S1316" s="34" t="s">
        <v>297</v>
      </c>
      <c r="T1316" s="34"/>
      <c r="U1316" s="34"/>
      <c r="V1316" s="34" t="s">
        <v>122</v>
      </c>
      <c r="W1316" s="34" t="s">
        <v>28</v>
      </c>
      <c r="X1316" s="38" t="s">
        <v>173</v>
      </c>
      <c r="Y1316" s="62"/>
      <c r="Z1316" s="38" t="e">
        <f t="shared" si="61"/>
        <v>#NUM!</v>
      </c>
      <c r="AA1316" s="38"/>
      <c r="AB1316" s="34">
        <v>7</v>
      </c>
      <c r="AC1316" s="34"/>
      <c r="AD1316" s="38"/>
      <c r="AE1316" s="59" t="str">
        <f t="shared" si="62"/>
        <v>SÍ</v>
      </c>
      <c r="AF1316" s="38" t="e" cm="1">
        <f t="array" aca="1" ref="AF1316" ca="1">MIN(100, MAX(0, (IF(R1316="ESTUDIANTE", 31, 0)) + (IF(I1316&lt;=3, 30, IF(I1316&lt;=6, 20, 0))) +(IF(OR(E1316="413 - Control de Costes y Enlace Construcción", E1316="480 - Secretaría General del Consejo", E1316="132 - Civil y estructuras", E1316="136 - Mecánica", E1316="412 - Planificación", E1316="142 - Compras"), 25, 0)) +(IF(OR(S1316="GRADO ING. MECÁNICA", S1316="GRADO ING. ELÉCTRICA", S1316="GRADO DERECHO", S1316="GRADO ECONOMÍA", S1316="GRADO ING. TECNOLOGÍAS INDUSTRIALES"), 24, 0)) + (IF(AND(K1316&gt;=451, K1316&lt;=700), 23, 0)) + (IF(AND(AB1316&gt;=5, AB1316&lt;=8), 17, 0)) +(IF(_xludf.OR(_xludf.AND(AC1316&gt;=8, AC1316&lt;=10), _xludf.AND(AC1316&gt;=0, AC1316&lt;=5)), 16, 0)) + (IF(F1316="Madrid", 11, 0))))</f>
        <v>#NAME?</v>
      </c>
      <c r="AG1316" s="68"/>
      <c r="AH1316" s="71" t="s">
        <v>164</v>
      </c>
    </row>
    <row r="1317" spans="1:34" ht="14.4" x14ac:dyDescent="0.3">
      <c r="A1317" s="66" t="s">
        <v>2294</v>
      </c>
      <c r="B1317" s="66" t="s">
        <v>4411</v>
      </c>
      <c r="C1317" s="33">
        <v>1315</v>
      </c>
      <c r="D1317" s="33" t="s">
        <v>5404</v>
      </c>
      <c r="E1317" s="34" t="s">
        <v>5222</v>
      </c>
      <c r="F1317" s="34" t="s">
        <v>18</v>
      </c>
      <c r="G1317" s="57">
        <v>44621</v>
      </c>
      <c r="H1317" s="57">
        <v>44804</v>
      </c>
      <c r="I1317" s="34">
        <f t="shared" si="60"/>
        <v>5</v>
      </c>
      <c r="J1317" s="34">
        <v>35</v>
      </c>
      <c r="K1317" s="36">
        <v>825</v>
      </c>
      <c r="L1317" s="34" t="s">
        <v>17</v>
      </c>
      <c r="M1317" s="57">
        <v>35602</v>
      </c>
      <c r="N1317" s="37">
        <f>(YEAR(TablaMadre[[#This Row],[ALTA]])-YEAR(M1317))</f>
        <v>25</v>
      </c>
      <c r="O1317" s="34" t="s">
        <v>18</v>
      </c>
      <c r="P1317" s="34" t="s">
        <v>19</v>
      </c>
      <c r="Q1317" s="34" t="s">
        <v>549</v>
      </c>
      <c r="R1317" s="34" t="s">
        <v>21</v>
      </c>
      <c r="S1317" s="34" t="s">
        <v>297</v>
      </c>
      <c r="T1317" s="34"/>
      <c r="U1317" s="34"/>
      <c r="V1317" s="34" t="s">
        <v>84</v>
      </c>
      <c r="W1317" s="34" t="s">
        <v>28</v>
      </c>
      <c r="X1317" s="38" t="s">
        <v>173</v>
      </c>
      <c r="Y1317" s="62"/>
      <c r="Z1317" s="38" t="e">
        <f t="shared" si="61"/>
        <v>#NUM!</v>
      </c>
      <c r="AA1317" s="38"/>
      <c r="AB1317" s="34" t="s">
        <v>544</v>
      </c>
      <c r="AC1317" s="34">
        <v>10</v>
      </c>
      <c r="AD1317" s="38"/>
      <c r="AE1317" s="59" t="str">
        <f t="shared" si="62"/>
        <v>NO</v>
      </c>
      <c r="AF1317" s="38" t="e" cm="1">
        <f t="array" aca="1" ref="AF1317" ca="1">MIN(100, MAX(0, (IF(R1317="ESTUDIANTE", 31, 0)) + (IF(I1317&lt;=3, 30, IF(I1317&lt;=6, 20, 0))) +(IF(OR(E1317="413 - Control de Costes y Enlace Construcción", E1317="480 - Secretaría General del Consejo", E1317="132 - Civil y estructuras", E1317="136 - Mecánica", E1317="412 - Planificación", E1317="142 - Compras"), 25, 0)) +(IF(OR(S1317="GRADO ING. MECÁNICA", S1317="GRADO ING. ELÉCTRICA", S1317="GRADO DERECHO", S1317="GRADO ECONOMÍA", S1317="GRADO ING. TECNOLOGÍAS INDUSTRIALES"), 24, 0)) + (IF(AND(K1317&gt;=451, K1317&lt;=700), 23, 0)) + (IF(AND(AB1317&gt;=5, AB1317&lt;=8), 17, 0)) +(IF(_xludf.OR(_xludf.AND(AC1317&gt;=8, AC1317&lt;=10), _xludf.AND(AC1317&gt;=0, AC1317&lt;=5)), 16, 0)) + (IF(F1317="Madrid", 11, 0))))</f>
        <v>#NAME?</v>
      </c>
      <c r="AG1317" s="68"/>
      <c r="AH1317" s="71" t="s">
        <v>164</v>
      </c>
    </row>
    <row r="1318" spans="1:34" ht="14.4" x14ac:dyDescent="0.3">
      <c r="A1318" s="66" t="s">
        <v>2296</v>
      </c>
      <c r="B1318" s="66" t="s">
        <v>4413</v>
      </c>
      <c r="C1318" s="33">
        <v>1317</v>
      </c>
      <c r="D1318" s="33" t="s">
        <v>5405</v>
      </c>
      <c r="E1318" s="34" t="s">
        <v>5246</v>
      </c>
      <c r="F1318" s="34" t="s">
        <v>18</v>
      </c>
      <c r="G1318" s="57">
        <v>44621</v>
      </c>
      <c r="H1318" s="57">
        <v>44869</v>
      </c>
      <c r="I1318" s="34">
        <f t="shared" si="60"/>
        <v>8</v>
      </c>
      <c r="J1318" s="34">
        <v>35</v>
      </c>
      <c r="K1318" s="36">
        <v>725</v>
      </c>
      <c r="L1318" s="34" t="s">
        <v>17</v>
      </c>
      <c r="M1318" s="57">
        <v>35392</v>
      </c>
      <c r="N1318" s="37">
        <f>(YEAR(TablaMadre[[#This Row],[ALTA]])-YEAR(M1318))</f>
        <v>26</v>
      </c>
      <c r="O1318" s="34" t="s">
        <v>62</v>
      </c>
      <c r="P1318" s="34" t="s">
        <v>19</v>
      </c>
      <c r="Q1318" s="34" t="s">
        <v>574</v>
      </c>
      <c r="R1318" s="34" t="s">
        <v>21</v>
      </c>
      <c r="S1318" s="34" t="s">
        <v>277</v>
      </c>
      <c r="T1318" s="34"/>
      <c r="U1318" s="34"/>
      <c r="V1318" s="34" t="s">
        <v>22</v>
      </c>
      <c r="W1318" s="34" t="s">
        <v>181</v>
      </c>
      <c r="X1318" s="38" t="s">
        <v>164</v>
      </c>
      <c r="Y1318" s="62"/>
      <c r="Z1318" s="38" t="e">
        <f t="shared" si="61"/>
        <v>#NUM!</v>
      </c>
      <c r="AA1318" s="38"/>
      <c r="AB1318" s="34">
        <v>10</v>
      </c>
      <c r="AC1318" s="34">
        <v>7</v>
      </c>
      <c r="AD1318" s="38"/>
      <c r="AE1318" s="59" t="str">
        <f t="shared" si="62"/>
        <v>SÍ</v>
      </c>
      <c r="AF1318" s="38" t="e" cm="1">
        <f t="array" aca="1" ref="AF1318" ca="1">MIN(100, MAX(0, (IF(R1318="ESTUDIANTE", 31, 0)) + (IF(I1318&lt;=3, 30, IF(I1318&lt;=6, 20, 0))) +(IF(OR(E1318="413 - Control de Costes y Enlace Construcción", E1318="480 - Secretaría General del Consejo", E1318="132 - Civil y estructuras", E1318="136 - Mecánica", E1318="412 - Planificación", E1318="142 - Compras"), 25, 0)) +(IF(OR(S1318="GRADO ING. MECÁNICA", S1318="GRADO ING. ELÉCTRICA", S1318="GRADO DERECHO", S1318="GRADO ECONOMÍA", S1318="GRADO ING. TECNOLOGÍAS INDUSTRIALES"), 24, 0)) + (IF(AND(K1318&gt;=451, K1318&lt;=700), 23, 0)) + (IF(AND(AB1318&gt;=5, AB1318&lt;=8), 17, 0)) +(IF(_xludf.OR(_xludf.AND(AC1318&gt;=8, AC1318&lt;=10), _xludf.AND(AC1318&gt;=0, AC1318&lt;=5)), 16, 0)) + (IF(F1318="Madrid", 11, 0))))</f>
        <v>#NAME?</v>
      </c>
      <c r="AG1318" s="68"/>
      <c r="AH1318" s="71" t="s">
        <v>164</v>
      </c>
    </row>
    <row r="1319" spans="1:34" ht="14.4" x14ac:dyDescent="0.3">
      <c r="A1319" s="66" t="s">
        <v>2297</v>
      </c>
      <c r="B1319" s="66" t="s">
        <v>4414</v>
      </c>
      <c r="C1319" s="33">
        <v>1318</v>
      </c>
      <c r="D1319" s="33" t="s">
        <v>5396</v>
      </c>
      <c r="E1319" s="34" t="s">
        <v>5216</v>
      </c>
      <c r="F1319" s="34" t="s">
        <v>18</v>
      </c>
      <c r="G1319" s="57">
        <v>44621</v>
      </c>
      <c r="H1319" s="57">
        <v>45009</v>
      </c>
      <c r="I1319" s="34">
        <f t="shared" si="60"/>
        <v>12</v>
      </c>
      <c r="J1319" s="34">
        <v>35</v>
      </c>
      <c r="K1319" s="36">
        <v>825</v>
      </c>
      <c r="L1319" s="34" t="s">
        <v>29</v>
      </c>
      <c r="M1319" s="57">
        <v>36392</v>
      </c>
      <c r="N1319" s="37">
        <f>(YEAR(TablaMadre[[#This Row],[ALTA]])-YEAR(M1319))</f>
        <v>23</v>
      </c>
      <c r="O1319" s="34" t="s">
        <v>18</v>
      </c>
      <c r="P1319" s="34" t="s">
        <v>19</v>
      </c>
      <c r="Q1319" s="34" t="s">
        <v>297</v>
      </c>
      <c r="R1319" s="34" t="s">
        <v>21</v>
      </c>
      <c r="S1319" s="34" t="s">
        <v>297</v>
      </c>
      <c r="T1319" s="34"/>
      <c r="U1319" s="34"/>
      <c r="V1319" s="34" t="s">
        <v>84</v>
      </c>
      <c r="W1319" s="34" t="s">
        <v>28</v>
      </c>
      <c r="X1319" s="38" t="s">
        <v>173</v>
      </c>
      <c r="Y1319" s="62"/>
      <c r="Z1319" s="38" t="e">
        <f t="shared" si="61"/>
        <v>#NUM!</v>
      </c>
      <c r="AA1319" s="38"/>
      <c r="AB1319" s="34">
        <v>10</v>
      </c>
      <c r="AC1319" s="34">
        <v>9</v>
      </c>
      <c r="AD1319" s="38"/>
      <c r="AE1319" s="59" t="str">
        <f t="shared" si="62"/>
        <v>NO</v>
      </c>
      <c r="AF1319" s="38" t="e" cm="1">
        <f t="array" aca="1" ref="AF1319" ca="1">MIN(100, MAX(0, (IF(R1319="ESTUDIANTE", 31, 0)) + (IF(I1319&lt;=3, 30, IF(I1319&lt;=6, 20, 0))) +(IF(OR(E1319="413 - Control de Costes y Enlace Construcción", E1319="480 - Secretaría General del Consejo", E1319="132 - Civil y estructuras", E1319="136 - Mecánica", E1319="412 - Planificación", E1319="142 - Compras"), 25, 0)) +(IF(OR(S1319="GRADO ING. MECÁNICA", S1319="GRADO ING. ELÉCTRICA", S1319="GRADO DERECHO", S1319="GRADO ECONOMÍA", S1319="GRADO ING. TECNOLOGÍAS INDUSTRIALES"), 24, 0)) + (IF(AND(K1319&gt;=451, K1319&lt;=700), 23, 0)) + (IF(AND(AB1319&gt;=5, AB1319&lt;=8), 17, 0)) +(IF(_xludf.OR(_xludf.AND(AC1319&gt;=8, AC1319&lt;=10), _xludf.AND(AC1319&gt;=0, AC1319&lt;=5)), 16, 0)) + (IF(F1319="Madrid", 11, 0))))</f>
        <v>#NAME?</v>
      </c>
      <c r="AG1319" s="68"/>
      <c r="AH1319" s="71" t="s">
        <v>164</v>
      </c>
    </row>
    <row r="1320" spans="1:34" ht="14.4" x14ac:dyDescent="0.3">
      <c r="A1320" s="66" t="s">
        <v>2298</v>
      </c>
      <c r="B1320" s="66" t="s">
        <v>4415</v>
      </c>
      <c r="C1320" s="33">
        <v>1319</v>
      </c>
      <c r="D1320" s="33" t="s">
        <v>5397</v>
      </c>
      <c r="E1320" s="34" t="s">
        <v>5246</v>
      </c>
      <c r="F1320" s="34" t="s">
        <v>18</v>
      </c>
      <c r="G1320" s="57">
        <v>44621</v>
      </c>
      <c r="H1320" s="57">
        <v>45044</v>
      </c>
      <c r="I1320" s="34">
        <f t="shared" si="60"/>
        <v>13</v>
      </c>
      <c r="J1320" s="34">
        <v>35</v>
      </c>
      <c r="K1320" s="36">
        <v>725</v>
      </c>
      <c r="L1320" s="34" t="s">
        <v>17</v>
      </c>
      <c r="M1320" s="57">
        <v>35983</v>
      </c>
      <c r="N1320" s="37">
        <f>(YEAR(TablaMadre[[#This Row],[ALTA]])-YEAR(M1320))</f>
        <v>24</v>
      </c>
      <c r="O1320" s="34" t="s">
        <v>146</v>
      </c>
      <c r="P1320" s="34" t="s">
        <v>19</v>
      </c>
      <c r="Q1320" s="34" t="s">
        <v>574</v>
      </c>
      <c r="R1320" s="34" t="s">
        <v>21</v>
      </c>
      <c r="S1320" s="34" t="s">
        <v>277</v>
      </c>
      <c r="T1320" s="34"/>
      <c r="U1320" s="34"/>
      <c r="V1320" s="34" t="s">
        <v>67</v>
      </c>
      <c r="W1320" s="34" t="s">
        <v>28</v>
      </c>
      <c r="X1320" s="38" t="s">
        <v>173</v>
      </c>
      <c r="Y1320" s="62"/>
      <c r="Z1320" s="38" t="e">
        <f t="shared" si="61"/>
        <v>#NUM!</v>
      </c>
      <c r="AA1320" s="38"/>
      <c r="AB1320" s="34">
        <v>8</v>
      </c>
      <c r="AC1320" s="34">
        <v>9</v>
      </c>
      <c r="AD1320" s="38"/>
      <c r="AE1320" s="59" t="str">
        <f t="shared" si="62"/>
        <v>SÍ</v>
      </c>
      <c r="AF1320" s="38" t="e" cm="1">
        <f t="array" aca="1" ref="AF1320" ca="1">MIN(100, MAX(0, (IF(R1320="ESTUDIANTE", 31, 0)) + (IF(I1320&lt;=3, 30, IF(I1320&lt;=6, 20, 0))) +(IF(OR(E1320="413 - Control de Costes y Enlace Construcción", E1320="480 - Secretaría General del Consejo", E1320="132 - Civil y estructuras", E1320="136 - Mecánica", E1320="412 - Planificación", E1320="142 - Compras"), 25, 0)) +(IF(OR(S1320="GRADO ING. MECÁNICA", S1320="GRADO ING. ELÉCTRICA", S1320="GRADO DERECHO", S1320="GRADO ECONOMÍA", S1320="GRADO ING. TECNOLOGÍAS INDUSTRIALES"), 24, 0)) + (IF(AND(K1320&gt;=451, K1320&lt;=700), 23, 0)) + (IF(AND(AB1320&gt;=5, AB1320&lt;=8), 17, 0)) +(IF(_xludf.OR(_xludf.AND(AC1320&gt;=8, AC1320&lt;=10), _xludf.AND(AC1320&gt;=0, AC1320&lt;=5)), 16, 0)) + (IF(F1320="Madrid", 11, 0))))</f>
        <v>#NAME?</v>
      </c>
      <c r="AG1320" s="68"/>
      <c r="AH1320" s="71" t="s">
        <v>164</v>
      </c>
    </row>
    <row r="1321" spans="1:34" ht="14.4" x14ac:dyDescent="0.3">
      <c r="A1321" s="66" t="s">
        <v>2122</v>
      </c>
      <c r="B1321" s="66" t="s">
        <v>4239</v>
      </c>
      <c r="C1321" s="33">
        <v>1320</v>
      </c>
      <c r="D1321" s="33" t="s">
        <v>5393</v>
      </c>
      <c r="E1321" s="34" t="s">
        <v>5222</v>
      </c>
      <c r="F1321" s="34" t="s">
        <v>18</v>
      </c>
      <c r="G1321" s="57">
        <v>44622</v>
      </c>
      <c r="H1321" s="57">
        <v>44680</v>
      </c>
      <c r="I1321" s="34">
        <f t="shared" si="60"/>
        <v>1</v>
      </c>
      <c r="J1321" s="34">
        <v>35</v>
      </c>
      <c r="K1321" s="36">
        <v>825</v>
      </c>
      <c r="L1321" s="34" t="s">
        <v>17</v>
      </c>
      <c r="M1321" s="57">
        <v>34472</v>
      </c>
      <c r="N1321" s="37">
        <f>(YEAR(TablaMadre[[#This Row],[ALTA]])-YEAR(M1321))</f>
        <v>28</v>
      </c>
      <c r="O1321" s="34" t="s">
        <v>153</v>
      </c>
      <c r="P1321" s="34" t="s">
        <v>19</v>
      </c>
      <c r="Q1321" s="34" t="s">
        <v>297</v>
      </c>
      <c r="R1321" s="34" t="s">
        <v>21</v>
      </c>
      <c r="S1321" s="34" t="s">
        <v>297</v>
      </c>
      <c r="T1321" s="34"/>
      <c r="U1321" s="34"/>
      <c r="V1321" s="34" t="s">
        <v>22</v>
      </c>
      <c r="W1321" s="34" t="s">
        <v>181</v>
      </c>
      <c r="X1321" s="38" t="s">
        <v>164</v>
      </c>
      <c r="Y1321" s="62"/>
      <c r="Z1321" s="38" t="e">
        <f t="shared" si="61"/>
        <v>#NUM!</v>
      </c>
      <c r="AA1321" s="38"/>
      <c r="AB1321" s="34"/>
      <c r="AC1321" s="34"/>
      <c r="AD1321" s="38"/>
      <c r="AE1321" s="59" t="str">
        <f t="shared" si="62"/>
        <v>SÍ</v>
      </c>
      <c r="AF1321" s="38" t="e" cm="1">
        <f t="array" aca="1" ref="AF1321" ca="1">MIN(100, MAX(0, (IF(R1321="ESTUDIANTE", 31, 0)) + (IF(I1321&lt;=3, 30, IF(I1321&lt;=6, 20, 0))) +(IF(OR(E1321="413 - Control de Costes y Enlace Construcción", E1321="480 - Secretaría General del Consejo", E1321="132 - Civil y estructuras", E1321="136 - Mecánica", E1321="412 - Planificación", E1321="142 - Compras"), 25, 0)) +(IF(OR(S1321="GRADO ING. MECÁNICA", S1321="GRADO ING. ELÉCTRICA", S1321="GRADO DERECHO", S1321="GRADO ECONOMÍA", S1321="GRADO ING. TECNOLOGÍAS INDUSTRIALES"), 24, 0)) + (IF(AND(K1321&gt;=451, K1321&lt;=700), 23, 0)) + (IF(AND(AB1321&gt;=5, AB1321&lt;=8), 17, 0)) +(IF(_xludf.OR(_xludf.AND(AC1321&gt;=8, AC1321&lt;=10), _xludf.AND(AC1321&gt;=0, AC1321&lt;=5)), 16, 0)) + (IF(F1321="Madrid", 11, 0))))</f>
        <v>#NAME?</v>
      </c>
      <c r="AG1321" s="68"/>
      <c r="AH1321" s="71" t="s">
        <v>164</v>
      </c>
    </row>
    <row r="1322" spans="1:34" ht="14.4" x14ac:dyDescent="0.3">
      <c r="A1322" s="66" t="s">
        <v>2300</v>
      </c>
      <c r="B1322" s="66" t="s">
        <v>4417</v>
      </c>
      <c r="C1322" s="33">
        <v>1321</v>
      </c>
      <c r="D1322" s="33" t="s">
        <v>5394</v>
      </c>
      <c r="E1322" s="34" t="s">
        <v>5332</v>
      </c>
      <c r="F1322" s="34" t="s">
        <v>18</v>
      </c>
      <c r="G1322" s="57">
        <v>44627</v>
      </c>
      <c r="H1322" s="57">
        <v>44896</v>
      </c>
      <c r="I1322" s="34">
        <f t="shared" si="60"/>
        <v>8</v>
      </c>
      <c r="J1322" s="34">
        <v>35</v>
      </c>
      <c r="K1322" s="36">
        <v>700</v>
      </c>
      <c r="L1322" s="34" t="s">
        <v>29</v>
      </c>
      <c r="M1322" s="57">
        <v>35701</v>
      </c>
      <c r="N1322" s="37">
        <f>(YEAR(TablaMadre[[#This Row],[ALTA]])-YEAR(M1322))</f>
        <v>25</v>
      </c>
      <c r="O1322" s="34" t="s">
        <v>18</v>
      </c>
      <c r="P1322" s="34" t="s">
        <v>19</v>
      </c>
      <c r="Q1322" s="34" t="s">
        <v>581</v>
      </c>
      <c r="R1322" s="58" t="s">
        <v>30</v>
      </c>
      <c r="S1322" s="34" t="s">
        <v>307</v>
      </c>
      <c r="T1322" s="34"/>
      <c r="U1322" s="34"/>
      <c r="V1322" s="34" t="s">
        <v>22</v>
      </c>
      <c r="W1322" s="34" t="s">
        <v>28</v>
      </c>
      <c r="X1322" s="38" t="s">
        <v>164</v>
      </c>
      <c r="Y1322" s="62">
        <v>45635</v>
      </c>
      <c r="Z1322" s="38">
        <f t="shared" si="61"/>
        <v>2</v>
      </c>
      <c r="AA1322" s="38"/>
      <c r="AB1322" s="34">
        <v>9</v>
      </c>
      <c r="AC1322" s="34">
        <v>9</v>
      </c>
      <c r="AD1322" s="38"/>
      <c r="AE1322" s="59" t="str">
        <f t="shared" si="62"/>
        <v>NO</v>
      </c>
      <c r="AF1322" s="38" t="e" cm="1">
        <f t="array" aca="1" ref="AF1322" ca="1">MIN(100, MAX(0, (IF(R1322="ESTUDIANTE", 31, 0)) + (IF(I1322&lt;=3, 30, IF(I1322&lt;=6, 20, 0))) +(IF(OR(E1322="413 - Control de Costes y Enlace Construcción", E1322="480 - Secretaría General del Consejo", E1322="132 - Civil y estructuras", E1322="136 - Mecánica", E1322="412 - Planificación", E1322="142 - Compras"), 25, 0)) +(IF(OR(S1322="GRADO ING. MECÁNICA", S1322="GRADO ING. ELÉCTRICA", S1322="GRADO DERECHO", S1322="GRADO ECONOMÍA", S1322="GRADO ING. TECNOLOGÍAS INDUSTRIALES"), 24, 0)) + (IF(AND(K1322&gt;=451, K1322&lt;=700), 23, 0)) + (IF(AND(AB1322&gt;=5, AB1322&lt;=8), 17, 0)) +(IF(_xludf.OR(_xludf.AND(AC1322&gt;=8, AC1322&lt;=10), _xludf.AND(AC1322&gt;=0, AC1322&lt;=5)), 16, 0)) + (IF(F1322="Madrid", 11, 0))))</f>
        <v>#NAME?</v>
      </c>
      <c r="AG1322" s="68"/>
      <c r="AH1322" s="71" t="s">
        <v>164</v>
      </c>
    </row>
    <row r="1323" spans="1:34" ht="14.4" x14ac:dyDescent="0.3">
      <c r="A1323" s="66" t="s">
        <v>2123</v>
      </c>
      <c r="B1323" s="66" t="s">
        <v>4240</v>
      </c>
      <c r="C1323" s="33">
        <v>1327</v>
      </c>
      <c r="D1323" s="33" t="s">
        <v>5395</v>
      </c>
      <c r="E1323" s="34" t="s">
        <v>5222</v>
      </c>
      <c r="F1323" s="34" t="s">
        <v>18</v>
      </c>
      <c r="G1323" s="57">
        <v>44634</v>
      </c>
      <c r="H1323" s="57">
        <v>44998</v>
      </c>
      <c r="I1323" s="34">
        <f t="shared" si="60"/>
        <v>11</v>
      </c>
      <c r="J1323" s="34">
        <v>35</v>
      </c>
      <c r="K1323" s="36">
        <v>825</v>
      </c>
      <c r="L1323" s="34" t="s">
        <v>17</v>
      </c>
      <c r="M1323" s="57">
        <v>35770</v>
      </c>
      <c r="N1323" s="37">
        <f>(YEAR(TablaMadre[[#This Row],[ALTA]])-YEAR(M1323))</f>
        <v>25</v>
      </c>
      <c r="O1323" s="34" t="s">
        <v>18</v>
      </c>
      <c r="P1323" s="34" t="s">
        <v>19</v>
      </c>
      <c r="Q1323" s="34" t="s">
        <v>533</v>
      </c>
      <c r="R1323" s="34" t="s">
        <v>21</v>
      </c>
      <c r="S1323" s="34" t="s">
        <v>297</v>
      </c>
      <c r="T1323" s="34"/>
      <c r="U1323" s="34"/>
      <c r="V1323" s="34" t="s">
        <v>22</v>
      </c>
      <c r="W1323" s="34" t="s">
        <v>23</v>
      </c>
      <c r="X1323" s="38" t="s">
        <v>173</v>
      </c>
      <c r="Y1323" s="62"/>
      <c r="Z1323" s="38" t="e">
        <f t="shared" si="61"/>
        <v>#NUM!</v>
      </c>
      <c r="AA1323" s="38"/>
      <c r="AB1323" s="34">
        <v>8</v>
      </c>
      <c r="AC1323" s="34">
        <v>6</v>
      </c>
      <c r="AD1323" s="38"/>
      <c r="AE1323" s="59" t="str">
        <f t="shared" si="62"/>
        <v>NO</v>
      </c>
      <c r="AF1323" s="38" t="e" cm="1">
        <f t="array" aca="1" ref="AF1323" ca="1">MIN(100, MAX(0, (IF(R1323="ESTUDIANTE", 31, 0)) + (IF(I1323&lt;=3, 30, IF(I1323&lt;=6, 20, 0))) +(IF(OR(E1323="413 - Control de Costes y Enlace Construcción", E1323="480 - Secretaría General del Consejo", E1323="132 - Civil y estructuras", E1323="136 - Mecánica", E1323="412 - Planificación", E1323="142 - Compras"), 25, 0)) +(IF(OR(S1323="GRADO ING. MECÁNICA", S1323="GRADO ING. ELÉCTRICA", S1323="GRADO DERECHO", S1323="GRADO ECONOMÍA", S1323="GRADO ING. TECNOLOGÍAS INDUSTRIALES"), 24, 0)) + (IF(AND(K1323&gt;=451, K1323&lt;=700), 23, 0)) + (IF(AND(AB1323&gt;=5, AB1323&lt;=8), 17, 0)) +(IF(_xludf.OR(_xludf.AND(AC1323&gt;=8, AC1323&lt;=10), _xludf.AND(AC1323&gt;=0, AC1323&lt;=5)), 16, 0)) + (IF(F1323="Madrid", 11, 0))))</f>
        <v>#NAME?</v>
      </c>
      <c r="AG1323" s="68"/>
      <c r="AH1323" s="71" t="s">
        <v>164</v>
      </c>
    </row>
    <row r="1324" spans="1:34" ht="14.4" x14ac:dyDescent="0.3">
      <c r="A1324" s="66" t="s">
        <v>2124</v>
      </c>
      <c r="B1324" s="66" t="s">
        <v>4241</v>
      </c>
      <c r="C1324" s="33">
        <v>1323</v>
      </c>
      <c r="D1324" s="33" t="s">
        <v>5396</v>
      </c>
      <c r="E1324" s="34" t="s">
        <v>5252</v>
      </c>
      <c r="F1324" s="34" t="s">
        <v>18</v>
      </c>
      <c r="G1324" s="57">
        <v>44634</v>
      </c>
      <c r="H1324" s="57">
        <v>44711</v>
      </c>
      <c r="I1324" s="34">
        <f t="shared" si="60"/>
        <v>2</v>
      </c>
      <c r="J1324" s="34">
        <v>40</v>
      </c>
      <c r="K1324" s="36">
        <v>450</v>
      </c>
      <c r="L1324" s="34" t="s">
        <v>17</v>
      </c>
      <c r="M1324" s="57">
        <v>36416</v>
      </c>
      <c r="N1324" s="37">
        <f>(YEAR(TablaMadre[[#This Row],[ALTA]])-YEAR(M1324))</f>
        <v>23</v>
      </c>
      <c r="O1324" s="34" t="s">
        <v>18</v>
      </c>
      <c r="P1324" s="34" t="s">
        <v>19</v>
      </c>
      <c r="Q1324" s="34" t="s">
        <v>359</v>
      </c>
      <c r="R1324" s="58" t="s">
        <v>30</v>
      </c>
      <c r="S1324" s="34" t="s">
        <v>26</v>
      </c>
      <c r="T1324" s="34"/>
      <c r="U1324" s="34"/>
      <c r="V1324" s="34" t="s">
        <v>27</v>
      </c>
      <c r="W1324" s="34" t="s">
        <v>181</v>
      </c>
      <c r="X1324" s="38" t="s">
        <v>173</v>
      </c>
      <c r="Y1324" s="62"/>
      <c r="Z1324" s="38" t="e">
        <f t="shared" si="61"/>
        <v>#NUM!</v>
      </c>
      <c r="AA1324" s="38"/>
      <c r="AB1324" s="34"/>
      <c r="AC1324" s="34"/>
      <c r="AD1324" s="38"/>
      <c r="AE1324" s="59" t="str">
        <f t="shared" si="62"/>
        <v>NO</v>
      </c>
      <c r="AF1324" s="38" t="e" cm="1">
        <f t="array" aca="1" ref="AF1324" ca="1">MIN(100, MAX(0, (IF(R1324="ESTUDIANTE", 31, 0)) + (IF(I1324&lt;=3, 30, IF(I1324&lt;=6, 20, 0))) +(IF(OR(E1324="413 - Control de Costes y Enlace Construcción", E1324="480 - Secretaría General del Consejo", E1324="132 - Civil y estructuras", E1324="136 - Mecánica", E1324="412 - Planificación", E1324="142 - Compras"), 25, 0)) +(IF(OR(S1324="GRADO ING. MECÁNICA", S1324="GRADO ING. ELÉCTRICA", S1324="GRADO DERECHO", S1324="GRADO ECONOMÍA", S1324="GRADO ING. TECNOLOGÍAS INDUSTRIALES"), 24, 0)) + (IF(AND(K1324&gt;=451, K1324&lt;=700), 23, 0)) + (IF(AND(AB1324&gt;=5, AB1324&lt;=8), 17, 0)) +(IF(_xludf.OR(_xludf.AND(AC1324&gt;=8, AC1324&lt;=10), _xludf.AND(AC1324&gt;=0, AC1324&lt;=5)), 16, 0)) + (IF(F1324="Madrid", 11, 0))))</f>
        <v>#NAME?</v>
      </c>
      <c r="AG1324" s="68"/>
      <c r="AH1324" s="71" t="s">
        <v>164</v>
      </c>
    </row>
    <row r="1325" spans="1:34" ht="14.4" x14ac:dyDescent="0.3">
      <c r="A1325" s="66" t="s">
        <v>2292</v>
      </c>
      <c r="B1325" s="66" t="s">
        <v>4409</v>
      </c>
      <c r="C1325" s="33">
        <v>1324</v>
      </c>
      <c r="D1325" s="33" t="s">
        <v>5397</v>
      </c>
      <c r="E1325" s="34" t="s">
        <v>5252</v>
      </c>
      <c r="F1325" s="34" t="s">
        <v>18</v>
      </c>
      <c r="G1325" s="57">
        <v>44634</v>
      </c>
      <c r="H1325" s="57">
        <v>44711</v>
      </c>
      <c r="I1325" s="34">
        <f t="shared" si="60"/>
        <v>2</v>
      </c>
      <c r="J1325" s="34">
        <v>40</v>
      </c>
      <c r="K1325" s="36">
        <v>450</v>
      </c>
      <c r="L1325" s="34" t="s">
        <v>17</v>
      </c>
      <c r="M1325" s="57">
        <v>37379</v>
      </c>
      <c r="N1325" s="37">
        <f>(YEAR(TablaMadre[[#This Row],[ALTA]])-YEAR(M1325))</f>
        <v>20</v>
      </c>
      <c r="O1325" s="34" t="s">
        <v>18</v>
      </c>
      <c r="P1325" s="34" t="s">
        <v>19</v>
      </c>
      <c r="Q1325" s="34" t="s">
        <v>359</v>
      </c>
      <c r="R1325" s="58" t="s">
        <v>30</v>
      </c>
      <c r="S1325" s="34" t="s">
        <v>26</v>
      </c>
      <c r="T1325" s="34"/>
      <c r="U1325" s="34"/>
      <c r="V1325" s="34" t="s">
        <v>27</v>
      </c>
      <c r="W1325" s="34" t="s">
        <v>181</v>
      </c>
      <c r="X1325" s="38" t="s">
        <v>173</v>
      </c>
      <c r="Y1325" s="62"/>
      <c r="Z1325" s="38" t="e">
        <f t="shared" si="61"/>
        <v>#NUM!</v>
      </c>
      <c r="AA1325" s="38"/>
      <c r="AB1325" s="34"/>
      <c r="AC1325" s="34"/>
      <c r="AD1325" s="38"/>
      <c r="AE1325" s="59" t="str">
        <f t="shared" si="62"/>
        <v>NO</v>
      </c>
      <c r="AF1325" s="38" t="e" cm="1">
        <f t="array" aca="1" ref="AF1325" ca="1">MIN(100, MAX(0, (IF(R1325="ESTUDIANTE", 31, 0)) + (IF(I1325&lt;=3, 30, IF(I1325&lt;=6, 20, 0))) +(IF(OR(E1325="413 - Control de Costes y Enlace Construcción", E1325="480 - Secretaría General del Consejo", E1325="132 - Civil y estructuras", E1325="136 - Mecánica", E1325="412 - Planificación", E1325="142 - Compras"), 25, 0)) +(IF(OR(S1325="GRADO ING. MECÁNICA", S1325="GRADO ING. ELÉCTRICA", S1325="GRADO DERECHO", S1325="GRADO ECONOMÍA", S1325="GRADO ING. TECNOLOGÍAS INDUSTRIALES"), 24, 0)) + (IF(AND(K1325&gt;=451, K1325&lt;=700), 23, 0)) + (IF(AND(AB1325&gt;=5, AB1325&lt;=8), 17, 0)) +(IF(_xludf.OR(_xludf.AND(AC1325&gt;=8, AC1325&lt;=10), _xludf.AND(AC1325&gt;=0, AC1325&lt;=5)), 16, 0)) + (IF(F1325="Madrid", 11, 0))))</f>
        <v>#NAME?</v>
      </c>
      <c r="AG1325" s="68"/>
      <c r="AH1325" s="71" t="s">
        <v>164</v>
      </c>
    </row>
    <row r="1326" spans="1:34" ht="14.4" x14ac:dyDescent="0.3">
      <c r="A1326" s="66" t="s">
        <v>2301</v>
      </c>
      <c r="B1326" s="66" t="s">
        <v>4418</v>
      </c>
      <c r="C1326" s="33">
        <v>1322</v>
      </c>
      <c r="D1326" s="33" t="s">
        <v>5398</v>
      </c>
      <c r="E1326" s="34" t="s">
        <v>5252</v>
      </c>
      <c r="F1326" s="34" t="s">
        <v>931</v>
      </c>
      <c r="G1326" s="57">
        <v>44634</v>
      </c>
      <c r="H1326" s="57">
        <v>44638</v>
      </c>
      <c r="I1326" s="34">
        <f t="shared" si="60"/>
        <v>0</v>
      </c>
      <c r="J1326" s="34">
        <v>40</v>
      </c>
      <c r="K1326" s="36">
        <v>0</v>
      </c>
      <c r="L1326" s="34" t="s">
        <v>17</v>
      </c>
      <c r="M1326" s="57">
        <v>23993</v>
      </c>
      <c r="N1326" s="37">
        <f>(YEAR(TablaMadre[[#This Row],[ALTA]])-YEAR(M1326))</f>
        <v>57</v>
      </c>
      <c r="O1326" s="4"/>
      <c r="P1326" s="34" t="s">
        <v>19</v>
      </c>
      <c r="Q1326" s="34" t="s">
        <v>517</v>
      </c>
      <c r="R1326" s="34" t="s">
        <v>30</v>
      </c>
      <c r="S1326" s="34" t="s">
        <v>26</v>
      </c>
      <c r="T1326" s="34"/>
      <c r="U1326" s="34"/>
      <c r="V1326" s="34" t="s">
        <v>27</v>
      </c>
      <c r="W1326" s="34" t="s">
        <v>23</v>
      </c>
      <c r="X1326" s="38" t="s">
        <v>164</v>
      </c>
      <c r="Y1326" s="62"/>
      <c r="Z1326" s="38" t="e">
        <f t="shared" si="61"/>
        <v>#NUM!</v>
      </c>
      <c r="AA1326" s="38"/>
      <c r="AB1326" s="34">
        <v>5</v>
      </c>
      <c r="AC1326" s="34"/>
      <c r="AD1326" s="38"/>
      <c r="AE1326" s="59" t="str">
        <f t="shared" si="62"/>
        <v>SÍ</v>
      </c>
      <c r="AF1326" s="38" t="e" cm="1">
        <f t="array" aca="1" ref="AF1326" ca="1">MIN(100, MAX(0, (IF(R1326="ESTUDIANTE", 31, 0)) + (IF(I1326&lt;=3, 30, IF(I1326&lt;=6, 20, 0))) +(IF(OR(E1326="413 - Control de Costes y Enlace Construcción", E1326="480 - Secretaría General del Consejo", E1326="132 - Civil y estructuras", E1326="136 - Mecánica", E1326="412 - Planificación", E1326="142 - Compras"), 25, 0)) +(IF(OR(S1326="GRADO ING. MECÁNICA", S1326="GRADO ING. ELÉCTRICA", S1326="GRADO DERECHO", S1326="GRADO ECONOMÍA", S1326="GRADO ING. TECNOLOGÍAS INDUSTRIALES"), 24, 0)) + (IF(AND(K1326&gt;=451, K1326&lt;=700), 23, 0)) + (IF(AND(AB1326&gt;=5, AB1326&lt;=8), 17, 0)) +(IF(_xludf.OR(_xludf.AND(AC1326&gt;=8, AC1326&lt;=10), _xludf.AND(AC1326&gt;=0, AC1326&lt;=5)), 16, 0)) + (IF(F1326="Madrid", 11, 0))))</f>
        <v>#NAME?</v>
      </c>
      <c r="AG1326" s="68"/>
      <c r="AH1326" s="71" t="s">
        <v>164</v>
      </c>
    </row>
    <row r="1327" spans="1:34" ht="14.4" x14ac:dyDescent="0.3">
      <c r="A1327" s="66" t="s">
        <v>2305</v>
      </c>
      <c r="B1327" s="66" t="s">
        <v>4422</v>
      </c>
      <c r="C1327" s="33">
        <v>1326</v>
      </c>
      <c r="D1327" s="33" t="s">
        <v>5399</v>
      </c>
      <c r="E1327" s="34" t="s">
        <v>5322</v>
      </c>
      <c r="F1327" s="34" t="s">
        <v>18</v>
      </c>
      <c r="G1327" s="57">
        <v>44634</v>
      </c>
      <c r="H1327" s="57">
        <v>44998</v>
      </c>
      <c r="I1327" s="34">
        <f t="shared" si="60"/>
        <v>11</v>
      </c>
      <c r="J1327" s="34">
        <v>35</v>
      </c>
      <c r="K1327" s="36">
        <v>825</v>
      </c>
      <c r="L1327" s="34" t="s">
        <v>17</v>
      </c>
      <c r="M1327" s="57">
        <v>36806</v>
      </c>
      <c r="N1327" s="37">
        <f>(YEAR(TablaMadre[[#This Row],[ALTA]])-YEAR(M1327))</f>
        <v>22</v>
      </c>
      <c r="O1327" s="34" t="s">
        <v>18</v>
      </c>
      <c r="P1327" s="34" t="s">
        <v>19</v>
      </c>
      <c r="Q1327" s="34" t="s">
        <v>612</v>
      </c>
      <c r="R1327" s="34" t="s">
        <v>21</v>
      </c>
      <c r="S1327" s="34" t="s">
        <v>151</v>
      </c>
      <c r="T1327" s="34"/>
      <c r="U1327" s="34"/>
      <c r="V1327" s="34" t="s">
        <v>40</v>
      </c>
      <c r="W1327" s="34" t="s">
        <v>28</v>
      </c>
      <c r="X1327" s="38" t="s">
        <v>173</v>
      </c>
      <c r="Y1327" s="62"/>
      <c r="Z1327" s="38" t="e">
        <f t="shared" si="61"/>
        <v>#NUM!</v>
      </c>
      <c r="AA1327" s="38"/>
      <c r="AB1327" s="34">
        <v>9</v>
      </c>
      <c r="AC1327" s="34">
        <v>9</v>
      </c>
      <c r="AD1327" s="38"/>
      <c r="AE1327" s="59" t="str">
        <f t="shared" si="62"/>
        <v>NO</v>
      </c>
      <c r="AF1327" s="38" t="e" cm="1">
        <f t="array" aca="1" ref="AF1327" ca="1">MIN(100, MAX(0, (IF(R1327="ESTUDIANTE", 31, 0)) + (IF(I1327&lt;=3, 30, IF(I1327&lt;=6, 20, 0))) +(IF(OR(E1327="413 - Control de Costes y Enlace Construcción", E1327="480 - Secretaría General del Consejo", E1327="132 - Civil y estructuras", E1327="136 - Mecánica", E1327="412 - Planificación", E1327="142 - Compras"), 25, 0)) +(IF(OR(S1327="GRADO ING. MECÁNICA", S1327="GRADO ING. ELÉCTRICA", S1327="GRADO DERECHO", S1327="GRADO ECONOMÍA", S1327="GRADO ING. TECNOLOGÍAS INDUSTRIALES"), 24, 0)) + (IF(AND(K1327&gt;=451, K1327&lt;=700), 23, 0)) + (IF(AND(AB1327&gt;=5, AB1327&lt;=8), 17, 0)) +(IF(_xludf.OR(_xludf.AND(AC1327&gt;=8, AC1327&lt;=10), _xludf.AND(AC1327&gt;=0, AC1327&lt;=5)), 16, 0)) + (IF(F1327="Madrid", 11, 0))))</f>
        <v>#NAME?</v>
      </c>
      <c r="AG1327" s="68"/>
      <c r="AH1327" s="71" t="s">
        <v>164</v>
      </c>
    </row>
    <row r="1328" spans="1:34" ht="14.4" x14ac:dyDescent="0.3">
      <c r="A1328" s="66" t="s">
        <v>2330</v>
      </c>
      <c r="B1328" s="66" t="s">
        <v>4447</v>
      </c>
      <c r="C1328" s="33">
        <v>1351</v>
      </c>
      <c r="D1328" s="33" t="s">
        <v>5400</v>
      </c>
      <c r="E1328" s="34" t="s">
        <v>5235</v>
      </c>
      <c r="F1328" s="34" t="s">
        <v>18</v>
      </c>
      <c r="G1328" s="57">
        <v>44634</v>
      </c>
      <c r="H1328" s="57">
        <v>44817</v>
      </c>
      <c r="I1328" s="34">
        <f t="shared" si="60"/>
        <v>5</v>
      </c>
      <c r="J1328" s="34">
        <v>35</v>
      </c>
      <c r="K1328" s="36">
        <v>825</v>
      </c>
      <c r="L1328" s="34" t="s">
        <v>17</v>
      </c>
      <c r="M1328" s="57">
        <v>35776</v>
      </c>
      <c r="N1328" s="37">
        <f>(YEAR(TablaMadre[[#This Row],[ALTA]])-YEAR(M1328))</f>
        <v>25</v>
      </c>
      <c r="O1328" s="34" t="s">
        <v>18</v>
      </c>
      <c r="P1328" s="34" t="s">
        <v>19</v>
      </c>
      <c r="Q1328" s="34" t="s">
        <v>549</v>
      </c>
      <c r="R1328" s="34" t="s">
        <v>21</v>
      </c>
      <c r="S1328" s="34" t="s">
        <v>297</v>
      </c>
      <c r="T1328" s="34"/>
      <c r="U1328" s="34"/>
      <c r="V1328" s="34" t="s">
        <v>84</v>
      </c>
      <c r="W1328" s="34" t="s">
        <v>28</v>
      </c>
      <c r="X1328" s="38" t="s">
        <v>173</v>
      </c>
      <c r="Y1328" s="62"/>
      <c r="Z1328" s="38" t="e">
        <f t="shared" si="61"/>
        <v>#NUM!</v>
      </c>
      <c r="AA1328" s="38"/>
      <c r="AB1328" s="34">
        <v>9</v>
      </c>
      <c r="AC1328" s="34" t="s">
        <v>585</v>
      </c>
      <c r="AD1328" s="38"/>
      <c r="AE1328" s="59" t="str">
        <f t="shared" si="62"/>
        <v>NO</v>
      </c>
      <c r="AF1328" s="38" t="e" cm="1">
        <f t="array" aca="1" ref="AF1328" ca="1">MIN(100, MAX(0, (IF(R1328="ESTUDIANTE", 31, 0)) + (IF(I1328&lt;=3, 30, IF(I1328&lt;=6, 20, 0))) +(IF(OR(E1328="413 - Control de Costes y Enlace Construcción", E1328="480 - Secretaría General del Consejo", E1328="132 - Civil y estructuras", E1328="136 - Mecánica", E1328="412 - Planificación", E1328="142 - Compras"), 25, 0)) +(IF(OR(S1328="GRADO ING. MECÁNICA", S1328="GRADO ING. ELÉCTRICA", S1328="GRADO DERECHO", S1328="GRADO ECONOMÍA", S1328="GRADO ING. TECNOLOGÍAS INDUSTRIALES"), 24, 0)) + (IF(AND(K1328&gt;=451, K1328&lt;=700), 23, 0)) + (IF(AND(AB1328&gt;=5, AB1328&lt;=8), 17, 0)) +(IF(_xludf.OR(_xludf.AND(AC1328&gt;=8, AC1328&lt;=10), _xludf.AND(AC1328&gt;=0, AC1328&lt;=5)), 16, 0)) + (IF(F1328="Madrid", 11, 0))))</f>
        <v>#NAME?</v>
      </c>
      <c r="AG1328" s="68"/>
      <c r="AH1328" s="71" t="s">
        <v>164</v>
      </c>
    </row>
    <row r="1329" spans="1:34" ht="14.4" x14ac:dyDescent="0.3">
      <c r="A1329" s="66" t="s">
        <v>2307</v>
      </c>
      <c r="B1329" s="66" t="s">
        <v>4424</v>
      </c>
      <c r="C1329" s="33">
        <v>1328</v>
      </c>
      <c r="D1329" s="33" t="s">
        <v>5401</v>
      </c>
      <c r="E1329" s="34" t="s">
        <v>5272</v>
      </c>
      <c r="F1329" s="34" t="s">
        <v>18</v>
      </c>
      <c r="G1329" s="57">
        <v>44637</v>
      </c>
      <c r="H1329" s="57">
        <v>44722</v>
      </c>
      <c r="I1329" s="34">
        <f t="shared" si="60"/>
        <v>2</v>
      </c>
      <c r="J1329" s="34">
        <v>35</v>
      </c>
      <c r="K1329" s="36">
        <v>650</v>
      </c>
      <c r="L1329" s="34" t="s">
        <v>17</v>
      </c>
      <c r="M1329" s="57">
        <v>35879</v>
      </c>
      <c r="N1329" s="37">
        <f>(YEAR(TablaMadre[[#This Row],[ALTA]])-YEAR(M1329))</f>
        <v>24</v>
      </c>
      <c r="O1329" s="34" t="s">
        <v>18</v>
      </c>
      <c r="P1329" s="34" t="s">
        <v>19</v>
      </c>
      <c r="Q1329" s="34" t="s">
        <v>533</v>
      </c>
      <c r="R1329" s="58" t="s">
        <v>30</v>
      </c>
      <c r="S1329" s="34" t="s">
        <v>297</v>
      </c>
      <c r="T1329" s="34"/>
      <c r="U1329" s="34"/>
      <c r="V1329" s="34" t="s">
        <v>56</v>
      </c>
      <c r="W1329" s="34" t="s">
        <v>181</v>
      </c>
      <c r="X1329" s="38" t="s">
        <v>173</v>
      </c>
      <c r="Y1329" s="62"/>
      <c r="Z1329" s="38" t="e">
        <f t="shared" si="61"/>
        <v>#NUM!</v>
      </c>
      <c r="AA1329" s="38"/>
      <c r="AB1329" s="34"/>
      <c r="AC1329" s="34"/>
      <c r="AD1329" s="38"/>
      <c r="AE1329" s="59" t="str">
        <f t="shared" si="62"/>
        <v>NO</v>
      </c>
      <c r="AF1329" s="38" t="e" cm="1">
        <f t="array" aca="1" ref="AF1329" ca="1">MIN(100, MAX(0, (IF(R1329="ESTUDIANTE", 31, 0)) + (IF(I1329&lt;=3, 30, IF(I1329&lt;=6, 20, 0))) +(IF(OR(E1329="413 - Control de Costes y Enlace Construcción", E1329="480 - Secretaría General del Consejo", E1329="132 - Civil y estructuras", E1329="136 - Mecánica", E1329="412 - Planificación", E1329="142 - Compras"), 25, 0)) +(IF(OR(S1329="GRADO ING. MECÁNICA", S1329="GRADO ING. ELÉCTRICA", S1329="GRADO DERECHO", S1329="GRADO ECONOMÍA", S1329="GRADO ING. TECNOLOGÍAS INDUSTRIALES"), 24, 0)) + (IF(AND(K1329&gt;=451, K1329&lt;=700), 23, 0)) + (IF(AND(AB1329&gt;=5, AB1329&lt;=8), 17, 0)) +(IF(_xludf.OR(_xludf.AND(AC1329&gt;=8, AC1329&lt;=10), _xludf.AND(AC1329&gt;=0, AC1329&lt;=5)), 16, 0)) + (IF(F1329="Madrid", 11, 0))))</f>
        <v>#NAME?</v>
      </c>
      <c r="AG1329" s="68"/>
      <c r="AH1329" s="71" t="s">
        <v>164</v>
      </c>
    </row>
    <row r="1330" spans="1:34" ht="14.4" x14ac:dyDescent="0.3">
      <c r="A1330" s="66" t="s">
        <v>2308</v>
      </c>
      <c r="B1330" s="66" t="s">
        <v>4425</v>
      </c>
      <c r="C1330" s="33">
        <v>1329</v>
      </c>
      <c r="D1330" s="33" t="s">
        <v>5402</v>
      </c>
      <c r="E1330" s="34" t="s">
        <v>5272</v>
      </c>
      <c r="F1330" s="34" t="s">
        <v>18</v>
      </c>
      <c r="G1330" s="57">
        <v>44637</v>
      </c>
      <c r="H1330" s="57">
        <v>44820</v>
      </c>
      <c r="I1330" s="34">
        <f t="shared" si="60"/>
        <v>5</v>
      </c>
      <c r="J1330" s="34">
        <v>35</v>
      </c>
      <c r="K1330" s="36">
        <v>900</v>
      </c>
      <c r="L1330" s="34" t="s">
        <v>17</v>
      </c>
      <c r="M1330" s="57">
        <v>36260</v>
      </c>
      <c r="N1330" s="37">
        <f>(YEAR(TablaMadre[[#This Row],[ALTA]])-YEAR(M1330))</f>
        <v>23</v>
      </c>
      <c r="O1330" s="34" t="s">
        <v>18</v>
      </c>
      <c r="P1330" s="34" t="s">
        <v>19</v>
      </c>
      <c r="Q1330" s="34" t="s">
        <v>556</v>
      </c>
      <c r="R1330" s="34" t="s">
        <v>21</v>
      </c>
      <c r="S1330" s="34" t="s">
        <v>136</v>
      </c>
      <c r="T1330" s="34"/>
      <c r="U1330" s="34"/>
      <c r="V1330" s="34" t="s">
        <v>90</v>
      </c>
      <c r="W1330" s="34" t="s">
        <v>28</v>
      </c>
      <c r="X1330" s="38" t="s">
        <v>173</v>
      </c>
      <c r="Y1330" s="62"/>
      <c r="Z1330" s="38" t="e">
        <f t="shared" si="61"/>
        <v>#NUM!</v>
      </c>
      <c r="AA1330" s="38"/>
      <c r="AB1330" s="34">
        <v>9</v>
      </c>
      <c r="AC1330" s="34">
        <v>8</v>
      </c>
      <c r="AD1330" s="38"/>
      <c r="AE1330" s="59" t="str">
        <f t="shared" si="62"/>
        <v>NO</v>
      </c>
      <c r="AF1330" s="38" t="e" cm="1">
        <f t="array" aca="1" ref="AF1330" ca="1">MIN(100, MAX(0, (IF(R1330="ESTUDIANTE", 31, 0)) + (IF(I1330&lt;=3, 30, IF(I1330&lt;=6, 20, 0))) +(IF(OR(E1330="413 - Control de Costes y Enlace Construcción", E1330="480 - Secretaría General del Consejo", E1330="132 - Civil y estructuras", E1330="136 - Mecánica", E1330="412 - Planificación", E1330="142 - Compras"), 25, 0)) +(IF(OR(S1330="GRADO ING. MECÁNICA", S1330="GRADO ING. ELÉCTRICA", S1330="GRADO DERECHO", S1330="GRADO ECONOMÍA", S1330="GRADO ING. TECNOLOGÍAS INDUSTRIALES"), 24, 0)) + (IF(AND(K1330&gt;=451, K1330&lt;=700), 23, 0)) + (IF(AND(AB1330&gt;=5, AB1330&lt;=8), 17, 0)) +(IF(_xludf.OR(_xludf.AND(AC1330&gt;=8, AC1330&lt;=10), _xludf.AND(AC1330&gt;=0, AC1330&lt;=5)), 16, 0)) + (IF(F1330="Madrid", 11, 0))))</f>
        <v>#NAME?</v>
      </c>
      <c r="AG1330" s="68"/>
      <c r="AH1330" s="71" t="s">
        <v>164</v>
      </c>
    </row>
    <row r="1331" spans="1:34" ht="14.4" x14ac:dyDescent="0.3">
      <c r="A1331" s="66" t="s">
        <v>2309</v>
      </c>
      <c r="B1331" s="66" t="s">
        <v>4426</v>
      </c>
      <c r="C1331" s="33">
        <v>1330</v>
      </c>
      <c r="D1331" s="33" t="s">
        <v>5393</v>
      </c>
      <c r="E1331" s="34" t="s">
        <v>5318</v>
      </c>
      <c r="F1331" s="34" t="s">
        <v>18</v>
      </c>
      <c r="G1331" s="57">
        <v>44637</v>
      </c>
      <c r="H1331" s="57">
        <v>44985</v>
      </c>
      <c r="I1331" s="34">
        <f t="shared" si="60"/>
        <v>11</v>
      </c>
      <c r="J1331" s="34">
        <v>35</v>
      </c>
      <c r="K1331" s="36">
        <v>825</v>
      </c>
      <c r="L1331" s="34" t="s">
        <v>17</v>
      </c>
      <c r="M1331" s="57">
        <v>36077</v>
      </c>
      <c r="N1331" s="37">
        <f>(YEAR(TablaMadre[[#This Row],[ALTA]])-YEAR(M1331))</f>
        <v>24</v>
      </c>
      <c r="O1331" s="34" t="s">
        <v>18</v>
      </c>
      <c r="P1331" s="34" t="s">
        <v>19</v>
      </c>
      <c r="Q1331" s="34" t="s">
        <v>515</v>
      </c>
      <c r="R1331" s="34" t="s">
        <v>21</v>
      </c>
      <c r="S1331" s="34" t="s">
        <v>297</v>
      </c>
      <c r="T1331" s="34"/>
      <c r="U1331" s="34"/>
      <c r="V1331" s="34" t="s">
        <v>40</v>
      </c>
      <c r="W1331" s="34" t="s">
        <v>28</v>
      </c>
      <c r="X1331" s="38" t="s">
        <v>173</v>
      </c>
      <c r="Y1331" s="62"/>
      <c r="Z1331" s="38" t="e">
        <f t="shared" si="61"/>
        <v>#NUM!</v>
      </c>
      <c r="AA1331" s="38"/>
      <c r="AB1331" s="34">
        <v>9</v>
      </c>
      <c r="AC1331" s="34">
        <v>7</v>
      </c>
      <c r="AD1331" s="38"/>
      <c r="AE1331" s="59" t="str">
        <f t="shared" si="62"/>
        <v>NO</v>
      </c>
      <c r="AF1331" s="38" t="e" cm="1">
        <f t="array" aca="1" ref="AF1331" ca="1">MIN(100, MAX(0, (IF(R1331="ESTUDIANTE", 31, 0)) + (IF(I1331&lt;=3, 30, IF(I1331&lt;=6, 20, 0))) +(IF(OR(E1331="413 - Control de Costes y Enlace Construcción", E1331="480 - Secretaría General del Consejo", E1331="132 - Civil y estructuras", E1331="136 - Mecánica", E1331="412 - Planificación", E1331="142 - Compras"), 25, 0)) +(IF(OR(S1331="GRADO ING. MECÁNICA", S1331="GRADO ING. ELÉCTRICA", S1331="GRADO DERECHO", S1331="GRADO ECONOMÍA", S1331="GRADO ING. TECNOLOGÍAS INDUSTRIALES"), 24, 0)) + (IF(AND(K1331&gt;=451, K1331&lt;=700), 23, 0)) + (IF(AND(AB1331&gt;=5, AB1331&lt;=8), 17, 0)) +(IF(_xludf.OR(_xludf.AND(AC1331&gt;=8, AC1331&lt;=10), _xludf.AND(AC1331&gt;=0, AC1331&lt;=5)), 16, 0)) + (IF(F1331="Madrid", 11, 0))))</f>
        <v>#NAME?</v>
      </c>
      <c r="AG1331" s="68"/>
      <c r="AH1331" s="71" t="s">
        <v>164</v>
      </c>
    </row>
    <row r="1332" spans="1:34" ht="14.4" x14ac:dyDescent="0.3">
      <c r="A1332" s="66" t="s">
        <v>2295</v>
      </c>
      <c r="B1332" s="66" t="s">
        <v>4412</v>
      </c>
      <c r="C1332" s="33">
        <v>1331</v>
      </c>
      <c r="D1332" s="33" t="s">
        <v>5394</v>
      </c>
      <c r="E1332" s="34" t="s">
        <v>5328</v>
      </c>
      <c r="F1332" s="34" t="s">
        <v>18</v>
      </c>
      <c r="G1332" s="57">
        <v>44641</v>
      </c>
      <c r="H1332" s="57">
        <v>44719</v>
      </c>
      <c r="I1332" s="34">
        <f t="shared" si="60"/>
        <v>2</v>
      </c>
      <c r="J1332" s="34">
        <v>40</v>
      </c>
      <c r="K1332" s="36">
        <v>450</v>
      </c>
      <c r="L1332" s="34" t="s">
        <v>17</v>
      </c>
      <c r="M1332" s="57">
        <v>38190</v>
      </c>
      <c r="N1332" s="37">
        <f>(YEAR(TablaMadre[[#This Row],[ALTA]])-YEAR(M1332))</f>
        <v>18</v>
      </c>
      <c r="O1332" s="34" t="s">
        <v>18</v>
      </c>
      <c r="P1332" s="34" t="s">
        <v>19</v>
      </c>
      <c r="Q1332" s="34" t="s">
        <v>532</v>
      </c>
      <c r="R1332" s="58" t="s">
        <v>30</v>
      </c>
      <c r="S1332" s="34" t="s">
        <v>26</v>
      </c>
      <c r="T1332" s="34"/>
      <c r="U1332" s="34"/>
      <c r="V1332" s="34" t="s">
        <v>27</v>
      </c>
      <c r="W1332" s="34" t="s">
        <v>23</v>
      </c>
      <c r="X1332" s="38" t="s">
        <v>164</v>
      </c>
      <c r="Y1332" s="62"/>
      <c r="Z1332" s="38" t="e">
        <f t="shared" si="61"/>
        <v>#NUM!</v>
      </c>
      <c r="AA1332" s="38"/>
      <c r="AB1332" s="34"/>
      <c r="AC1332" s="34"/>
      <c r="AD1332" s="38"/>
      <c r="AE1332" s="59" t="str">
        <f t="shared" si="62"/>
        <v>NO</v>
      </c>
      <c r="AF1332" s="38" t="e" cm="1">
        <f t="array" aca="1" ref="AF1332" ca="1">MIN(100, MAX(0, (IF(R1332="ESTUDIANTE", 31, 0)) + (IF(I1332&lt;=3, 30, IF(I1332&lt;=6, 20, 0))) +(IF(OR(E1332="413 - Control de Costes y Enlace Construcción", E1332="480 - Secretaría General del Consejo", E1332="132 - Civil y estructuras", E1332="136 - Mecánica", E1332="412 - Planificación", E1332="142 - Compras"), 25, 0)) +(IF(OR(S1332="GRADO ING. MECÁNICA", S1332="GRADO ING. ELÉCTRICA", S1332="GRADO DERECHO", S1332="GRADO ECONOMÍA", S1332="GRADO ING. TECNOLOGÍAS INDUSTRIALES"), 24, 0)) + (IF(AND(K1332&gt;=451, K1332&lt;=700), 23, 0)) + (IF(AND(AB1332&gt;=5, AB1332&lt;=8), 17, 0)) +(IF(_xludf.OR(_xludf.AND(AC1332&gt;=8, AC1332&lt;=10), _xludf.AND(AC1332&gt;=0, AC1332&lt;=5)), 16, 0)) + (IF(F1332="Madrid", 11, 0))))</f>
        <v>#NAME?</v>
      </c>
      <c r="AG1332" s="68"/>
      <c r="AH1332" s="71" t="s">
        <v>164</v>
      </c>
    </row>
    <row r="1333" spans="1:34" ht="14.4" x14ac:dyDescent="0.3">
      <c r="A1333" s="66" t="s">
        <v>2311</v>
      </c>
      <c r="B1333" s="66" t="s">
        <v>4428</v>
      </c>
      <c r="C1333" s="33">
        <v>1332</v>
      </c>
      <c r="D1333" s="33" t="s">
        <v>5403</v>
      </c>
      <c r="E1333" s="34" t="s">
        <v>5222</v>
      </c>
      <c r="F1333" s="34" t="s">
        <v>18</v>
      </c>
      <c r="G1333" s="57">
        <v>44641</v>
      </c>
      <c r="H1333" s="57">
        <v>44985</v>
      </c>
      <c r="I1333" s="34">
        <f t="shared" si="60"/>
        <v>11</v>
      </c>
      <c r="J1333" s="34">
        <v>35</v>
      </c>
      <c r="K1333" s="36">
        <v>650</v>
      </c>
      <c r="L1333" s="34" t="s">
        <v>17</v>
      </c>
      <c r="M1333" s="57">
        <v>35379</v>
      </c>
      <c r="N1333" s="37">
        <f>(YEAR(TablaMadre[[#This Row],[ALTA]])-YEAR(M1333))</f>
        <v>26</v>
      </c>
      <c r="O1333" s="34" t="s">
        <v>18</v>
      </c>
      <c r="P1333" s="34" t="s">
        <v>19</v>
      </c>
      <c r="Q1333" s="34" t="s">
        <v>604</v>
      </c>
      <c r="R1333" s="58" t="s">
        <v>30</v>
      </c>
      <c r="S1333" s="34" t="s">
        <v>429</v>
      </c>
      <c r="T1333" s="34"/>
      <c r="U1333" s="34"/>
      <c r="V1333" s="34" t="s">
        <v>40</v>
      </c>
      <c r="W1333" s="34" t="s">
        <v>28</v>
      </c>
      <c r="X1333" s="38" t="s">
        <v>173</v>
      </c>
      <c r="Y1333" s="62"/>
      <c r="Z1333" s="38" t="e">
        <f t="shared" si="61"/>
        <v>#NUM!</v>
      </c>
      <c r="AA1333" s="38"/>
      <c r="AB1333" s="34">
        <v>7</v>
      </c>
      <c r="AC1333" s="34">
        <v>8</v>
      </c>
      <c r="AD1333" s="38"/>
      <c r="AE1333" s="59" t="str">
        <f t="shared" si="62"/>
        <v>NO</v>
      </c>
      <c r="AF1333" s="38" t="e" cm="1">
        <f t="array" aca="1" ref="AF1333" ca="1">MIN(100, MAX(0, (IF(R1333="ESTUDIANTE", 31, 0)) + (IF(I1333&lt;=3, 30, IF(I1333&lt;=6, 20, 0))) +(IF(OR(E1333="413 - Control de Costes y Enlace Construcción", E1333="480 - Secretaría General del Consejo", E1333="132 - Civil y estructuras", E1333="136 - Mecánica", E1333="412 - Planificación", E1333="142 - Compras"), 25, 0)) +(IF(OR(S1333="GRADO ING. MECÁNICA", S1333="GRADO ING. ELÉCTRICA", S1333="GRADO DERECHO", S1333="GRADO ECONOMÍA", S1333="GRADO ING. TECNOLOGÍAS INDUSTRIALES"), 24, 0)) + (IF(AND(K1333&gt;=451, K1333&lt;=700), 23, 0)) + (IF(AND(AB1333&gt;=5, AB1333&lt;=8), 17, 0)) +(IF(_xludf.OR(_xludf.AND(AC1333&gt;=8, AC1333&lt;=10), _xludf.AND(AC1333&gt;=0, AC1333&lt;=5)), 16, 0)) + (IF(F1333="Madrid", 11, 0))))</f>
        <v>#NAME?</v>
      </c>
      <c r="AG1333" s="68"/>
      <c r="AH1333" s="71" t="s">
        <v>164</v>
      </c>
    </row>
    <row r="1334" spans="1:34" ht="14.4" x14ac:dyDescent="0.3">
      <c r="A1334" s="66" t="s">
        <v>2302</v>
      </c>
      <c r="B1334" s="66" t="s">
        <v>4419</v>
      </c>
      <c r="C1334" s="33">
        <v>1333</v>
      </c>
      <c r="D1334" s="33" t="s">
        <v>5404</v>
      </c>
      <c r="E1334" s="34" t="s">
        <v>5285</v>
      </c>
      <c r="F1334" s="34" t="s">
        <v>18</v>
      </c>
      <c r="G1334" s="57">
        <v>44648</v>
      </c>
      <c r="H1334" s="57">
        <v>44722</v>
      </c>
      <c r="I1334" s="34">
        <f t="shared" si="60"/>
        <v>2</v>
      </c>
      <c r="J1334" s="34">
        <v>40</v>
      </c>
      <c r="K1334" s="36">
        <v>450</v>
      </c>
      <c r="L1334" s="34" t="s">
        <v>17</v>
      </c>
      <c r="M1334" s="57">
        <v>27007</v>
      </c>
      <c r="N1334" s="37">
        <f>(YEAR(TablaMadre[[#This Row],[ALTA]])-YEAR(M1334))</f>
        <v>49</v>
      </c>
      <c r="O1334" s="34" t="s">
        <v>511</v>
      </c>
      <c r="P1334" s="34" t="s">
        <v>19</v>
      </c>
      <c r="Q1334" s="34" t="s">
        <v>534</v>
      </c>
      <c r="R1334" s="58" t="s">
        <v>30</v>
      </c>
      <c r="S1334" s="34" t="s">
        <v>26</v>
      </c>
      <c r="T1334" s="34"/>
      <c r="U1334" s="34"/>
      <c r="V1334" s="34" t="s">
        <v>27</v>
      </c>
      <c r="W1334" s="34" t="s">
        <v>380</v>
      </c>
      <c r="X1334" s="38" t="s">
        <v>173</v>
      </c>
      <c r="Y1334" s="62"/>
      <c r="Z1334" s="38" t="e">
        <f t="shared" si="61"/>
        <v>#NUM!</v>
      </c>
      <c r="AA1334" s="38"/>
      <c r="AB1334" s="34"/>
      <c r="AC1334" s="34"/>
      <c r="AD1334" s="38"/>
      <c r="AE1334" s="59" t="str">
        <f t="shared" si="62"/>
        <v>SÍ</v>
      </c>
      <c r="AF1334" s="38" t="e" cm="1">
        <f t="array" aca="1" ref="AF1334" ca="1">MIN(100, MAX(0, (IF(R1334="ESTUDIANTE", 31, 0)) + (IF(I1334&lt;=3, 30, IF(I1334&lt;=6, 20, 0))) +(IF(OR(E1334="413 - Control de Costes y Enlace Construcción", E1334="480 - Secretaría General del Consejo", E1334="132 - Civil y estructuras", E1334="136 - Mecánica", E1334="412 - Planificación", E1334="142 - Compras"), 25, 0)) +(IF(OR(S1334="GRADO ING. MECÁNICA", S1334="GRADO ING. ELÉCTRICA", S1334="GRADO DERECHO", S1334="GRADO ECONOMÍA", S1334="GRADO ING. TECNOLOGÍAS INDUSTRIALES"), 24, 0)) + (IF(AND(K1334&gt;=451, K1334&lt;=700), 23, 0)) + (IF(AND(AB1334&gt;=5, AB1334&lt;=8), 17, 0)) +(IF(_xludf.OR(_xludf.AND(AC1334&gt;=8, AC1334&lt;=10), _xludf.AND(AC1334&gt;=0, AC1334&lt;=5)), 16, 0)) + (IF(F1334="Madrid", 11, 0))))</f>
        <v>#NAME?</v>
      </c>
      <c r="AG1334" s="68"/>
      <c r="AH1334" s="71" t="s">
        <v>164</v>
      </c>
    </row>
    <row r="1335" spans="1:34" ht="14.4" x14ac:dyDescent="0.3">
      <c r="A1335" s="66" t="s">
        <v>2313</v>
      </c>
      <c r="B1335" s="66" t="s">
        <v>4430</v>
      </c>
      <c r="C1335" s="33">
        <v>1334</v>
      </c>
      <c r="D1335" s="33" t="s">
        <v>5405</v>
      </c>
      <c r="E1335" s="34" t="s">
        <v>5224</v>
      </c>
      <c r="F1335" s="34" t="s">
        <v>18</v>
      </c>
      <c r="G1335" s="57">
        <v>44648</v>
      </c>
      <c r="H1335" s="57">
        <v>44831</v>
      </c>
      <c r="I1335" s="34">
        <f t="shared" si="60"/>
        <v>5</v>
      </c>
      <c r="J1335" s="34">
        <v>35</v>
      </c>
      <c r="K1335" s="36">
        <v>800</v>
      </c>
      <c r="L1335" s="34" t="s">
        <v>17</v>
      </c>
      <c r="M1335" s="57">
        <v>35645</v>
      </c>
      <c r="N1335" s="37">
        <f>(YEAR(TablaMadre[[#This Row],[ALTA]])-YEAR(M1335))</f>
        <v>25</v>
      </c>
      <c r="O1335" s="34" t="s">
        <v>558</v>
      </c>
      <c r="P1335" s="34" t="s">
        <v>19</v>
      </c>
      <c r="Q1335" s="34" t="s">
        <v>368</v>
      </c>
      <c r="R1335" s="34" t="s">
        <v>21</v>
      </c>
      <c r="S1335" s="34" t="s">
        <v>229</v>
      </c>
      <c r="T1335" s="34"/>
      <c r="U1335" s="34"/>
      <c r="V1335" s="34" t="s">
        <v>84</v>
      </c>
      <c r="W1335" s="34" t="s">
        <v>28</v>
      </c>
      <c r="X1335" s="38" t="s">
        <v>164</v>
      </c>
      <c r="Y1335" s="62">
        <v>45768</v>
      </c>
      <c r="Z1335" s="38">
        <f t="shared" si="61"/>
        <v>2</v>
      </c>
      <c r="AA1335" s="38"/>
      <c r="AB1335" s="34">
        <v>9</v>
      </c>
      <c r="AC1335" s="34">
        <v>9</v>
      </c>
      <c r="AD1335" s="38"/>
      <c r="AE1335" s="59" t="str">
        <f t="shared" si="62"/>
        <v>SÍ</v>
      </c>
      <c r="AF1335" s="38" t="e" cm="1">
        <f t="array" aca="1" ref="AF1335" ca="1">MIN(100, MAX(0, (IF(R1335="ESTUDIANTE", 31, 0)) + (IF(I1335&lt;=3, 30, IF(I1335&lt;=6, 20, 0))) +(IF(OR(E1335="413 - Control de Costes y Enlace Construcción", E1335="480 - Secretaría General del Consejo", E1335="132 - Civil y estructuras", E1335="136 - Mecánica", E1335="412 - Planificación", E1335="142 - Compras"), 25, 0)) +(IF(OR(S1335="GRADO ING. MECÁNICA", S1335="GRADO ING. ELÉCTRICA", S1335="GRADO DERECHO", S1335="GRADO ECONOMÍA", S1335="GRADO ING. TECNOLOGÍAS INDUSTRIALES"), 24, 0)) + (IF(AND(K1335&gt;=451, K1335&lt;=700), 23, 0)) + (IF(AND(AB1335&gt;=5, AB1335&lt;=8), 17, 0)) +(IF(_xludf.OR(_xludf.AND(AC1335&gt;=8, AC1335&lt;=10), _xludf.AND(AC1335&gt;=0, AC1335&lt;=5)), 16, 0)) + (IF(F1335="Madrid", 11, 0))))</f>
        <v>#NAME?</v>
      </c>
      <c r="AG1335" s="68"/>
      <c r="AH1335" s="71" t="s">
        <v>164</v>
      </c>
    </row>
    <row r="1336" spans="1:34" ht="14.4" x14ac:dyDescent="0.3">
      <c r="A1336" s="66" t="s">
        <v>1002</v>
      </c>
      <c r="B1336" s="66" t="s">
        <v>3119</v>
      </c>
      <c r="C1336" s="33">
        <v>1335</v>
      </c>
      <c r="D1336" s="33" t="s">
        <v>5396</v>
      </c>
      <c r="E1336" s="34" t="s">
        <v>5224</v>
      </c>
      <c r="F1336" s="34" t="s">
        <v>18</v>
      </c>
      <c r="G1336" s="57">
        <v>44649</v>
      </c>
      <c r="H1336" s="57">
        <v>45138</v>
      </c>
      <c r="I1336" s="34">
        <f t="shared" si="60"/>
        <v>16</v>
      </c>
      <c r="J1336" s="34">
        <v>35</v>
      </c>
      <c r="K1336" s="36">
        <v>650</v>
      </c>
      <c r="L1336" s="34" t="s">
        <v>29</v>
      </c>
      <c r="M1336" s="35">
        <v>35773</v>
      </c>
      <c r="N1336" s="37">
        <f>(YEAR(TablaMadre[[#This Row],[ALTA]])-YEAR(M1336))</f>
        <v>25</v>
      </c>
      <c r="O1336" s="34" t="s">
        <v>18</v>
      </c>
      <c r="P1336" s="34" t="s">
        <v>463</v>
      </c>
      <c r="Q1336" s="34" t="s">
        <v>652</v>
      </c>
      <c r="R1336" s="58" t="s">
        <v>30</v>
      </c>
      <c r="S1336" s="34" t="s">
        <v>274</v>
      </c>
      <c r="T1336" s="34"/>
      <c r="U1336" s="34"/>
      <c r="V1336" s="34" t="s">
        <v>40</v>
      </c>
      <c r="W1336" s="34" t="s">
        <v>28</v>
      </c>
      <c r="X1336" s="38" t="s">
        <v>173</v>
      </c>
      <c r="Y1336" s="62"/>
      <c r="Z1336" s="38" t="e">
        <f t="shared" si="61"/>
        <v>#NUM!</v>
      </c>
      <c r="AA1336" s="38" t="s">
        <v>173</v>
      </c>
      <c r="AB1336" s="34">
        <v>10</v>
      </c>
      <c r="AC1336" s="34">
        <v>10</v>
      </c>
      <c r="AD1336" s="38"/>
      <c r="AE1336" s="59" t="str">
        <f t="shared" si="62"/>
        <v>NO</v>
      </c>
      <c r="AF1336" s="38" t="e" cm="1">
        <f t="array" aca="1" ref="AF1336" ca="1">MIN(100, MAX(0, (IF(R1336="ESTUDIANTE", 31, 0)) + (IF(I1336&lt;=3, 30, IF(I1336&lt;=6, 20, 0))) +(IF(OR(E1336="413 - Control de Costes y Enlace Construcción", E1336="480 - Secretaría General del Consejo", E1336="132 - Civil y estructuras", E1336="136 - Mecánica", E1336="412 - Planificación", E1336="142 - Compras"), 25, 0)) +(IF(OR(S1336="GRADO ING. MECÁNICA", S1336="GRADO ING. ELÉCTRICA", S1336="GRADO DERECHO", S1336="GRADO ECONOMÍA", S1336="GRADO ING. TECNOLOGÍAS INDUSTRIALES"), 24, 0)) + (IF(AND(K1336&gt;=451, K1336&lt;=700), 23, 0)) + (IF(AND(AB1336&gt;=5, AB1336&lt;=8), 17, 0)) +(IF(_xludf.OR(_xludf.AND(AC1336&gt;=8, AC1336&lt;=10), _xludf.AND(AC1336&gt;=0, AC1336&lt;=5)), 16, 0)) + (IF(F1336="Madrid", 11, 0))))</f>
        <v>#NAME?</v>
      </c>
      <c r="AG1336" s="68"/>
      <c r="AH1336" s="71" t="s">
        <v>164</v>
      </c>
    </row>
    <row r="1337" spans="1:34" ht="14.4" x14ac:dyDescent="0.3">
      <c r="A1337" s="66" t="s">
        <v>2315</v>
      </c>
      <c r="B1337" s="66" t="s">
        <v>4432</v>
      </c>
      <c r="C1337" s="33">
        <v>1336</v>
      </c>
      <c r="D1337" s="33" t="s">
        <v>5397</v>
      </c>
      <c r="E1337" s="34" t="s">
        <v>5272</v>
      </c>
      <c r="F1337" s="34" t="s">
        <v>18</v>
      </c>
      <c r="G1337" s="57">
        <v>44655</v>
      </c>
      <c r="H1337" s="57">
        <v>44834</v>
      </c>
      <c r="I1337" s="34">
        <f t="shared" si="60"/>
        <v>5</v>
      </c>
      <c r="J1337" s="34">
        <v>35</v>
      </c>
      <c r="K1337" s="36">
        <v>825</v>
      </c>
      <c r="L1337" s="34" t="s">
        <v>17</v>
      </c>
      <c r="M1337" s="57">
        <v>35861</v>
      </c>
      <c r="N1337" s="37">
        <f>(YEAR(TablaMadre[[#This Row],[ALTA]])-YEAR(M1337))</f>
        <v>24</v>
      </c>
      <c r="O1337" s="34" t="s">
        <v>18</v>
      </c>
      <c r="P1337" s="34" t="s">
        <v>19</v>
      </c>
      <c r="Q1337" s="34" t="s">
        <v>515</v>
      </c>
      <c r="R1337" s="34" t="s">
        <v>21</v>
      </c>
      <c r="S1337" s="34" t="s">
        <v>297</v>
      </c>
      <c r="T1337" s="34"/>
      <c r="U1337" s="34"/>
      <c r="V1337" s="34" t="s">
        <v>22</v>
      </c>
      <c r="W1337" s="34" t="s">
        <v>28</v>
      </c>
      <c r="X1337" s="38" t="s">
        <v>173</v>
      </c>
      <c r="Y1337" s="62"/>
      <c r="Z1337" s="38" t="e">
        <f t="shared" si="61"/>
        <v>#NUM!</v>
      </c>
      <c r="AA1337" s="38"/>
      <c r="AB1337" s="34">
        <v>10</v>
      </c>
      <c r="AC1337" s="34">
        <v>10</v>
      </c>
      <c r="AD1337" s="38"/>
      <c r="AE1337" s="59" t="str">
        <f t="shared" si="62"/>
        <v>NO</v>
      </c>
      <c r="AF1337" s="38" t="e" cm="1">
        <f t="array" aca="1" ref="AF1337" ca="1">MIN(100, MAX(0, (IF(R1337="ESTUDIANTE", 31, 0)) + (IF(I1337&lt;=3, 30, IF(I1337&lt;=6, 20, 0))) +(IF(OR(E1337="413 - Control de Costes y Enlace Construcción", E1337="480 - Secretaría General del Consejo", E1337="132 - Civil y estructuras", E1337="136 - Mecánica", E1337="412 - Planificación", E1337="142 - Compras"), 25, 0)) +(IF(OR(S1337="GRADO ING. MECÁNICA", S1337="GRADO ING. ELÉCTRICA", S1337="GRADO DERECHO", S1337="GRADO ECONOMÍA", S1337="GRADO ING. TECNOLOGÍAS INDUSTRIALES"), 24, 0)) + (IF(AND(K1337&gt;=451, K1337&lt;=700), 23, 0)) + (IF(AND(AB1337&gt;=5, AB1337&lt;=8), 17, 0)) +(IF(_xludf.OR(_xludf.AND(AC1337&gt;=8, AC1337&lt;=10), _xludf.AND(AC1337&gt;=0, AC1337&lt;=5)), 16, 0)) + (IF(F1337="Madrid", 11, 0))))</f>
        <v>#NAME?</v>
      </c>
      <c r="AG1337" s="68"/>
      <c r="AH1337" s="71" t="s">
        <v>164</v>
      </c>
    </row>
    <row r="1338" spans="1:34" ht="14.4" x14ac:dyDescent="0.3">
      <c r="A1338" s="66" t="s">
        <v>2963</v>
      </c>
      <c r="B1338" s="66" t="s">
        <v>5080</v>
      </c>
      <c r="C1338" s="33">
        <v>1337</v>
      </c>
      <c r="D1338" s="33" t="s">
        <v>5393</v>
      </c>
      <c r="E1338" s="34" t="s">
        <v>5314</v>
      </c>
      <c r="F1338" s="34" t="s">
        <v>931</v>
      </c>
      <c r="G1338" s="57">
        <v>44659</v>
      </c>
      <c r="H1338" s="57">
        <v>44804</v>
      </c>
      <c r="I1338" s="34">
        <f t="shared" si="60"/>
        <v>4</v>
      </c>
      <c r="J1338" s="34" t="s">
        <v>347</v>
      </c>
      <c r="K1338" s="36">
        <v>0</v>
      </c>
      <c r="L1338" s="34" t="s">
        <v>29</v>
      </c>
      <c r="M1338" s="57">
        <v>35405</v>
      </c>
      <c r="N1338" s="37">
        <f>(YEAR(TablaMadre[[#This Row],[ALTA]])-YEAR(M1338))</f>
        <v>26</v>
      </c>
      <c r="O1338" s="34"/>
      <c r="P1338" s="34" t="s">
        <v>19</v>
      </c>
      <c r="Q1338" s="34" t="s">
        <v>550</v>
      </c>
      <c r="R1338" s="34" t="s">
        <v>30</v>
      </c>
      <c r="S1338" s="34" t="s">
        <v>151</v>
      </c>
      <c r="T1338" s="34"/>
      <c r="U1338" s="34"/>
      <c r="V1338" s="34" t="s">
        <v>22</v>
      </c>
      <c r="W1338" s="34" t="s">
        <v>23</v>
      </c>
      <c r="X1338" s="38" t="s">
        <v>164</v>
      </c>
      <c r="Y1338" s="62"/>
      <c r="Z1338" s="38" t="e">
        <f t="shared" si="61"/>
        <v>#NUM!</v>
      </c>
      <c r="AA1338" s="38"/>
      <c r="AB1338" s="34" t="s">
        <v>347</v>
      </c>
      <c r="AC1338" s="34" t="s">
        <v>347</v>
      </c>
      <c r="AD1338" s="38"/>
      <c r="AE1338" s="59" t="str">
        <f t="shared" si="62"/>
        <v>SÍ</v>
      </c>
      <c r="AF1338" s="38" t="e" cm="1">
        <f t="array" aca="1" ref="AF1338" ca="1">MIN(100, MAX(0, (IF(R1338="ESTUDIANTE", 31, 0)) + (IF(I1338&lt;=3, 30, IF(I1338&lt;=6, 20, 0))) +(IF(OR(E1338="413 - Control de Costes y Enlace Construcción", E1338="480 - Secretaría General del Consejo", E1338="132 - Civil y estructuras", E1338="136 - Mecánica", E1338="412 - Planificación", E1338="142 - Compras"), 25, 0)) +(IF(OR(S1338="GRADO ING. MECÁNICA", S1338="GRADO ING. ELÉCTRICA", S1338="GRADO DERECHO", S1338="GRADO ECONOMÍA", S1338="GRADO ING. TECNOLOGÍAS INDUSTRIALES"), 24, 0)) + (IF(AND(K1338&gt;=451, K1338&lt;=700), 23, 0)) + (IF(AND(AB1338&gt;=5, AB1338&lt;=8), 17, 0)) +(IF(_xludf.OR(_xludf.AND(AC1338&gt;=8, AC1338&lt;=10), _xludf.AND(AC1338&gt;=0, AC1338&lt;=5)), 16, 0)) + (IF(F1338="Madrid", 11, 0))))</f>
        <v>#NAME?</v>
      </c>
      <c r="AG1338" s="68"/>
      <c r="AH1338" s="71" t="s">
        <v>164</v>
      </c>
    </row>
    <row r="1339" spans="1:34" ht="14.4" x14ac:dyDescent="0.3">
      <c r="A1339" s="66" t="s">
        <v>2306</v>
      </c>
      <c r="B1339" s="66" t="s">
        <v>4423</v>
      </c>
      <c r="C1339" s="33">
        <v>1338</v>
      </c>
      <c r="D1339" s="33" t="s">
        <v>5394</v>
      </c>
      <c r="E1339" s="34" t="s">
        <v>5273</v>
      </c>
      <c r="F1339" s="34" t="s">
        <v>18</v>
      </c>
      <c r="G1339" s="57">
        <v>44669</v>
      </c>
      <c r="H1339" s="57">
        <v>44820</v>
      </c>
      <c r="I1339" s="34">
        <f t="shared" si="60"/>
        <v>4</v>
      </c>
      <c r="J1339" s="34">
        <v>35</v>
      </c>
      <c r="K1339" s="36">
        <v>650</v>
      </c>
      <c r="L1339" s="34" t="s">
        <v>17</v>
      </c>
      <c r="M1339" s="57">
        <v>35859</v>
      </c>
      <c r="N1339" s="37">
        <f>(YEAR(TablaMadre[[#This Row],[ALTA]])-YEAR(M1339))</f>
        <v>24</v>
      </c>
      <c r="O1339" s="34" t="s">
        <v>143</v>
      </c>
      <c r="P1339" s="34" t="s">
        <v>19</v>
      </c>
      <c r="Q1339" s="34" t="s">
        <v>215</v>
      </c>
      <c r="R1339" s="58" t="s">
        <v>30</v>
      </c>
      <c r="S1339" s="34" t="s">
        <v>322</v>
      </c>
      <c r="T1339" s="34"/>
      <c r="U1339" s="34"/>
      <c r="V1339" s="34" t="s">
        <v>456</v>
      </c>
      <c r="W1339" s="34" t="s">
        <v>181</v>
      </c>
      <c r="X1339" s="38" t="s">
        <v>173</v>
      </c>
      <c r="Y1339" s="62"/>
      <c r="Z1339" s="38" t="e">
        <f t="shared" si="61"/>
        <v>#NUM!</v>
      </c>
      <c r="AA1339" s="38"/>
      <c r="AB1339" s="34" t="s">
        <v>557</v>
      </c>
      <c r="AC1339" s="34">
        <v>9</v>
      </c>
      <c r="AD1339" s="38"/>
      <c r="AE1339" s="59" t="str">
        <f t="shared" si="62"/>
        <v>SÍ</v>
      </c>
      <c r="AF1339" s="38" t="e" cm="1">
        <f t="array" aca="1" ref="AF1339" ca="1">MIN(100, MAX(0, (IF(R1339="ESTUDIANTE", 31, 0)) + (IF(I1339&lt;=3, 30, IF(I1339&lt;=6, 20, 0))) +(IF(OR(E1339="413 - Control de Costes y Enlace Construcción", E1339="480 - Secretaría General del Consejo", E1339="132 - Civil y estructuras", E1339="136 - Mecánica", E1339="412 - Planificación", E1339="142 - Compras"), 25, 0)) +(IF(OR(S1339="GRADO ING. MECÁNICA", S1339="GRADO ING. ELÉCTRICA", S1339="GRADO DERECHO", S1339="GRADO ECONOMÍA", S1339="GRADO ING. TECNOLOGÍAS INDUSTRIALES"), 24, 0)) + (IF(AND(K1339&gt;=451, K1339&lt;=700), 23, 0)) + (IF(AND(AB1339&gt;=5, AB1339&lt;=8), 17, 0)) +(IF(_xludf.OR(_xludf.AND(AC1339&gt;=8, AC1339&lt;=10), _xludf.AND(AC1339&gt;=0, AC1339&lt;=5)), 16, 0)) + (IF(F1339="Madrid", 11, 0))))</f>
        <v>#NAME?</v>
      </c>
      <c r="AG1339" s="68"/>
      <c r="AH1339" s="71" t="s">
        <v>164</v>
      </c>
    </row>
    <row r="1340" spans="1:34" ht="14.4" x14ac:dyDescent="0.3">
      <c r="A1340" s="66" t="s">
        <v>2318</v>
      </c>
      <c r="B1340" s="66" t="s">
        <v>4435</v>
      </c>
      <c r="C1340" s="33">
        <v>1339</v>
      </c>
      <c r="D1340" s="33" t="s">
        <v>5395</v>
      </c>
      <c r="E1340" s="34" t="s">
        <v>5315</v>
      </c>
      <c r="F1340" s="34" t="s">
        <v>931</v>
      </c>
      <c r="G1340" s="57">
        <v>44669</v>
      </c>
      <c r="H1340" s="57">
        <v>44851</v>
      </c>
      <c r="I1340" s="34">
        <f t="shared" si="60"/>
        <v>5</v>
      </c>
      <c r="J1340" s="34">
        <v>35</v>
      </c>
      <c r="K1340" s="36">
        <v>825</v>
      </c>
      <c r="L1340" s="34" t="s">
        <v>29</v>
      </c>
      <c r="M1340" s="57">
        <v>36176</v>
      </c>
      <c r="N1340" s="37">
        <f>(YEAR(TablaMadre[[#This Row],[ALTA]])-YEAR(M1340))</f>
        <v>23</v>
      </c>
      <c r="O1340" s="34" t="s">
        <v>18</v>
      </c>
      <c r="P1340" s="34" t="s">
        <v>19</v>
      </c>
      <c r="Q1340" s="34" t="s">
        <v>565</v>
      </c>
      <c r="R1340" s="34" t="s">
        <v>21</v>
      </c>
      <c r="S1340" s="34" t="s">
        <v>402</v>
      </c>
      <c r="T1340" s="34"/>
      <c r="U1340" s="34"/>
      <c r="V1340" s="34" t="s">
        <v>74</v>
      </c>
      <c r="W1340" s="34" t="s">
        <v>28</v>
      </c>
      <c r="X1340" s="38" t="s">
        <v>164</v>
      </c>
      <c r="Y1340" s="62"/>
      <c r="Z1340" s="38" t="e">
        <f t="shared" si="61"/>
        <v>#NUM!</v>
      </c>
      <c r="AA1340" s="38"/>
      <c r="AB1340" s="34">
        <v>8</v>
      </c>
      <c r="AC1340" s="34" t="s">
        <v>566</v>
      </c>
      <c r="AD1340" s="38"/>
      <c r="AE1340" s="59" t="str">
        <f t="shared" si="62"/>
        <v>SÍ</v>
      </c>
      <c r="AF1340" s="38" t="e" cm="1">
        <f t="array" aca="1" ref="AF1340" ca="1">MIN(100, MAX(0, (IF(R1340="ESTUDIANTE", 31, 0)) + (IF(I1340&lt;=3, 30, IF(I1340&lt;=6, 20, 0))) +(IF(OR(E1340="413 - Control de Costes y Enlace Construcción", E1340="480 - Secretaría General del Consejo", E1340="132 - Civil y estructuras", E1340="136 - Mecánica", E1340="412 - Planificación", E1340="142 - Compras"), 25, 0)) +(IF(OR(S1340="GRADO ING. MECÁNICA", S1340="GRADO ING. ELÉCTRICA", S1340="GRADO DERECHO", S1340="GRADO ECONOMÍA", S1340="GRADO ING. TECNOLOGÍAS INDUSTRIALES"), 24, 0)) + (IF(AND(K1340&gt;=451, K1340&lt;=700), 23, 0)) + (IF(AND(AB1340&gt;=5, AB1340&lt;=8), 17, 0)) +(IF(_xludf.OR(_xludf.AND(AC1340&gt;=8, AC1340&lt;=10), _xludf.AND(AC1340&gt;=0, AC1340&lt;=5)), 16, 0)) + (IF(F1340="Madrid", 11, 0))))</f>
        <v>#NAME?</v>
      </c>
      <c r="AG1340" s="68"/>
      <c r="AH1340" s="71" t="s">
        <v>164</v>
      </c>
    </row>
    <row r="1341" spans="1:34" ht="14.4" x14ac:dyDescent="0.3">
      <c r="A1341" s="66" t="s">
        <v>2319</v>
      </c>
      <c r="B1341" s="66" t="s">
        <v>4436</v>
      </c>
      <c r="C1341" s="33">
        <v>1340</v>
      </c>
      <c r="D1341" s="33" t="s">
        <v>5396</v>
      </c>
      <c r="E1341" s="34" t="s">
        <v>5270</v>
      </c>
      <c r="F1341" s="34" t="s">
        <v>18</v>
      </c>
      <c r="G1341" s="57">
        <v>44669</v>
      </c>
      <c r="H1341" s="57">
        <v>45138</v>
      </c>
      <c r="I1341" s="34">
        <f t="shared" si="60"/>
        <v>15</v>
      </c>
      <c r="J1341" s="34">
        <v>35</v>
      </c>
      <c r="K1341" s="36">
        <v>650</v>
      </c>
      <c r="L1341" s="34" t="s">
        <v>29</v>
      </c>
      <c r="M1341" s="35">
        <v>34063</v>
      </c>
      <c r="N1341" s="37">
        <f>(YEAR(TablaMadre[[#This Row],[ALTA]])-YEAR(M1341))</f>
        <v>29</v>
      </c>
      <c r="O1341" s="34" t="s">
        <v>575</v>
      </c>
      <c r="P1341" s="34" t="s">
        <v>653</v>
      </c>
      <c r="Q1341" s="34" t="s">
        <v>533</v>
      </c>
      <c r="R1341" s="58" t="s">
        <v>30</v>
      </c>
      <c r="S1341" s="34" t="s">
        <v>297</v>
      </c>
      <c r="T1341" s="34"/>
      <c r="U1341" s="34"/>
      <c r="V1341" s="34" t="s">
        <v>56</v>
      </c>
      <c r="W1341" s="34" t="s">
        <v>127</v>
      </c>
      <c r="X1341" s="38" t="s">
        <v>173</v>
      </c>
      <c r="Y1341" s="62"/>
      <c r="Z1341" s="38" t="e">
        <f t="shared" si="61"/>
        <v>#NUM!</v>
      </c>
      <c r="AA1341" s="38"/>
      <c r="AB1341" s="34">
        <v>10</v>
      </c>
      <c r="AC1341" s="34">
        <v>10</v>
      </c>
      <c r="AD1341" s="38"/>
      <c r="AE1341" s="59" t="str">
        <f t="shared" si="62"/>
        <v>SÍ</v>
      </c>
      <c r="AF1341" s="38" t="e" cm="1">
        <f t="array" aca="1" ref="AF1341" ca="1">MIN(100, MAX(0, (IF(R1341="ESTUDIANTE", 31, 0)) + (IF(I1341&lt;=3, 30, IF(I1341&lt;=6, 20, 0))) +(IF(OR(E1341="413 - Control de Costes y Enlace Construcción", E1341="480 - Secretaría General del Consejo", E1341="132 - Civil y estructuras", E1341="136 - Mecánica", E1341="412 - Planificación", E1341="142 - Compras"), 25, 0)) +(IF(OR(S1341="GRADO ING. MECÁNICA", S1341="GRADO ING. ELÉCTRICA", S1341="GRADO DERECHO", S1341="GRADO ECONOMÍA", S1341="GRADO ING. TECNOLOGÍAS INDUSTRIALES"), 24, 0)) + (IF(AND(K1341&gt;=451, K1341&lt;=700), 23, 0)) + (IF(AND(AB1341&gt;=5, AB1341&lt;=8), 17, 0)) +(IF(_xludf.OR(_xludf.AND(AC1341&gt;=8, AC1341&lt;=10), _xludf.AND(AC1341&gt;=0, AC1341&lt;=5)), 16, 0)) + (IF(F1341="Madrid", 11, 0))))</f>
        <v>#NAME?</v>
      </c>
      <c r="AG1341" s="68"/>
      <c r="AH1341" s="71" t="s">
        <v>164</v>
      </c>
    </row>
    <row r="1342" spans="1:34" ht="14.4" x14ac:dyDescent="0.3">
      <c r="A1342" s="66" t="s">
        <v>2310</v>
      </c>
      <c r="B1342" s="66" t="s">
        <v>4427</v>
      </c>
      <c r="C1342" s="33">
        <v>1342</v>
      </c>
      <c r="D1342" s="33" t="s">
        <v>5397</v>
      </c>
      <c r="E1342" s="34" t="s">
        <v>5333</v>
      </c>
      <c r="F1342" s="34" t="s">
        <v>18</v>
      </c>
      <c r="G1342" s="57">
        <v>44676</v>
      </c>
      <c r="H1342" s="57">
        <v>44833</v>
      </c>
      <c r="I1342" s="34">
        <f t="shared" si="60"/>
        <v>5</v>
      </c>
      <c r="J1342" s="34">
        <v>35</v>
      </c>
      <c r="K1342" s="36">
        <v>750</v>
      </c>
      <c r="L1342" s="34" t="s">
        <v>17</v>
      </c>
      <c r="M1342" s="57">
        <v>35731</v>
      </c>
      <c r="N1342" s="37">
        <f>(YEAR(TablaMadre[[#This Row],[ALTA]])-YEAR(M1342))</f>
        <v>25</v>
      </c>
      <c r="O1342" s="34" t="s">
        <v>217</v>
      </c>
      <c r="P1342" s="34" t="s">
        <v>19</v>
      </c>
      <c r="Q1342" s="34" t="s">
        <v>561</v>
      </c>
      <c r="R1342" s="34" t="s">
        <v>21</v>
      </c>
      <c r="S1342" s="34" t="s">
        <v>291</v>
      </c>
      <c r="T1342" s="34"/>
      <c r="U1342" s="34"/>
      <c r="V1342" s="34" t="s">
        <v>193</v>
      </c>
      <c r="W1342" s="34" t="s">
        <v>181</v>
      </c>
      <c r="X1342" s="38" t="s">
        <v>164</v>
      </c>
      <c r="Y1342" s="62"/>
      <c r="Z1342" s="38" t="e">
        <f t="shared" si="61"/>
        <v>#NUM!</v>
      </c>
      <c r="AA1342" s="38"/>
      <c r="AB1342" s="34"/>
      <c r="AC1342" s="34"/>
      <c r="AD1342" s="38"/>
      <c r="AE1342" s="59" t="str">
        <f t="shared" si="62"/>
        <v>SÍ</v>
      </c>
      <c r="AF1342" s="38" t="e" cm="1">
        <f t="array" aca="1" ref="AF1342" ca="1">MIN(100, MAX(0, (IF(R1342="ESTUDIANTE", 31, 0)) + (IF(I1342&lt;=3, 30, IF(I1342&lt;=6, 20, 0))) +(IF(OR(E1342="413 - Control de Costes y Enlace Construcción", E1342="480 - Secretaría General del Consejo", E1342="132 - Civil y estructuras", E1342="136 - Mecánica", E1342="412 - Planificación", E1342="142 - Compras"), 25, 0)) +(IF(OR(S1342="GRADO ING. MECÁNICA", S1342="GRADO ING. ELÉCTRICA", S1342="GRADO DERECHO", S1342="GRADO ECONOMÍA", S1342="GRADO ING. TECNOLOGÍAS INDUSTRIALES"), 24, 0)) + (IF(AND(K1342&gt;=451, K1342&lt;=700), 23, 0)) + (IF(AND(AB1342&gt;=5, AB1342&lt;=8), 17, 0)) +(IF(_xludf.OR(_xludf.AND(AC1342&gt;=8, AC1342&lt;=10), _xludf.AND(AC1342&gt;=0, AC1342&lt;=5)), 16, 0)) + (IF(F1342="Madrid", 11, 0))))</f>
        <v>#NAME?</v>
      </c>
      <c r="AG1342" s="68"/>
      <c r="AH1342" s="71" t="s">
        <v>164</v>
      </c>
    </row>
    <row r="1343" spans="1:34" ht="14.4" x14ac:dyDescent="0.3">
      <c r="A1343" s="66" t="s">
        <v>2312</v>
      </c>
      <c r="B1343" s="66" t="s">
        <v>4429</v>
      </c>
      <c r="C1343" s="33">
        <v>1344</v>
      </c>
      <c r="D1343" s="33" t="s">
        <v>5398</v>
      </c>
      <c r="E1343" s="34" t="s">
        <v>5334</v>
      </c>
      <c r="F1343" s="34" t="s">
        <v>931</v>
      </c>
      <c r="G1343" s="57">
        <v>44676</v>
      </c>
      <c r="H1343" s="57">
        <v>45009</v>
      </c>
      <c r="I1343" s="34">
        <f t="shared" si="60"/>
        <v>10</v>
      </c>
      <c r="J1343" s="34">
        <v>35</v>
      </c>
      <c r="K1343" s="36">
        <v>825</v>
      </c>
      <c r="L1343" s="34" t="s">
        <v>29</v>
      </c>
      <c r="M1343" s="57">
        <v>33348</v>
      </c>
      <c r="N1343" s="37">
        <f>(YEAR(TablaMadre[[#This Row],[ALTA]])-YEAR(M1343))</f>
        <v>31</v>
      </c>
      <c r="O1343" s="34" t="s">
        <v>64</v>
      </c>
      <c r="P1343" s="34" t="s">
        <v>19</v>
      </c>
      <c r="Q1343" s="34" t="s">
        <v>614</v>
      </c>
      <c r="R1343" s="34" t="s">
        <v>21</v>
      </c>
      <c r="S1343" s="34" t="s">
        <v>136</v>
      </c>
      <c r="T1343" s="34"/>
      <c r="U1343" s="34"/>
      <c r="V1343" s="34" t="s">
        <v>22</v>
      </c>
      <c r="W1343" s="34" t="s">
        <v>23</v>
      </c>
      <c r="X1343" s="38" t="s">
        <v>164</v>
      </c>
      <c r="Y1343" s="62"/>
      <c r="Z1343" s="38" t="e">
        <f t="shared" si="61"/>
        <v>#NUM!</v>
      </c>
      <c r="AA1343" s="38"/>
      <c r="AB1343" s="34" t="s">
        <v>557</v>
      </c>
      <c r="AC1343" s="34">
        <v>5</v>
      </c>
      <c r="AD1343" s="38"/>
      <c r="AE1343" s="59" t="str">
        <f t="shared" si="62"/>
        <v>SÍ</v>
      </c>
      <c r="AF1343" s="38" t="e" cm="1">
        <f t="array" aca="1" ref="AF1343" ca="1">MIN(100, MAX(0, (IF(R1343="ESTUDIANTE", 31, 0)) + (IF(I1343&lt;=3, 30, IF(I1343&lt;=6, 20, 0))) +(IF(OR(E1343="413 - Control de Costes y Enlace Construcción", E1343="480 - Secretaría General del Consejo", E1343="132 - Civil y estructuras", E1343="136 - Mecánica", E1343="412 - Planificación", E1343="142 - Compras"), 25, 0)) +(IF(OR(S1343="GRADO ING. MECÁNICA", S1343="GRADO ING. ELÉCTRICA", S1343="GRADO DERECHO", S1343="GRADO ECONOMÍA", S1343="GRADO ING. TECNOLOGÍAS INDUSTRIALES"), 24, 0)) + (IF(AND(K1343&gt;=451, K1343&lt;=700), 23, 0)) + (IF(AND(AB1343&gt;=5, AB1343&lt;=8), 17, 0)) +(IF(_xludf.OR(_xludf.AND(AC1343&gt;=8, AC1343&lt;=10), _xludf.AND(AC1343&gt;=0, AC1343&lt;=5)), 16, 0)) + (IF(F1343="Madrid", 11, 0))))</f>
        <v>#NAME?</v>
      </c>
      <c r="AG1343" s="68"/>
      <c r="AH1343" s="71" t="s">
        <v>164</v>
      </c>
    </row>
    <row r="1344" spans="1:34" ht="14.4" x14ac:dyDescent="0.3">
      <c r="A1344" s="66" t="s">
        <v>2316</v>
      </c>
      <c r="B1344" s="66" t="s">
        <v>4433</v>
      </c>
      <c r="C1344" s="33">
        <v>1341</v>
      </c>
      <c r="D1344" s="33" t="s">
        <v>5399</v>
      </c>
      <c r="E1344" s="34" t="s">
        <v>5333</v>
      </c>
      <c r="F1344" s="34" t="s">
        <v>18</v>
      </c>
      <c r="G1344" s="57">
        <v>44676</v>
      </c>
      <c r="H1344" s="57">
        <v>44754</v>
      </c>
      <c r="I1344" s="34">
        <f t="shared" si="60"/>
        <v>2</v>
      </c>
      <c r="J1344" s="34">
        <v>35</v>
      </c>
      <c r="K1344" s="36">
        <v>800</v>
      </c>
      <c r="L1344" s="34" t="s">
        <v>17</v>
      </c>
      <c r="M1344" s="57">
        <v>34799</v>
      </c>
      <c r="N1344" s="37">
        <f>(YEAR(TablaMadre[[#This Row],[ALTA]])-YEAR(M1344))</f>
        <v>27</v>
      </c>
      <c r="O1344" s="34" t="s">
        <v>18</v>
      </c>
      <c r="P1344" s="34" t="s">
        <v>19</v>
      </c>
      <c r="Q1344" s="34" t="s">
        <v>538</v>
      </c>
      <c r="R1344" s="34" t="s">
        <v>21</v>
      </c>
      <c r="S1344" s="34" t="s">
        <v>291</v>
      </c>
      <c r="T1344" s="34"/>
      <c r="U1344" s="34"/>
      <c r="V1344" s="34" t="s">
        <v>56</v>
      </c>
      <c r="W1344" s="34" t="s">
        <v>181</v>
      </c>
      <c r="X1344" s="38" t="s">
        <v>164</v>
      </c>
      <c r="Y1344" s="62"/>
      <c r="Z1344" s="38" t="e">
        <f t="shared" si="61"/>
        <v>#NUM!</v>
      </c>
      <c r="AA1344" s="38"/>
      <c r="AB1344" s="34"/>
      <c r="AC1344" s="34"/>
      <c r="AD1344" s="38"/>
      <c r="AE1344" s="59" t="str">
        <f t="shared" si="62"/>
        <v>NO</v>
      </c>
      <c r="AF1344" s="38" t="e" cm="1">
        <f t="array" aca="1" ref="AF1344" ca="1">MIN(100, MAX(0, (IF(R1344="ESTUDIANTE", 31, 0)) + (IF(I1344&lt;=3, 30, IF(I1344&lt;=6, 20, 0))) +(IF(OR(E1344="413 - Control de Costes y Enlace Construcción", E1344="480 - Secretaría General del Consejo", E1344="132 - Civil y estructuras", E1344="136 - Mecánica", E1344="412 - Planificación", E1344="142 - Compras"), 25, 0)) +(IF(OR(S1344="GRADO ING. MECÁNICA", S1344="GRADO ING. ELÉCTRICA", S1344="GRADO DERECHO", S1344="GRADO ECONOMÍA", S1344="GRADO ING. TECNOLOGÍAS INDUSTRIALES"), 24, 0)) + (IF(AND(K1344&gt;=451, K1344&lt;=700), 23, 0)) + (IF(AND(AB1344&gt;=5, AB1344&lt;=8), 17, 0)) +(IF(_xludf.OR(_xludf.AND(AC1344&gt;=8, AC1344&lt;=10), _xludf.AND(AC1344&gt;=0, AC1344&lt;=5)), 16, 0)) + (IF(F1344="Madrid", 11, 0))))</f>
        <v>#NAME?</v>
      </c>
      <c r="AG1344" s="68"/>
      <c r="AH1344" s="71" t="s">
        <v>164</v>
      </c>
    </row>
    <row r="1345" spans="1:34" ht="14.4" x14ac:dyDescent="0.3">
      <c r="A1345" s="66" t="s">
        <v>2322</v>
      </c>
      <c r="B1345" s="66" t="s">
        <v>4439</v>
      </c>
      <c r="C1345" s="33">
        <v>1343</v>
      </c>
      <c r="D1345" s="33" t="s">
        <v>5400</v>
      </c>
      <c r="E1345" s="34" t="s">
        <v>5224</v>
      </c>
      <c r="F1345" s="34" t="s">
        <v>18</v>
      </c>
      <c r="G1345" s="57">
        <v>44676</v>
      </c>
      <c r="H1345" s="57">
        <v>44858</v>
      </c>
      <c r="I1345" s="34">
        <f t="shared" si="60"/>
        <v>5</v>
      </c>
      <c r="J1345" s="34">
        <v>35</v>
      </c>
      <c r="K1345" s="36">
        <v>750</v>
      </c>
      <c r="L1345" s="34" t="s">
        <v>29</v>
      </c>
      <c r="M1345" s="57">
        <v>35203</v>
      </c>
      <c r="N1345" s="37">
        <f>(YEAR(TablaMadre[[#This Row],[ALTA]])-YEAR(M1345))</f>
        <v>26</v>
      </c>
      <c r="O1345" s="34" t="s">
        <v>567</v>
      </c>
      <c r="P1345" s="34" t="s">
        <v>567</v>
      </c>
      <c r="Q1345" s="34" t="s">
        <v>568</v>
      </c>
      <c r="R1345" s="34" t="s">
        <v>21</v>
      </c>
      <c r="S1345" s="34" t="s">
        <v>274</v>
      </c>
      <c r="T1345" s="34"/>
      <c r="U1345" s="34"/>
      <c r="V1345" s="34" t="s">
        <v>40</v>
      </c>
      <c r="W1345" s="34" t="s">
        <v>28</v>
      </c>
      <c r="X1345" s="38" t="s">
        <v>173</v>
      </c>
      <c r="Y1345" s="62"/>
      <c r="Z1345" s="38" t="e">
        <f t="shared" si="61"/>
        <v>#NUM!</v>
      </c>
      <c r="AA1345" s="38"/>
      <c r="AB1345" s="34">
        <v>10</v>
      </c>
      <c r="AC1345" s="34">
        <v>9</v>
      </c>
      <c r="AD1345" s="38"/>
      <c r="AE1345" s="59" t="str">
        <f t="shared" si="62"/>
        <v>SÍ</v>
      </c>
      <c r="AF1345" s="38" t="e" cm="1">
        <f t="array" aca="1" ref="AF1345" ca="1">MIN(100, MAX(0, (IF(R1345="ESTUDIANTE", 31, 0)) + (IF(I1345&lt;=3, 30, IF(I1345&lt;=6, 20, 0))) +(IF(OR(E1345="413 - Control de Costes y Enlace Construcción", E1345="480 - Secretaría General del Consejo", E1345="132 - Civil y estructuras", E1345="136 - Mecánica", E1345="412 - Planificación", E1345="142 - Compras"), 25, 0)) +(IF(OR(S1345="GRADO ING. MECÁNICA", S1345="GRADO ING. ELÉCTRICA", S1345="GRADO DERECHO", S1345="GRADO ECONOMÍA", S1345="GRADO ING. TECNOLOGÍAS INDUSTRIALES"), 24, 0)) + (IF(AND(K1345&gt;=451, K1345&lt;=700), 23, 0)) + (IF(AND(AB1345&gt;=5, AB1345&lt;=8), 17, 0)) +(IF(_xludf.OR(_xludf.AND(AC1345&gt;=8, AC1345&lt;=10), _xludf.AND(AC1345&gt;=0, AC1345&lt;=5)), 16, 0)) + (IF(F1345="Madrid", 11, 0))))</f>
        <v>#NAME?</v>
      </c>
      <c r="AG1345" s="68"/>
      <c r="AH1345" s="71" t="s">
        <v>164</v>
      </c>
    </row>
    <row r="1346" spans="1:34" ht="14.4" x14ac:dyDescent="0.3">
      <c r="A1346" s="66" t="s">
        <v>2324</v>
      </c>
      <c r="B1346" s="66" t="s">
        <v>4441</v>
      </c>
      <c r="C1346" s="33">
        <v>1345</v>
      </c>
      <c r="D1346" s="33" t="s">
        <v>5401</v>
      </c>
      <c r="E1346" s="34" t="s">
        <v>5216</v>
      </c>
      <c r="F1346" s="34" t="s">
        <v>18</v>
      </c>
      <c r="G1346" s="57">
        <v>44684</v>
      </c>
      <c r="H1346" s="57">
        <v>45046</v>
      </c>
      <c r="I1346" s="34">
        <f t="shared" ref="I1346:I1409" si="63">DATEDIF(G1346, H1346, "M")</f>
        <v>11</v>
      </c>
      <c r="J1346" s="34">
        <v>35</v>
      </c>
      <c r="K1346" s="36">
        <v>650</v>
      </c>
      <c r="L1346" s="34" t="s">
        <v>17</v>
      </c>
      <c r="M1346" s="57">
        <v>35648</v>
      </c>
      <c r="N1346" s="37">
        <f>(YEAR(TablaMadre[[#This Row],[ALTA]])-YEAR(M1346))</f>
        <v>25</v>
      </c>
      <c r="O1346" s="34" t="s">
        <v>18</v>
      </c>
      <c r="P1346" s="34" t="s">
        <v>19</v>
      </c>
      <c r="Q1346" s="34" t="s">
        <v>297</v>
      </c>
      <c r="R1346" s="58" t="s">
        <v>30</v>
      </c>
      <c r="S1346" s="34" t="s">
        <v>297</v>
      </c>
      <c r="T1346" s="34"/>
      <c r="U1346" s="34"/>
      <c r="V1346" s="34" t="s">
        <v>22</v>
      </c>
      <c r="W1346" s="34" t="s">
        <v>28</v>
      </c>
      <c r="X1346" s="38" t="s">
        <v>173</v>
      </c>
      <c r="Y1346" s="62"/>
      <c r="Z1346" s="38" t="e">
        <f t="shared" ref="Z1346:Z1409" si="64">DATEDIF(H1346, Y1346, "y")</f>
        <v>#NUM!</v>
      </c>
      <c r="AA1346" s="38"/>
      <c r="AB1346" s="34">
        <v>9</v>
      </c>
      <c r="AC1346" s="34">
        <v>9</v>
      </c>
      <c r="AD1346" s="38"/>
      <c r="AE1346" s="59" t="str">
        <f t="shared" si="62"/>
        <v>NO</v>
      </c>
      <c r="AF1346" s="38" t="e" cm="1">
        <f t="array" aca="1" ref="AF1346" ca="1">MIN(100, MAX(0, (IF(R1346="ESTUDIANTE", 31, 0)) + (IF(I1346&lt;=3, 30, IF(I1346&lt;=6, 20, 0))) +(IF(OR(E1346="413 - Control de Costes y Enlace Construcción", E1346="480 - Secretaría General del Consejo", E1346="132 - Civil y estructuras", E1346="136 - Mecánica", E1346="412 - Planificación", E1346="142 - Compras"), 25, 0)) +(IF(OR(S1346="GRADO ING. MECÁNICA", S1346="GRADO ING. ELÉCTRICA", S1346="GRADO DERECHO", S1346="GRADO ECONOMÍA", S1346="GRADO ING. TECNOLOGÍAS INDUSTRIALES"), 24, 0)) + (IF(AND(K1346&gt;=451, K1346&lt;=700), 23, 0)) + (IF(AND(AB1346&gt;=5, AB1346&lt;=8), 17, 0)) +(IF(_xludf.OR(_xludf.AND(AC1346&gt;=8, AC1346&lt;=10), _xludf.AND(AC1346&gt;=0, AC1346&lt;=5)), 16, 0)) + (IF(F1346="Madrid", 11, 0))))</f>
        <v>#NAME?</v>
      </c>
      <c r="AG1346" s="68"/>
      <c r="AH1346" s="71" t="s">
        <v>164</v>
      </c>
    </row>
    <row r="1347" spans="1:34" ht="14.4" x14ac:dyDescent="0.3">
      <c r="A1347" s="66" t="s">
        <v>2325</v>
      </c>
      <c r="B1347" s="66" t="s">
        <v>4442</v>
      </c>
      <c r="C1347" s="33">
        <v>1346</v>
      </c>
      <c r="D1347" s="33" t="s">
        <v>5402</v>
      </c>
      <c r="E1347" s="34" t="s">
        <v>5216</v>
      </c>
      <c r="F1347" s="34" t="s">
        <v>18</v>
      </c>
      <c r="G1347" s="57">
        <v>44690</v>
      </c>
      <c r="H1347" s="57">
        <v>45027</v>
      </c>
      <c r="I1347" s="34">
        <f t="shared" si="63"/>
        <v>11</v>
      </c>
      <c r="J1347" s="34">
        <v>35</v>
      </c>
      <c r="K1347" s="36">
        <v>825</v>
      </c>
      <c r="L1347" s="34" t="s">
        <v>17</v>
      </c>
      <c r="M1347" s="57">
        <v>35290</v>
      </c>
      <c r="N1347" s="37">
        <f>(YEAR(TablaMadre[[#This Row],[ALTA]])-YEAR(M1347))</f>
        <v>26</v>
      </c>
      <c r="O1347" s="34" t="s">
        <v>18</v>
      </c>
      <c r="P1347" s="34" t="s">
        <v>19</v>
      </c>
      <c r="Q1347" s="34" t="s">
        <v>619</v>
      </c>
      <c r="R1347" s="34" t="s">
        <v>21</v>
      </c>
      <c r="S1347" s="34" t="s">
        <v>307</v>
      </c>
      <c r="T1347" s="34"/>
      <c r="U1347" s="34"/>
      <c r="V1347" s="34" t="s">
        <v>22</v>
      </c>
      <c r="W1347" s="34" t="s">
        <v>28</v>
      </c>
      <c r="X1347" s="38" t="s">
        <v>173</v>
      </c>
      <c r="Y1347" s="62"/>
      <c r="Z1347" s="38" t="e">
        <f t="shared" si="64"/>
        <v>#NUM!</v>
      </c>
      <c r="AA1347" s="38"/>
      <c r="AB1347" s="34">
        <v>10</v>
      </c>
      <c r="AC1347" s="34">
        <v>10</v>
      </c>
      <c r="AD1347" s="38"/>
      <c r="AE1347" s="59" t="str">
        <f t="shared" ref="AE1347:AE1410" si="65">IF(F1347=O1347, "NO", "SÍ")</f>
        <v>NO</v>
      </c>
      <c r="AF1347" s="38" t="e" cm="1">
        <f t="array" aca="1" ref="AF1347" ca="1">MIN(100, MAX(0, (IF(R1347="ESTUDIANTE", 31, 0)) + (IF(I1347&lt;=3, 30, IF(I1347&lt;=6, 20, 0))) +(IF(OR(E1347="413 - Control de Costes y Enlace Construcción", E1347="480 - Secretaría General del Consejo", E1347="132 - Civil y estructuras", E1347="136 - Mecánica", E1347="412 - Planificación", E1347="142 - Compras"), 25, 0)) +(IF(OR(S1347="GRADO ING. MECÁNICA", S1347="GRADO ING. ELÉCTRICA", S1347="GRADO DERECHO", S1347="GRADO ECONOMÍA", S1347="GRADO ING. TECNOLOGÍAS INDUSTRIALES"), 24, 0)) + (IF(AND(K1347&gt;=451, K1347&lt;=700), 23, 0)) + (IF(AND(AB1347&gt;=5, AB1347&lt;=8), 17, 0)) +(IF(_xludf.OR(_xludf.AND(AC1347&gt;=8, AC1347&lt;=10), _xludf.AND(AC1347&gt;=0, AC1347&lt;=5)), 16, 0)) + (IF(F1347="Madrid", 11, 0))))</f>
        <v>#NAME?</v>
      </c>
      <c r="AG1347" s="68"/>
      <c r="AH1347" s="71" t="s">
        <v>164</v>
      </c>
    </row>
    <row r="1348" spans="1:34" ht="14.4" x14ac:dyDescent="0.3">
      <c r="A1348" s="66" t="s">
        <v>2317</v>
      </c>
      <c r="B1348" s="66" t="s">
        <v>4434</v>
      </c>
      <c r="C1348" s="33">
        <v>1347</v>
      </c>
      <c r="D1348" s="33" t="s">
        <v>5393</v>
      </c>
      <c r="E1348" s="34" t="s">
        <v>5222</v>
      </c>
      <c r="F1348" s="34" t="s">
        <v>18</v>
      </c>
      <c r="G1348" s="57">
        <v>44698</v>
      </c>
      <c r="H1348" s="57">
        <v>44926</v>
      </c>
      <c r="I1348" s="34">
        <f t="shared" si="63"/>
        <v>7</v>
      </c>
      <c r="J1348" s="34">
        <v>35</v>
      </c>
      <c r="K1348" s="36">
        <v>900</v>
      </c>
      <c r="L1348" s="34" t="s">
        <v>29</v>
      </c>
      <c r="M1348" s="57">
        <v>34651</v>
      </c>
      <c r="N1348" s="37">
        <f>(YEAR(TablaMadre[[#This Row],[ALTA]])-YEAR(M1348))</f>
        <v>28</v>
      </c>
      <c r="O1348" s="34" t="s">
        <v>525</v>
      </c>
      <c r="P1348" s="34" t="s">
        <v>19</v>
      </c>
      <c r="Q1348" s="34" t="s">
        <v>447</v>
      </c>
      <c r="R1348" s="34" t="s">
        <v>21</v>
      </c>
      <c r="S1348" s="34" t="s">
        <v>297</v>
      </c>
      <c r="T1348" s="34"/>
      <c r="U1348" s="34"/>
      <c r="V1348" s="34" t="s">
        <v>79</v>
      </c>
      <c r="W1348" s="34" t="s">
        <v>181</v>
      </c>
      <c r="X1348" s="38" t="s">
        <v>164</v>
      </c>
      <c r="Y1348" s="62"/>
      <c r="Z1348" s="38" t="e">
        <f t="shared" si="64"/>
        <v>#NUM!</v>
      </c>
      <c r="AA1348" s="38"/>
      <c r="AB1348" s="34">
        <v>7</v>
      </c>
      <c r="AC1348" s="34">
        <v>9</v>
      </c>
      <c r="AD1348" s="38"/>
      <c r="AE1348" s="59" t="str">
        <f t="shared" si="65"/>
        <v>SÍ</v>
      </c>
      <c r="AF1348" s="38" t="e" cm="1">
        <f t="array" aca="1" ref="AF1348" ca="1">MIN(100, MAX(0, (IF(R1348="ESTUDIANTE", 31, 0)) + (IF(I1348&lt;=3, 30, IF(I1348&lt;=6, 20, 0))) +(IF(OR(E1348="413 - Control de Costes y Enlace Construcción", E1348="480 - Secretaría General del Consejo", E1348="132 - Civil y estructuras", E1348="136 - Mecánica", E1348="412 - Planificación", E1348="142 - Compras"), 25, 0)) +(IF(OR(S1348="GRADO ING. MECÁNICA", S1348="GRADO ING. ELÉCTRICA", S1348="GRADO DERECHO", S1348="GRADO ECONOMÍA", S1348="GRADO ING. TECNOLOGÍAS INDUSTRIALES"), 24, 0)) + (IF(AND(K1348&gt;=451, K1348&lt;=700), 23, 0)) + (IF(AND(AB1348&gt;=5, AB1348&lt;=8), 17, 0)) +(IF(_xludf.OR(_xludf.AND(AC1348&gt;=8, AC1348&lt;=10), _xludf.AND(AC1348&gt;=0, AC1348&lt;=5)), 16, 0)) + (IF(F1348="Madrid", 11, 0))))</f>
        <v>#NAME?</v>
      </c>
      <c r="AG1348" s="68"/>
      <c r="AH1348" s="71" t="s">
        <v>164</v>
      </c>
    </row>
    <row r="1349" spans="1:34" ht="14.4" x14ac:dyDescent="0.3">
      <c r="A1349" s="66" t="s">
        <v>2327</v>
      </c>
      <c r="B1349" s="66" t="s">
        <v>4444</v>
      </c>
      <c r="C1349" s="33">
        <v>1348</v>
      </c>
      <c r="D1349" s="33" t="s">
        <v>5394</v>
      </c>
      <c r="E1349" s="34" t="s">
        <v>5285</v>
      </c>
      <c r="F1349" s="34" t="s">
        <v>18</v>
      </c>
      <c r="G1349" s="57">
        <v>44698</v>
      </c>
      <c r="H1349" s="57">
        <v>45062</v>
      </c>
      <c r="I1349" s="34">
        <f t="shared" si="63"/>
        <v>11</v>
      </c>
      <c r="J1349" s="34">
        <v>35</v>
      </c>
      <c r="K1349" s="36">
        <v>825</v>
      </c>
      <c r="L1349" s="34" t="s">
        <v>29</v>
      </c>
      <c r="M1349" s="57">
        <v>35507</v>
      </c>
      <c r="N1349" s="37">
        <f>(YEAR(TablaMadre[[#This Row],[ALTA]])-YEAR(M1349))</f>
        <v>25</v>
      </c>
      <c r="O1349" s="34" t="s">
        <v>18</v>
      </c>
      <c r="P1349" s="34" t="s">
        <v>19</v>
      </c>
      <c r="Q1349" s="34" t="s">
        <v>626</v>
      </c>
      <c r="R1349" s="34" t="s">
        <v>21</v>
      </c>
      <c r="S1349" s="34" t="s">
        <v>322</v>
      </c>
      <c r="T1349" s="34"/>
      <c r="U1349" s="34"/>
      <c r="V1349" s="34" t="s">
        <v>22</v>
      </c>
      <c r="W1349" s="34" t="s">
        <v>28</v>
      </c>
      <c r="X1349" s="38" t="s">
        <v>173</v>
      </c>
      <c r="Y1349" s="62"/>
      <c r="Z1349" s="38" t="e">
        <f t="shared" si="64"/>
        <v>#NUM!</v>
      </c>
      <c r="AA1349" s="38"/>
      <c r="AB1349" s="34">
        <v>9</v>
      </c>
      <c r="AC1349" s="34">
        <v>6</v>
      </c>
      <c r="AD1349" s="38"/>
      <c r="AE1349" s="59" t="str">
        <f t="shared" si="65"/>
        <v>NO</v>
      </c>
      <c r="AF1349" s="38" t="e" cm="1">
        <f t="array" aca="1" ref="AF1349" ca="1">MIN(100, MAX(0, (IF(R1349="ESTUDIANTE", 31, 0)) + (IF(I1349&lt;=3, 30, IF(I1349&lt;=6, 20, 0))) +(IF(OR(E1349="413 - Control de Costes y Enlace Construcción", E1349="480 - Secretaría General del Consejo", E1349="132 - Civil y estructuras", E1349="136 - Mecánica", E1349="412 - Planificación", E1349="142 - Compras"), 25, 0)) +(IF(OR(S1349="GRADO ING. MECÁNICA", S1349="GRADO ING. ELÉCTRICA", S1349="GRADO DERECHO", S1349="GRADO ECONOMÍA", S1349="GRADO ING. TECNOLOGÍAS INDUSTRIALES"), 24, 0)) + (IF(AND(K1349&gt;=451, K1349&lt;=700), 23, 0)) + (IF(AND(AB1349&gt;=5, AB1349&lt;=8), 17, 0)) +(IF(_xludf.OR(_xludf.AND(AC1349&gt;=8, AC1349&lt;=10), _xludf.AND(AC1349&gt;=0, AC1349&lt;=5)), 16, 0)) + (IF(F1349="Madrid", 11, 0))))</f>
        <v>#NAME?</v>
      </c>
      <c r="AG1349" s="68"/>
      <c r="AH1349" s="71" t="s">
        <v>164</v>
      </c>
    </row>
    <row r="1350" spans="1:34" ht="14.4" x14ac:dyDescent="0.3">
      <c r="A1350" s="66" t="s">
        <v>2328</v>
      </c>
      <c r="B1350" s="66" t="s">
        <v>4445</v>
      </c>
      <c r="C1350" s="33">
        <v>1349</v>
      </c>
      <c r="D1350" s="33" t="s">
        <v>5403</v>
      </c>
      <c r="E1350" s="34" t="s">
        <v>5334</v>
      </c>
      <c r="F1350" s="34" t="s">
        <v>931</v>
      </c>
      <c r="G1350" s="57">
        <v>44704</v>
      </c>
      <c r="H1350" s="57">
        <v>44745</v>
      </c>
      <c r="I1350" s="34">
        <f t="shared" si="63"/>
        <v>1</v>
      </c>
      <c r="J1350" s="34">
        <v>40</v>
      </c>
      <c r="K1350" s="36">
        <v>0</v>
      </c>
      <c r="L1350" s="34" t="s">
        <v>17</v>
      </c>
      <c r="M1350" s="57">
        <v>35171</v>
      </c>
      <c r="N1350" s="37">
        <f>(YEAR(TablaMadre[[#This Row],[ALTA]])-YEAR(M1350))</f>
        <v>26</v>
      </c>
      <c r="O1350" s="34"/>
      <c r="P1350" s="34" t="s">
        <v>19</v>
      </c>
      <c r="Q1350" s="34" t="s">
        <v>26</v>
      </c>
      <c r="R1350" s="34" t="s">
        <v>30</v>
      </c>
      <c r="S1350" s="34" t="s">
        <v>26</v>
      </c>
      <c r="T1350" s="34"/>
      <c r="U1350" s="34"/>
      <c r="V1350" s="34" t="s">
        <v>27</v>
      </c>
      <c r="W1350" s="34" t="s">
        <v>28</v>
      </c>
      <c r="X1350" s="38" t="s">
        <v>164</v>
      </c>
      <c r="Y1350" s="62">
        <v>44930</v>
      </c>
      <c r="Z1350" s="38">
        <f t="shared" si="64"/>
        <v>0</v>
      </c>
      <c r="AA1350" s="38"/>
      <c r="AB1350" s="34"/>
      <c r="AC1350" s="34"/>
      <c r="AD1350" s="38"/>
      <c r="AE1350" s="59" t="str">
        <f t="shared" si="65"/>
        <v>SÍ</v>
      </c>
      <c r="AF1350" s="38" t="e" cm="1">
        <f t="array" aca="1" ref="AF1350" ca="1">MIN(100, MAX(0, (IF(R1350="ESTUDIANTE", 31, 0)) + (IF(I1350&lt;=3, 30, IF(I1350&lt;=6, 20, 0))) +(IF(OR(E1350="413 - Control de Costes y Enlace Construcción", E1350="480 - Secretaría General del Consejo", E1350="132 - Civil y estructuras", E1350="136 - Mecánica", E1350="412 - Planificación", E1350="142 - Compras"), 25, 0)) +(IF(OR(S1350="GRADO ING. MECÁNICA", S1350="GRADO ING. ELÉCTRICA", S1350="GRADO DERECHO", S1350="GRADO ECONOMÍA", S1350="GRADO ING. TECNOLOGÍAS INDUSTRIALES"), 24, 0)) + (IF(AND(K1350&gt;=451, K1350&lt;=700), 23, 0)) + (IF(AND(AB1350&gt;=5, AB1350&lt;=8), 17, 0)) +(IF(_xludf.OR(_xludf.AND(AC1350&gt;=8, AC1350&lt;=10), _xludf.AND(AC1350&gt;=0, AC1350&lt;=5)), 16, 0)) + (IF(F1350="Madrid", 11, 0))))</f>
        <v>#NAME?</v>
      </c>
      <c r="AG1350" s="68"/>
      <c r="AH1350" s="71" t="s">
        <v>164</v>
      </c>
    </row>
    <row r="1351" spans="1:34" ht="14.4" x14ac:dyDescent="0.3">
      <c r="A1351" s="66" t="s">
        <v>2964</v>
      </c>
      <c r="B1351" s="66" t="s">
        <v>5081</v>
      </c>
      <c r="C1351" s="33">
        <v>1350</v>
      </c>
      <c r="D1351" s="33" t="s">
        <v>5404</v>
      </c>
      <c r="E1351" s="34" t="s">
        <v>5314</v>
      </c>
      <c r="F1351" s="34" t="s">
        <v>18</v>
      </c>
      <c r="G1351" s="57">
        <v>44705</v>
      </c>
      <c r="H1351" s="57">
        <v>44765</v>
      </c>
      <c r="I1351" s="34">
        <f t="shared" si="63"/>
        <v>1</v>
      </c>
      <c r="J1351" s="34">
        <v>35</v>
      </c>
      <c r="K1351" s="36">
        <v>0</v>
      </c>
      <c r="L1351" s="34" t="s">
        <v>17</v>
      </c>
      <c r="M1351" s="57">
        <v>37173</v>
      </c>
      <c r="N1351" s="37">
        <f>(YEAR(TablaMadre[[#This Row],[ALTA]])-YEAR(M1351))</f>
        <v>21</v>
      </c>
      <c r="O1351" s="34" t="s">
        <v>18</v>
      </c>
      <c r="P1351" s="34" t="s">
        <v>19</v>
      </c>
      <c r="Q1351" s="34" t="s">
        <v>541</v>
      </c>
      <c r="R1351" s="34" t="s">
        <v>30</v>
      </c>
      <c r="S1351" s="34" t="s">
        <v>322</v>
      </c>
      <c r="T1351" s="34"/>
      <c r="U1351" s="34"/>
      <c r="V1351" s="34" t="s">
        <v>67</v>
      </c>
      <c r="W1351" s="34" t="s">
        <v>23</v>
      </c>
      <c r="X1351" s="38" t="s">
        <v>164</v>
      </c>
      <c r="Y1351" s="62"/>
      <c r="Z1351" s="38" t="e">
        <f t="shared" si="64"/>
        <v>#NUM!</v>
      </c>
      <c r="AA1351" s="38"/>
      <c r="AB1351" s="34"/>
      <c r="AC1351" s="34"/>
      <c r="AD1351" s="38"/>
      <c r="AE1351" s="59" t="str">
        <f t="shared" si="65"/>
        <v>NO</v>
      </c>
      <c r="AF1351" s="38" t="e" cm="1">
        <f t="array" aca="1" ref="AF1351" ca="1">MIN(100, MAX(0, (IF(R1351="ESTUDIANTE", 31, 0)) + (IF(I1351&lt;=3, 30, IF(I1351&lt;=6, 20, 0))) +(IF(OR(E1351="413 - Control de Costes y Enlace Construcción", E1351="480 - Secretaría General del Consejo", E1351="132 - Civil y estructuras", E1351="136 - Mecánica", E1351="412 - Planificación", E1351="142 - Compras"), 25, 0)) +(IF(OR(S1351="GRADO ING. MECÁNICA", S1351="GRADO ING. ELÉCTRICA", S1351="GRADO DERECHO", S1351="GRADO ECONOMÍA", S1351="GRADO ING. TECNOLOGÍAS INDUSTRIALES"), 24, 0)) + (IF(AND(K1351&gt;=451, K1351&lt;=700), 23, 0)) + (IF(AND(AB1351&gt;=5, AB1351&lt;=8), 17, 0)) +(IF(_xludf.OR(_xludf.AND(AC1351&gt;=8, AC1351&lt;=10), _xludf.AND(AC1351&gt;=0, AC1351&lt;=5)), 16, 0)) + (IF(F1351="Madrid", 11, 0))))</f>
        <v>#NAME?</v>
      </c>
      <c r="AG1351" s="68"/>
      <c r="AH1351" s="71" t="s">
        <v>164</v>
      </c>
    </row>
    <row r="1352" spans="1:34" ht="14.4" x14ac:dyDescent="0.3">
      <c r="A1352" s="66" t="s">
        <v>2304</v>
      </c>
      <c r="B1352" s="66" t="s">
        <v>4421</v>
      </c>
      <c r="C1352" s="33">
        <v>1325</v>
      </c>
      <c r="D1352" s="33" t="s">
        <v>5405</v>
      </c>
      <c r="E1352" s="34" t="s">
        <v>5235</v>
      </c>
      <c r="F1352" s="34" t="s">
        <v>18</v>
      </c>
      <c r="G1352" s="57">
        <v>44706</v>
      </c>
      <c r="H1352" s="57">
        <v>44985</v>
      </c>
      <c r="I1352" s="34">
        <f t="shared" si="63"/>
        <v>9</v>
      </c>
      <c r="J1352" s="34">
        <v>35</v>
      </c>
      <c r="K1352" s="36">
        <v>825</v>
      </c>
      <c r="L1352" s="34" t="s">
        <v>17</v>
      </c>
      <c r="M1352" s="57">
        <v>35776</v>
      </c>
      <c r="N1352" s="37">
        <f>(YEAR(TablaMadre[[#This Row],[ALTA]])-YEAR(M1352))</f>
        <v>25</v>
      </c>
      <c r="O1352" s="34" t="s">
        <v>18</v>
      </c>
      <c r="P1352" s="34" t="s">
        <v>19</v>
      </c>
      <c r="Q1352" s="34" t="s">
        <v>549</v>
      </c>
      <c r="R1352" s="65"/>
      <c r="S1352" s="65" t="s">
        <v>297</v>
      </c>
      <c r="T1352" s="65"/>
      <c r="U1352" s="65"/>
      <c r="V1352" s="34" t="s">
        <v>84</v>
      </c>
      <c r="W1352" s="34" t="s">
        <v>28</v>
      </c>
      <c r="X1352" s="38" t="s">
        <v>173</v>
      </c>
      <c r="Y1352" s="62"/>
      <c r="Z1352" s="38" t="e">
        <f t="shared" si="64"/>
        <v>#NUM!</v>
      </c>
      <c r="AA1352" s="38"/>
      <c r="AB1352" s="34" t="s">
        <v>551</v>
      </c>
      <c r="AC1352" s="34" t="s">
        <v>551</v>
      </c>
      <c r="AD1352" s="38"/>
      <c r="AE1352" s="59" t="str">
        <f t="shared" si="65"/>
        <v>NO</v>
      </c>
      <c r="AF1352" s="38" t="e" cm="1">
        <f t="array" aca="1" ref="AF1352" ca="1">MIN(100, MAX(0, (IF(R1352="ESTUDIANTE", 31, 0)) + (IF(I1352&lt;=3, 30, IF(I1352&lt;=6, 20, 0))) +(IF(OR(E1352="413 - Control de Costes y Enlace Construcción", E1352="480 - Secretaría General del Consejo", E1352="132 - Civil y estructuras", E1352="136 - Mecánica", E1352="412 - Planificación", E1352="142 - Compras"), 25, 0)) +(IF(OR(S1352="GRADO ING. MECÁNICA", S1352="GRADO ING. ELÉCTRICA", S1352="GRADO DERECHO", S1352="GRADO ECONOMÍA", S1352="GRADO ING. TECNOLOGÍAS INDUSTRIALES"), 24, 0)) + (IF(AND(K1352&gt;=451, K1352&lt;=700), 23, 0)) + (IF(AND(AB1352&gt;=5, AB1352&lt;=8), 17, 0)) +(IF(_xludf.OR(_xludf.AND(AC1352&gt;=8, AC1352&lt;=10), _xludf.AND(AC1352&gt;=0, AC1352&lt;=5)), 16, 0)) + (IF(F1352="Madrid", 11, 0))))</f>
        <v>#NAME?</v>
      </c>
      <c r="AG1352" s="68"/>
      <c r="AH1352" s="71" t="s">
        <v>164</v>
      </c>
    </row>
    <row r="1353" spans="1:34" ht="14.4" x14ac:dyDescent="0.3">
      <c r="A1353" s="66" t="s">
        <v>2320</v>
      </c>
      <c r="B1353" s="66" t="s">
        <v>4437</v>
      </c>
      <c r="C1353" s="33">
        <v>1352</v>
      </c>
      <c r="D1353" s="33" t="s">
        <v>5396</v>
      </c>
      <c r="E1353" s="34" t="s">
        <v>5236</v>
      </c>
      <c r="F1353" s="34" t="s">
        <v>18</v>
      </c>
      <c r="G1353" s="57">
        <v>44713</v>
      </c>
      <c r="H1353" s="57">
        <v>44773</v>
      </c>
      <c r="I1353" s="34">
        <f t="shared" si="63"/>
        <v>1</v>
      </c>
      <c r="J1353" s="34">
        <v>35</v>
      </c>
      <c r="K1353" s="36">
        <v>650</v>
      </c>
      <c r="L1353" s="34" t="s">
        <v>17</v>
      </c>
      <c r="M1353" s="57">
        <v>37414</v>
      </c>
      <c r="N1353" s="37">
        <f>(YEAR(TablaMadre[[#This Row],[ALTA]])-YEAR(M1353))</f>
        <v>20</v>
      </c>
      <c r="O1353" s="34" t="s">
        <v>18</v>
      </c>
      <c r="P1353" s="34" t="s">
        <v>19</v>
      </c>
      <c r="Q1353" s="34" t="s">
        <v>543</v>
      </c>
      <c r="R1353" s="58" t="s">
        <v>30</v>
      </c>
      <c r="S1353" s="34" t="s">
        <v>280</v>
      </c>
      <c r="T1353" s="34"/>
      <c r="U1353" s="34"/>
      <c r="V1353" s="34" t="s">
        <v>137</v>
      </c>
      <c r="W1353" s="34" t="s">
        <v>23</v>
      </c>
      <c r="X1353" s="38" t="s">
        <v>164</v>
      </c>
      <c r="Y1353" s="62"/>
      <c r="Z1353" s="38" t="e">
        <f t="shared" si="64"/>
        <v>#NUM!</v>
      </c>
      <c r="AA1353" s="38"/>
      <c r="AB1353" s="34"/>
      <c r="AC1353" s="34"/>
      <c r="AD1353" s="38"/>
      <c r="AE1353" s="59" t="str">
        <f t="shared" si="65"/>
        <v>NO</v>
      </c>
      <c r="AF1353" s="38" t="e" cm="1">
        <f t="array" aca="1" ref="AF1353" ca="1">MIN(100, MAX(0, (IF(R1353="ESTUDIANTE", 31, 0)) + (IF(I1353&lt;=3, 30, IF(I1353&lt;=6, 20, 0))) +(IF(OR(E1353="413 - Control de Costes y Enlace Construcción", E1353="480 - Secretaría General del Consejo", E1353="132 - Civil y estructuras", E1353="136 - Mecánica", E1353="412 - Planificación", E1353="142 - Compras"), 25, 0)) +(IF(OR(S1353="GRADO ING. MECÁNICA", S1353="GRADO ING. ELÉCTRICA", S1353="GRADO DERECHO", S1353="GRADO ECONOMÍA", S1353="GRADO ING. TECNOLOGÍAS INDUSTRIALES"), 24, 0)) + (IF(AND(K1353&gt;=451, K1353&lt;=700), 23, 0)) + (IF(AND(AB1353&gt;=5, AB1353&lt;=8), 17, 0)) +(IF(_xludf.OR(_xludf.AND(AC1353&gt;=8, AC1353&lt;=10), _xludf.AND(AC1353&gt;=0, AC1353&lt;=5)), 16, 0)) + (IF(F1353="Madrid", 11, 0))))</f>
        <v>#NAME?</v>
      </c>
      <c r="AG1353" s="68"/>
      <c r="AH1353" s="71" t="s">
        <v>164</v>
      </c>
    </row>
    <row r="1354" spans="1:34" ht="14.4" x14ac:dyDescent="0.3">
      <c r="A1354" s="66" t="s">
        <v>2332</v>
      </c>
      <c r="B1354" s="66" t="s">
        <v>4449</v>
      </c>
      <c r="C1354" s="33">
        <v>1353</v>
      </c>
      <c r="D1354" s="33" t="s">
        <v>5397</v>
      </c>
      <c r="E1354" s="34" t="s">
        <v>5319</v>
      </c>
      <c r="F1354" s="34" t="s">
        <v>18</v>
      </c>
      <c r="G1354" s="57">
        <v>44713</v>
      </c>
      <c r="H1354" s="57">
        <v>44938</v>
      </c>
      <c r="I1354" s="34">
        <f t="shared" si="63"/>
        <v>7</v>
      </c>
      <c r="J1354" s="34">
        <v>35</v>
      </c>
      <c r="K1354" s="36">
        <v>825</v>
      </c>
      <c r="L1354" s="34" t="s">
        <v>29</v>
      </c>
      <c r="M1354" s="57">
        <v>36399</v>
      </c>
      <c r="N1354" s="37">
        <f>(YEAR(TablaMadre[[#This Row],[ALTA]])-YEAR(M1354))</f>
        <v>23</v>
      </c>
      <c r="O1354" s="34" t="s">
        <v>323</v>
      </c>
      <c r="P1354" s="34" t="s">
        <v>19</v>
      </c>
      <c r="Q1354" s="34" t="s">
        <v>428</v>
      </c>
      <c r="R1354" s="34" t="s">
        <v>21</v>
      </c>
      <c r="S1354" s="34" t="s">
        <v>297</v>
      </c>
      <c r="T1354" s="34"/>
      <c r="U1354" s="34"/>
      <c r="V1354" s="34" t="s">
        <v>84</v>
      </c>
      <c r="W1354" s="34" t="s">
        <v>28</v>
      </c>
      <c r="X1354" s="38" t="s">
        <v>173</v>
      </c>
      <c r="Y1354" s="62"/>
      <c r="Z1354" s="38" t="e">
        <f t="shared" si="64"/>
        <v>#NUM!</v>
      </c>
      <c r="AA1354" s="38"/>
      <c r="AB1354" s="34">
        <v>10</v>
      </c>
      <c r="AC1354" s="34">
        <v>10</v>
      </c>
      <c r="AD1354" s="38"/>
      <c r="AE1354" s="59" t="str">
        <f t="shared" si="65"/>
        <v>SÍ</v>
      </c>
      <c r="AF1354" s="38" t="e" cm="1">
        <f t="array" aca="1" ref="AF1354" ca="1">MIN(100, MAX(0, (IF(R1354="ESTUDIANTE", 31, 0)) + (IF(I1354&lt;=3, 30, IF(I1354&lt;=6, 20, 0))) +(IF(OR(E1354="413 - Control de Costes y Enlace Construcción", E1354="480 - Secretaría General del Consejo", E1354="132 - Civil y estructuras", E1354="136 - Mecánica", E1354="412 - Planificación", E1354="142 - Compras"), 25, 0)) +(IF(OR(S1354="GRADO ING. MECÁNICA", S1354="GRADO ING. ELÉCTRICA", S1354="GRADO DERECHO", S1354="GRADO ECONOMÍA", S1354="GRADO ING. TECNOLOGÍAS INDUSTRIALES"), 24, 0)) + (IF(AND(K1354&gt;=451, K1354&lt;=700), 23, 0)) + (IF(AND(AB1354&gt;=5, AB1354&lt;=8), 17, 0)) +(IF(_xludf.OR(_xludf.AND(AC1354&gt;=8, AC1354&lt;=10), _xludf.AND(AC1354&gt;=0, AC1354&lt;=5)), 16, 0)) + (IF(F1354="Madrid", 11, 0))))</f>
        <v>#NAME?</v>
      </c>
      <c r="AG1354" s="68"/>
      <c r="AH1354" s="71" t="s">
        <v>164</v>
      </c>
    </row>
    <row r="1355" spans="1:34" ht="14.4" x14ac:dyDescent="0.3">
      <c r="A1355" s="66" t="s">
        <v>2333</v>
      </c>
      <c r="B1355" s="66" t="s">
        <v>4450</v>
      </c>
      <c r="C1355" s="33">
        <v>1354</v>
      </c>
      <c r="D1355" s="33" t="s">
        <v>5393</v>
      </c>
      <c r="E1355" s="34" t="s">
        <v>5323</v>
      </c>
      <c r="F1355" s="34" t="s">
        <v>18</v>
      </c>
      <c r="G1355" s="57">
        <v>44713</v>
      </c>
      <c r="H1355" s="57">
        <v>45021</v>
      </c>
      <c r="I1355" s="34">
        <f t="shared" si="63"/>
        <v>10</v>
      </c>
      <c r="J1355" s="34">
        <v>35</v>
      </c>
      <c r="K1355" s="36">
        <v>825</v>
      </c>
      <c r="L1355" s="34" t="s">
        <v>17</v>
      </c>
      <c r="M1355" s="57">
        <v>36057</v>
      </c>
      <c r="N1355" s="37">
        <f>(YEAR(TablaMadre[[#This Row],[ALTA]])-YEAR(M1355))</f>
        <v>24</v>
      </c>
      <c r="O1355" s="34" t="s">
        <v>18</v>
      </c>
      <c r="P1355" s="34" t="s">
        <v>19</v>
      </c>
      <c r="Q1355" s="34" t="s">
        <v>384</v>
      </c>
      <c r="R1355" s="34" t="s">
        <v>21</v>
      </c>
      <c r="S1355" s="34" t="s">
        <v>384</v>
      </c>
      <c r="T1355" s="34"/>
      <c r="U1355" s="34"/>
      <c r="V1355" s="34" t="s">
        <v>56</v>
      </c>
      <c r="W1355" s="34" t="s">
        <v>28</v>
      </c>
      <c r="X1355" s="38" t="s">
        <v>173</v>
      </c>
      <c r="Y1355" s="62"/>
      <c r="Z1355" s="38" t="e">
        <f t="shared" si="64"/>
        <v>#NUM!</v>
      </c>
      <c r="AA1355" s="38"/>
      <c r="AB1355" s="34">
        <v>8</v>
      </c>
      <c r="AC1355" s="34" t="s">
        <v>616</v>
      </c>
      <c r="AD1355" s="38"/>
      <c r="AE1355" s="59" t="str">
        <f t="shared" si="65"/>
        <v>NO</v>
      </c>
      <c r="AF1355" s="38" t="e" cm="1">
        <f t="array" aca="1" ref="AF1355" ca="1">MIN(100, MAX(0, (IF(R1355="ESTUDIANTE", 31, 0)) + (IF(I1355&lt;=3, 30, IF(I1355&lt;=6, 20, 0))) +(IF(OR(E1355="413 - Control de Costes y Enlace Construcción", E1355="480 - Secretaría General del Consejo", E1355="132 - Civil y estructuras", E1355="136 - Mecánica", E1355="412 - Planificación", E1355="142 - Compras"), 25, 0)) +(IF(OR(S1355="GRADO ING. MECÁNICA", S1355="GRADO ING. ELÉCTRICA", S1355="GRADO DERECHO", S1355="GRADO ECONOMÍA", S1355="GRADO ING. TECNOLOGÍAS INDUSTRIALES"), 24, 0)) + (IF(AND(K1355&gt;=451, K1355&lt;=700), 23, 0)) + (IF(AND(AB1355&gt;=5, AB1355&lt;=8), 17, 0)) +(IF(_xludf.OR(_xludf.AND(AC1355&gt;=8, AC1355&lt;=10), _xludf.AND(AC1355&gt;=0, AC1355&lt;=5)), 16, 0)) + (IF(F1355="Madrid", 11, 0))))</f>
        <v>#NAME?</v>
      </c>
      <c r="AG1355" s="68"/>
      <c r="AH1355" s="71" t="s">
        <v>164</v>
      </c>
    </row>
    <row r="1356" spans="1:34" ht="14.4" x14ac:dyDescent="0.3">
      <c r="A1356" s="66" t="s">
        <v>2334</v>
      </c>
      <c r="B1356" s="66" t="s">
        <v>4451</v>
      </c>
      <c r="C1356" s="33">
        <v>1355</v>
      </c>
      <c r="D1356" s="33" t="s">
        <v>5394</v>
      </c>
      <c r="E1356" s="34" t="s">
        <v>5216</v>
      </c>
      <c r="F1356" s="34" t="s">
        <v>18</v>
      </c>
      <c r="G1356" s="57">
        <v>44713</v>
      </c>
      <c r="H1356" s="57">
        <v>45077</v>
      </c>
      <c r="I1356" s="34">
        <f t="shared" si="63"/>
        <v>11</v>
      </c>
      <c r="J1356" s="34">
        <v>35</v>
      </c>
      <c r="K1356" s="36">
        <v>825</v>
      </c>
      <c r="L1356" s="34" t="s">
        <v>29</v>
      </c>
      <c r="M1356" s="57">
        <v>36451</v>
      </c>
      <c r="N1356" s="37">
        <f>(YEAR(TablaMadre[[#This Row],[ALTA]])-YEAR(M1356))</f>
        <v>23</v>
      </c>
      <c r="O1356" s="34" t="s">
        <v>18</v>
      </c>
      <c r="P1356" s="34" t="s">
        <v>19</v>
      </c>
      <c r="Q1356" s="34" t="s">
        <v>297</v>
      </c>
      <c r="R1356" s="34" t="s">
        <v>21</v>
      </c>
      <c r="S1356" s="34" t="s">
        <v>297</v>
      </c>
      <c r="T1356" s="34"/>
      <c r="U1356" s="34"/>
      <c r="V1356" s="34" t="s">
        <v>40</v>
      </c>
      <c r="W1356" s="34" t="s">
        <v>28</v>
      </c>
      <c r="X1356" s="38" t="s">
        <v>173</v>
      </c>
      <c r="Y1356" s="62"/>
      <c r="Z1356" s="38" t="e">
        <f t="shared" si="64"/>
        <v>#NUM!</v>
      </c>
      <c r="AA1356" s="38"/>
      <c r="AB1356" s="34">
        <v>8</v>
      </c>
      <c r="AC1356" s="34">
        <v>9</v>
      </c>
      <c r="AD1356" s="38"/>
      <c r="AE1356" s="59" t="str">
        <f t="shared" si="65"/>
        <v>NO</v>
      </c>
      <c r="AF1356" s="38" t="e" cm="1">
        <f t="array" aca="1" ref="AF1356" ca="1">MIN(100, MAX(0, (IF(R1356="ESTUDIANTE", 31, 0)) + (IF(I1356&lt;=3, 30, IF(I1356&lt;=6, 20, 0))) +(IF(OR(E1356="413 - Control de Costes y Enlace Construcción", E1356="480 - Secretaría General del Consejo", E1356="132 - Civil y estructuras", E1356="136 - Mecánica", E1356="412 - Planificación", E1356="142 - Compras"), 25, 0)) +(IF(OR(S1356="GRADO ING. MECÁNICA", S1356="GRADO ING. ELÉCTRICA", S1356="GRADO DERECHO", S1356="GRADO ECONOMÍA", S1356="GRADO ING. TECNOLOGÍAS INDUSTRIALES"), 24, 0)) + (IF(AND(K1356&gt;=451, K1356&lt;=700), 23, 0)) + (IF(AND(AB1356&gt;=5, AB1356&lt;=8), 17, 0)) +(IF(_xludf.OR(_xludf.AND(AC1356&gt;=8, AC1356&lt;=10), _xludf.AND(AC1356&gt;=0, AC1356&lt;=5)), 16, 0)) + (IF(F1356="Madrid", 11, 0))))</f>
        <v>#NAME?</v>
      </c>
      <c r="AG1356" s="68"/>
      <c r="AH1356" s="71" t="s">
        <v>164</v>
      </c>
    </row>
    <row r="1357" spans="1:34" ht="14.4" x14ac:dyDescent="0.3">
      <c r="A1357" s="66" t="s">
        <v>2335</v>
      </c>
      <c r="B1357" s="66" t="s">
        <v>4452</v>
      </c>
      <c r="C1357" s="33">
        <v>1356</v>
      </c>
      <c r="D1357" s="33" t="s">
        <v>5395</v>
      </c>
      <c r="E1357" s="34" t="s">
        <v>5323</v>
      </c>
      <c r="F1357" s="34" t="s">
        <v>18</v>
      </c>
      <c r="G1357" s="57">
        <v>44713</v>
      </c>
      <c r="H1357" s="57">
        <v>45077</v>
      </c>
      <c r="I1357" s="34">
        <f t="shared" si="63"/>
        <v>11</v>
      </c>
      <c r="J1357" s="34">
        <v>35</v>
      </c>
      <c r="K1357" s="36">
        <v>825</v>
      </c>
      <c r="L1357" s="34" t="s">
        <v>17</v>
      </c>
      <c r="M1357" s="57">
        <v>35109</v>
      </c>
      <c r="N1357" s="37">
        <f>(YEAR(TablaMadre[[#This Row],[ALTA]])-YEAR(M1357))</f>
        <v>26</v>
      </c>
      <c r="O1357" s="34" t="s">
        <v>18</v>
      </c>
      <c r="P1357" s="34" t="s">
        <v>19</v>
      </c>
      <c r="Q1357" s="34" t="s">
        <v>384</v>
      </c>
      <c r="R1357" s="34" t="s">
        <v>21</v>
      </c>
      <c r="S1357" s="34" t="s">
        <v>384</v>
      </c>
      <c r="T1357" s="34"/>
      <c r="U1357" s="34"/>
      <c r="V1357" s="34" t="s">
        <v>22</v>
      </c>
      <c r="W1357" s="34" t="s">
        <v>28</v>
      </c>
      <c r="X1357" s="38" t="s">
        <v>173</v>
      </c>
      <c r="Y1357" s="62"/>
      <c r="Z1357" s="38" t="e">
        <f t="shared" si="64"/>
        <v>#NUM!</v>
      </c>
      <c r="AA1357" s="38"/>
      <c r="AB1357" s="34">
        <v>10</v>
      </c>
      <c r="AC1357" s="34">
        <v>9</v>
      </c>
      <c r="AD1357" s="38"/>
      <c r="AE1357" s="59" t="str">
        <f t="shared" si="65"/>
        <v>NO</v>
      </c>
      <c r="AF1357" s="38" t="e" cm="1">
        <f t="array" aca="1" ref="AF1357" ca="1">MIN(100, MAX(0, (IF(R1357="ESTUDIANTE", 31, 0)) + (IF(I1357&lt;=3, 30, IF(I1357&lt;=6, 20, 0))) +(IF(OR(E1357="413 - Control de Costes y Enlace Construcción", E1357="480 - Secretaría General del Consejo", E1357="132 - Civil y estructuras", E1357="136 - Mecánica", E1357="412 - Planificación", E1357="142 - Compras"), 25, 0)) +(IF(OR(S1357="GRADO ING. MECÁNICA", S1357="GRADO ING. ELÉCTRICA", S1357="GRADO DERECHO", S1357="GRADO ECONOMÍA", S1357="GRADO ING. TECNOLOGÍAS INDUSTRIALES"), 24, 0)) + (IF(AND(K1357&gt;=451, K1357&lt;=700), 23, 0)) + (IF(AND(AB1357&gt;=5, AB1357&lt;=8), 17, 0)) +(IF(_xludf.OR(_xludf.AND(AC1357&gt;=8, AC1357&lt;=10), _xludf.AND(AC1357&gt;=0, AC1357&lt;=5)), 16, 0)) + (IF(F1357="Madrid", 11, 0))))</f>
        <v>#NAME?</v>
      </c>
      <c r="AG1357" s="68"/>
      <c r="AH1357" s="71" t="s">
        <v>164</v>
      </c>
    </row>
    <row r="1358" spans="1:34" ht="14.4" x14ac:dyDescent="0.3">
      <c r="A1358" s="66" t="s">
        <v>2321</v>
      </c>
      <c r="B1358" s="66" t="s">
        <v>4438</v>
      </c>
      <c r="C1358" s="33">
        <v>1357</v>
      </c>
      <c r="D1358" s="33" t="s">
        <v>5396</v>
      </c>
      <c r="E1358" s="34" t="s">
        <v>5319</v>
      </c>
      <c r="F1358" s="34" t="s">
        <v>18</v>
      </c>
      <c r="G1358" s="57">
        <v>44718</v>
      </c>
      <c r="H1358" s="57">
        <v>44918</v>
      </c>
      <c r="I1358" s="34">
        <f t="shared" si="63"/>
        <v>6</v>
      </c>
      <c r="J1358" s="34">
        <v>35</v>
      </c>
      <c r="K1358" s="36">
        <v>825</v>
      </c>
      <c r="L1358" s="34" t="s">
        <v>17</v>
      </c>
      <c r="M1358" s="57">
        <v>36463</v>
      </c>
      <c r="N1358" s="37">
        <f>(YEAR(TablaMadre[[#This Row],[ALTA]])-YEAR(M1358))</f>
        <v>23</v>
      </c>
      <c r="O1358" s="34" t="s">
        <v>948</v>
      </c>
      <c r="P1358" s="34" t="s">
        <v>19</v>
      </c>
      <c r="Q1358" s="34" t="s">
        <v>399</v>
      </c>
      <c r="R1358" s="34" t="s">
        <v>21</v>
      </c>
      <c r="S1358" s="34" t="s">
        <v>322</v>
      </c>
      <c r="T1358" s="34"/>
      <c r="U1358" s="34"/>
      <c r="V1358" s="34" t="s">
        <v>239</v>
      </c>
      <c r="W1358" s="34" t="s">
        <v>380</v>
      </c>
      <c r="X1358" s="38" t="s">
        <v>173</v>
      </c>
      <c r="Y1358" s="62"/>
      <c r="Z1358" s="38" t="e">
        <f t="shared" si="64"/>
        <v>#NUM!</v>
      </c>
      <c r="AA1358" s="38"/>
      <c r="AB1358" s="34">
        <v>7</v>
      </c>
      <c r="AC1358" s="34"/>
      <c r="AD1358" s="38"/>
      <c r="AE1358" s="59" t="str">
        <f t="shared" si="65"/>
        <v>SÍ</v>
      </c>
      <c r="AF1358" s="38" t="e" cm="1">
        <f t="array" aca="1" ref="AF1358" ca="1">MIN(100, MAX(0, (IF(R1358="ESTUDIANTE", 31, 0)) + (IF(I1358&lt;=3, 30, IF(I1358&lt;=6, 20, 0))) +(IF(OR(E1358="413 - Control de Costes y Enlace Construcción", E1358="480 - Secretaría General del Consejo", E1358="132 - Civil y estructuras", E1358="136 - Mecánica", E1358="412 - Planificación", E1358="142 - Compras"), 25, 0)) +(IF(OR(S1358="GRADO ING. MECÁNICA", S1358="GRADO ING. ELÉCTRICA", S1358="GRADO DERECHO", S1358="GRADO ECONOMÍA", S1358="GRADO ING. TECNOLOGÍAS INDUSTRIALES"), 24, 0)) + (IF(AND(K1358&gt;=451, K1358&lt;=700), 23, 0)) + (IF(AND(AB1358&gt;=5, AB1358&lt;=8), 17, 0)) +(IF(_xludf.OR(_xludf.AND(AC1358&gt;=8, AC1358&lt;=10), _xludf.AND(AC1358&gt;=0, AC1358&lt;=5)), 16, 0)) + (IF(F1358="Madrid", 11, 0))))</f>
        <v>#NAME?</v>
      </c>
      <c r="AG1358" s="68"/>
      <c r="AH1358" s="71" t="s">
        <v>164</v>
      </c>
    </row>
    <row r="1359" spans="1:34" ht="14.4" x14ac:dyDescent="0.3">
      <c r="A1359" s="66" t="s">
        <v>2337</v>
      </c>
      <c r="B1359" s="66" t="s">
        <v>4454</v>
      </c>
      <c r="C1359" s="33">
        <v>1358</v>
      </c>
      <c r="D1359" s="33" t="s">
        <v>5397</v>
      </c>
      <c r="E1359" s="34" t="s">
        <v>5235</v>
      </c>
      <c r="F1359" s="34" t="s">
        <v>18</v>
      </c>
      <c r="G1359" s="57">
        <v>44718</v>
      </c>
      <c r="H1359" s="57">
        <v>44985</v>
      </c>
      <c r="I1359" s="34">
        <f t="shared" si="63"/>
        <v>8</v>
      </c>
      <c r="J1359" s="34">
        <v>35</v>
      </c>
      <c r="K1359" s="36">
        <v>650</v>
      </c>
      <c r="L1359" s="34" t="s">
        <v>17</v>
      </c>
      <c r="M1359" s="57">
        <v>35437</v>
      </c>
      <c r="N1359" s="37">
        <f>(YEAR(TablaMadre[[#This Row],[ALTA]])-YEAR(M1359))</f>
        <v>25</v>
      </c>
      <c r="O1359" s="34" t="s">
        <v>18</v>
      </c>
      <c r="P1359" s="34" t="s">
        <v>19</v>
      </c>
      <c r="Q1359" s="34" t="s">
        <v>605</v>
      </c>
      <c r="R1359" s="58" t="s">
        <v>30</v>
      </c>
      <c r="S1359" s="34" t="s">
        <v>151</v>
      </c>
      <c r="T1359" s="34"/>
      <c r="U1359" s="34"/>
      <c r="V1359" s="34" t="s">
        <v>40</v>
      </c>
      <c r="W1359" s="34" t="s">
        <v>28</v>
      </c>
      <c r="X1359" s="38" t="s">
        <v>164</v>
      </c>
      <c r="Y1359" s="62">
        <v>45572</v>
      </c>
      <c r="Z1359" s="38">
        <f t="shared" si="64"/>
        <v>1</v>
      </c>
      <c r="AA1359" s="38"/>
      <c r="AB1359" s="34">
        <v>8</v>
      </c>
      <c r="AC1359" s="34">
        <v>7</v>
      </c>
      <c r="AD1359" s="38"/>
      <c r="AE1359" s="59" t="str">
        <f t="shared" si="65"/>
        <v>NO</v>
      </c>
      <c r="AF1359" s="38" t="e" cm="1">
        <f t="array" aca="1" ref="AF1359" ca="1">MIN(100, MAX(0, (IF(R1359="ESTUDIANTE", 31, 0)) + (IF(I1359&lt;=3, 30, IF(I1359&lt;=6, 20, 0))) +(IF(OR(E1359="413 - Control de Costes y Enlace Construcción", E1359="480 - Secretaría General del Consejo", E1359="132 - Civil y estructuras", E1359="136 - Mecánica", E1359="412 - Planificación", E1359="142 - Compras"), 25, 0)) +(IF(OR(S1359="GRADO ING. MECÁNICA", S1359="GRADO ING. ELÉCTRICA", S1359="GRADO DERECHO", S1359="GRADO ECONOMÍA", S1359="GRADO ING. TECNOLOGÍAS INDUSTRIALES"), 24, 0)) + (IF(AND(K1359&gt;=451, K1359&lt;=700), 23, 0)) + (IF(AND(AB1359&gt;=5, AB1359&lt;=8), 17, 0)) +(IF(_xludf.OR(_xludf.AND(AC1359&gt;=8, AC1359&lt;=10), _xludf.AND(AC1359&gt;=0, AC1359&lt;=5)), 16, 0)) + (IF(F1359="Madrid", 11, 0))))</f>
        <v>#NAME?</v>
      </c>
      <c r="AG1359" s="68"/>
      <c r="AH1359" s="71" t="s">
        <v>164</v>
      </c>
    </row>
    <row r="1360" spans="1:34" ht="14.4" x14ac:dyDescent="0.3">
      <c r="A1360" s="66" t="s">
        <v>2338</v>
      </c>
      <c r="B1360" s="66" t="s">
        <v>4455</v>
      </c>
      <c r="C1360" s="33">
        <v>1359</v>
      </c>
      <c r="D1360" s="33" t="s">
        <v>5398</v>
      </c>
      <c r="E1360" s="34" t="s">
        <v>5272</v>
      </c>
      <c r="F1360" s="34" t="s">
        <v>18</v>
      </c>
      <c r="G1360" s="57">
        <v>44725</v>
      </c>
      <c r="H1360" s="57">
        <v>44907</v>
      </c>
      <c r="I1360" s="34">
        <f t="shared" si="63"/>
        <v>5</v>
      </c>
      <c r="J1360" s="34">
        <v>35</v>
      </c>
      <c r="K1360" s="36">
        <v>825</v>
      </c>
      <c r="L1360" s="34" t="s">
        <v>29</v>
      </c>
      <c r="M1360" s="57">
        <v>35752</v>
      </c>
      <c r="N1360" s="37">
        <f>(YEAR(TablaMadre[[#This Row],[ALTA]])-YEAR(M1360))</f>
        <v>25</v>
      </c>
      <c r="O1360" s="34" t="s">
        <v>18</v>
      </c>
      <c r="P1360" s="34" t="s">
        <v>19</v>
      </c>
      <c r="Q1360" s="34" t="s">
        <v>549</v>
      </c>
      <c r="R1360" s="34" t="s">
        <v>21</v>
      </c>
      <c r="S1360" s="34" t="s">
        <v>297</v>
      </c>
      <c r="T1360" s="34"/>
      <c r="U1360" s="34"/>
      <c r="V1360" s="34" t="s">
        <v>180</v>
      </c>
      <c r="W1360" s="34" t="s">
        <v>28</v>
      </c>
      <c r="X1360" s="38" t="s">
        <v>173</v>
      </c>
      <c r="Y1360" s="62"/>
      <c r="Z1360" s="38" t="e">
        <f t="shared" si="64"/>
        <v>#NUM!</v>
      </c>
      <c r="AA1360" s="38"/>
      <c r="AB1360" s="34"/>
      <c r="AC1360" s="34"/>
      <c r="AD1360" s="38"/>
      <c r="AE1360" s="59" t="str">
        <f t="shared" si="65"/>
        <v>NO</v>
      </c>
      <c r="AF1360" s="38" t="e" cm="1">
        <f t="array" aca="1" ref="AF1360" ca="1">MIN(100, MAX(0, (IF(R1360="ESTUDIANTE", 31, 0)) + (IF(I1360&lt;=3, 30, IF(I1360&lt;=6, 20, 0))) +(IF(OR(E1360="413 - Control de Costes y Enlace Construcción", E1360="480 - Secretaría General del Consejo", E1360="132 - Civil y estructuras", E1360="136 - Mecánica", E1360="412 - Planificación", E1360="142 - Compras"), 25, 0)) +(IF(OR(S1360="GRADO ING. MECÁNICA", S1360="GRADO ING. ELÉCTRICA", S1360="GRADO DERECHO", S1360="GRADO ECONOMÍA", S1360="GRADO ING. TECNOLOGÍAS INDUSTRIALES"), 24, 0)) + (IF(AND(K1360&gt;=451, K1360&lt;=700), 23, 0)) + (IF(AND(AB1360&gt;=5, AB1360&lt;=8), 17, 0)) +(IF(_xludf.OR(_xludf.AND(AC1360&gt;=8, AC1360&lt;=10), _xludf.AND(AC1360&gt;=0, AC1360&lt;=5)), 16, 0)) + (IF(F1360="Madrid", 11, 0))))</f>
        <v>#NAME?</v>
      </c>
      <c r="AG1360" s="68"/>
      <c r="AH1360" s="71" t="s">
        <v>164</v>
      </c>
    </row>
    <row r="1361" spans="1:34" ht="14.4" x14ac:dyDescent="0.3">
      <c r="A1361" s="66" t="s">
        <v>2339</v>
      </c>
      <c r="B1361" s="66" t="s">
        <v>4456</v>
      </c>
      <c r="C1361" s="33">
        <v>1360</v>
      </c>
      <c r="D1361" s="33" t="s">
        <v>5399</v>
      </c>
      <c r="E1361" s="34" t="s">
        <v>5222</v>
      </c>
      <c r="F1361" s="34" t="s">
        <v>18</v>
      </c>
      <c r="G1361" s="57">
        <v>44726</v>
      </c>
      <c r="H1361" s="57">
        <v>45090</v>
      </c>
      <c r="I1361" s="34">
        <f t="shared" si="63"/>
        <v>11</v>
      </c>
      <c r="J1361" s="34">
        <v>35</v>
      </c>
      <c r="K1361" s="36">
        <v>650</v>
      </c>
      <c r="L1361" s="34" t="s">
        <v>29</v>
      </c>
      <c r="M1361" s="57">
        <v>37439</v>
      </c>
      <c r="N1361" s="37">
        <f>(YEAR(TablaMadre[[#This Row],[ALTA]])-YEAR(M1361))</f>
        <v>20</v>
      </c>
      <c r="O1361" s="34" t="s">
        <v>18</v>
      </c>
      <c r="P1361" s="34" t="s">
        <v>19</v>
      </c>
      <c r="Q1361" s="34" t="s">
        <v>631</v>
      </c>
      <c r="R1361" s="58" t="s">
        <v>30</v>
      </c>
      <c r="S1361" s="34" t="s">
        <v>26</v>
      </c>
      <c r="T1361" s="34"/>
      <c r="U1361" s="34"/>
      <c r="V1361" s="34" t="s">
        <v>27</v>
      </c>
      <c r="W1361" s="34" t="s">
        <v>28</v>
      </c>
      <c r="X1361" s="38" t="s">
        <v>164</v>
      </c>
      <c r="Y1361" s="62">
        <v>45380</v>
      </c>
      <c r="Z1361" s="38">
        <f t="shared" si="64"/>
        <v>0</v>
      </c>
      <c r="AA1361" s="38"/>
      <c r="AB1361" s="34">
        <v>8</v>
      </c>
      <c r="AC1361" s="34">
        <v>8</v>
      </c>
      <c r="AD1361" s="38"/>
      <c r="AE1361" s="59" t="str">
        <f t="shared" si="65"/>
        <v>NO</v>
      </c>
      <c r="AF1361" s="38" t="e" cm="1">
        <f t="array" aca="1" ref="AF1361" ca="1">MIN(100, MAX(0, (IF(R1361="ESTUDIANTE", 31, 0)) + (IF(I1361&lt;=3, 30, IF(I1361&lt;=6, 20, 0))) +(IF(OR(E1361="413 - Control de Costes y Enlace Construcción", E1361="480 - Secretaría General del Consejo", E1361="132 - Civil y estructuras", E1361="136 - Mecánica", E1361="412 - Planificación", E1361="142 - Compras"), 25, 0)) +(IF(OR(S1361="GRADO ING. MECÁNICA", S1361="GRADO ING. ELÉCTRICA", S1361="GRADO DERECHO", S1361="GRADO ECONOMÍA", S1361="GRADO ING. TECNOLOGÍAS INDUSTRIALES"), 24, 0)) + (IF(AND(K1361&gt;=451, K1361&lt;=700), 23, 0)) + (IF(AND(AB1361&gt;=5, AB1361&lt;=8), 17, 0)) +(IF(_xludf.OR(_xludf.AND(AC1361&gt;=8, AC1361&lt;=10), _xludf.AND(AC1361&gt;=0, AC1361&lt;=5)), 16, 0)) + (IF(F1361="Madrid", 11, 0))))</f>
        <v>#NAME?</v>
      </c>
      <c r="AG1361" s="68"/>
      <c r="AH1361" s="71" t="s">
        <v>164</v>
      </c>
    </row>
    <row r="1362" spans="1:34" ht="14.4" x14ac:dyDescent="0.3">
      <c r="A1362" s="66" t="s">
        <v>2303</v>
      </c>
      <c r="B1362" s="66" t="s">
        <v>4420</v>
      </c>
      <c r="C1362" s="33">
        <v>1361</v>
      </c>
      <c r="D1362" s="33" t="s">
        <v>5400</v>
      </c>
      <c r="E1362" s="34" t="s">
        <v>5297</v>
      </c>
      <c r="F1362" s="34" t="s">
        <v>18</v>
      </c>
      <c r="G1362" s="57">
        <v>44732</v>
      </c>
      <c r="H1362" s="57">
        <v>44914</v>
      </c>
      <c r="I1362" s="34">
        <f t="shared" si="63"/>
        <v>5</v>
      </c>
      <c r="J1362" s="34">
        <v>35</v>
      </c>
      <c r="K1362" s="36">
        <v>650</v>
      </c>
      <c r="L1362" s="34" t="s">
        <v>17</v>
      </c>
      <c r="M1362" s="57">
        <v>37460</v>
      </c>
      <c r="N1362" s="37">
        <f>(YEAR(TablaMadre[[#This Row],[ALTA]])-YEAR(M1362))</f>
        <v>20</v>
      </c>
      <c r="O1362" s="34" t="s">
        <v>153</v>
      </c>
      <c r="P1362" s="34" t="s">
        <v>153</v>
      </c>
      <c r="Q1362" s="34" t="s">
        <v>584</v>
      </c>
      <c r="R1362" s="58" t="s">
        <v>30</v>
      </c>
      <c r="S1362" s="34" t="s">
        <v>26</v>
      </c>
      <c r="T1362" s="34"/>
      <c r="U1362" s="34"/>
      <c r="V1362" s="34" t="s">
        <v>27</v>
      </c>
      <c r="W1362" s="34" t="s">
        <v>23</v>
      </c>
      <c r="X1362" s="38" t="s">
        <v>164</v>
      </c>
      <c r="Y1362" s="62"/>
      <c r="Z1362" s="38" t="e">
        <f t="shared" si="64"/>
        <v>#NUM!</v>
      </c>
      <c r="AA1362" s="38"/>
      <c r="AB1362" s="34">
        <v>8</v>
      </c>
      <c r="AC1362" s="34" t="s">
        <v>585</v>
      </c>
      <c r="AD1362" s="38"/>
      <c r="AE1362" s="59" t="str">
        <f t="shared" si="65"/>
        <v>SÍ</v>
      </c>
      <c r="AF1362" s="38" t="e" cm="1">
        <f t="array" aca="1" ref="AF1362" ca="1">MIN(100, MAX(0, (IF(R1362="ESTUDIANTE", 31, 0)) + (IF(I1362&lt;=3, 30, IF(I1362&lt;=6, 20, 0))) +(IF(OR(E1362="413 - Control de Costes y Enlace Construcción", E1362="480 - Secretaría General del Consejo", E1362="132 - Civil y estructuras", E1362="136 - Mecánica", E1362="412 - Planificación", E1362="142 - Compras"), 25, 0)) +(IF(OR(S1362="GRADO ING. MECÁNICA", S1362="GRADO ING. ELÉCTRICA", S1362="GRADO DERECHO", S1362="GRADO ECONOMÍA", S1362="GRADO ING. TECNOLOGÍAS INDUSTRIALES"), 24, 0)) + (IF(AND(K1362&gt;=451, K1362&lt;=700), 23, 0)) + (IF(AND(AB1362&gt;=5, AB1362&lt;=8), 17, 0)) +(IF(_xludf.OR(_xludf.AND(AC1362&gt;=8, AC1362&lt;=10), _xludf.AND(AC1362&gt;=0, AC1362&lt;=5)), 16, 0)) + (IF(F1362="Madrid", 11, 0))))</f>
        <v>#NAME?</v>
      </c>
      <c r="AG1362" s="68"/>
      <c r="AH1362" s="71" t="s">
        <v>164</v>
      </c>
    </row>
    <row r="1363" spans="1:34" ht="14.4" x14ac:dyDescent="0.3">
      <c r="A1363" s="66" t="s">
        <v>2341</v>
      </c>
      <c r="B1363" s="66" t="s">
        <v>4458</v>
      </c>
      <c r="C1363" s="33">
        <v>1362</v>
      </c>
      <c r="D1363" s="33" t="s">
        <v>5401</v>
      </c>
      <c r="E1363" s="34" t="s">
        <v>5312</v>
      </c>
      <c r="F1363" s="34" t="s">
        <v>18</v>
      </c>
      <c r="G1363" s="57">
        <v>44732</v>
      </c>
      <c r="H1363" s="57">
        <v>44914</v>
      </c>
      <c r="I1363" s="34">
        <f t="shared" si="63"/>
        <v>5</v>
      </c>
      <c r="J1363" s="34">
        <v>35</v>
      </c>
      <c r="K1363" s="36">
        <v>900</v>
      </c>
      <c r="L1363" s="34" t="s">
        <v>29</v>
      </c>
      <c r="M1363" s="57">
        <v>35527</v>
      </c>
      <c r="N1363" s="37">
        <f>(YEAR(TablaMadre[[#This Row],[ALTA]])-YEAR(M1363))</f>
        <v>25</v>
      </c>
      <c r="O1363" s="34" t="s">
        <v>65</v>
      </c>
      <c r="P1363" s="34" t="s">
        <v>19</v>
      </c>
      <c r="Q1363" s="34" t="s">
        <v>586</v>
      </c>
      <c r="R1363" s="34" t="s">
        <v>21</v>
      </c>
      <c r="S1363" s="34" t="s">
        <v>297</v>
      </c>
      <c r="T1363" s="34"/>
      <c r="U1363" s="34"/>
      <c r="V1363" s="34" t="s">
        <v>22</v>
      </c>
      <c r="W1363" s="34" t="s">
        <v>28</v>
      </c>
      <c r="X1363" s="38" t="s">
        <v>173</v>
      </c>
      <c r="Y1363" s="62"/>
      <c r="Z1363" s="38" t="e">
        <f t="shared" si="64"/>
        <v>#NUM!</v>
      </c>
      <c r="AA1363" s="38"/>
      <c r="AB1363" s="34"/>
      <c r="AC1363" s="34"/>
      <c r="AD1363" s="38"/>
      <c r="AE1363" s="59" t="str">
        <f t="shared" si="65"/>
        <v>SÍ</v>
      </c>
      <c r="AF1363" s="38" t="e" cm="1">
        <f t="array" aca="1" ref="AF1363" ca="1">MIN(100, MAX(0, (IF(R1363="ESTUDIANTE", 31, 0)) + (IF(I1363&lt;=3, 30, IF(I1363&lt;=6, 20, 0))) +(IF(OR(E1363="413 - Control de Costes y Enlace Construcción", E1363="480 - Secretaría General del Consejo", E1363="132 - Civil y estructuras", E1363="136 - Mecánica", E1363="412 - Planificación", E1363="142 - Compras"), 25, 0)) +(IF(OR(S1363="GRADO ING. MECÁNICA", S1363="GRADO ING. ELÉCTRICA", S1363="GRADO DERECHO", S1363="GRADO ECONOMÍA", S1363="GRADO ING. TECNOLOGÍAS INDUSTRIALES"), 24, 0)) + (IF(AND(K1363&gt;=451, K1363&lt;=700), 23, 0)) + (IF(AND(AB1363&gt;=5, AB1363&lt;=8), 17, 0)) +(IF(_xludf.OR(_xludf.AND(AC1363&gt;=8, AC1363&lt;=10), _xludf.AND(AC1363&gt;=0, AC1363&lt;=5)), 16, 0)) + (IF(F1363="Madrid", 11, 0))))</f>
        <v>#NAME?</v>
      </c>
      <c r="AG1363" s="68"/>
      <c r="AH1363" s="71" t="s">
        <v>164</v>
      </c>
    </row>
    <row r="1364" spans="1:34" ht="14.4" x14ac:dyDescent="0.3">
      <c r="A1364" s="66" t="s">
        <v>2299</v>
      </c>
      <c r="B1364" s="66" t="s">
        <v>4416</v>
      </c>
      <c r="C1364" s="33">
        <v>1363</v>
      </c>
      <c r="D1364" s="33" t="s">
        <v>5402</v>
      </c>
      <c r="E1364" s="34" t="s">
        <v>5328</v>
      </c>
      <c r="F1364" s="34" t="s">
        <v>18</v>
      </c>
      <c r="G1364" s="57">
        <v>44735</v>
      </c>
      <c r="H1364" s="57">
        <v>44819</v>
      </c>
      <c r="I1364" s="34">
        <f t="shared" si="63"/>
        <v>2</v>
      </c>
      <c r="J1364" s="34">
        <v>35</v>
      </c>
      <c r="K1364" s="36">
        <v>650</v>
      </c>
      <c r="L1364" s="34" t="s">
        <v>17</v>
      </c>
      <c r="M1364" s="57">
        <v>34751</v>
      </c>
      <c r="N1364" s="37">
        <f>(YEAR(TablaMadre[[#This Row],[ALTA]])-YEAR(M1364))</f>
        <v>27</v>
      </c>
      <c r="O1364" s="34" t="s">
        <v>18</v>
      </c>
      <c r="P1364" s="34" t="s">
        <v>19</v>
      </c>
      <c r="Q1364" s="34" t="s">
        <v>555</v>
      </c>
      <c r="R1364" s="58" t="s">
        <v>30</v>
      </c>
      <c r="S1364" s="34" t="s">
        <v>26</v>
      </c>
      <c r="T1364" s="34"/>
      <c r="U1364" s="34"/>
      <c r="V1364" s="34" t="s">
        <v>27</v>
      </c>
      <c r="W1364" s="34" t="s">
        <v>181</v>
      </c>
      <c r="X1364" s="38" t="s">
        <v>164</v>
      </c>
      <c r="Y1364" s="62"/>
      <c r="Z1364" s="38" t="e">
        <f t="shared" si="64"/>
        <v>#NUM!</v>
      </c>
      <c r="AA1364" s="38"/>
      <c r="AB1364" s="34"/>
      <c r="AC1364" s="34">
        <v>10</v>
      </c>
      <c r="AD1364" s="38"/>
      <c r="AE1364" s="59" t="str">
        <f t="shared" si="65"/>
        <v>NO</v>
      </c>
      <c r="AF1364" s="38" t="e" cm="1">
        <f t="array" aca="1" ref="AF1364" ca="1">MIN(100, MAX(0, (IF(R1364="ESTUDIANTE", 31, 0)) + (IF(I1364&lt;=3, 30, IF(I1364&lt;=6, 20, 0))) +(IF(OR(E1364="413 - Control de Costes y Enlace Construcción", E1364="480 - Secretaría General del Consejo", E1364="132 - Civil y estructuras", E1364="136 - Mecánica", E1364="412 - Planificación", E1364="142 - Compras"), 25, 0)) +(IF(OR(S1364="GRADO ING. MECÁNICA", S1364="GRADO ING. ELÉCTRICA", S1364="GRADO DERECHO", S1364="GRADO ECONOMÍA", S1364="GRADO ING. TECNOLOGÍAS INDUSTRIALES"), 24, 0)) + (IF(AND(K1364&gt;=451, K1364&lt;=700), 23, 0)) + (IF(AND(AB1364&gt;=5, AB1364&lt;=8), 17, 0)) +(IF(_xludf.OR(_xludf.AND(AC1364&gt;=8, AC1364&lt;=10), _xludf.AND(AC1364&gt;=0, AC1364&lt;=5)), 16, 0)) + (IF(F1364="Madrid", 11, 0))))</f>
        <v>#NAME?</v>
      </c>
      <c r="AG1364" s="68"/>
      <c r="AH1364" s="71" t="s">
        <v>164</v>
      </c>
    </row>
    <row r="1365" spans="1:34" ht="14.4" x14ac:dyDescent="0.3">
      <c r="A1365" s="66" t="s">
        <v>2343</v>
      </c>
      <c r="B1365" s="66" t="s">
        <v>4460</v>
      </c>
      <c r="C1365" s="33">
        <v>1364</v>
      </c>
      <c r="D1365" s="33" t="s">
        <v>5393</v>
      </c>
      <c r="E1365" s="34" t="s">
        <v>5222</v>
      </c>
      <c r="F1365" s="34" t="s">
        <v>18</v>
      </c>
      <c r="G1365" s="57">
        <v>44735</v>
      </c>
      <c r="H1365" s="57">
        <v>45099</v>
      </c>
      <c r="I1365" s="34">
        <f t="shared" si="63"/>
        <v>11</v>
      </c>
      <c r="J1365" s="34">
        <v>35</v>
      </c>
      <c r="K1365" s="36">
        <v>650</v>
      </c>
      <c r="L1365" s="34" t="s">
        <v>17</v>
      </c>
      <c r="M1365" s="57">
        <v>37617</v>
      </c>
      <c r="N1365" s="37">
        <f>(YEAR(TablaMadre[[#This Row],[ALTA]])-YEAR(M1365))</f>
        <v>20</v>
      </c>
      <c r="O1365" s="34" t="s">
        <v>18</v>
      </c>
      <c r="P1365" s="34" t="s">
        <v>19</v>
      </c>
      <c r="Q1365" s="34" t="s">
        <v>631</v>
      </c>
      <c r="R1365" s="58" t="s">
        <v>30</v>
      </c>
      <c r="S1365" s="34" t="s">
        <v>26</v>
      </c>
      <c r="T1365" s="34"/>
      <c r="U1365" s="34"/>
      <c r="V1365" s="34" t="s">
        <v>27</v>
      </c>
      <c r="W1365" s="34" t="s">
        <v>28</v>
      </c>
      <c r="X1365" s="38" t="s">
        <v>173</v>
      </c>
      <c r="Y1365" s="62"/>
      <c r="Z1365" s="38" t="e">
        <f t="shared" si="64"/>
        <v>#NUM!</v>
      </c>
      <c r="AA1365" s="38"/>
      <c r="AB1365" s="34">
        <v>7</v>
      </c>
      <c r="AC1365" s="34">
        <v>6</v>
      </c>
      <c r="AD1365" s="38"/>
      <c r="AE1365" s="59" t="str">
        <f t="shared" si="65"/>
        <v>NO</v>
      </c>
      <c r="AF1365" s="38" t="e" cm="1">
        <f t="array" aca="1" ref="AF1365" ca="1">MIN(100, MAX(0, (IF(R1365="ESTUDIANTE", 31, 0)) + (IF(I1365&lt;=3, 30, IF(I1365&lt;=6, 20, 0))) +(IF(OR(E1365="413 - Control de Costes y Enlace Construcción", E1365="480 - Secretaría General del Consejo", E1365="132 - Civil y estructuras", E1365="136 - Mecánica", E1365="412 - Planificación", E1365="142 - Compras"), 25, 0)) +(IF(OR(S1365="GRADO ING. MECÁNICA", S1365="GRADO ING. ELÉCTRICA", S1365="GRADO DERECHO", S1365="GRADO ECONOMÍA", S1365="GRADO ING. TECNOLOGÍAS INDUSTRIALES"), 24, 0)) + (IF(AND(K1365&gt;=451, K1365&lt;=700), 23, 0)) + (IF(AND(AB1365&gt;=5, AB1365&lt;=8), 17, 0)) +(IF(_xludf.OR(_xludf.AND(AC1365&gt;=8, AC1365&lt;=10), _xludf.AND(AC1365&gt;=0, AC1365&lt;=5)), 16, 0)) + (IF(F1365="Madrid", 11, 0))))</f>
        <v>#NAME?</v>
      </c>
      <c r="AG1365" s="68"/>
      <c r="AH1365" s="71" t="s">
        <v>164</v>
      </c>
    </row>
    <row r="1366" spans="1:34" ht="14.4" x14ac:dyDescent="0.3">
      <c r="A1366" s="66" t="s">
        <v>2323</v>
      </c>
      <c r="B1366" s="66" t="s">
        <v>4440</v>
      </c>
      <c r="C1366" s="33">
        <v>1365</v>
      </c>
      <c r="D1366" s="33" t="s">
        <v>5394</v>
      </c>
      <c r="E1366" s="34" t="s">
        <v>5335</v>
      </c>
      <c r="F1366" s="34" t="s">
        <v>18</v>
      </c>
      <c r="G1366" s="57">
        <v>44736</v>
      </c>
      <c r="H1366" s="57">
        <v>44756</v>
      </c>
      <c r="I1366" s="34">
        <f t="shared" si="63"/>
        <v>0</v>
      </c>
      <c r="J1366" s="34">
        <v>35</v>
      </c>
      <c r="K1366" s="36">
        <v>900</v>
      </c>
      <c r="L1366" s="34" t="s">
        <v>29</v>
      </c>
      <c r="M1366" s="57">
        <v>34995</v>
      </c>
      <c r="N1366" s="37">
        <f>(YEAR(TablaMadre[[#This Row],[ALTA]])-YEAR(M1366))</f>
        <v>27</v>
      </c>
      <c r="O1366" s="34" t="s">
        <v>153</v>
      </c>
      <c r="P1366" s="34" t="s">
        <v>153</v>
      </c>
      <c r="Q1366" s="34" t="s">
        <v>539</v>
      </c>
      <c r="R1366" s="34" t="s">
        <v>21</v>
      </c>
      <c r="S1366" s="34" t="s">
        <v>151</v>
      </c>
      <c r="T1366" s="34"/>
      <c r="U1366" s="34"/>
      <c r="V1366" s="34" t="s">
        <v>90</v>
      </c>
      <c r="W1366" s="34" t="s">
        <v>380</v>
      </c>
      <c r="X1366" s="38" t="s">
        <v>173</v>
      </c>
      <c r="Y1366" s="62"/>
      <c r="Z1366" s="38" t="e">
        <f t="shared" si="64"/>
        <v>#NUM!</v>
      </c>
      <c r="AA1366" s="38"/>
      <c r="AB1366" s="34"/>
      <c r="AC1366" s="34"/>
      <c r="AD1366" s="38"/>
      <c r="AE1366" s="59" t="str">
        <f t="shared" si="65"/>
        <v>SÍ</v>
      </c>
      <c r="AF1366" s="38" t="e" cm="1">
        <f t="array" aca="1" ref="AF1366" ca="1">MIN(100, MAX(0, (IF(R1366="ESTUDIANTE", 31, 0)) + (IF(I1366&lt;=3, 30, IF(I1366&lt;=6, 20, 0))) +(IF(OR(E1366="413 - Control de Costes y Enlace Construcción", E1366="480 - Secretaría General del Consejo", E1366="132 - Civil y estructuras", E1366="136 - Mecánica", E1366="412 - Planificación", E1366="142 - Compras"), 25, 0)) +(IF(OR(S1366="GRADO ING. MECÁNICA", S1366="GRADO ING. ELÉCTRICA", S1366="GRADO DERECHO", S1366="GRADO ECONOMÍA", S1366="GRADO ING. TECNOLOGÍAS INDUSTRIALES"), 24, 0)) + (IF(AND(K1366&gt;=451, K1366&lt;=700), 23, 0)) + (IF(AND(AB1366&gt;=5, AB1366&lt;=8), 17, 0)) +(IF(_xludf.OR(_xludf.AND(AC1366&gt;=8, AC1366&lt;=10), _xludf.AND(AC1366&gt;=0, AC1366&lt;=5)), 16, 0)) + (IF(F1366="Madrid", 11, 0))))</f>
        <v>#NAME?</v>
      </c>
      <c r="AG1366" s="68"/>
      <c r="AH1366" s="71" t="s">
        <v>164</v>
      </c>
    </row>
    <row r="1367" spans="1:34" ht="14.4" x14ac:dyDescent="0.3">
      <c r="A1367" s="66" t="s">
        <v>2326</v>
      </c>
      <c r="B1367" s="66" t="s">
        <v>4443</v>
      </c>
      <c r="C1367" s="33">
        <v>1367</v>
      </c>
      <c r="D1367" s="33" t="s">
        <v>5403</v>
      </c>
      <c r="E1367" s="34" t="s">
        <v>5323</v>
      </c>
      <c r="F1367" s="34" t="s">
        <v>18</v>
      </c>
      <c r="G1367" s="57">
        <v>44739</v>
      </c>
      <c r="H1367" s="57">
        <v>44921</v>
      </c>
      <c r="I1367" s="34">
        <f t="shared" si="63"/>
        <v>5</v>
      </c>
      <c r="J1367" s="34">
        <v>35</v>
      </c>
      <c r="K1367" s="36">
        <v>650</v>
      </c>
      <c r="L1367" s="34" t="s">
        <v>29</v>
      </c>
      <c r="M1367" s="57">
        <v>35704</v>
      </c>
      <c r="N1367" s="37">
        <f>(YEAR(TablaMadre[[#This Row],[ALTA]])-YEAR(M1367))</f>
        <v>25</v>
      </c>
      <c r="O1367" s="34" t="s">
        <v>226</v>
      </c>
      <c r="P1367" s="34" t="s">
        <v>19</v>
      </c>
      <c r="Q1367" s="34" t="s">
        <v>297</v>
      </c>
      <c r="R1367" s="58" t="s">
        <v>30</v>
      </c>
      <c r="S1367" s="34" t="s">
        <v>297</v>
      </c>
      <c r="T1367" s="34"/>
      <c r="U1367" s="34"/>
      <c r="V1367" s="34" t="s">
        <v>40</v>
      </c>
      <c r="W1367" s="34" t="s">
        <v>380</v>
      </c>
      <c r="X1367" s="38" t="s">
        <v>164</v>
      </c>
      <c r="Y1367" s="62"/>
      <c r="Z1367" s="38" t="e">
        <f t="shared" si="64"/>
        <v>#NUM!</v>
      </c>
      <c r="AA1367" s="38"/>
      <c r="AB1367" s="34"/>
      <c r="AC1367" s="34"/>
      <c r="AD1367" s="38"/>
      <c r="AE1367" s="59" t="str">
        <f t="shared" si="65"/>
        <v>SÍ</v>
      </c>
      <c r="AF1367" s="38" t="e" cm="1">
        <f t="array" aca="1" ref="AF1367" ca="1">MIN(100, MAX(0, (IF(R1367="ESTUDIANTE", 31, 0)) + (IF(I1367&lt;=3, 30, IF(I1367&lt;=6, 20, 0))) +(IF(OR(E1367="413 - Control de Costes y Enlace Construcción", E1367="480 - Secretaría General del Consejo", E1367="132 - Civil y estructuras", E1367="136 - Mecánica", E1367="412 - Planificación", E1367="142 - Compras"), 25, 0)) +(IF(OR(S1367="GRADO ING. MECÁNICA", S1367="GRADO ING. ELÉCTRICA", S1367="GRADO DERECHO", S1367="GRADO ECONOMÍA", S1367="GRADO ING. TECNOLOGÍAS INDUSTRIALES"), 24, 0)) + (IF(AND(K1367&gt;=451, K1367&lt;=700), 23, 0)) + (IF(AND(AB1367&gt;=5, AB1367&lt;=8), 17, 0)) +(IF(_xludf.OR(_xludf.AND(AC1367&gt;=8, AC1367&lt;=10), _xludf.AND(AC1367&gt;=0, AC1367&lt;=5)), 16, 0)) + (IF(F1367="Madrid", 11, 0))))</f>
        <v>#NAME?</v>
      </c>
      <c r="AG1367" s="68"/>
      <c r="AH1367" s="71" t="s">
        <v>164</v>
      </c>
    </row>
    <row r="1368" spans="1:34" ht="14.4" x14ac:dyDescent="0.3">
      <c r="A1368" s="66" t="s">
        <v>2329</v>
      </c>
      <c r="B1368" s="66" t="s">
        <v>4446</v>
      </c>
      <c r="C1368" s="33">
        <v>1366</v>
      </c>
      <c r="D1368" s="33" t="s">
        <v>5404</v>
      </c>
      <c r="E1368" s="34" t="s">
        <v>5313</v>
      </c>
      <c r="F1368" s="34" t="s">
        <v>18</v>
      </c>
      <c r="G1368" s="57">
        <v>44739</v>
      </c>
      <c r="H1368" s="57">
        <v>44921</v>
      </c>
      <c r="I1368" s="34">
        <f t="shared" si="63"/>
        <v>5</v>
      </c>
      <c r="J1368" s="34">
        <v>35</v>
      </c>
      <c r="K1368" s="36">
        <v>650</v>
      </c>
      <c r="L1368" s="34" t="s">
        <v>29</v>
      </c>
      <c r="M1368" s="57">
        <v>36711</v>
      </c>
      <c r="N1368" s="37">
        <f>(YEAR(TablaMadre[[#This Row],[ALTA]])-YEAR(M1368))</f>
        <v>22</v>
      </c>
      <c r="O1368" s="34" t="s">
        <v>18</v>
      </c>
      <c r="P1368" s="34" t="s">
        <v>19</v>
      </c>
      <c r="Q1368" s="34" t="s">
        <v>136</v>
      </c>
      <c r="R1368" s="58" t="s">
        <v>30</v>
      </c>
      <c r="S1368" s="34" t="s">
        <v>136</v>
      </c>
      <c r="T1368" s="34"/>
      <c r="U1368" s="34"/>
      <c r="V1368" s="34" t="s">
        <v>40</v>
      </c>
      <c r="W1368" s="34" t="s">
        <v>181</v>
      </c>
      <c r="X1368" s="38" t="s">
        <v>164</v>
      </c>
      <c r="Y1368" s="62"/>
      <c r="Z1368" s="38" t="e">
        <f t="shared" si="64"/>
        <v>#NUM!</v>
      </c>
      <c r="AA1368" s="38"/>
      <c r="AB1368" s="34"/>
      <c r="AC1368" s="34"/>
      <c r="AD1368" s="38"/>
      <c r="AE1368" s="59" t="str">
        <f t="shared" si="65"/>
        <v>NO</v>
      </c>
      <c r="AF1368" s="38" t="e" cm="1">
        <f t="array" aca="1" ref="AF1368" ca="1">MIN(100, MAX(0, (IF(R1368="ESTUDIANTE", 31, 0)) + (IF(I1368&lt;=3, 30, IF(I1368&lt;=6, 20, 0))) +(IF(OR(E1368="413 - Control de Costes y Enlace Construcción", E1368="480 - Secretaría General del Consejo", E1368="132 - Civil y estructuras", E1368="136 - Mecánica", E1368="412 - Planificación", E1368="142 - Compras"), 25, 0)) +(IF(OR(S1368="GRADO ING. MECÁNICA", S1368="GRADO ING. ELÉCTRICA", S1368="GRADO DERECHO", S1368="GRADO ECONOMÍA", S1368="GRADO ING. TECNOLOGÍAS INDUSTRIALES"), 24, 0)) + (IF(AND(K1368&gt;=451, K1368&lt;=700), 23, 0)) + (IF(AND(AB1368&gt;=5, AB1368&lt;=8), 17, 0)) +(IF(_xludf.OR(_xludf.AND(AC1368&gt;=8, AC1368&lt;=10), _xludf.AND(AC1368&gt;=0, AC1368&lt;=5)), 16, 0)) + (IF(F1368="Madrid", 11, 0))))</f>
        <v>#NAME?</v>
      </c>
      <c r="AG1368" s="68"/>
      <c r="AH1368" s="71" t="s">
        <v>164</v>
      </c>
    </row>
    <row r="1369" spans="1:34" ht="14.4" x14ac:dyDescent="0.3">
      <c r="A1369" s="66" t="s">
        <v>2347</v>
      </c>
      <c r="B1369" s="66" t="s">
        <v>4464</v>
      </c>
      <c r="C1369" s="33">
        <v>1368</v>
      </c>
      <c r="D1369" s="33" t="s">
        <v>5405</v>
      </c>
      <c r="E1369" s="34" t="s">
        <v>5313</v>
      </c>
      <c r="F1369" s="34" t="s">
        <v>18</v>
      </c>
      <c r="G1369" s="57">
        <v>44746</v>
      </c>
      <c r="H1369" s="57">
        <v>44926</v>
      </c>
      <c r="I1369" s="34">
        <f t="shared" si="63"/>
        <v>5</v>
      </c>
      <c r="J1369" s="34">
        <v>35</v>
      </c>
      <c r="K1369" s="36">
        <v>825</v>
      </c>
      <c r="L1369" s="34" t="s">
        <v>17</v>
      </c>
      <c r="M1369" s="57">
        <v>35639</v>
      </c>
      <c r="N1369" s="37">
        <f>(YEAR(TablaMadre[[#This Row],[ALTA]])-YEAR(M1369))</f>
        <v>25</v>
      </c>
      <c r="O1369" s="34" t="s">
        <v>18</v>
      </c>
      <c r="P1369" s="34" t="s">
        <v>19</v>
      </c>
      <c r="Q1369" s="34" t="s">
        <v>136</v>
      </c>
      <c r="R1369" s="34" t="s">
        <v>21</v>
      </c>
      <c r="S1369" s="34" t="s">
        <v>136</v>
      </c>
      <c r="T1369" s="34"/>
      <c r="U1369" s="34"/>
      <c r="V1369" s="34" t="s">
        <v>114</v>
      </c>
      <c r="W1369" s="34" t="s">
        <v>28</v>
      </c>
      <c r="X1369" s="38" t="s">
        <v>173</v>
      </c>
      <c r="Y1369" s="62"/>
      <c r="Z1369" s="38" t="e">
        <f t="shared" si="64"/>
        <v>#NUM!</v>
      </c>
      <c r="AA1369" s="38"/>
      <c r="AB1369" s="34" t="s">
        <v>588</v>
      </c>
      <c r="AC1369" s="34" t="s">
        <v>588</v>
      </c>
      <c r="AD1369" s="38"/>
      <c r="AE1369" s="59" t="str">
        <f t="shared" si="65"/>
        <v>NO</v>
      </c>
      <c r="AF1369" s="38" t="e" cm="1">
        <f t="array" aca="1" ref="AF1369" ca="1">MIN(100, MAX(0, (IF(R1369="ESTUDIANTE", 31, 0)) + (IF(I1369&lt;=3, 30, IF(I1369&lt;=6, 20, 0))) +(IF(OR(E1369="413 - Control de Costes y Enlace Construcción", E1369="480 - Secretaría General del Consejo", E1369="132 - Civil y estructuras", E1369="136 - Mecánica", E1369="412 - Planificación", E1369="142 - Compras"), 25, 0)) +(IF(OR(S1369="GRADO ING. MECÁNICA", S1369="GRADO ING. ELÉCTRICA", S1369="GRADO DERECHO", S1369="GRADO ECONOMÍA", S1369="GRADO ING. TECNOLOGÍAS INDUSTRIALES"), 24, 0)) + (IF(AND(K1369&gt;=451, K1369&lt;=700), 23, 0)) + (IF(AND(AB1369&gt;=5, AB1369&lt;=8), 17, 0)) +(IF(_xludf.OR(_xludf.AND(AC1369&gt;=8, AC1369&lt;=10), _xludf.AND(AC1369&gt;=0, AC1369&lt;=5)), 16, 0)) + (IF(F1369="Madrid", 11, 0))))</f>
        <v>#NAME?</v>
      </c>
      <c r="AG1369" s="68"/>
      <c r="AH1369" s="71" t="s">
        <v>164</v>
      </c>
    </row>
    <row r="1370" spans="1:34" ht="14.4" x14ac:dyDescent="0.3">
      <c r="A1370" s="66" t="s">
        <v>2331</v>
      </c>
      <c r="B1370" s="66" t="s">
        <v>4448</v>
      </c>
      <c r="C1370" s="33">
        <v>1369</v>
      </c>
      <c r="D1370" s="33" t="s">
        <v>5396</v>
      </c>
      <c r="E1370" s="34" t="s">
        <v>5313</v>
      </c>
      <c r="F1370" s="34" t="s">
        <v>18</v>
      </c>
      <c r="G1370" s="57">
        <v>44753</v>
      </c>
      <c r="H1370" s="57">
        <v>44936</v>
      </c>
      <c r="I1370" s="34">
        <f t="shared" si="63"/>
        <v>5</v>
      </c>
      <c r="J1370" s="34">
        <v>25</v>
      </c>
      <c r="K1370" s="36">
        <v>450</v>
      </c>
      <c r="L1370" s="34" t="s">
        <v>29</v>
      </c>
      <c r="M1370" s="57">
        <v>36076</v>
      </c>
      <c r="N1370" s="37">
        <f>(YEAR(TablaMadre[[#This Row],[ALTA]])-YEAR(M1370))</f>
        <v>24</v>
      </c>
      <c r="O1370" s="34" t="s">
        <v>18</v>
      </c>
      <c r="P1370" s="34" t="s">
        <v>19</v>
      </c>
      <c r="Q1370" s="34" t="s">
        <v>595</v>
      </c>
      <c r="R1370" s="58" t="s">
        <v>30</v>
      </c>
      <c r="S1370" s="34" t="s">
        <v>322</v>
      </c>
      <c r="T1370" s="34"/>
      <c r="U1370" s="34"/>
      <c r="V1370" s="34" t="s">
        <v>22</v>
      </c>
      <c r="W1370" s="34" t="s">
        <v>91</v>
      </c>
      <c r="X1370" s="38" t="s">
        <v>164</v>
      </c>
      <c r="Y1370" s="62"/>
      <c r="Z1370" s="38" t="e">
        <f t="shared" si="64"/>
        <v>#NUM!</v>
      </c>
      <c r="AA1370" s="38"/>
      <c r="AB1370" s="34">
        <v>9</v>
      </c>
      <c r="AC1370" s="34">
        <v>8</v>
      </c>
      <c r="AD1370" s="38"/>
      <c r="AE1370" s="59" t="str">
        <f t="shared" si="65"/>
        <v>NO</v>
      </c>
      <c r="AF1370" s="38" t="e" cm="1">
        <f t="array" aca="1" ref="AF1370" ca="1">MIN(100, MAX(0, (IF(R1370="ESTUDIANTE", 31, 0)) + (IF(I1370&lt;=3, 30, IF(I1370&lt;=6, 20, 0))) +(IF(OR(E1370="413 - Control de Costes y Enlace Construcción", E1370="480 - Secretaría General del Consejo", E1370="132 - Civil y estructuras", E1370="136 - Mecánica", E1370="412 - Planificación", E1370="142 - Compras"), 25, 0)) +(IF(OR(S1370="GRADO ING. MECÁNICA", S1370="GRADO ING. ELÉCTRICA", S1370="GRADO DERECHO", S1370="GRADO ECONOMÍA", S1370="GRADO ING. TECNOLOGÍAS INDUSTRIALES"), 24, 0)) + (IF(AND(K1370&gt;=451, K1370&lt;=700), 23, 0)) + (IF(AND(AB1370&gt;=5, AB1370&lt;=8), 17, 0)) +(IF(_xludf.OR(_xludf.AND(AC1370&gt;=8, AC1370&lt;=10), _xludf.AND(AC1370&gt;=0, AC1370&lt;=5)), 16, 0)) + (IF(F1370="Madrid", 11, 0))))</f>
        <v>#NAME?</v>
      </c>
      <c r="AG1370" s="68"/>
      <c r="AH1370" s="71" t="s">
        <v>164</v>
      </c>
    </row>
    <row r="1371" spans="1:34" ht="14.4" x14ac:dyDescent="0.3">
      <c r="A1371" s="66" t="s">
        <v>2336</v>
      </c>
      <c r="B1371" s="66" t="s">
        <v>4453</v>
      </c>
      <c r="C1371" s="33">
        <v>1371</v>
      </c>
      <c r="D1371" s="33" t="s">
        <v>5397</v>
      </c>
      <c r="E1371" s="34" t="s">
        <v>5306</v>
      </c>
      <c r="F1371" s="34" t="s">
        <v>18</v>
      </c>
      <c r="G1371" s="57">
        <v>44753</v>
      </c>
      <c r="H1371" s="57">
        <v>45117</v>
      </c>
      <c r="I1371" s="34">
        <f t="shared" si="63"/>
        <v>11</v>
      </c>
      <c r="J1371" s="34">
        <v>35</v>
      </c>
      <c r="K1371" s="36">
        <v>700</v>
      </c>
      <c r="L1371" s="34" t="s">
        <v>17</v>
      </c>
      <c r="M1371" s="35">
        <v>36357</v>
      </c>
      <c r="N1371" s="37">
        <f>(YEAR(TablaMadre[[#This Row],[ALTA]])-YEAR(M1371))</f>
        <v>23</v>
      </c>
      <c r="O1371" s="34" t="s">
        <v>202</v>
      </c>
      <c r="P1371" s="34" t="s">
        <v>19</v>
      </c>
      <c r="Q1371" s="34" t="s">
        <v>643</v>
      </c>
      <c r="R1371" s="58" t="s">
        <v>30</v>
      </c>
      <c r="S1371" s="34" t="s">
        <v>322</v>
      </c>
      <c r="T1371" s="34"/>
      <c r="U1371" s="34"/>
      <c r="V1371" s="34" t="s">
        <v>22</v>
      </c>
      <c r="W1371" s="34" t="s">
        <v>91</v>
      </c>
      <c r="X1371" s="38" t="s">
        <v>164</v>
      </c>
      <c r="Y1371" s="62"/>
      <c r="Z1371" s="38" t="e">
        <f t="shared" si="64"/>
        <v>#NUM!</v>
      </c>
      <c r="AA1371" s="38"/>
      <c r="AB1371" s="34">
        <v>8</v>
      </c>
      <c r="AC1371" s="34">
        <v>7</v>
      </c>
      <c r="AD1371" s="38"/>
      <c r="AE1371" s="59" t="str">
        <f t="shared" si="65"/>
        <v>SÍ</v>
      </c>
      <c r="AF1371" s="38" t="e" cm="1">
        <f t="array" aca="1" ref="AF1371" ca="1">MIN(100, MAX(0, (IF(R1371="ESTUDIANTE", 31, 0)) + (IF(I1371&lt;=3, 30, IF(I1371&lt;=6, 20, 0))) +(IF(OR(E1371="413 - Control de Costes y Enlace Construcción", E1371="480 - Secretaría General del Consejo", E1371="132 - Civil y estructuras", E1371="136 - Mecánica", E1371="412 - Planificación", E1371="142 - Compras"), 25, 0)) +(IF(OR(S1371="GRADO ING. MECÁNICA", S1371="GRADO ING. ELÉCTRICA", S1371="GRADO DERECHO", S1371="GRADO ECONOMÍA", S1371="GRADO ING. TECNOLOGÍAS INDUSTRIALES"), 24, 0)) + (IF(AND(K1371&gt;=451, K1371&lt;=700), 23, 0)) + (IF(AND(AB1371&gt;=5, AB1371&lt;=8), 17, 0)) +(IF(_xludf.OR(_xludf.AND(AC1371&gt;=8, AC1371&lt;=10), _xludf.AND(AC1371&gt;=0, AC1371&lt;=5)), 16, 0)) + (IF(F1371="Madrid", 11, 0))))</f>
        <v>#NAME?</v>
      </c>
      <c r="AG1371" s="68"/>
      <c r="AH1371" s="71" t="s">
        <v>164</v>
      </c>
    </row>
    <row r="1372" spans="1:34" ht="14.4" x14ac:dyDescent="0.3">
      <c r="A1372" s="66" t="s">
        <v>2349</v>
      </c>
      <c r="B1372" s="66" t="s">
        <v>4466</v>
      </c>
      <c r="C1372" s="33">
        <v>1370</v>
      </c>
      <c r="D1372" s="33" t="s">
        <v>5393</v>
      </c>
      <c r="E1372" s="34" t="s">
        <v>5246</v>
      </c>
      <c r="F1372" s="34" t="s">
        <v>18</v>
      </c>
      <c r="G1372" s="57">
        <v>44753</v>
      </c>
      <c r="H1372" s="57">
        <v>45117</v>
      </c>
      <c r="I1372" s="34">
        <f t="shared" si="63"/>
        <v>11</v>
      </c>
      <c r="J1372" s="34">
        <v>35</v>
      </c>
      <c r="K1372" s="36">
        <v>900</v>
      </c>
      <c r="L1372" s="34" t="s">
        <v>17</v>
      </c>
      <c r="M1372" s="35">
        <v>34247</v>
      </c>
      <c r="N1372" s="37">
        <f>(YEAR(TablaMadre[[#This Row],[ALTA]])-YEAR(M1372))</f>
        <v>29</v>
      </c>
      <c r="O1372" s="34" t="s">
        <v>18</v>
      </c>
      <c r="P1372" s="34" t="s">
        <v>19</v>
      </c>
      <c r="Q1372" s="34" t="s">
        <v>642</v>
      </c>
      <c r="R1372" s="34" t="s">
        <v>21</v>
      </c>
      <c r="S1372" s="34" t="s">
        <v>322</v>
      </c>
      <c r="T1372" s="34"/>
      <c r="U1372" s="34"/>
      <c r="V1372" s="34" t="s">
        <v>67</v>
      </c>
      <c r="W1372" s="34" t="s">
        <v>28</v>
      </c>
      <c r="X1372" s="38" t="s">
        <v>164</v>
      </c>
      <c r="Y1372" s="62">
        <v>45820</v>
      </c>
      <c r="Z1372" s="38">
        <f t="shared" si="64"/>
        <v>1</v>
      </c>
      <c r="AA1372" s="38"/>
      <c r="AB1372" s="34">
        <v>8</v>
      </c>
      <c r="AC1372" s="34">
        <v>9</v>
      </c>
      <c r="AD1372" s="38"/>
      <c r="AE1372" s="59" t="str">
        <f t="shared" si="65"/>
        <v>NO</v>
      </c>
      <c r="AF1372" s="38" t="e" cm="1">
        <f t="array" aca="1" ref="AF1372" ca="1">MIN(100, MAX(0, (IF(R1372="ESTUDIANTE", 31, 0)) + (IF(I1372&lt;=3, 30, IF(I1372&lt;=6, 20, 0))) +(IF(OR(E1372="413 - Control de Costes y Enlace Construcción", E1372="480 - Secretaría General del Consejo", E1372="132 - Civil y estructuras", E1372="136 - Mecánica", E1372="412 - Planificación", E1372="142 - Compras"), 25, 0)) +(IF(OR(S1372="GRADO ING. MECÁNICA", S1372="GRADO ING. ELÉCTRICA", S1372="GRADO DERECHO", S1372="GRADO ECONOMÍA", S1372="GRADO ING. TECNOLOGÍAS INDUSTRIALES"), 24, 0)) + (IF(AND(K1372&gt;=451, K1372&lt;=700), 23, 0)) + (IF(AND(AB1372&gt;=5, AB1372&lt;=8), 17, 0)) +(IF(_xludf.OR(_xludf.AND(AC1372&gt;=8, AC1372&lt;=10), _xludf.AND(AC1372&gt;=0, AC1372&lt;=5)), 16, 0)) + (IF(F1372="Madrid", 11, 0))))</f>
        <v>#NAME?</v>
      </c>
      <c r="AG1372" s="68"/>
      <c r="AH1372" s="71" t="s">
        <v>164</v>
      </c>
    </row>
    <row r="1373" spans="1:34" ht="14.4" x14ac:dyDescent="0.3">
      <c r="A1373" s="66" t="s">
        <v>2340</v>
      </c>
      <c r="B1373" s="66" t="s">
        <v>4457</v>
      </c>
      <c r="C1373" s="33">
        <v>1372</v>
      </c>
      <c r="D1373" s="33" t="s">
        <v>5394</v>
      </c>
      <c r="E1373" s="34" t="s">
        <v>5319</v>
      </c>
      <c r="F1373" s="34" t="s">
        <v>18</v>
      </c>
      <c r="G1373" s="57">
        <v>44754</v>
      </c>
      <c r="H1373" s="57">
        <v>45118</v>
      </c>
      <c r="I1373" s="34">
        <f t="shared" si="63"/>
        <v>11</v>
      </c>
      <c r="J1373" s="34">
        <v>35</v>
      </c>
      <c r="K1373" s="36">
        <v>825</v>
      </c>
      <c r="L1373" s="34" t="s">
        <v>29</v>
      </c>
      <c r="M1373" s="35">
        <v>36063</v>
      </c>
      <c r="N1373" s="37">
        <f>(YEAR(TablaMadre[[#This Row],[ALTA]])-YEAR(M1373))</f>
        <v>24</v>
      </c>
      <c r="O1373" s="34" t="s">
        <v>18</v>
      </c>
      <c r="P1373" s="34" t="s">
        <v>19</v>
      </c>
      <c r="Q1373" s="34" t="s">
        <v>297</v>
      </c>
      <c r="R1373" s="34" t="s">
        <v>21</v>
      </c>
      <c r="S1373" s="34" t="s">
        <v>297</v>
      </c>
      <c r="T1373" s="34"/>
      <c r="U1373" s="34"/>
      <c r="V1373" s="34" t="s">
        <v>22</v>
      </c>
      <c r="W1373" s="34" t="s">
        <v>23</v>
      </c>
      <c r="X1373" s="38" t="s">
        <v>164</v>
      </c>
      <c r="Y1373" s="62"/>
      <c r="Z1373" s="38" t="e">
        <f t="shared" si="64"/>
        <v>#NUM!</v>
      </c>
      <c r="AA1373" s="38"/>
      <c r="AB1373" s="34">
        <v>10</v>
      </c>
      <c r="AC1373" s="34">
        <v>9</v>
      </c>
      <c r="AD1373" s="38"/>
      <c r="AE1373" s="59" t="str">
        <f t="shared" si="65"/>
        <v>NO</v>
      </c>
      <c r="AF1373" s="38" t="e" cm="1">
        <f t="array" aca="1" ref="AF1373" ca="1">MIN(100, MAX(0, (IF(R1373="ESTUDIANTE", 31, 0)) + (IF(I1373&lt;=3, 30, IF(I1373&lt;=6, 20, 0))) +(IF(OR(E1373="413 - Control de Costes y Enlace Construcción", E1373="480 - Secretaría General del Consejo", E1373="132 - Civil y estructuras", E1373="136 - Mecánica", E1373="412 - Planificación", E1373="142 - Compras"), 25, 0)) +(IF(OR(S1373="GRADO ING. MECÁNICA", S1373="GRADO ING. ELÉCTRICA", S1373="GRADO DERECHO", S1373="GRADO ECONOMÍA", S1373="GRADO ING. TECNOLOGÍAS INDUSTRIALES"), 24, 0)) + (IF(AND(K1373&gt;=451, K1373&lt;=700), 23, 0)) + (IF(AND(AB1373&gt;=5, AB1373&lt;=8), 17, 0)) +(IF(_xludf.OR(_xludf.AND(AC1373&gt;=8, AC1373&lt;=10), _xludf.AND(AC1373&gt;=0, AC1373&lt;=5)), 16, 0)) + (IF(F1373="Madrid", 11, 0))))</f>
        <v>#NAME?</v>
      </c>
      <c r="AG1373" s="68"/>
      <c r="AH1373" s="71" t="s">
        <v>164</v>
      </c>
    </row>
    <row r="1374" spans="1:34" ht="14.4" x14ac:dyDescent="0.3">
      <c r="A1374" s="66" t="s">
        <v>2352</v>
      </c>
      <c r="B1374" s="66" t="s">
        <v>4469</v>
      </c>
      <c r="C1374" s="33">
        <v>1373</v>
      </c>
      <c r="D1374" s="33" t="s">
        <v>5395</v>
      </c>
      <c r="E1374" s="34" t="s">
        <v>5246</v>
      </c>
      <c r="F1374" s="34" t="s">
        <v>18</v>
      </c>
      <c r="G1374" s="57">
        <v>44762</v>
      </c>
      <c r="H1374" s="57">
        <v>44783</v>
      </c>
      <c r="I1374" s="34">
        <f t="shared" si="63"/>
        <v>0</v>
      </c>
      <c r="J1374" s="34">
        <v>35</v>
      </c>
      <c r="K1374" s="36">
        <v>825</v>
      </c>
      <c r="L1374" s="34" t="s">
        <v>17</v>
      </c>
      <c r="M1374" s="57">
        <v>34131</v>
      </c>
      <c r="N1374" s="37">
        <f>(YEAR(TablaMadre[[#This Row],[ALTA]])-YEAR(M1374))</f>
        <v>29</v>
      </c>
      <c r="O1374" s="34" t="s">
        <v>153</v>
      </c>
      <c r="P1374" s="34" t="s">
        <v>19</v>
      </c>
      <c r="Q1374" s="34" t="s">
        <v>545</v>
      </c>
      <c r="R1374" s="34" t="s">
        <v>21</v>
      </c>
      <c r="S1374" s="34" t="s">
        <v>277</v>
      </c>
      <c r="T1374" s="34"/>
      <c r="U1374" s="34"/>
      <c r="V1374" s="34" t="s">
        <v>22</v>
      </c>
      <c r="W1374" s="34" t="s">
        <v>181</v>
      </c>
      <c r="X1374" s="38" t="s">
        <v>164</v>
      </c>
      <c r="Y1374" s="62">
        <v>44784</v>
      </c>
      <c r="Z1374" s="38">
        <f t="shared" si="64"/>
        <v>0</v>
      </c>
      <c r="AA1374" s="38"/>
      <c r="AB1374" s="34"/>
      <c r="AC1374" s="34"/>
      <c r="AD1374" s="38"/>
      <c r="AE1374" s="59" t="str">
        <f t="shared" si="65"/>
        <v>SÍ</v>
      </c>
      <c r="AF1374" s="38" t="e" cm="1">
        <f t="array" aca="1" ref="AF1374" ca="1">MIN(100, MAX(0, (IF(R1374="ESTUDIANTE", 31, 0)) + (IF(I1374&lt;=3, 30, IF(I1374&lt;=6, 20, 0))) +(IF(OR(E1374="413 - Control de Costes y Enlace Construcción", E1374="480 - Secretaría General del Consejo", E1374="132 - Civil y estructuras", E1374="136 - Mecánica", E1374="412 - Planificación", E1374="142 - Compras"), 25, 0)) +(IF(OR(S1374="GRADO ING. MECÁNICA", S1374="GRADO ING. ELÉCTRICA", S1374="GRADO DERECHO", S1374="GRADO ECONOMÍA", S1374="GRADO ING. TECNOLOGÍAS INDUSTRIALES"), 24, 0)) + (IF(AND(K1374&gt;=451, K1374&lt;=700), 23, 0)) + (IF(AND(AB1374&gt;=5, AB1374&lt;=8), 17, 0)) +(IF(_xludf.OR(_xludf.AND(AC1374&gt;=8, AC1374&lt;=10), _xludf.AND(AC1374&gt;=0, AC1374&lt;=5)), 16, 0)) + (IF(F1374="Madrid", 11, 0))))</f>
        <v>#NAME?</v>
      </c>
      <c r="AG1374" s="68"/>
      <c r="AH1374" s="71" t="s">
        <v>164</v>
      </c>
    </row>
    <row r="1375" spans="1:34" ht="14.4" x14ac:dyDescent="0.3">
      <c r="A1375" s="66" t="s">
        <v>2353</v>
      </c>
      <c r="B1375" s="66" t="s">
        <v>4470</v>
      </c>
      <c r="C1375" s="33">
        <v>1374</v>
      </c>
      <c r="D1375" s="33" t="s">
        <v>5396</v>
      </c>
      <c r="E1375" s="34" t="s">
        <v>5324</v>
      </c>
      <c r="F1375" s="34" t="s">
        <v>18</v>
      </c>
      <c r="G1375" s="57">
        <v>44762</v>
      </c>
      <c r="H1375" s="57">
        <v>44945</v>
      </c>
      <c r="I1375" s="34">
        <f t="shared" si="63"/>
        <v>5</v>
      </c>
      <c r="J1375" s="34">
        <v>35</v>
      </c>
      <c r="K1375" s="36">
        <v>825</v>
      </c>
      <c r="L1375" s="34" t="s">
        <v>29</v>
      </c>
      <c r="M1375" s="57">
        <v>36466</v>
      </c>
      <c r="N1375" s="37">
        <f>(YEAR(TablaMadre[[#This Row],[ALTA]])-YEAR(M1375))</f>
        <v>23</v>
      </c>
      <c r="O1375" s="34" t="s">
        <v>18</v>
      </c>
      <c r="P1375" s="34" t="s">
        <v>19</v>
      </c>
      <c r="Q1375" s="34" t="s">
        <v>595</v>
      </c>
      <c r="R1375" s="34" t="s">
        <v>21</v>
      </c>
      <c r="S1375" s="34" t="s">
        <v>322</v>
      </c>
      <c r="T1375" s="34"/>
      <c r="U1375" s="34"/>
      <c r="V1375" s="34" t="s">
        <v>22</v>
      </c>
      <c r="W1375" s="34" t="s">
        <v>28</v>
      </c>
      <c r="X1375" s="38" t="s">
        <v>164</v>
      </c>
      <c r="Y1375" s="62">
        <v>45440</v>
      </c>
      <c r="Z1375" s="38">
        <f t="shared" si="64"/>
        <v>1</v>
      </c>
      <c r="AA1375" s="38"/>
      <c r="AB1375" s="34">
        <v>9</v>
      </c>
      <c r="AC1375" s="34"/>
      <c r="AD1375" s="38"/>
      <c r="AE1375" s="59" t="str">
        <f t="shared" si="65"/>
        <v>NO</v>
      </c>
      <c r="AF1375" s="38" t="e" cm="1">
        <f t="array" aca="1" ref="AF1375" ca="1">MIN(100, MAX(0, (IF(R1375="ESTUDIANTE", 31, 0)) + (IF(I1375&lt;=3, 30, IF(I1375&lt;=6, 20, 0))) +(IF(OR(E1375="413 - Control de Costes y Enlace Construcción", E1375="480 - Secretaría General del Consejo", E1375="132 - Civil y estructuras", E1375="136 - Mecánica", E1375="412 - Planificación", E1375="142 - Compras"), 25, 0)) +(IF(OR(S1375="GRADO ING. MECÁNICA", S1375="GRADO ING. ELÉCTRICA", S1375="GRADO DERECHO", S1375="GRADO ECONOMÍA", S1375="GRADO ING. TECNOLOGÍAS INDUSTRIALES"), 24, 0)) + (IF(AND(K1375&gt;=451, K1375&lt;=700), 23, 0)) + (IF(AND(AB1375&gt;=5, AB1375&lt;=8), 17, 0)) +(IF(_xludf.OR(_xludf.AND(AC1375&gt;=8, AC1375&lt;=10), _xludf.AND(AC1375&gt;=0, AC1375&lt;=5)), 16, 0)) + (IF(F1375="Madrid", 11, 0))))</f>
        <v>#NAME?</v>
      </c>
      <c r="AG1375" s="68"/>
      <c r="AH1375" s="71" t="s">
        <v>164</v>
      </c>
    </row>
    <row r="1376" spans="1:34" ht="14.4" x14ac:dyDescent="0.3">
      <c r="A1376" s="66" t="s">
        <v>2354</v>
      </c>
      <c r="B1376" s="66" t="s">
        <v>4471</v>
      </c>
      <c r="C1376" s="33">
        <v>1375</v>
      </c>
      <c r="D1376" s="33" t="s">
        <v>5397</v>
      </c>
      <c r="E1376" s="34" t="s">
        <v>5324</v>
      </c>
      <c r="F1376" s="34" t="s">
        <v>18</v>
      </c>
      <c r="G1376" s="57">
        <v>44762</v>
      </c>
      <c r="H1376" s="57">
        <v>44945</v>
      </c>
      <c r="I1376" s="34">
        <f t="shared" si="63"/>
        <v>5</v>
      </c>
      <c r="J1376" s="34">
        <v>35</v>
      </c>
      <c r="K1376" s="36">
        <v>900</v>
      </c>
      <c r="L1376" s="34" t="s">
        <v>29</v>
      </c>
      <c r="M1376" s="57">
        <v>35942</v>
      </c>
      <c r="N1376" s="37">
        <f>(YEAR(TablaMadre[[#This Row],[ALTA]])-YEAR(M1376))</f>
        <v>24</v>
      </c>
      <c r="O1376" s="34" t="s">
        <v>18</v>
      </c>
      <c r="P1376" s="34" t="s">
        <v>19</v>
      </c>
      <c r="Q1376" s="34" t="s">
        <v>597</v>
      </c>
      <c r="R1376" s="34" t="s">
        <v>21</v>
      </c>
      <c r="S1376" s="34" t="s">
        <v>297</v>
      </c>
      <c r="T1376" s="34"/>
      <c r="U1376" s="34"/>
      <c r="V1376" s="34" t="s">
        <v>22</v>
      </c>
      <c r="W1376" s="34" t="s">
        <v>28</v>
      </c>
      <c r="X1376" s="38" t="s">
        <v>164</v>
      </c>
      <c r="Y1376" s="62">
        <v>45178</v>
      </c>
      <c r="Z1376" s="38">
        <f t="shared" si="64"/>
        <v>0</v>
      </c>
      <c r="AA1376" s="38"/>
      <c r="AB1376" s="34">
        <v>9</v>
      </c>
      <c r="AC1376" s="34"/>
      <c r="AD1376" s="38"/>
      <c r="AE1376" s="59" t="str">
        <f t="shared" si="65"/>
        <v>NO</v>
      </c>
      <c r="AF1376" s="38" t="e" cm="1">
        <f t="array" aca="1" ref="AF1376" ca="1">MIN(100, MAX(0, (IF(R1376="ESTUDIANTE", 31, 0)) + (IF(I1376&lt;=3, 30, IF(I1376&lt;=6, 20, 0))) +(IF(OR(E1376="413 - Control de Costes y Enlace Construcción", E1376="480 - Secretaría General del Consejo", E1376="132 - Civil y estructuras", E1376="136 - Mecánica", E1376="412 - Planificación", E1376="142 - Compras"), 25, 0)) +(IF(OR(S1376="GRADO ING. MECÁNICA", S1376="GRADO ING. ELÉCTRICA", S1376="GRADO DERECHO", S1376="GRADO ECONOMÍA", S1376="GRADO ING. TECNOLOGÍAS INDUSTRIALES"), 24, 0)) + (IF(AND(K1376&gt;=451, K1376&lt;=700), 23, 0)) + (IF(AND(AB1376&gt;=5, AB1376&lt;=8), 17, 0)) +(IF(_xludf.OR(_xludf.AND(AC1376&gt;=8, AC1376&lt;=10), _xludf.AND(AC1376&gt;=0, AC1376&lt;=5)), 16, 0)) + (IF(F1376="Madrid", 11, 0))))</f>
        <v>#NAME?</v>
      </c>
      <c r="AG1376" s="68"/>
      <c r="AH1376" s="71" t="s">
        <v>164</v>
      </c>
    </row>
    <row r="1377" spans="1:34" ht="14.4" x14ac:dyDescent="0.3">
      <c r="A1377" s="66" t="s">
        <v>2355</v>
      </c>
      <c r="B1377" s="66" t="s">
        <v>4472</v>
      </c>
      <c r="C1377" s="33">
        <v>1376</v>
      </c>
      <c r="D1377" s="33" t="s">
        <v>5398</v>
      </c>
      <c r="E1377" s="34" t="s">
        <v>5236</v>
      </c>
      <c r="F1377" s="34" t="s">
        <v>18</v>
      </c>
      <c r="G1377" s="57">
        <v>44762</v>
      </c>
      <c r="H1377" s="57">
        <v>45126</v>
      </c>
      <c r="I1377" s="34">
        <f t="shared" si="63"/>
        <v>11</v>
      </c>
      <c r="J1377" s="34">
        <v>25</v>
      </c>
      <c r="K1377" s="36">
        <v>650</v>
      </c>
      <c r="L1377" s="34" t="s">
        <v>17</v>
      </c>
      <c r="M1377" s="35">
        <v>34690</v>
      </c>
      <c r="N1377" s="37">
        <f>(YEAR(TablaMadre[[#This Row],[ALTA]])-YEAR(M1377))</f>
        <v>28</v>
      </c>
      <c r="O1377" s="34" t="s">
        <v>293</v>
      </c>
      <c r="P1377" s="34" t="s">
        <v>19</v>
      </c>
      <c r="Q1377" s="34" t="s">
        <v>402</v>
      </c>
      <c r="R1377" s="58" t="s">
        <v>30</v>
      </c>
      <c r="S1377" s="34" t="s">
        <v>402</v>
      </c>
      <c r="T1377" s="34"/>
      <c r="U1377" s="34"/>
      <c r="V1377" s="34" t="s">
        <v>67</v>
      </c>
      <c r="W1377" s="34" t="s">
        <v>28</v>
      </c>
      <c r="X1377" s="38" t="s">
        <v>164</v>
      </c>
      <c r="Y1377" s="62">
        <v>45908</v>
      </c>
      <c r="Z1377" s="38">
        <f t="shared" si="64"/>
        <v>2</v>
      </c>
      <c r="AA1377" s="38"/>
      <c r="AB1377" s="34">
        <v>10</v>
      </c>
      <c r="AC1377" s="34">
        <v>9</v>
      </c>
      <c r="AD1377" s="38"/>
      <c r="AE1377" s="59" t="str">
        <f t="shared" si="65"/>
        <v>SÍ</v>
      </c>
      <c r="AF1377" s="38" t="e" cm="1">
        <f t="array" aca="1" ref="AF1377" ca="1">MIN(100, MAX(0, (IF(R1377="ESTUDIANTE", 31, 0)) + (IF(I1377&lt;=3, 30, IF(I1377&lt;=6, 20, 0))) +(IF(OR(E1377="413 - Control de Costes y Enlace Construcción", E1377="480 - Secretaría General del Consejo", E1377="132 - Civil y estructuras", E1377="136 - Mecánica", E1377="412 - Planificación", E1377="142 - Compras"), 25, 0)) +(IF(OR(S1377="GRADO ING. MECÁNICA", S1377="GRADO ING. ELÉCTRICA", S1377="GRADO DERECHO", S1377="GRADO ECONOMÍA", S1377="GRADO ING. TECNOLOGÍAS INDUSTRIALES"), 24, 0)) + (IF(AND(K1377&gt;=451, K1377&lt;=700), 23, 0)) + (IF(AND(AB1377&gt;=5, AB1377&lt;=8), 17, 0)) +(IF(_xludf.OR(_xludf.AND(AC1377&gt;=8, AC1377&lt;=10), _xludf.AND(AC1377&gt;=0, AC1377&lt;=5)), 16, 0)) + (IF(F1377="Madrid", 11, 0))))</f>
        <v>#NAME?</v>
      </c>
      <c r="AG1377" s="68"/>
      <c r="AH1377" s="71" t="s">
        <v>164</v>
      </c>
    </row>
    <row r="1378" spans="1:34" ht="14.4" x14ac:dyDescent="0.3">
      <c r="A1378" s="66" t="s">
        <v>2356</v>
      </c>
      <c r="B1378" s="66" t="s">
        <v>4473</v>
      </c>
      <c r="C1378" s="33">
        <v>1377</v>
      </c>
      <c r="D1378" s="33" t="s">
        <v>5399</v>
      </c>
      <c r="E1378" s="34" t="s">
        <v>5260</v>
      </c>
      <c r="F1378" s="34" t="s">
        <v>18</v>
      </c>
      <c r="G1378" s="57">
        <v>44769</v>
      </c>
      <c r="H1378" s="57">
        <v>44952</v>
      </c>
      <c r="I1378" s="34">
        <f t="shared" si="63"/>
        <v>5</v>
      </c>
      <c r="J1378" s="34">
        <v>35</v>
      </c>
      <c r="K1378" s="36">
        <v>900</v>
      </c>
      <c r="L1378" s="34" t="s">
        <v>29</v>
      </c>
      <c r="M1378" s="57">
        <v>36034</v>
      </c>
      <c r="N1378" s="37">
        <f>(YEAR(TablaMadre[[#This Row],[ALTA]])-YEAR(M1378))</f>
        <v>24</v>
      </c>
      <c r="O1378" s="34" t="s">
        <v>18</v>
      </c>
      <c r="P1378" s="34" t="s">
        <v>19</v>
      </c>
      <c r="Q1378" s="34" t="s">
        <v>599</v>
      </c>
      <c r="R1378" s="34" t="s">
        <v>21</v>
      </c>
      <c r="S1378" s="34" t="s">
        <v>297</v>
      </c>
      <c r="T1378" s="34"/>
      <c r="U1378" s="34"/>
      <c r="V1378" s="34" t="s">
        <v>22</v>
      </c>
      <c r="W1378" s="34" t="s">
        <v>28</v>
      </c>
      <c r="X1378" s="38" t="s">
        <v>173</v>
      </c>
      <c r="Y1378" s="62"/>
      <c r="Z1378" s="38" t="e">
        <f t="shared" si="64"/>
        <v>#NUM!</v>
      </c>
      <c r="AA1378" s="38" t="s">
        <v>173</v>
      </c>
      <c r="AB1378" s="34"/>
      <c r="AC1378" s="34"/>
      <c r="AD1378" s="38"/>
      <c r="AE1378" s="59" t="str">
        <f t="shared" si="65"/>
        <v>NO</v>
      </c>
      <c r="AF1378" s="38" t="e" cm="1">
        <f t="array" aca="1" ref="AF1378" ca="1">MIN(100, MAX(0, (IF(R1378="ESTUDIANTE", 31, 0)) + (IF(I1378&lt;=3, 30, IF(I1378&lt;=6, 20, 0))) +(IF(OR(E1378="413 - Control de Costes y Enlace Construcción", E1378="480 - Secretaría General del Consejo", E1378="132 - Civil y estructuras", E1378="136 - Mecánica", E1378="412 - Planificación", E1378="142 - Compras"), 25, 0)) +(IF(OR(S1378="GRADO ING. MECÁNICA", S1378="GRADO ING. ELÉCTRICA", S1378="GRADO DERECHO", S1378="GRADO ECONOMÍA", S1378="GRADO ING. TECNOLOGÍAS INDUSTRIALES"), 24, 0)) + (IF(AND(K1378&gt;=451, K1378&lt;=700), 23, 0)) + (IF(AND(AB1378&gt;=5, AB1378&lt;=8), 17, 0)) +(IF(_xludf.OR(_xludf.AND(AC1378&gt;=8, AC1378&lt;=10), _xludf.AND(AC1378&gt;=0, AC1378&lt;=5)), 16, 0)) + (IF(F1378="Madrid", 11, 0))))</f>
        <v>#NAME?</v>
      </c>
      <c r="AG1378" s="68"/>
      <c r="AH1378" s="71" t="s">
        <v>164</v>
      </c>
    </row>
    <row r="1379" spans="1:34" ht="14.4" x14ac:dyDescent="0.3">
      <c r="A1379" s="66" t="s">
        <v>2357</v>
      </c>
      <c r="B1379" s="66" t="s">
        <v>4474</v>
      </c>
      <c r="C1379" s="33">
        <v>1378</v>
      </c>
      <c r="D1379" s="33" t="s">
        <v>5400</v>
      </c>
      <c r="E1379" s="34" t="s">
        <v>5336</v>
      </c>
      <c r="F1379" s="34" t="s">
        <v>18</v>
      </c>
      <c r="G1379" s="57">
        <v>44769</v>
      </c>
      <c r="H1379" s="57">
        <v>45133</v>
      </c>
      <c r="I1379" s="34">
        <f t="shared" si="63"/>
        <v>11</v>
      </c>
      <c r="J1379" s="34">
        <v>35</v>
      </c>
      <c r="K1379" s="36">
        <v>825</v>
      </c>
      <c r="L1379" s="34" t="s">
        <v>29</v>
      </c>
      <c r="M1379" s="35">
        <v>34989</v>
      </c>
      <c r="N1379" s="37">
        <f>(YEAR(TablaMadre[[#This Row],[ALTA]])-YEAR(M1379))</f>
        <v>27</v>
      </c>
      <c r="O1379" s="34" t="s">
        <v>18</v>
      </c>
      <c r="P1379" s="34" t="s">
        <v>19</v>
      </c>
      <c r="Q1379" s="34" t="s">
        <v>651</v>
      </c>
      <c r="R1379" s="34" t="s">
        <v>21</v>
      </c>
      <c r="S1379" s="34" t="s">
        <v>397</v>
      </c>
      <c r="T1379" s="34"/>
      <c r="U1379" s="34"/>
      <c r="V1379" s="34" t="s">
        <v>114</v>
      </c>
      <c r="W1379" s="34" t="s">
        <v>28</v>
      </c>
      <c r="X1379" s="38" t="s">
        <v>173</v>
      </c>
      <c r="Y1379" s="62"/>
      <c r="Z1379" s="38" t="e">
        <f t="shared" si="64"/>
        <v>#NUM!</v>
      </c>
      <c r="AA1379" s="38"/>
      <c r="AB1379" s="34">
        <v>10</v>
      </c>
      <c r="AC1379" s="34">
        <v>10</v>
      </c>
      <c r="AD1379" s="38"/>
      <c r="AE1379" s="59" t="str">
        <f t="shared" si="65"/>
        <v>NO</v>
      </c>
      <c r="AF1379" s="38" t="e" cm="1">
        <f t="array" aca="1" ref="AF1379" ca="1">MIN(100, MAX(0, (IF(R1379="ESTUDIANTE", 31, 0)) + (IF(I1379&lt;=3, 30, IF(I1379&lt;=6, 20, 0))) +(IF(OR(E1379="413 - Control de Costes y Enlace Construcción", E1379="480 - Secretaría General del Consejo", E1379="132 - Civil y estructuras", E1379="136 - Mecánica", E1379="412 - Planificación", E1379="142 - Compras"), 25, 0)) +(IF(OR(S1379="GRADO ING. MECÁNICA", S1379="GRADO ING. ELÉCTRICA", S1379="GRADO DERECHO", S1379="GRADO ECONOMÍA", S1379="GRADO ING. TECNOLOGÍAS INDUSTRIALES"), 24, 0)) + (IF(AND(K1379&gt;=451, K1379&lt;=700), 23, 0)) + (IF(AND(AB1379&gt;=5, AB1379&lt;=8), 17, 0)) +(IF(_xludf.OR(_xludf.AND(AC1379&gt;=8, AC1379&lt;=10), _xludf.AND(AC1379&gt;=0, AC1379&lt;=5)), 16, 0)) + (IF(F1379="Madrid", 11, 0))))</f>
        <v>#NAME?</v>
      </c>
      <c r="AG1379" s="68"/>
      <c r="AH1379" s="71" t="s">
        <v>164</v>
      </c>
    </row>
    <row r="1380" spans="1:34" ht="14.4" x14ac:dyDescent="0.3">
      <c r="A1380" s="66" t="s">
        <v>2358</v>
      </c>
      <c r="B1380" s="66" t="s">
        <v>4475</v>
      </c>
      <c r="C1380" s="33">
        <v>1379</v>
      </c>
      <c r="D1380" s="33" t="s">
        <v>5401</v>
      </c>
      <c r="E1380" s="34" t="s">
        <v>5312</v>
      </c>
      <c r="F1380" s="34" t="s">
        <v>18</v>
      </c>
      <c r="G1380" s="57">
        <v>44774</v>
      </c>
      <c r="H1380" s="57">
        <v>44985</v>
      </c>
      <c r="I1380" s="34">
        <f t="shared" si="63"/>
        <v>6</v>
      </c>
      <c r="J1380" s="34">
        <v>35</v>
      </c>
      <c r="K1380" s="36">
        <v>825</v>
      </c>
      <c r="L1380" s="34" t="s">
        <v>17</v>
      </c>
      <c r="M1380" s="57">
        <v>35964</v>
      </c>
      <c r="N1380" s="37">
        <f>(YEAR(TablaMadre[[#This Row],[ALTA]])-YEAR(M1380))</f>
        <v>24</v>
      </c>
      <c r="O1380" s="34" t="s">
        <v>945</v>
      </c>
      <c r="P1380" s="34" t="s">
        <v>19</v>
      </c>
      <c r="Q1380" s="34" t="s">
        <v>399</v>
      </c>
      <c r="R1380" s="34" t="s">
        <v>21</v>
      </c>
      <c r="S1380" s="34" t="s">
        <v>322</v>
      </c>
      <c r="T1380" s="34"/>
      <c r="U1380" s="34"/>
      <c r="V1380" s="34" t="s">
        <v>239</v>
      </c>
      <c r="W1380" s="34" t="s">
        <v>28</v>
      </c>
      <c r="X1380" s="38" t="s">
        <v>173</v>
      </c>
      <c r="Y1380" s="62"/>
      <c r="Z1380" s="38" t="e">
        <f t="shared" si="64"/>
        <v>#NUM!</v>
      </c>
      <c r="AA1380" s="38"/>
      <c r="AB1380" s="34" t="s">
        <v>585</v>
      </c>
      <c r="AC1380" s="34">
        <v>8</v>
      </c>
      <c r="AD1380" s="38"/>
      <c r="AE1380" s="59" t="str">
        <f t="shared" si="65"/>
        <v>SÍ</v>
      </c>
      <c r="AF1380" s="38" t="e" cm="1">
        <f t="array" aca="1" ref="AF1380" ca="1">MIN(100, MAX(0, (IF(R1380="ESTUDIANTE", 31, 0)) + (IF(I1380&lt;=3, 30, IF(I1380&lt;=6, 20, 0))) +(IF(OR(E1380="413 - Control de Costes y Enlace Construcción", E1380="480 - Secretaría General del Consejo", E1380="132 - Civil y estructuras", E1380="136 - Mecánica", E1380="412 - Planificación", E1380="142 - Compras"), 25, 0)) +(IF(OR(S1380="GRADO ING. MECÁNICA", S1380="GRADO ING. ELÉCTRICA", S1380="GRADO DERECHO", S1380="GRADO ECONOMÍA", S1380="GRADO ING. TECNOLOGÍAS INDUSTRIALES"), 24, 0)) + (IF(AND(K1380&gt;=451, K1380&lt;=700), 23, 0)) + (IF(AND(AB1380&gt;=5, AB1380&lt;=8), 17, 0)) +(IF(_xludf.OR(_xludf.AND(AC1380&gt;=8, AC1380&lt;=10), _xludf.AND(AC1380&gt;=0, AC1380&lt;=5)), 16, 0)) + (IF(F1380="Madrid", 11, 0))))</f>
        <v>#NAME?</v>
      </c>
      <c r="AG1380" s="68"/>
      <c r="AH1380" s="71" t="s">
        <v>164</v>
      </c>
    </row>
    <row r="1381" spans="1:34" ht="14.4" x14ac:dyDescent="0.3">
      <c r="A1381" s="66" t="s">
        <v>2359</v>
      </c>
      <c r="B1381" s="66" t="s">
        <v>4476</v>
      </c>
      <c r="C1381" s="33">
        <v>1380</v>
      </c>
      <c r="D1381" s="33" t="s">
        <v>5402</v>
      </c>
      <c r="E1381" s="34" t="s">
        <v>5322</v>
      </c>
      <c r="F1381" s="34" t="s">
        <v>18</v>
      </c>
      <c r="G1381" s="57">
        <v>44774</v>
      </c>
      <c r="H1381" s="57">
        <v>45138</v>
      </c>
      <c r="I1381" s="34">
        <f t="shared" si="63"/>
        <v>11</v>
      </c>
      <c r="J1381" s="34">
        <v>35</v>
      </c>
      <c r="K1381" s="36">
        <v>825</v>
      </c>
      <c r="L1381" s="34" t="s">
        <v>29</v>
      </c>
      <c r="M1381" s="35">
        <v>35451</v>
      </c>
      <c r="N1381" s="37">
        <f>(YEAR(TablaMadre[[#This Row],[ALTA]])-YEAR(M1381))</f>
        <v>25</v>
      </c>
      <c r="O1381" s="34" t="s">
        <v>18</v>
      </c>
      <c r="P1381" s="34" t="s">
        <v>19</v>
      </c>
      <c r="Q1381" s="34" t="s">
        <v>297</v>
      </c>
      <c r="R1381" s="34" t="s">
        <v>21</v>
      </c>
      <c r="S1381" s="34" t="s">
        <v>297</v>
      </c>
      <c r="T1381" s="34"/>
      <c r="U1381" s="34"/>
      <c r="V1381" s="34" t="s">
        <v>56</v>
      </c>
      <c r="W1381" s="34" t="s">
        <v>28</v>
      </c>
      <c r="X1381" s="38" t="s">
        <v>173</v>
      </c>
      <c r="Y1381" s="62"/>
      <c r="Z1381" s="38" t="e">
        <f t="shared" si="64"/>
        <v>#NUM!</v>
      </c>
      <c r="AA1381" s="38"/>
      <c r="AB1381" s="34">
        <v>10</v>
      </c>
      <c r="AC1381" s="34"/>
      <c r="AD1381" s="38"/>
      <c r="AE1381" s="59" t="str">
        <f t="shared" si="65"/>
        <v>NO</v>
      </c>
      <c r="AF1381" s="38" t="e" cm="1">
        <f t="array" aca="1" ref="AF1381" ca="1">MIN(100, MAX(0, (IF(R1381="ESTUDIANTE", 31, 0)) + (IF(I1381&lt;=3, 30, IF(I1381&lt;=6, 20, 0))) +(IF(OR(E1381="413 - Control de Costes y Enlace Construcción", E1381="480 - Secretaría General del Consejo", E1381="132 - Civil y estructuras", E1381="136 - Mecánica", E1381="412 - Planificación", E1381="142 - Compras"), 25, 0)) +(IF(OR(S1381="GRADO ING. MECÁNICA", S1381="GRADO ING. ELÉCTRICA", S1381="GRADO DERECHO", S1381="GRADO ECONOMÍA", S1381="GRADO ING. TECNOLOGÍAS INDUSTRIALES"), 24, 0)) + (IF(AND(K1381&gt;=451, K1381&lt;=700), 23, 0)) + (IF(AND(AB1381&gt;=5, AB1381&lt;=8), 17, 0)) +(IF(_xludf.OR(_xludf.AND(AC1381&gt;=8, AC1381&lt;=10), _xludf.AND(AC1381&gt;=0, AC1381&lt;=5)), 16, 0)) + (IF(F1381="Madrid", 11, 0))))</f>
        <v>#NAME?</v>
      </c>
      <c r="AG1381" s="68"/>
      <c r="AH1381" s="71" t="s">
        <v>164</v>
      </c>
    </row>
    <row r="1382" spans="1:34" ht="14.4" x14ac:dyDescent="0.3">
      <c r="A1382" s="66" t="s">
        <v>2965</v>
      </c>
      <c r="B1382" s="66" t="s">
        <v>5082</v>
      </c>
      <c r="C1382" s="33">
        <v>1381</v>
      </c>
      <c r="D1382" s="33" t="s">
        <v>5393</v>
      </c>
      <c r="E1382" s="34" t="s">
        <v>5324</v>
      </c>
      <c r="F1382" s="34" t="s">
        <v>18</v>
      </c>
      <c r="G1382" s="57">
        <v>44776</v>
      </c>
      <c r="H1382" s="57">
        <v>44804</v>
      </c>
      <c r="I1382" s="34">
        <f t="shared" si="63"/>
        <v>0</v>
      </c>
      <c r="J1382" s="34">
        <v>35</v>
      </c>
      <c r="K1382" s="36">
        <v>0</v>
      </c>
      <c r="L1382" s="34" t="s">
        <v>17</v>
      </c>
      <c r="M1382" s="57">
        <v>37840</v>
      </c>
      <c r="N1382" s="37">
        <f>(YEAR(TablaMadre[[#This Row],[ALTA]])-YEAR(M1382))</f>
        <v>19</v>
      </c>
      <c r="O1382" s="34" t="s">
        <v>18</v>
      </c>
      <c r="P1382" s="34" t="s">
        <v>19</v>
      </c>
      <c r="Q1382" s="34" t="s">
        <v>229</v>
      </c>
      <c r="R1382" s="34" t="s">
        <v>30</v>
      </c>
      <c r="S1382" s="34" t="s">
        <v>229</v>
      </c>
      <c r="T1382" s="34"/>
      <c r="U1382" s="34"/>
      <c r="V1382" s="34" t="s">
        <v>74</v>
      </c>
      <c r="W1382" s="34" t="s">
        <v>23</v>
      </c>
      <c r="X1382" s="38" t="s">
        <v>164</v>
      </c>
      <c r="Y1382" s="62"/>
      <c r="Z1382" s="38" t="e">
        <f t="shared" si="64"/>
        <v>#NUM!</v>
      </c>
      <c r="AA1382" s="38"/>
      <c r="AB1382" s="34"/>
      <c r="AC1382" s="34"/>
      <c r="AD1382" s="38"/>
      <c r="AE1382" s="59" t="str">
        <f t="shared" si="65"/>
        <v>NO</v>
      </c>
      <c r="AF1382" s="38" t="e" cm="1">
        <f t="array" aca="1" ref="AF1382" ca="1">MIN(100, MAX(0, (IF(R1382="ESTUDIANTE", 31, 0)) + (IF(I1382&lt;=3, 30, IF(I1382&lt;=6, 20, 0))) +(IF(OR(E1382="413 - Control de Costes y Enlace Construcción", E1382="480 - Secretaría General del Consejo", E1382="132 - Civil y estructuras", E1382="136 - Mecánica", E1382="412 - Planificación", E1382="142 - Compras"), 25, 0)) +(IF(OR(S1382="GRADO ING. MECÁNICA", S1382="GRADO ING. ELÉCTRICA", S1382="GRADO DERECHO", S1382="GRADO ECONOMÍA", S1382="GRADO ING. TECNOLOGÍAS INDUSTRIALES"), 24, 0)) + (IF(AND(K1382&gt;=451, K1382&lt;=700), 23, 0)) + (IF(AND(AB1382&gt;=5, AB1382&lt;=8), 17, 0)) +(IF(_xludf.OR(_xludf.AND(AC1382&gt;=8, AC1382&lt;=10), _xludf.AND(AC1382&gt;=0, AC1382&lt;=5)), 16, 0)) + (IF(F1382="Madrid", 11, 0))))</f>
        <v>#NAME?</v>
      </c>
      <c r="AG1382" s="68"/>
      <c r="AH1382" s="71" t="s">
        <v>164</v>
      </c>
    </row>
    <row r="1383" spans="1:34" ht="14.4" x14ac:dyDescent="0.3">
      <c r="A1383" s="66" t="s">
        <v>2361</v>
      </c>
      <c r="B1383" s="66" t="s">
        <v>4478</v>
      </c>
      <c r="C1383" s="33">
        <v>1382</v>
      </c>
      <c r="D1383" s="33" t="s">
        <v>5394</v>
      </c>
      <c r="E1383" s="34" t="s">
        <v>5273</v>
      </c>
      <c r="F1383" s="34" t="s">
        <v>18</v>
      </c>
      <c r="G1383" s="57">
        <v>44781</v>
      </c>
      <c r="H1383" s="57">
        <v>44963</v>
      </c>
      <c r="I1383" s="34">
        <f t="shared" si="63"/>
        <v>5</v>
      </c>
      <c r="J1383" s="34">
        <v>35</v>
      </c>
      <c r="K1383" s="36">
        <v>825</v>
      </c>
      <c r="L1383" s="34" t="s">
        <v>17</v>
      </c>
      <c r="M1383" s="57">
        <v>36134</v>
      </c>
      <c r="N1383" s="37">
        <f>(YEAR(TablaMadre[[#This Row],[ALTA]])-YEAR(M1383))</f>
        <v>24</v>
      </c>
      <c r="O1383" s="34" t="s">
        <v>153</v>
      </c>
      <c r="P1383" s="34" t="s">
        <v>19</v>
      </c>
      <c r="Q1383" s="34" t="s">
        <v>136</v>
      </c>
      <c r="R1383" s="34" t="s">
        <v>21</v>
      </c>
      <c r="S1383" s="34" t="s">
        <v>136</v>
      </c>
      <c r="T1383" s="34"/>
      <c r="U1383" s="34"/>
      <c r="V1383" s="34" t="s">
        <v>67</v>
      </c>
      <c r="W1383" s="34" t="s">
        <v>28</v>
      </c>
      <c r="X1383" s="38" t="s">
        <v>173</v>
      </c>
      <c r="Y1383" s="62"/>
      <c r="Z1383" s="38" t="e">
        <f t="shared" si="64"/>
        <v>#NUM!</v>
      </c>
      <c r="AA1383" s="38"/>
      <c r="AB1383" s="34"/>
      <c r="AC1383" s="34"/>
      <c r="AD1383" s="38"/>
      <c r="AE1383" s="59" t="str">
        <f t="shared" si="65"/>
        <v>SÍ</v>
      </c>
      <c r="AF1383" s="38" t="e" cm="1">
        <f t="array" aca="1" ref="AF1383" ca="1">MIN(100, MAX(0, (IF(R1383="ESTUDIANTE", 31, 0)) + (IF(I1383&lt;=3, 30, IF(I1383&lt;=6, 20, 0))) +(IF(OR(E1383="413 - Control de Costes y Enlace Construcción", E1383="480 - Secretaría General del Consejo", E1383="132 - Civil y estructuras", E1383="136 - Mecánica", E1383="412 - Planificación", E1383="142 - Compras"), 25, 0)) +(IF(OR(S1383="GRADO ING. MECÁNICA", S1383="GRADO ING. ELÉCTRICA", S1383="GRADO DERECHO", S1383="GRADO ECONOMÍA", S1383="GRADO ING. TECNOLOGÍAS INDUSTRIALES"), 24, 0)) + (IF(AND(K1383&gt;=451, K1383&lt;=700), 23, 0)) + (IF(AND(AB1383&gt;=5, AB1383&lt;=8), 17, 0)) +(IF(_xludf.OR(_xludf.AND(AC1383&gt;=8, AC1383&lt;=10), _xludf.AND(AC1383&gt;=0, AC1383&lt;=5)), 16, 0)) + (IF(F1383="Madrid", 11, 0))))</f>
        <v>#NAME?</v>
      </c>
      <c r="AG1383" s="68"/>
      <c r="AH1383" s="71" t="s">
        <v>164</v>
      </c>
    </row>
    <row r="1384" spans="1:34" ht="14.4" x14ac:dyDescent="0.3">
      <c r="A1384" s="66" t="s">
        <v>2362</v>
      </c>
      <c r="B1384" s="66" t="s">
        <v>4479</v>
      </c>
      <c r="C1384" s="33">
        <v>1383</v>
      </c>
      <c r="D1384" s="33" t="s">
        <v>5403</v>
      </c>
      <c r="E1384" s="34" t="s">
        <v>5246</v>
      </c>
      <c r="F1384" s="34" t="s">
        <v>18</v>
      </c>
      <c r="G1384" s="57">
        <v>44781</v>
      </c>
      <c r="H1384" s="57">
        <v>44964</v>
      </c>
      <c r="I1384" s="34">
        <f t="shared" si="63"/>
        <v>5</v>
      </c>
      <c r="J1384" s="34">
        <v>35</v>
      </c>
      <c r="K1384" s="36">
        <v>900</v>
      </c>
      <c r="L1384" s="34" t="s">
        <v>17</v>
      </c>
      <c r="M1384" s="57">
        <v>32542</v>
      </c>
      <c r="N1384" s="37">
        <f>(YEAR(TablaMadre[[#This Row],[ALTA]])-YEAR(M1384))</f>
        <v>33</v>
      </c>
      <c r="O1384" s="34" t="s">
        <v>953</v>
      </c>
      <c r="P1384" s="34" t="s">
        <v>19</v>
      </c>
      <c r="Q1384" s="34" t="s">
        <v>446</v>
      </c>
      <c r="R1384" s="34" t="s">
        <v>21</v>
      </c>
      <c r="S1384" s="34" t="s">
        <v>277</v>
      </c>
      <c r="T1384" s="34"/>
      <c r="U1384" s="34"/>
      <c r="V1384" s="34" t="s">
        <v>572</v>
      </c>
      <c r="W1384" s="34" t="s">
        <v>28</v>
      </c>
      <c r="X1384" s="38" t="s">
        <v>173</v>
      </c>
      <c r="Y1384" s="62"/>
      <c r="Z1384" s="38" t="e">
        <f t="shared" si="64"/>
        <v>#NUM!</v>
      </c>
      <c r="AA1384" s="38"/>
      <c r="AB1384" s="34"/>
      <c r="AC1384" s="34"/>
      <c r="AD1384" s="38"/>
      <c r="AE1384" s="59" t="str">
        <f t="shared" si="65"/>
        <v>SÍ</v>
      </c>
      <c r="AF1384" s="38" t="e" cm="1">
        <f t="array" aca="1" ref="AF1384" ca="1">MIN(100, MAX(0, (IF(R1384="ESTUDIANTE", 31, 0)) + (IF(I1384&lt;=3, 30, IF(I1384&lt;=6, 20, 0))) +(IF(OR(E1384="413 - Control de Costes y Enlace Construcción", E1384="480 - Secretaría General del Consejo", E1384="132 - Civil y estructuras", E1384="136 - Mecánica", E1384="412 - Planificación", E1384="142 - Compras"), 25, 0)) +(IF(OR(S1384="GRADO ING. MECÁNICA", S1384="GRADO ING. ELÉCTRICA", S1384="GRADO DERECHO", S1384="GRADO ECONOMÍA", S1384="GRADO ING. TECNOLOGÍAS INDUSTRIALES"), 24, 0)) + (IF(AND(K1384&gt;=451, K1384&lt;=700), 23, 0)) + (IF(AND(AB1384&gt;=5, AB1384&lt;=8), 17, 0)) +(IF(_xludf.OR(_xludf.AND(AC1384&gt;=8, AC1384&lt;=10), _xludf.AND(AC1384&gt;=0, AC1384&lt;=5)), 16, 0)) + (IF(F1384="Madrid", 11, 0))))</f>
        <v>#NAME?</v>
      </c>
      <c r="AG1384" s="68"/>
      <c r="AH1384" s="71" t="s">
        <v>164</v>
      </c>
    </row>
    <row r="1385" spans="1:34" ht="14.4" x14ac:dyDescent="0.3">
      <c r="A1385" s="66" t="s">
        <v>2363</v>
      </c>
      <c r="B1385" s="66" t="s">
        <v>4480</v>
      </c>
      <c r="C1385" s="33">
        <v>1384</v>
      </c>
      <c r="D1385" s="33" t="s">
        <v>5404</v>
      </c>
      <c r="E1385" s="34" t="s">
        <v>5335</v>
      </c>
      <c r="F1385" s="34" t="s">
        <v>18</v>
      </c>
      <c r="G1385" s="57">
        <v>44791</v>
      </c>
      <c r="H1385" s="57">
        <v>45107</v>
      </c>
      <c r="I1385" s="34">
        <f t="shared" si="63"/>
        <v>10</v>
      </c>
      <c r="J1385" s="34">
        <v>35</v>
      </c>
      <c r="K1385" s="36">
        <v>900</v>
      </c>
      <c r="L1385" s="34" t="s">
        <v>29</v>
      </c>
      <c r="M1385" s="57">
        <v>34995</v>
      </c>
      <c r="N1385" s="37">
        <f>(YEAR(TablaMadre[[#This Row],[ALTA]])-YEAR(M1385))</f>
        <v>27</v>
      </c>
      <c r="O1385" s="34" t="s">
        <v>153</v>
      </c>
      <c r="P1385" s="34" t="s">
        <v>153</v>
      </c>
      <c r="Q1385" s="34" t="s">
        <v>539</v>
      </c>
      <c r="R1385" s="34" t="s">
        <v>21</v>
      </c>
      <c r="S1385" s="34" t="s">
        <v>151</v>
      </c>
      <c r="T1385" s="34"/>
      <c r="U1385" s="34"/>
      <c r="V1385" s="34" t="s">
        <v>90</v>
      </c>
      <c r="W1385" s="34" t="s">
        <v>28</v>
      </c>
      <c r="X1385" s="38" t="s">
        <v>173</v>
      </c>
      <c r="Y1385" s="62"/>
      <c r="Z1385" s="38" t="e">
        <f t="shared" si="64"/>
        <v>#NUM!</v>
      </c>
      <c r="AA1385" s="38"/>
      <c r="AB1385" s="34">
        <v>10</v>
      </c>
      <c r="AC1385" s="34">
        <v>10</v>
      </c>
      <c r="AD1385" s="38"/>
      <c r="AE1385" s="59" t="str">
        <f t="shared" si="65"/>
        <v>SÍ</v>
      </c>
      <c r="AF1385" s="38" t="e" cm="1">
        <f t="array" aca="1" ref="AF1385" ca="1">MIN(100, MAX(0, (IF(R1385="ESTUDIANTE", 31, 0)) + (IF(I1385&lt;=3, 30, IF(I1385&lt;=6, 20, 0))) +(IF(OR(E1385="413 - Control de Costes y Enlace Construcción", E1385="480 - Secretaría General del Consejo", E1385="132 - Civil y estructuras", E1385="136 - Mecánica", E1385="412 - Planificación", E1385="142 - Compras"), 25, 0)) +(IF(OR(S1385="GRADO ING. MECÁNICA", S1385="GRADO ING. ELÉCTRICA", S1385="GRADO DERECHO", S1385="GRADO ECONOMÍA", S1385="GRADO ING. TECNOLOGÍAS INDUSTRIALES"), 24, 0)) + (IF(AND(K1385&gt;=451, K1385&lt;=700), 23, 0)) + (IF(AND(AB1385&gt;=5, AB1385&lt;=8), 17, 0)) +(IF(_xludf.OR(_xludf.AND(AC1385&gt;=8, AC1385&lt;=10), _xludf.AND(AC1385&gt;=0, AC1385&lt;=5)), 16, 0)) + (IF(F1385="Madrid", 11, 0))))</f>
        <v>#NAME?</v>
      </c>
      <c r="AG1385" s="68"/>
      <c r="AH1385" s="71" t="s">
        <v>164</v>
      </c>
    </row>
    <row r="1386" spans="1:34" ht="14.4" x14ac:dyDescent="0.3">
      <c r="A1386" s="66" t="s">
        <v>2364</v>
      </c>
      <c r="B1386" s="66" t="s">
        <v>4481</v>
      </c>
      <c r="C1386" s="33">
        <v>1385</v>
      </c>
      <c r="D1386" s="33" t="s">
        <v>5405</v>
      </c>
      <c r="E1386" s="34" t="s">
        <v>5251</v>
      </c>
      <c r="F1386" s="34" t="s">
        <v>18</v>
      </c>
      <c r="G1386" s="57">
        <v>44791</v>
      </c>
      <c r="H1386" s="57">
        <v>45110</v>
      </c>
      <c r="I1386" s="34">
        <f t="shared" si="63"/>
        <v>10</v>
      </c>
      <c r="J1386" s="34">
        <v>30</v>
      </c>
      <c r="K1386" s="36">
        <v>710</v>
      </c>
      <c r="L1386" s="34" t="s">
        <v>29</v>
      </c>
      <c r="M1386" s="35">
        <v>35654</v>
      </c>
      <c r="N1386" s="37">
        <f>(YEAR(TablaMadre[[#This Row],[ALTA]])-YEAR(M1386))</f>
        <v>25</v>
      </c>
      <c r="O1386" s="34" t="s">
        <v>18</v>
      </c>
      <c r="P1386" s="34" t="s">
        <v>19</v>
      </c>
      <c r="Q1386" s="34" t="s">
        <v>638</v>
      </c>
      <c r="R1386" s="34" t="s">
        <v>21</v>
      </c>
      <c r="S1386" s="34" t="s">
        <v>297</v>
      </c>
      <c r="T1386" s="34"/>
      <c r="U1386" s="34"/>
      <c r="V1386" s="34" t="s">
        <v>22</v>
      </c>
      <c r="W1386" s="34" t="s">
        <v>28</v>
      </c>
      <c r="X1386" s="38" t="s">
        <v>164</v>
      </c>
      <c r="Y1386" s="62">
        <v>45867</v>
      </c>
      <c r="Z1386" s="38">
        <f t="shared" si="64"/>
        <v>2</v>
      </c>
      <c r="AA1386" s="38"/>
      <c r="AB1386" s="34">
        <v>6</v>
      </c>
      <c r="AC1386" s="34">
        <v>10</v>
      </c>
      <c r="AD1386" s="38"/>
      <c r="AE1386" s="59" t="str">
        <f t="shared" si="65"/>
        <v>NO</v>
      </c>
      <c r="AF1386" s="38" t="e" cm="1">
        <f t="array" aca="1" ref="AF1386" ca="1">MIN(100, MAX(0, (IF(R1386="ESTUDIANTE", 31, 0)) + (IF(I1386&lt;=3, 30, IF(I1386&lt;=6, 20, 0))) +(IF(OR(E1386="413 - Control de Costes y Enlace Construcción", E1386="480 - Secretaría General del Consejo", E1386="132 - Civil y estructuras", E1386="136 - Mecánica", E1386="412 - Planificación", E1386="142 - Compras"), 25, 0)) +(IF(OR(S1386="GRADO ING. MECÁNICA", S1386="GRADO ING. ELÉCTRICA", S1386="GRADO DERECHO", S1386="GRADO ECONOMÍA", S1386="GRADO ING. TECNOLOGÍAS INDUSTRIALES"), 24, 0)) + (IF(AND(K1386&gt;=451, K1386&lt;=700), 23, 0)) + (IF(AND(AB1386&gt;=5, AB1386&lt;=8), 17, 0)) +(IF(_xludf.OR(_xludf.AND(AC1386&gt;=8, AC1386&lt;=10), _xludf.AND(AC1386&gt;=0, AC1386&lt;=5)), 16, 0)) + (IF(F1386="Madrid", 11, 0))))</f>
        <v>#NAME?</v>
      </c>
      <c r="AG1386" s="68"/>
      <c r="AH1386" s="71" t="s">
        <v>164</v>
      </c>
    </row>
    <row r="1387" spans="1:34" ht="14.4" x14ac:dyDescent="0.3">
      <c r="A1387" s="66" t="s">
        <v>2342</v>
      </c>
      <c r="B1387" s="66" t="s">
        <v>4459</v>
      </c>
      <c r="C1387" s="33">
        <v>1387</v>
      </c>
      <c r="D1387" s="33" t="s">
        <v>5396</v>
      </c>
      <c r="E1387" s="34" t="s">
        <v>5273</v>
      </c>
      <c r="F1387" s="34" t="s">
        <v>18</v>
      </c>
      <c r="G1387" s="57">
        <v>44795</v>
      </c>
      <c r="H1387" s="57">
        <v>44978</v>
      </c>
      <c r="I1387" s="34">
        <f t="shared" si="63"/>
        <v>5</v>
      </c>
      <c r="J1387" s="34">
        <v>35</v>
      </c>
      <c r="K1387" s="36">
        <v>825</v>
      </c>
      <c r="L1387" s="34" t="s">
        <v>17</v>
      </c>
      <c r="M1387" s="57">
        <v>35345</v>
      </c>
      <c r="N1387" s="37">
        <f>(YEAR(TablaMadre[[#This Row],[ALTA]])-YEAR(M1387))</f>
        <v>26</v>
      </c>
      <c r="O1387" s="34" t="s">
        <v>18</v>
      </c>
      <c r="P1387" s="34" t="s">
        <v>19</v>
      </c>
      <c r="Q1387" s="34" t="s">
        <v>576</v>
      </c>
      <c r="R1387" s="34" t="s">
        <v>21</v>
      </c>
      <c r="S1387" s="34" t="s">
        <v>151</v>
      </c>
      <c r="T1387" s="34"/>
      <c r="U1387" s="34"/>
      <c r="V1387" s="34" t="s">
        <v>22</v>
      </c>
      <c r="W1387" s="34" t="s">
        <v>23</v>
      </c>
      <c r="X1387" s="38" t="s">
        <v>164</v>
      </c>
      <c r="Y1387" s="62"/>
      <c r="Z1387" s="38" t="e">
        <f t="shared" si="64"/>
        <v>#NUM!</v>
      </c>
      <c r="AA1387" s="38"/>
      <c r="AB1387" s="34" t="s">
        <v>602</v>
      </c>
      <c r="AC1387" s="34">
        <v>8</v>
      </c>
      <c r="AD1387" s="38"/>
      <c r="AE1387" s="59" t="str">
        <f t="shared" si="65"/>
        <v>NO</v>
      </c>
      <c r="AF1387" s="38" t="e" cm="1">
        <f t="array" aca="1" ref="AF1387" ca="1">MIN(100, MAX(0, (IF(R1387="ESTUDIANTE", 31, 0)) + (IF(I1387&lt;=3, 30, IF(I1387&lt;=6, 20, 0))) +(IF(OR(E1387="413 - Control de Costes y Enlace Construcción", E1387="480 - Secretaría General del Consejo", E1387="132 - Civil y estructuras", E1387="136 - Mecánica", E1387="412 - Planificación", E1387="142 - Compras"), 25, 0)) +(IF(OR(S1387="GRADO ING. MECÁNICA", S1387="GRADO ING. ELÉCTRICA", S1387="GRADO DERECHO", S1387="GRADO ECONOMÍA", S1387="GRADO ING. TECNOLOGÍAS INDUSTRIALES"), 24, 0)) + (IF(AND(K1387&gt;=451, K1387&lt;=700), 23, 0)) + (IF(AND(AB1387&gt;=5, AB1387&lt;=8), 17, 0)) +(IF(_xludf.OR(_xludf.AND(AC1387&gt;=8, AC1387&lt;=10), _xludf.AND(AC1387&gt;=0, AC1387&lt;=5)), 16, 0)) + (IF(F1387="Madrid", 11, 0))))</f>
        <v>#NAME?</v>
      </c>
      <c r="AG1387" s="68"/>
      <c r="AH1387" s="71" t="s">
        <v>164</v>
      </c>
    </row>
    <row r="1388" spans="1:34" ht="14.4" x14ac:dyDescent="0.3">
      <c r="A1388" s="66" t="s">
        <v>2367</v>
      </c>
      <c r="B1388" s="66" t="s">
        <v>4484</v>
      </c>
      <c r="C1388" s="33">
        <v>1388</v>
      </c>
      <c r="D1388" s="33" t="s">
        <v>5397</v>
      </c>
      <c r="E1388" s="34" t="s">
        <v>5327</v>
      </c>
      <c r="F1388" s="34" t="s">
        <v>18</v>
      </c>
      <c r="G1388" s="57">
        <v>44795</v>
      </c>
      <c r="H1388" s="57">
        <v>44978</v>
      </c>
      <c r="I1388" s="34">
        <f t="shared" si="63"/>
        <v>5</v>
      </c>
      <c r="J1388" s="34">
        <v>35</v>
      </c>
      <c r="K1388" s="36">
        <v>900</v>
      </c>
      <c r="L1388" s="34" t="s">
        <v>17</v>
      </c>
      <c r="M1388" s="57">
        <v>33956</v>
      </c>
      <c r="N1388" s="37">
        <f>(YEAR(TablaMadre[[#This Row],[ALTA]])-YEAR(M1388))</f>
        <v>30</v>
      </c>
      <c r="O1388" s="34" t="s">
        <v>80</v>
      </c>
      <c r="P1388" s="34" t="s">
        <v>19</v>
      </c>
      <c r="Q1388" s="34" t="s">
        <v>603</v>
      </c>
      <c r="R1388" s="34" t="s">
        <v>21</v>
      </c>
      <c r="S1388" s="34" t="s">
        <v>297</v>
      </c>
      <c r="T1388" s="34"/>
      <c r="U1388" s="34"/>
      <c r="V1388" s="34" t="s">
        <v>388</v>
      </c>
      <c r="W1388" s="34" t="s">
        <v>28</v>
      </c>
      <c r="X1388" s="38" t="s">
        <v>173</v>
      </c>
      <c r="Y1388" s="62"/>
      <c r="Z1388" s="38" t="e">
        <f t="shared" si="64"/>
        <v>#NUM!</v>
      </c>
      <c r="AA1388" s="38"/>
      <c r="AB1388" s="34">
        <v>9</v>
      </c>
      <c r="AC1388" s="34">
        <v>10</v>
      </c>
      <c r="AD1388" s="38"/>
      <c r="AE1388" s="59" t="str">
        <f t="shared" si="65"/>
        <v>SÍ</v>
      </c>
      <c r="AF1388" s="38" t="e" cm="1">
        <f t="array" aca="1" ref="AF1388" ca="1">MIN(100, MAX(0, (IF(R1388="ESTUDIANTE", 31, 0)) + (IF(I1388&lt;=3, 30, IF(I1388&lt;=6, 20, 0))) +(IF(OR(E1388="413 - Control de Costes y Enlace Construcción", E1388="480 - Secretaría General del Consejo", E1388="132 - Civil y estructuras", E1388="136 - Mecánica", E1388="412 - Planificación", E1388="142 - Compras"), 25, 0)) +(IF(OR(S1388="GRADO ING. MECÁNICA", S1388="GRADO ING. ELÉCTRICA", S1388="GRADO DERECHO", S1388="GRADO ECONOMÍA", S1388="GRADO ING. TECNOLOGÍAS INDUSTRIALES"), 24, 0)) + (IF(AND(K1388&gt;=451, K1388&lt;=700), 23, 0)) + (IF(AND(AB1388&gt;=5, AB1388&lt;=8), 17, 0)) +(IF(_xludf.OR(_xludf.AND(AC1388&gt;=8, AC1388&lt;=10), _xludf.AND(AC1388&gt;=0, AC1388&lt;=5)), 16, 0)) + (IF(F1388="Madrid", 11, 0))))</f>
        <v>#NAME?</v>
      </c>
      <c r="AG1388" s="68"/>
      <c r="AH1388" s="71" t="s">
        <v>164</v>
      </c>
    </row>
    <row r="1389" spans="1:34" ht="14.4" x14ac:dyDescent="0.3">
      <c r="A1389" s="66" t="s">
        <v>2967</v>
      </c>
      <c r="B1389" s="66" t="s">
        <v>5084</v>
      </c>
      <c r="C1389" s="33">
        <v>1386</v>
      </c>
      <c r="D1389" s="33" t="s">
        <v>5393</v>
      </c>
      <c r="E1389" s="34" t="s">
        <v>5337</v>
      </c>
      <c r="F1389" s="34" t="s">
        <v>931</v>
      </c>
      <c r="G1389" s="57">
        <v>44795</v>
      </c>
      <c r="H1389" s="57">
        <v>44839</v>
      </c>
      <c r="I1389" s="34">
        <f t="shared" si="63"/>
        <v>1</v>
      </c>
      <c r="J1389" s="34">
        <v>35</v>
      </c>
      <c r="K1389" s="36">
        <v>0</v>
      </c>
      <c r="L1389" s="34" t="s">
        <v>17</v>
      </c>
      <c r="M1389" s="57">
        <v>36861</v>
      </c>
      <c r="N1389" s="37">
        <f>(YEAR(TablaMadre[[#This Row],[ALTA]])-YEAR(M1389))</f>
        <v>22</v>
      </c>
      <c r="O1389" s="34"/>
      <c r="P1389" s="34" t="s">
        <v>19</v>
      </c>
      <c r="Q1389" s="34" t="s">
        <v>479</v>
      </c>
      <c r="R1389" s="34" t="s">
        <v>30</v>
      </c>
      <c r="S1389" s="34" t="s">
        <v>151</v>
      </c>
      <c r="T1389" s="34"/>
      <c r="U1389" s="34"/>
      <c r="V1389" s="34" t="s">
        <v>22</v>
      </c>
      <c r="W1389" s="34" t="s">
        <v>23</v>
      </c>
      <c r="X1389" s="38" t="s">
        <v>164</v>
      </c>
      <c r="Y1389" s="62"/>
      <c r="Z1389" s="38" t="e">
        <f t="shared" si="64"/>
        <v>#NUM!</v>
      </c>
      <c r="AA1389" s="38"/>
      <c r="AB1389" s="34"/>
      <c r="AC1389" s="34"/>
      <c r="AD1389" s="38"/>
      <c r="AE1389" s="59" t="str">
        <f t="shared" si="65"/>
        <v>SÍ</v>
      </c>
      <c r="AF1389" s="38" t="e" cm="1">
        <f t="array" aca="1" ref="AF1389" ca="1">MIN(100, MAX(0, (IF(R1389="ESTUDIANTE", 31, 0)) + (IF(I1389&lt;=3, 30, IF(I1389&lt;=6, 20, 0))) +(IF(OR(E1389="413 - Control de Costes y Enlace Construcción", E1389="480 - Secretaría General del Consejo", E1389="132 - Civil y estructuras", E1389="136 - Mecánica", E1389="412 - Planificación", E1389="142 - Compras"), 25, 0)) +(IF(OR(S1389="GRADO ING. MECÁNICA", S1389="GRADO ING. ELÉCTRICA", S1389="GRADO DERECHO", S1389="GRADO ECONOMÍA", S1389="GRADO ING. TECNOLOGÍAS INDUSTRIALES"), 24, 0)) + (IF(AND(K1389&gt;=451, K1389&lt;=700), 23, 0)) + (IF(AND(AB1389&gt;=5, AB1389&lt;=8), 17, 0)) +(IF(_xludf.OR(_xludf.AND(AC1389&gt;=8, AC1389&lt;=10), _xludf.AND(AC1389&gt;=0, AC1389&lt;=5)), 16, 0)) + (IF(F1389="Madrid", 11, 0))))</f>
        <v>#NAME?</v>
      </c>
      <c r="AG1389" s="68"/>
      <c r="AH1389" s="71" t="s">
        <v>164</v>
      </c>
    </row>
    <row r="1390" spans="1:34" ht="14.4" x14ac:dyDescent="0.3">
      <c r="A1390" s="66" t="s">
        <v>2368</v>
      </c>
      <c r="B1390" s="66" t="s">
        <v>4485</v>
      </c>
      <c r="C1390" s="33">
        <v>1389</v>
      </c>
      <c r="D1390" s="33" t="s">
        <v>5394</v>
      </c>
      <c r="E1390" s="34" t="s">
        <v>5319</v>
      </c>
      <c r="F1390" s="34" t="s">
        <v>18</v>
      </c>
      <c r="G1390" s="57">
        <v>44797</v>
      </c>
      <c r="H1390" s="57">
        <v>45039</v>
      </c>
      <c r="I1390" s="34">
        <f t="shared" si="63"/>
        <v>7</v>
      </c>
      <c r="J1390" s="34">
        <v>35</v>
      </c>
      <c r="K1390" s="36">
        <v>900</v>
      </c>
      <c r="L1390" s="34" t="s">
        <v>17</v>
      </c>
      <c r="M1390" s="57">
        <v>35823</v>
      </c>
      <c r="N1390" s="37">
        <f>(YEAR(TablaMadre[[#This Row],[ALTA]])-YEAR(M1390))</f>
        <v>24</v>
      </c>
      <c r="O1390" s="34" t="s">
        <v>18</v>
      </c>
      <c r="P1390" s="34" t="s">
        <v>19</v>
      </c>
      <c r="Q1390" s="34" t="s">
        <v>620</v>
      </c>
      <c r="R1390" s="34" t="s">
        <v>21</v>
      </c>
      <c r="S1390" s="34" t="s">
        <v>297</v>
      </c>
      <c r="T1390" s="34"/>
      <c r="U1390" s="34"/>
      <c r="V1390" s="34" t="s">
        <v>56</v>
      </c>
      <c r="W1390" s="34" t="s">
        <v>28</v>
      </c>
      <c r="X1390" s="38" t="s">
        <v>173</v>
      </c>
      <c r="Y1390" s="62"/>
      <c r="Z1390" s="38" t="e">
        <f t="shared" si="64"/>
        <v>#NUM!</v>
      </c>
      <c r="AA1390" s="38"/>
      <c r="AB1390" s="34">
        <v>9</v>
      </c>
      <c r="AC1390" s="34" t="s">
        <v>610</v>
      </c>
      <c r="AD1390" s="38"/>
      <c r="AE1390" s="59" t="str">
        <f t="shared" si="65"/>
        <v>NO</v>
      </c>
      <c r="AF1390" s="38" t="e" cm="1">
        <f t="array" aca="1" ref="AF1390" ca="1">MIN(100, MAX(0, (IF(R1390="ESTUDIANTE", 31, 0)) + (IF(I1390&lt;=3, 30, IF(I1390&lt;=6, 20, 0))) +(IF(OR(E1390="413 - Control de Costes y Enlace Construcción", E1390="480 - Secretaría General del Consejo", E1390="132 - Civil y estructuras", E1390="136 - Mecánica", E1390="412 - Planificación", E1390="142 - Compras"), 25, 0)) +(IF(OR(S1390="GRADO ING. MECÁNICA", S1390="GRADO ING. ELÉCTRICA", S1390="GRADO DERECHO", S1390="GRADO ECONOMÍA", S1390="GRADO ING. TECNOLOGÍAS INDUSTRIALES"), 24, 0)) + (IF(AND(K1390&gt;=451, K1390&lt;=700), 23, 0)) + (IF(AND(AB1390&gt;=5, AB1390&lt;=8), 17, 0)) +(IF(_xludf.OR(_xludf.AND(AC1390&gt;=8, AC1390&lt;=10), _xludf.AND(AC1390&gt;=0, AC1390&lt;=5)), 16, 0)) + (IF(F1390="Madrid", 11, 0))))</f>
        <v>#NAME?</v>
      </c>
      <c r="AG1390" s="68"/>
      <c r="AH1390" s="71" t="s">
        <v>164</v>
      </c>
    </row>
    <row r="1391" spans="1:34" ht="14.4" x14ac:dyDescent="0.3">
      <c r="A1391" s="66" t="s">
        <v>2345</v>
      </c>
      <c r="B1391" s="66" t="s">
        <v>4462</v>
      </c>
      <c r="C1391" s="33">
        <v>1390</v>
      </c>
      <c r="D1391" s="33" t="s">
        <v>5395</v>
      </c>
      <c r="E1391" s="34" t="s">
        <v>5333</v>
      </c>
      <c r="F1391" s="34" t="s">
        <v>18</v>
      </c>
      <c r="G1391" s="57">
        <v>44805</v>
      </c>
      <c r="H1391" s="57">
        <v>44895</v>
      </c>
      <c r="I1391" s="34">
        <f t="shared" si="63"/>
        <v>2</v>
      </c>
      <c r="J1391" s="34">
        <v>35</v>
      </c>
      <c r="K1391" s="36">
        <v>800</v>
      </c>
      <c r="L1391" s="34" t="s">
        <v>29</v>
      </c>
      <c r="M1391" s="57">
        <v>35566</v>
      </c>
      <c r="N1391" s="37">
        <f>(YEAR(TablaMadre[[#This Row],[ALTA]])-YEAR(M1391))</f>
        <v>25</v>
      </c>
      <c r="O1391" s="34" t="s">
        <v>273</v>
      </c>
      <c r="P1391" s="34" t="s">
        <v>273</v>
      </c>
      <c r="Q1391" s="34" t="s">
        <v>580</v>
      </c>
      <c r="R1391" s="34" t="s">
        <v>21</v>
      </c>
      <c r="S1391" s="34" t="s">
        <v>291</v>
      </c>
      <c r="T1391" s="34"/>
      <c r="U1391" s="34"/>
      <c r="V1391" s="34" t="s">
        <v>74</v>
      </c>
      <c r="W1391" s="34" t="s">
        <v>181</v>
      </c>
      <c r="X1391" s="38" t="s">
        <v>164</v>
      </c>
      <c r="Y1391" s="62"/>
      <c r="Z1391" s="38" t="e">
        <f t="shared" si="64"/>
        <v>#NUM!</v>
      </c>
      <c r="AA1391" s="38"/>
      <c r="AB1391" s="34"/>
      <c r="AC1391" s="34"/>
      <c r="AD1391" s="38"/>
      <c r="AE1391" s="59" t="str">
        <f t="shared" si="65"/>
        <v>SÍ</v>
      </c>
      <c r="AF1391" s="38" t="e" cm="1">
        <f t="array" aca="1" ref="AF1391" ca="1">MIN(100, MAX(0, (IF(R1391="ESTUDIANTE", 31, 0)) + (IF(I1391&lt;=3, 30, IF(I1391&lt;=6, 20, 0))) +(IF(OR(E1391="413 - Control de Costes y Enlace Construcción", E1391="480 - Secretaría General del Consejo", E1391="132 - Civil y estructuras", E1391="136 - Mecánica", E1391="412 - Planificación", E1391="142 - Compras"), 25, 0)) +(IF(OR(S1391="GRADO ING. MECÁNICA", S1391="GRADO ING. ELÉCTRICA", S1391="GRADO DERECHO", S1391="GRADO ECONOMÍA", S1391="GRADO ING. TECNOLOGÍAS INDUSTRIALES"), 24, 0)) + (IF(AND(K1391&gt;=451, K1391&lt;=700), 23, 0)) + (IF(AND(AB1391&gt;=5, AB1391&lt;=8), 17, 0)) +(IF(_xludf.OR(_xludf.AND(AC1391&gt;=8, AC1391&lt;=10), _xludf.AND(AC1391&gt;=0, AC1391&lt;=5)), 16, 0)) + (IF(F1391="Madrid", 11, 0))))</f>
        <v>#NAME?</v>
      </c>
      <c r="AG1391" s="68"/>
      <c r="AH1391" s="71" t="s">
        <v>164</v>
      </c>
    </row>
    <row r="1392" spans="1:34" ht="14.4" x14ac:dyDescent="0.3">
      <c r="A1392" s="66" t="s">
        <v>2346</v>
      </c>
      <c r="B1392" s="66" t="s">
        <v>4463</v>
      </c>
      <c r="C1392" s="33">
        <v>1391</v>
      </c>
      <c r="D1392" s="33" t="s">
        <v>5396</v>
      </c>
      <c r="E1392" s="34" t="s">
        <v>5310</v>
      </c>
      <c r="F1392" s="34" t="s">
        <v>931</v>
      </c>
      <c r="G1392" s="57">
        <v>44805</v>
      </c>
      <c r="H1392" s="57">
        <v>44985</v>
      </c>
      <c r="I1392" s="34">
        <f t="shared" si="63"/>
        <v>5</v>
      </c>
      <c r="J1392" s="34">
        <v>35</v>
      </c>
      <c r="K1392" s="36">
        <v>825</v>
      </c>
      <c r="L1392" s="34" t="s">
        <v>29</v>
      </c>
      <c r="M1392" s="57">
        <v>36517</v>
      </c>
      <c r="N1392" s="37">
        <f>(YEAR(TablaMadre[[#This Row],[ALTA]])-YEAR(M1392))</f>
        <v>23</v>
      </c>
      <c r="O1392" s="34" t="s">
        <v>18</v>
      </c>
      <c r="P1392" s="34" t="s">
        <v>19</v>
      </c>
      <c r="Q1392" s="34" t="s">
        <v>402</v>
      </c>
      <c r="R1392" s="34" t="s">
        <v>21</v>
      </c>
      <c r="S1392" s="34" t="s">
        <v>402</v>
      </c>
      <c r="T1392" s="34"/>
      <c r="U1392" s="34"/>
      <c r="V1392" s="34" t="s">
        <v>90</v>
      </c>
      <c r="W1392" s="34" t="s">
        <v>23</v>
      </c>
      <c r="X1392" s="38" t="s">
        <v>164</v>
      </c>
      <c r="Y1392" s="62"/>
      <c r="Z1392" s="38" t="e">
        <f t="shared" si="64"/>
        <v>#NUM!</v>
      </c>
      <c r="AA1392" s="38"/>
      <c r="AB1392" s="34"/>
      <c r="AC1392" s="34"/>
      <c r="AD1392" s="38"/>
      <c r="AE1392" s="59" t="str">
        <f t="shared" si="65"/>
        <v>SÍ</v>
      </c>
      <c r="AF1392" s="38" t="e" cm="1">
        <f t="array" aca="1" ref="AF1392" ca="1">MIN(100, MAX(0, (IF(R1392="ESTUDIANTE", 31, 0)) + (IF(I1392&lt;=3, 30, IF(I1392&lt;=6, 20, 0))) +(IF(OR(E1392="413 - Control de Costes y Enlace Construcción", E1392="480 - Secretaría General del Consejo", E1392="132 - Civil y estructuras", E1392="136 - Mecánica", E1392="412 - Planificación", E1392="142 - Compras"), 25, 0)) +(IF(OR(S1392="GRADO ING. MECÁNICA", S1392="GRADO ING. ELÉCTRICA", S1392="GRADO DERECHO", S1392="GRADO ECONOMÍA", S1392="GRADO ING. TECNOLOGÍAS INDUSTRIALES"), 24, 0)) + (IF(AND(K1392&gt;=451, K1392&lt;=700), 23, 0)) + (IF(AND(AB1392&gt;=5, AB1392&lt;=8), 17, 0)) +(IF(_xludf.OR(_xludf.AND(AC1392&gt;=8, AC1392&lt;=10), _xludf.AND(AC1392&gt;=0, AC1392&lt;=5)), 16, 0)) + (IF(F1392="Madrid", 11, 0))))</f>
        <v>#NAME?</v>
      </c>
      <c r="AG1392" s="68"/>
      <c r="AH1392" s="71" t="s">
        <v>164</v>
      </c>
    </row>
    <row r="1393" spans="1:34" ht="14.4" x14ac:dyDescent="0.3">
      <c r="A1393" s="66" t="s">
        <v>2371</v>
      </c>
      <c r="B1393" s="66" t="s">
        <v>4488</v>
      </c>
      <c r="C1393" s="33">
        <v>1392</v>
      </c>
      <c r="D1393" s="33" t="s">
        <v>5397</v>
      </c>
      <c r="E1393" s="34" t="s">
        <v>5324</v>
      </c>
      <c r="F1393" s="34" t="s">
        <v>18</v>
      </c>
      <c r="G1393" s="57">
        <v>44805</v>
      </c>
      <c r="H1393" s="57">
        <v>44985</v>
      </c>
      <c r="I1393" s="34">
        <f t="shared" si="63"/>
        <v>5</v>
      </c>
      <c r="J1393" s="34">
        <v>35</v>
      </c>
      <c r="K1393" s="36">
        <v>825</v>
      </c>
      <c r="L1393" s="34" t="s">
        <v>29</v>
      </c>
      <c r="M1393" s="57">
        <v>35742</v>
      </c>
      <c r="N1393" s="37">
        <f>(YEAR(TablaMadre[[#This Row],[ALTA]])-YEAR(M1393))</f>
        <v>25</v>
      </c>
      <c r="O1393" s="34" t="s">
        <v>18</v>
      </c>
      <c r="P1393" s="34" t="s">
        <v>19</v>
      </c>
      <c r="Q1393" s="34" t="s">
        <v>428</v>
      </c>
      <c r="R1393" s="34" t="s">
        <v>21</v>
      </c>
      <c r="S1393" s="34" t="s">
        <v>297</v>
      </c>
      <c r="T1393" s="34"/>
      <c r="U1393" s="34"/>
      <c r="V1393" s="34" t="s">
        <v>56</v>
      </c>
      <c r="W1393" s="34" t="s">
        <v>28</v>
      </c>
      <c r="X1393" s="38" t="s">
        <v>173</v>
      </c>
      <c r="Y1393" s="62"/>
      <c r="Z1393" s="38" t="e">
        <f t="shared" si="64"/>
        <v>#NUM!</v>
      </c>
      <c r="AA1393" s="38"/>
      <c r="AB1393" s="34"/>
      <c r="AC1393" s="34"/>
      <c r="AD1393" s="38"/>
      <c r="AE1393" s="59" t="str">
        <f t="shared" si="65"/>
        <v>NO</v>
      </c>
      <c r="AF1393" s="38" t="e" cm="1">
        <f t="array" aca="1" ref="AF1393" ca="1">MIN(100, MAX(0, (IF(R1393="ESTUDIANTE", 31, 0)) + (IF(I1393&lt;=3, 30, IF(I1393&lt;=6, 20, 0))) +(IF(OR(E1393="413 - Control de Costes y Enlace Construcción", E1393="480 - Secretaría General del Consejo", E1393="132 - Civil y estructuras", E1393="136 - Mecánica", E1393="412 - Planificación", E1393="142 - Compras"), 25, 0)) +(IF(OR(S1393="GRADO ING. MECÁNICA", S1393="GRADO ING. ELÉCTRICA", S1393="GRADO DERECHO", S1393="GRADO ECONOMÍA", S1393="GRADO ING. TECNOLOGÍAS INDUSTRIALES"), 24, 0)) + (IF(AND(K1393&gt;=451, K1393&lt;=700), 23, 0)) + (IF(AND(AB1393&gt;=5, AB1393&lt;=8), 17, 0)) +(IF(_xludf.OR(_xludf.AND(AC1393&gt;=8, AC1393&lt;=10), _xludf.AND(AC1393&gt;=0, AC1393&lt;=5)), 16, 0)) + (IF(F1393="Madrid", 11, 0))))</f>
        <v>#NAME?</v>
      </c>
      <c r="AG1393" s="68"/>
      <c r="AH1393" s="71" t="s">
        <v>164</v>
      </c>
    </row>
    <row r="1394" spans="1:34" ht="14.4" x14ac:dyDescent="0.3">
      <c r="A1394" s="66" t="s">
        <v>2372</v>
      </c>
      <c r="B1394" s="66" t="s">
        <v>4489</v>
      </c>
      <c r="C1394" s="33">
        <v>1393</v>
      </c>
      <c r="D1394" s="33" t="s">
        <v>5398</v>
      </c>
      <c r="E1394" s="34" t="s">
        <v>5273</v>
      </c>
      <c r="F1394" s="34" t="s">
        <v>18</v>
      </c>
      <c r="G1394" s="57">
        <v>44809</v>
      </c>
      <c r="H1394" s="57">
        <v>44989</v>
      </c>
      <c r="I1394" s="34">
        <f t="shared" si="63"/>
        <v>5</v>
      </c>
      <c r="J1394" s="34">
        <v>35</v>
      </c>
      <c r="K1394" s="36">
        <v>700</v>
      </c>
      <c r="L1394" s="34" t="s">
        <v>17</v>
      </c>
      <c r="M1394" s="57">
        <v>35452</v>
      </c>
      <c r="N1394" s="37">
        <f>(YEAR(TablaMadre[[#This Row],[ALTA]])-YEAR(M1394))</f>
        <v>25</v>
      </c>
      <c r="O1394" s="34" t="s">
        <v>18</v>
      </c>
      <c r="P1394" s="34" t="s">
        <v>19</v>
      </c>
      <c r="Q1394" s="34" t="s">
        <v>151</v>
      </c>
      <c r="R1394" s="58" t="s">
        <v>30</v>
      </c>
      <c r="S1394" s="34" t="s">
        <v>151</v>
      </c>
      <c r="T1394" s="34"/>
      <c r="U1394" s="34"/>
      <c r="V1394" s="34" t="s">
        <v>22</v>
      </c>
      <c r="W1394" s="34" t="s">
        <v>28</v>
      </c>
      <c r="X1394" s="38" t="s">
        <v>164</v>
      </c>
      <c r="Y1394" s="62">
        <v>45017</v>
      </c>
      <c r="Z1394" s="38">
        <f t="shared" si="64"/>
        <v>0</v>
      </c>
      <c r="AA1394" s="38"/>
      <c r="AB1394" s="34">
        <v>6</v>
      </c>
      <c r="AC1394" s="34">
        <v>6</v>
      </c>
      <c r="AD1394" s="38"/>
      <c r="AE1394" s="59" t="str">
        <f t="shared" si="65"/>
        <v>NO</v>
      </c>
      <c r="AF1394" s="38" t="e" cm="1">
        <f t="array" aca="1" ref="AF1394" ca="1">MIN(100, MAX(0, (IF(R1394="ESTUDIANTE", 31, 0)) + (IF(I1394&lt;=3, 30, IF(I1394&lt;=6, 20, 0))) +(IF(OR(E1394="413 - Control de Costes y Enlace Construcción", E1394="480 - Secretaría General del Consejo", E1394="132 - Civil y estructuras", E1394="136 - Mecánica", E1394="412 - Planificación", E1394="142 - Compras"), 25, 0)) +(IF(OR(S1394="GRADO ING. MECÁNICA", S1394="GRADO ING. ELÉCTRICA", S1394="GRADO DERECHO", S1394="GRADO ECONOMÍA", S1394="GRADO ING. TECNOLOGÍAS INDUSTRIALES"), 24, 0)) + (IF(AND(K1394&gt;=451, K1394&lt;=700), 23, 0)) + (IF(AND(AB1394&gt;=5, AB1394&lt;=8), 17, 0)) +(IF(_xludf.OR(_xludf.AND(AC1394&gt;=8, AC1394&lt;=10), _xludf.AND(AC1394&gt;=0, AC1394&lt;=5)), 16, 0)) + (IF(F1394="Madrid", 11, 0))))</f>
        <v>#NAME?</v>
      </c>
      <c r="AG1394" s="68"/>
      <c r="AH1394" s="71" t="s">
        <v>164</v>
      </c>
    </row>
    <row r="1395" spans="1:34" ht="14.4" x14ac:dyDescent="0.3">
      <c r="A1395" s="66" t="s">
        <v>2373</v>
      </c>
      <c r="B1395" s="66" t="s">
        <v>4490</v>
      </c>
      <c r="C1395" s="33">
        <v>1394</v>
      </c>
      <c r="D1395" s="33" t="s">
        <v>5399</v>
      </c>
      <c r="E1395" s="34" t="s">
        <v>5285</v>
      </c>
      <c r="F1395" s="34" t="s">
        <v>18</v>
      </c>
      <c r="G1395" s="57">
        <v>44809</v>
      </c>
      <c r="H1395" s="57">
        <v>44989</v>
      </c>
      <c r="I1395" s="34">
        <f t="shared" si="63"/>
        <v>5</v>
      </c>
      <c r="J1395" s="34">
        <v>35</v>
      </c>
      <c r="K1395" s="36">
        <v>825</v>
      </c>
      <c r="L1395" s="34" t="s">
        <v>17</v>
      </c>
      <c r="M1395" s="57">
        <v>35516</v>
      </c>
      <c r="N1395" s="37">
        <f>(YEAR(TablaMadre[[#This Row],[ALTA]])-YEAR(M1395))</f>
        <v>25</v>
      </c>
      <c r="O1395" s="34" t="s">
        <v>18</v>
      </c>
      <c r="P1395" s="34" t="s">
        <v>19</v>
      </c>
      <c r="Q1395" s="34" t="s">
        <v>595</v>
      </c>
      <c r="R1395" s="34" t="s">
        <v>21</v>
      </c>
      <c r="S1395" s="34" t="s">
        <v>322</v>
      </c>
      <c r="T1395" s="34"/>
      <c r="U1395" s="34"/>
      <c r="V1395" s="34" t="s">
        <v>22</v>
      </c>
      <c r="W1395" s="34" t="s">
        <v>28</v>
      </c>
      <c r="X1395" s="38" t="s">
        <v>173</v>
      </c>
      <c r="Y1395" s="62"/>
      <c r="Z1395" s="38" t="e">
        <f t="shared" si="64"/>
        <v>#NUM!</v>
      </c>
      <c r="AA1395" s="38"/>
      <c r="AB1395" s="34"/>
      <c r="AC1395" s="34"/>
      <c r="AD1395" s="38"/>
      <c r="AE1395" s="59" t="str">
        <f t="shared" si="65"/>
        <v>NO</v>
      </c>
      <c r="AF1395" s="38" t="e" cm="1">
        <f t="array" aca="1" ref="AF1395" ca="1">MIN(100, MAX(0, (IF(R1395="ESTUDIANTE", 31, 0)) + (IF(I1395&lt;=3, 30, IF(I1395&lt;=6, 20, 0))) +(IF(OR(E1395="413 - Control de Costes y Enlace Construcción", E1395="480 - Secretaría General del Consejo", E1395="132 - Civil y estructuras", E1395="136 - Mecánica", E1395="412 - Planificación", E1395="142 - Compras"), 25, 0)) +(IF(OR(S1395="GRADO ING. MECÁNICA", S1395="GRADO ING. ELÉCTRICA", S1395="GRADO DERECHO", S1395="GRADO ECONOMÍA", S1395="GRADO ING. TECNOLOGÍAS INDUSTRIALES"), 24, 0)) + (IF(AND(K1395&gt;=451, K1395&lt;=700), 23, 0)) + (IF(AND(AB1395&gt;=5, AB1395&lt;=8), 17, 0)) +(IF(_xludf.OR(_xludf.AND(AC1395&gt;=8, AC1395&lt;=10), _xludf.AND(AC1395&gt;=0, AC1395&lt;=5)), 16, 0)) + (IF(F1395="Madrid", 11, 0))))</f>
        <v>#NAME?</v>
      </c>
      <c r="AG1395" s="68"/>
      <c r="AH1395" s="71" t="s">
        <v>164</v>
      </c>
    </row>
    <row r="1396" spans="1:34" ht="14.4" x14ac:dyDescent="0.3">
      <c r="A1396" s="66" t="s">
        <v>2374</v>
      </c>
      <c r="B1396" s="66" t="s">
        <v>4491</v>
      </c>
      <c r="C1396" s="33">
        <v>1395</v>
      </c>
      <c r="D1396" s="33" t="s">
        <v>5400</v>
      </c>
      <c r="E1396" s="34" t="s">
        <v>5285</v>
      </c>
      <c r="F1396" s="34" t="s">
        <v>18</v>
      </c>
      <c r="G1396" s="57">
        <v>44809</v>
      </c>
      <c r="H1396" s="57">
        <v>44989</v>
      </c>
      <c r="I1396" s="34">
        <f t="shared" si="63"/>
        <v>5</v>
      </c>
      <c r="J1396" s="34">
        <v>35</v>
      </c>
      <c r="K1396" s="36">
        <v>800</v>
      </c>
      <c r="L1396" s="34" t="s">
        <v>17</v>
      </c>
      <c r="M1396" s="57">
        <v>27007</v>
      </c>
      <c r="N1396" s="37">
        <f>(YEAR(TablaMadre[[#This Row],[ALTA]])-YEAR(M1396))</f>
        <v>49</v>
      </c>
      <c r="O1396" s="34" t="s">
        <v>511</v>
      </c>
      <c r="P1396" s="34" t="s">
        <v>19</v>
      </c>
      <c r="Q1396" s="34" t="s">
        <v>606</v>
      </c>
      <c r="R1396" s="34" t="s">
        <v>21</v>
      </c>
      <c r="S1396" s="34" t="s">
        <v>607</v>
      </c>
      <c r="T1396" s="34"/>
      <c r="U1396" s="34"/>
      <c r="V1396" s="34" t="s">
        <v>56</v>
      </c>
      <c r="W1396" s="34" t="s">
        <v>127</v>
      </c>
      <c r="X1396" s="38" t="s">
        <v>173</v>
      </c>
      <c r="Y1396" s="62"/>
      <c r="Z1396" s="38" t="e">
        <f t="shared" si="64"/>
        <v>#NUM!</v>
      </c>
      <c r="AA1396" s="38"/>
      <c r="AB1396" s="34"/>
      <c r="AC1396" s="34"/>
      <c r="AD1396" s="38"/>
      <c r="AE1396" s="59" t="str">
        <f t="shared" si="65"/>
        <v>SÍ</v>
      </c>
      <c r="AF1396" s="38" t="e" cm="1">
        <f t="array" aca="1" ref="AF1396" ca="1">MIN(100, MAX(0, (IF(R1396="ESTUDIANTE", 31, 0)) + (IF(I1396&lt;=3, 30, IF(I1396&lt;=6, 20, 0))) +(IF(OR(E1396="413 - Control de Costes y Enlace Construcción", E1396="480 - Secretaría General del Consejo", E1396="132 - Civil y estructuras", E1396="136 - Mecánica", E1396="412 - Planificación", E1396="142 - Compras"), 25, 0)) +(IF(OR(S1396="GRADO ING. MECÁNICA", S1396="GRADO ING. ELÉCTRICA", S1396="GRADO DERECHO", S1396="GRADO ECONOMÍA", S1396="GRADO ING. TECNOLOGÍAS INDUSTRIALES"), 24, 0)) + (IF(AND(K1396&gt;=451, K1396&lt;=700), 23, 0)) + (IF(AND(AB1396&gt;=5, AB1396&lt;=8), 17, 0)) +(IF(_xludf.OR(_xludf.AND(AC1396&gt;=8, AC1396&lt;=10), _xludf.AND(AC1396&gt;=0, AC1396&lt;=5)), 16, 0)) + (IF(F1396="Madrid", 11, 0))))</f>
        <v>#NAME?</v>
      </c>
      <c r="AG1396" s="68"/>
      <c r="AH1396" s="71" t="s">
        <v>164</v>
      </c>
    </row>
    <row r="1397" spans="1:34" ht="14.4" x14ac:dyDescent="0.3">
      <c r="A1397" s="66" t="s">
        <v>2375</v>
      </c>
      <c r="B1397" s="66" t="s">
        <v>4492</v>
      </c>
      <c r="C1397" s="33">
        <v>1396</v>
      </c>
      <c r="D1397" s="33" t="s">
        <v>5401</v>
      </c>
      <c r="E1397" s="34" t="s">
        <v>5338</v>
      </c>
      <c r="F1397" s="34" t="s">
        <v>18</v>
      </c>
      <c r="G1397" s="57">
        <v>44809</v>
      </c>
      <c r="H1397" s="57">
        <v>44989</v>
      </c>
      <c r="I1397" s="34">
        <f t="shared" si="63"/>
        <v>5</v>
      </c>
      <c r="J1397" s="34">
        <v>35</v>
      </c>
      <c r="K1397" s="36">
        <v>800</v>
      </c>
      <c r="L1397" s="34" t="s">
        <v>29</v>
      </c>
      <c r="M1397" s="57">
        <v>36193</v>
      </c>
      <c r="N1397" s="37">
        <f>(YEAR(TablaMadre[[#This Row],[ALTA]])-YEAR(M1397))</f>
        <v>23</v>
      </c>
      <c r="O1397" s="34" t="s">
        <v>18</v>
      </c>
      <c r="P1397" s="34" t="s">
        <v>19</v>
      </c>
      <c r="Q1397" s="34" t="s">
        <v>608</v>
      </c>
      <c r="R1397" s="34" t="s">
        <v>21</v>
      </c>
      <c r="S1397" s="34" t="s">
        <v>609</v>
      </c>
      <c r="T1397" s="34"/>
      <c r="U1397" s="34"/>
      <c r="V1397" s="34" t="s">
        <v>56</v>
      </c>
      <c r="W1397" s="34" t="s">
        <v>28</v>
      </c>
      <c r="X1397" s="38" t="s">
        <v>173</v>
      </c>
      <c r="Y1397" s="62"/>
      <c r="Z1397" s="38" t="e">
        <f t="shared" si="64"/>
        <v>#NUM!</v>
      </c>
      <c r="AA1397" s="38"/>
      <c r="AB1397" s="34"/>
      <c r="AC1397" s="34"/>
      <c r="AD1397" s="38"/>
      <c r="AE1397" s="59" t="str">
        <f t="shared" si="65"/>
        <v>NO</v>
      </c>
      <c r="AF1397" s="38" t="e" cm="1">
        <f t="array" aca="1" ref="AF1397" ca="1">MIN(100, MAX(0, (IF(R1397="ESTUDIANTE", 31, 0)) + (IF(I1397&lt;=3, 30, IF(I1397&lt;=6, 20, 0))) +(IF(OR(E1397="413 - Control de Costes y Enlace Construcción", E1397="480 - Secretaría General del Consejo", E1397="132 - Civil y estructuras", E1397="136 - Mecánica", E1397="412 - Planificación", E1397="142 - Compras"), 25, 0)) +(IF(OR(S1397="GRADO ING. MECÁNICA", S1397="GRADO ING. ELÉCTRICA", S1397="GRADO DERECHO", S1397="GRADO ECONOMÍA", S1397="GRADO ING. TECNOLOGÍAS INDUSTRIALES"), 24, 0)) + (IF(AND(K1397&gt;=451, K1397&lt;=700), 23, 0)) + (IF(AND(AB1397&gt;=5, AB1397&lt;=8), 17, 0)) +(IF(_xludf.OR(_xludf.AND(AC1397&gt;=8, AC1397&lt;=10), _xludf.AND(AC1397&gt;=0, AC1397&lt;=5)), 16, 0)) + (IF(F1397="Madrid", 11, 0))))</f>
        <v>#NAME?</v>
      </c>
      <c r="AG1397" s="68"/>
      <c r="AH1397" s="71" t="s">
        <v>164</v>
      </c>
    </row>
    <row r="1398" spans="1:34" ht="14.4" x14ac:dyDescent="0.3">
      <c r="A1398" s="66" t="s">
        <v>2376</v>
      </c>
      <c r="B1398" s="66" t="s">
        <v>4493</v>
      </c>
      <c r="C1398" s="33">
        <v>1397</v>
      </c>
      <c r="D1398" s="33" t="s">
        <v>5402</v>
      </c>
      <c r="E1398" s="34" t="s">
        <v>5272</v>
      </c>
      <c r="F1398" s="34" t="s">
        <v>411</v>
      </c>
      <c r="G1398" s="57">
        <v>44809</v>
      </c>
      <c r="H1398" s="57">
        <v>45112</v>
      </c>
      <c r="I1398" s="34">
        <f t="shared" si="63"/>
        <v>10</v>
      </c>
      <c r="J1398" s="34">
        <v>35</v>
      </c>
      <c r="K1398" s="36">
        <v>825</v>
      </c>
      <c r="L1398" s="34" t="s">
        <v>17</v>
      </c>
      <c r="M1398" s="35">
        <v>36429</v>
      </c>
      <c r="N1398" s="37">
        <f>(YEAR(TablaMadre[[#This Row],[ALTA]])-YEAR(M1398))</f>
        <v>23</v>
      </c>
      <c r="O1398" s="34" t="s">
        <v>411</v>
      </c>
      <c r="P1398" s="34" t="s">
        <v>19</v>
      </c>
      <c r="Q1398" s="34" t="s">
        <v>515</v>
      </c>
      <c r="R1398" s="34" t="s">
        <v>21</v>
      </c>
      <c r="S1398" s="34" t="s">
        <v>297</v>
      </c>
      <c r="T1398" s="34"/>
      <c r="U1398" s="34"/>
      <c r="V1398" s="34" t="s">
        <v>142</v>
      </c>
      <c r="W1398" s="34" t="s">
        <v>28</v>
      </c>
      <c r="X1398" s="38" t="s">
        <v>173</v>
      </c>
      <c r="Y1398" s="62"/>
      <c r="Z1398" s="38" t="e">
        <f t="shared" si="64"/>
        <v>#NUM!</v>
      </c>
      <c r="AA1398" s="38"/>
      <c r="AB1398" s="34">
        <v>10</v>
      </c>
      <c r="AC1398" s="34">
        <v>8</v>
      </c>
      <c r="AD1398" s="38"/>
      <c r="AE1398" s="59" t="str">
        <f t="shared" si="65"/>
        <v>NO</v>
      </c>
      <c r="AF1398" s="38" t="e" cm="1">
        <f t="array" aca="1" ref="AF1398" ca="1">MIN(100, MAX(0, (IF(R1398="ESTUDIANTE", 31, 0)) + (IF(I1398&lt;=3, 30, IF(I1398&lt;=6, 20, 0))) +(IF(OR(E1398="413 - Control de Costes y Enlace Construcción", E1398="480 - Secretaría General del Consejo", E1398="132 - Civil y estructuras", E1398="136 - Mecánica", E1398="412 - Planificación", E1398="142 - Compras"), 25, 0)) +(IF(OR(S1398="GRADO ING. MECÁNICA", S1398="GRADO ING. ELÉCTRICA", S1398="GRADO DERECHO", S1398="GRADO ECONOMÍA", S1398="GRADO ING. TECNOLOGÍAS INDUSTRIALES"), 24, 0)) + (IF(AND(K1398&gt;=451, K1398&lt;=700), 23, 0)) + (IF(AND(AB1398&gt;=5, AB1398&lt;=8), 17, 0)) +(IF(_xludf.OR(_xludf.AND(AC1398&gt;=8, AC1398&lt;=10), _xludf.AND(AC1398&gt;=0, AC1398&lt;=5)), 16, 0)) + (IF(F1398="Madrid", 11, 0))))</f>
        <v>#NAME?</v>
      </c>
      <c r="AG1398" s="68"/>
      <c r="AH1398" s="71" t="s">
        <v>164</v>
      </c>
    </row>
    <row r="1399" spans="1:34" ht="14.4" x14ac:dyDescent="0.3">
      <c r="A1399" s="66" t="s">
        <v>2377</v>
      </c>
      <c r="B1399" s="66" t="s">
        <v>4494</v>
      </c>
      <c r="C1399" s="33">
        <v>1398</v>
      </c>
      <c r="D1399" s="33" t="s">
        <v>5393</v>
      </c>
      <c r="E1399" s="34" t="s">
        <v>5272</v>
      </c>
      <c r="F1399" s="34" t="s">
        <v>411</v>
      </c>
      <c r="G1399" s="57">
        <v>44809</v>
      </c>
      <c r="H1399" s="57">
        <v>45112</v>
      </c>
      <c r="I1399" s="34">
        <f t="shared" si="63"/>
        <v>10</v>
      </c>
      <c r="J1399" s="34">
        <v>35</v>
      </c>
      <c r="K1399" s="36">
        <v>825</v>
      </c>
      <c r="L1399" s="34" t="s">
        <v>29</v>
      </c>
      <c r="M1399" s="35">
        <v>35694</v>
      </c>
      <c r="N1399" s="37">
        <f>(YEAR(TablaMadre[[#This Row],[ALTA]])-YEAR(M1399))</f>
        <v>25</v>
      </c>
      <c r="O1399" s="34" t="s">
        <v>411</v>
      </c>
      <c r="P1399" s="34" t="s">
        <v>19</v>
      </c>
      <c r="Q1399" s="34" t="s">
        <v>515</v>
      </c>
      <c r="R1399" s="34" t="s">
        <v>21</v>
      </c>
      <c r="S1399" s="34" t="s">
        <v>297</v>
      </c>
      <c r="T1399" s="34"/>
      <c r="U1399" s="34"/>
      <c r="V1399" s="34" t="s">
        <v>142</v>
      </c>
      <c r="W1399" s="34" t="s">
        <v>28</v>
      </c>
      <c r="X1399" s="38" t="s">
        <v>173</v>
      </c>
      <c r="Y1399" s="62"/>
      <c r="Z1399" s="38" t="e">
        <f t="shared" si="64"/>
        <v>#NUM!</v>
      </c>
      <c r="AA1399" s="38"/>
      <c r="AB1399" s="34">
        <v>10</v>
      </c>
      <c r="AC1399" s="34">
        <v>8</v>
      </c>
      <c r="AD1399" s="38"/>
      <c r="AE1399" s="59" t="str">
        <f t="shared" si="65"/>
        <v>NO</v>
      </c>
      <c r="AF1399" s="38" t="e" cm="1">
        <f t="array" aca="1" ref="AF1399" ca="1">MIN(100, MAX(0, (IF(R1399="ESTUDIANTE", 31, 0)) + (IF(I1399&lt;=3, 30, IF(I1399&lt;=6, 20, 0))) +(IF(OR(E1399="413 - Control de Costes y Enlace Construcción", E1399="480 - Secretaría General del Consejo", E1399="132 - Civil y estructuras", E1399="136 - Mecánica", E1399="412 - Planificación", E1399="142 - Compras"), 25, 0)) +(IF(OR(S1399="GRADO ING. MECÁNICA", S1399="GRADO ING. ELÉCTRICA", S1399="GRADO DERECHO", S1399="GRADO ECONOMÍA", S1399="GRADO ING. TECNOLOGÍAS INDUSTRIALES"), 24, 0)) + (IF(AND(K1399&gt;=451, K1399&lt;=700), 23, 0)) + (IF(AND(AB1399&gt;=5, AB1399&lt;=8), 17, 0)) +(IF(_xludf.OR(_xludf.AND(AC1399&gt;=8, AC1399&lt;=10), _xludf.AND(AC1399&gt;=0, AC1399&lt;=5)), 16, 0)) + (IF(F1399="Madrid", 11, 0))))</f>
        <v>#NAME?</v>
      </c>
      <c r="AG1399" s="68"/>
      <c r="AH1399" s="71" t="s">
        <v>164</v>
      </c>
    </row>
    <row r="1400" spans="1:34" ht="14.4" x14ac:dyDescent="0.3">
      <c r="A1400" s="66" t="s">
        <v>2344</v>
      </c>
      <c r="B1400" s="66" t="s">
        <v>4461</v>
      </c>
      <c r="C1400" s="33">
        <v>1399</v>
      </c>
      <c r="D1400" s="33" t="s">
        <v>5394</v>
      </c>
      <c r="E1400" s="34" t="s">
        <v>5285</v>
      </c>
      <c r="F1400" s="34" t="s">
        <v>18</v>
      </c>
      <c r="G1400" s="57">
        <v>44816</v>
      </c>
      <c r="H1400" s="57">
        <v>44876</v>
      </c>
      <c r="I1400" s="34">
        <f t="shared" si="63"/>
        <v>1</v>
      </c>
      <c r="J1400" s="34">
        <v>35</v>
      </c>
      <c r="K1400" s="36">
        <v>825</v>
      </c>
      <c r="L1400" s="34" t="s">
        <v>29</v>
      </c>
      <c r="M1400" s="57">
        <v>34066</v>
      </c>
      <c r="N1400" s="37">
        <f>(YEAR(TablaMadre[[#This Row],[ALTA]])-YEAR(M1400))</f>
        <v>29</v>
      </c>
      <c r="O1400" s="34" t="s">
        <v>302</v>
      </c>
      <c r="P1400" s="34" t="s">
        <v>19</v>
      </c>
      <c r="Q1400" s="34" t="s">
        <v>518</v>
      </c>
      <c r="R1400" s="34" t="s">
        <v>21</v>
      </c>
      <c r="S1400" s="34" t="s">
        <v>151</v>
      </c>
      <c r="T1400" s="34"/>
      <c r="U1400" s="34"/>
      <c r="V1400" s="34" t="s">
        <v>22</v>
      </c>
      <c r="W1400" s="34" t="s">
        <v>181</v>
      </c>
      <c r="X1400" s="38" t="s">
        <v>164</v>
      </c>
      <c r="Y1400" s="62"/>
      <c r="Z1400" s="38" t="e">
        <f t="shared" si="64"/>
        <v>#NUM!</v>
      </c>
      <c r="AA1400" s="38"/>
      <c r="AB1400" s="34"/>
      <c r="AC1400" s="34"/>
      <c r="AD1400" s="38"/>
      <c r="AE1400" s="59" t="str">
        <f t="shared" si="65"/>
        <v>SÍ</v>
      </c>
      <c r="AF1400" s="38" t="e" cm="1">
        <f t="array" aca="1" ref="AF1400" ca="1">MIN(100, MAX(0, (IF(R1400="ESTUDIANTE", 31, 0)) + (IF(I1400&lt;=3, 30, IF(I1400&lt;=6, 20, 0))) +(IF(OR(E1400="413 - Control de Costes y Enlace Construcción", E1400="480 - Secretaría General del Consejo", E1400="132 - Civil y estructuras", E1400="136 - Mecánica", E1400="412 - Planificación", E1400="142 - Compras"), 25, 0)) +(IF(OR(S1400="GRADO ING. MECÁNICA", S1400="GRADO ING. ELÉCTRICA", S1400="GRADO DERECHO", S1400="GRADO ECONOMÍA", S1400="GRADO ING. TECNOLOGÍAS INDUSTRIALES"), 24, 0)) + (IF(AND(K1400&gt;=451, K1400&lt;=700), 23, 0)) + (IF(AND(AB1400&gt;=5, AB1400&lt;=8), 17, 0)) +(IF(_xludf.OR(_xludf.AND(AC1400&gt;=8, AC1400&lt;=10), _xludf.AND(AC1400&gt;=0, AC1400&lt;=5)), 16, 0)) + (IF(F1400="Madrid", 11, 0))))</f>
        <v>#NAME?</v>
      </c>
      <c r="AG1400" s="68"/>
      <c r="AH1400" s="71" t="s">
        <v>164</v>
      </c>
    </row>
    <row r="1401" spans="1:34" ht="14.4" x14ac:dyDescent="0.3">
      <c r="A1401" s="66" t="s">
        <v>2348</v>
      </c>
      <c r="B1401" s="66" t="s">
        <v>4465</v>
      </c>
      <c r="C1401" s="33">
        <v>1405</v>
      </c>
      <c r="D1401" s="33" t="s">
        <v>5403</v>
      </c>
      <c r="E1401" s="34" t="s">
        <v>5252</v>
      </c>
      <c r="F1401" s="34" t="s">
        <v>18</v>
      </c>
      <c r="G1401" s="57">
        <v>44816</v>
      </c>
      <c r="H1401" s="57">
        <v>45021</v>
      </c>
      <c r="I1401" s="34">
        <f t="shared" si="63"/>
        <v>6</v>
      </c>
      <c r="J1401" s="34">
        <v>35</v>
      </c>
      <c r="K1401" s="36">
        <v>825</v>
      </c>
      <c r="L1401" s="34" t="s">
        <v>17</v>
      </c>
      <c r="M1401" s="57">
        <v>35869</v>
      </c>
      <c r="N1401" s="37">
        <f>(YEAR(TablaMadre[[#This Row],[ALTA]])-YEAR(M1401))</f>
        <v>24</v>
      </c>
      <c r="O1401" s="34" t="s">
        <v>18</v>
      </c>
      <c r="P1401" s="34" t="s">
        <v>19</v>
      </c>
      <c r="Q1401" s="34" t="s">
        <v>136</v>
      </c>
      <c r="R1401" s="34" t="s">
        <v>21</v>
      </c>
      <c r="S1401" s="34" t="s">
        <v>136</v>
      </c>
      <c r="T1401" s="34"/>
      <c r="U1401" s="34"/>
      <c r="V1401" s="34" t="s">
        <v>114</v>
      </c>
      <c r="W1401" s="34" t="s">
        <v>47</v>
      </c>
      <c r="X1401" s="38" t="s">
        <v>164</v>
      </c>
      <c r="Y1401" s="62"/>
      <c r="Z1401" s="38" t="e">
        <f t="shared" si="64"/>
        <v>#NUM!</v>
      </c>
      <c r="AA1401" s="38"/>
      <c r="AB1401" s="34">
        <v>6</v>
      </c>
      <c r="AC1401" s="34">
        <v>5</v>
      </c>
      <c r="AD1401" s="38"/>
      <c r="AE1401" s="59" t="str">
        <f t="shared" si="65"/>
        <v>NO</v>
      </c>
      <c r="AF1401" s="38" t="e" cm="1">
        <f t="array" aca="1" ref="AF1401" ca="1">MIN(100, MAX(0, (IF(R1401="ESTUDIANTE", 31, 0)) + (IF(I1401&lt;=3, 30, IF(I1401&lt;=6, 20, 0))) +(IF(OR(E1401="413 - Control de Costes y Enlace Construcción", E1401="480 - Secretaría General del Consejo", E1401="132 - Civil y estructuras", E1401="136 - Mecánica", E1401="412 - Planificación", E1401="142 - Compras"), 25, 0)) +(IF(OR(S1401="GRADO ING. MECÁNICA", S1401="GRADO ING. ELÉCTRICA", S1401="GRADO DERECHO", S1401="GRADO ECONOMÍA", S1401="GRADO ING. TECNOLOGÍAS INDUSTRIALES"), 24, 0)) + (IF(AND(K1401&gt;=451, K1401&lt;=700), 23, 0)) + (IF(AND(AB1401&gt;=5, AB1401&lt;=8), 17, 0)) +(IF(_xludf.OR(_xludf.AND(AC1401&gt;=8, AC1401&lt;=10), _xludf.AND(AC1401&gt;=0, AC1401&lt;=5)), 16, 0)) + (IF(F1401="Madrid", 11, 0))))</f>
        <v>#NAME?</v>
      </c>
      <c r="AG1401" s="68"/>
      <c r="AH1401" s="71" t="s">
        <v>164</v>
      </c>
    </row>
    <row r="1402" spans="1:34" ht="14.4" x14ac:dyDescent="0.3">
      <c r="A1402" s="66" t="s">
        <v>2379</v>
      </c>
      <c r="B1402" s="66" t="s">
        <v>4496</v>
      </c>
      <c r="C1402" s="33">
        <v>1400</v>
      </c>
      <c r="D1402" s="33" t="s">
        <v>5404</v>
      </c>
      <c r="E1402" s="34" t="s">
        <v>5273</v>
      </c>
      <c r="F1402" s="34" t="s">
        <v>18</v>
      </c>
      <c r="G1402" s="57">
        <v>44816</v>
      </c>
      <c r="H1402" s="57">
        <v>44996</v>
      </c>
      <c r="I1402" s="34">
        <f t="shared" si="63"/>
        <v>5</v>
      </c>
      <c r="J1402" s="34">
        <v>35</v>
      </c>
      <c r="K1402" s="36">
        <v>825</v>
      </c>
      <c r="L1402" s="34" t="s">
        <v>17</v>
      </c>
      <c r="M1402" s="57">
        <v>34780</v>
      </c>
      <c r="N1402" s="37">
        <f>(YEAR(TablaMadre[[#This Row],[ALTA]])-YEAR(M1402))</f>
        <v>27</v>
      </c>
      <c r="O1402" s="34" t="s">
        <v>153</v>
      </c>
      <c r="P1402" s="34" t="s">
        <v>19</v>
      </c>
      <c r="Q1402" s="34" t="s">
        <v>518</v>
      </c>
      <c r="R1402" s="34" t="s">
        <v>21</v>
      </c>
      <c r="S1402" s="34" t="s">
        <v>151</v>
      </c>
      <c r="T1402" s="34"/>
      <c r="U1402" s="34"/>
      <c r="V1402" s="34" t="s">
        <v>90</v>
      </c>
      <c r="W1402" s="34" t="s">
        <v>28</v>
      </c>
      <c r="X1402" s="38" t="s">
        <v>164</v>
      </c>
      <c r="Y1402" s="62">
        <v>45398</v>
      </c>
      <c r="Z1402" s="38">
        <f t="shared" si="64"/>
        <v>1</v>
      </c>
      <c r="AA1402" s="38"/>
      <c r="AB1402" s="34">
        <v>9</v>
      </c>
      <c r="AC1402" s="34">
        <v>5</v>
      </c>
      <c r="AD1402" s="38"/>
      <c r="AE1402" s="59" t="str">
        <f t="shared" si="65"/>
        <v>SÍ</v>
      </c>
      <c r="AF1402" s="38" t="e" cm="1">
        <f t="array" aca="1" ref="AF1402" ca="1">MIN(100, MAX(0, (IF(R1402="ESTUDIANTE", 31, 0)) + (IF(I1402&lt;=3, 30, IF(I1402&lt;=6, 20, 0))) +(IF(OR(E1402="413 - Control de Costes y Enlace Construcción", E1402="480 - Secretaría General del Consejo", E1402="132 - Civil y estructuras", E1402="136 - Mecánica", E1402="412 - Planificación", E1402="142 - Compras"), 25, 0)) +(IF(OR(S1402="GRADO ING. MECÁNICA", S1402="GRADO ING. ELÉCTRICA", S1402="GRADO DERECHO", S1402="GRADO ECONOMÍA", S1402="GRADO ING. TECNOLOGÍAS INDUSTRIALES"), 24, 0)) + (IF(AND(K1402&gt;=451, K1402&lt;=700), 23, 0)) + (IF(AND(AB1402&gt;=5, AB1402&lt;=8), 17, 0)) +(IF(_xludf.OR(_xludf.AND(AC1402&gt;=8, AC1402&lt;=10), _xludf.AND(AC1402&gt;=0, AC1402&lt;=5)), 16, 0)) + (IF(F1402="Madrid", 11, 0))))</f>
        <v>#NAME?</v>
      </c>
      <c r="AG1402" s="68"/>
      <c r="AH1402" s="71" t="s">
        <v>164</v>
      </c>
    </row>
    <row r="1403" spans="1:34" ht="14.4" x14ac:dyDescent="0.3">
      <c r="A1403" s="66" t="s">
        <v>2380</v>
      </c>
      <c r="B1403" s="66" t="s">
        <v>4497</v>
      </c>
      <c r="C1403" s="33">
        <v>1401</v>
      </c>
      <c r="D1403" s="33" t="s">
        <v>5405</v>
      </c>
      <c r="E1403" s="34" t="s">
        <v>5324</v>
      </c>
      <c r="F1403" s="34" t="s">
        <v>18</v>
      </c>
      <c r="G1403" s="57">
        <v>44816</v>
      </c>
      <c r="H1403" s="57">
        <v>44996</v>
      </c>
      <c r="I1403" s="34">
        <f t="shared" si="63"/>
        <v>5</v>
      </c>
      <c r="J1403" s="34">
        <v>35</v>
      </c>
      <c r="K1403" s="36">
        <v>825</v>
      </c>
      <c r="L1403" s="34" t="s">
        <v>17</v>
      </c>
      <c r="M1403" s="57">
        <v>35643</v>
      </c>
      <c r="N1403" s="37">
        <f>(YEAR(TablaMadre[[#This Row],[ALTA]])-YEAR(M1403))</f>
        <v>25</v>
      </c>
      <c r="O1403" s="34" t="s">
        <v>18</v>
      </c>
      <c r="P1403" s="34" t="s">
        <v>19</v>
      </c>
      <c r="Q1403" s="34" t="s">
        <v>533</v>
      </c>
      <c r="R1403" s="34" t="s">
        <v>21</v>
      </c>
      <c r="S1403" s="34" t="s">
        <v>297</v>
      </c>
      <c r="T1403" s="34"/>
      <c r="U1403" s="34"/>
      <c r="V1403" s="34" t="s">
        <v>84</v>
      </c>
      <c r="W1403" s="34" t="s">
        <v>28</v>
      </c>
      <c r="X1403" s="38" t="s">
        <v>164</v>
      </c>
      <c r="Y1403" s="62">
        <v>45927</v>
      </c>
      <c r="Z1403" s="38">
        <f t="shared" si="64"/>
        <v>2</v>
      </c>
      <c r="AA1403" s="38"/>
      <c r="AB1403" s="34">
        <v>10</v>
      </c>
      <c r="AC1403" s="34">
        <v>9</v>
      </c>
      <c r="AD1403" s="38"/>
      <c r="AE1403" s="59" t="str">
        <f t="shared" si="65"/>
        <v>NO</v>
      </c>
      <c r="AF1403" s="38" t="e" cm="1">
        <f t="array" aca="1" ref="AF1403" ca="1">MIN(100, MAX(0, (IF(R1403="ESTUDIANTE", 31, 0)) + (IF(I1403&lt;=3, 30, IF(I1403&lt;=6, 20, 0))) +(IF(OR(E1403="413 - Control de Costes y Enlace Construcción", E1403="480 - Secretaría General del Consejo", E1403="132 - Civil y estructuras", E1403="136 - Mecánica", E1403="412 - Planificación", E1403="142 - Compras"), 25, 0)) +(IF(OR(S1403="GRADO ING. MECÁNICA", S1403="GRADO ING. ELÉCTRICA", S1403="GRADO DERECHO", S1403="GRADO ECONOMÍA", S1403="GRADO ING. TECNOLOGÍAS INDUSTRIALES"), 24, 0)) + (IF(AND(K1403&gt;=451, K1403&lt;=700), 23, 0)) + (IF(AND(AB1403&gt;=5, AB1403&lt;=8), 17, 0)) +(IF(_xludf.OR(_xludf.AND(AC1403&gt;=8, AC1403&lt;=10), _xludf.AND(AC1403&gt;=0, AC1403&lt;=5)), 16, 0)) + (IF(F1403="Madrid", 11, 0))))</f>
        <v>#NAME?</v>
      </c>
      <c r="AG1403" s="68"/>
      <c r="AH1403" s="71" t="s">
        <v>164</v>
      </c>
    </row>
    <row r="1404" spans="1:34" ht="14.4" x14ac:dyDescent="0.3">
      <c r="A1404" s="66" t="s">
        <v>2381</v>
      </c>
      <c r="B1404" s="66" t="s">
        <v>4498</v>
      </c>
      <c r="C1404" s="33">
        <v>1402</v>
      </c>
      <c r="D1404" s="33" t="s">
        <v>5396</v>
      </c>
      <c r="E1404" s="34" t="s">
        <v>5324</v>
      </c>
      <c r="F1404" s="34" t="s">
        <v>18</v>
      </c>
      <c r="G1404" s="57">
        <v>44816</v>
      </c>
      <c r="H1404" s="57">
        <v>44996</v>
      </c>
      <c r="I1404" s="34">
        <f t="shared" si="63"/>
        <v>5</v>
      </c>
      <c r="J1404" s="34">
        <v>35</v>
      </c>
      <c r="K1404" s="36">
        <v>650</v>
      </c>
      <c r="L1404" s="34" t="s">
        <v>29</v>
      </c>
      <c r="M1404" s="57">
        <v>36419</v>
      </c>
      <c r="N1404" s="37">
        <f>(YEAR(TablaMadre[[#This Row],[ALTA]])-YEAR(M1404))</f>
        <v>23</v>
      </c>
      <c r="O1404" s="34" t="s">
        <v>18</v>
      </c>
      <c r="P1404" s="34" t="s">
        <v>19</v>
      </c>
      <c r="Q1404" s="34" t="s">
        <v>533</v>
      </c>
      <c r="R1404" s="58" t="s">
        <v>30</v>
      </c>
      <c r="S1404" s="34" t="s">
        <v>297</v>
      </c>
      <c r="T1404" s="34"/>
      <c r="U1404" s="34"/>
      <c r="V1404" s="34" t="s">
        <v>56</v>
      </c>
      <c r="W1404" s="34" t="s">
        <v>28</v>
      </c>
      <c r="X1404" s="38" t="s">
        <v>173</v>
      </c>
      <c r="Y1404" s="62"/>
      <c r="Z1404" s="38" t="e">
        <f t="shared" si="64"/>
        <v>#NUM!</v>
      </c>
      <c r="AA1404" s="38"/>
      <c r="AB1404" s="34" t="s">
        <v>602</v>
      </c>
      <c r="AC1404" s="34" t="s">
        <v>610</v>
      </c>
      <c r="AD1404" s="38"/>
      <c r="AE1404" s="59" t="str">
        <f t="shared" si="65"/>
        <v>NO</v>
      </c>
      <c r="AF1404" s="38" t="e" cm="1">
        <f t="array" aca="1" ref="AF1404" ca="1">MIN(100, MAX(0, (IF(R1404="ESTUDIANTE", 31, 0)) + (IF(I1404&lt;=3, 30, IF(I1404&lt;=6, 20, 0))) +(IF(OR(E1404="413 - Control de Costes y Enlace Construcción", E1404="480 - Secretaría General del Consejo", E1404="132 - Civil y estructuras", E1404="136 - Mecánica", E1404="412 - Planificación", E1404="142 - Compras"), 25, 0)) +(IF(OR(S1404="GRADO ING. MECÁNICA", S1404="GRADO ING. ELÉCTRICA", S1404="GRADO DERECHO", S1404="GRADO ECONOMÍA", S1404="GRADO ING. TECNOLOGÍAS INDUSTRIALES"), 24, 0)) + (IF(AND(K1404&gt;=451, K1404&lt;=700), 23, 0)) + (IF(AND(AB1404&gt;=5, AB1404&lt;=8), 17, 0)) +(IF(_xludf.OR(_xludf.AND(AC1404&gt;=8, AC1404&lt;=10), _xludf.AND(AC1404&gt;=0, AC1404&lt;=5)), 16, 0)) + (IF(F1404="Madrid", 11, 0))))</f>
        <v>#NAME?</v>
      </c>
      <c r="AG1404" s="68"/>
      <c r="AH1404" s="71" t="s">
        <v>164</v>
      </c>
    </row>
    <row r="1405" spans="1:34" ht="14.4" x14ac:dyDescent="0.3">
      <c r="A1405" s="66" t="s">
        <v>2382</v>
      </c>
      <c r="B1405" s="66" t="s">
        <v>4499</v>
      </c>
      <c r="C1405" s="33">
        <v>1403</v>
      </c>
      <c r="D1405" s="33" t="s">
        <v>5397</v>
      </c>
      <c r="E1405" s="34" t="s">
        <v>5324</v>
      </c>
      <c r="F1405" s="34" t="s">
        <v>18</v>
      </c>
      <c r="G1405" s="57">
        <v>44816</v>
      </c>
      <c r="H1405" s="57">
        <v>44996</v>
      </c>
      <c r="I1405" s="34">
        <f t="shared" si="63"/>
        <v>5</v>
      </c>
      <c r="J1405" s="34">
        <v>35</v>
      </c>
      <c r="K1405" s="36">
        <v>900</v>
      </c>
      <c r="L1405" s="34" t="s">
        <v>29</v>
      </c>
      <c r="M1405" s="57">
        <v>35948</v>
      </c>
      <c r="N1405" s="37">
        <f>(YEAR(TablaMadre[[#This Row],[ALTA]])-YEAR(M1405))</f>
        <v>24</v>
      </c>
      <c r="O1405" s="34" t="s">
        <v>18</v>
      </c>
      <c r="P1405" s="34" t="s">
        <v>19</v>
      </c>
      <c r="Q1405" s="34" t="s">
        <v>611</v>
      </c>
      <c r="R1405" s="34" t="s">
        <v>21</v>
      </c>
      <c r="S1405" s="34" t="s">
        <v>297</v>
      </c>
      <c r="T1405" s="34"/>
      <c r="U1405" s="34"/>
      <c r="V1405" s="34" t="s">
        <v>40</v>
      </c>
      <c r="W1405" s="34" t="s">
        <v>28</v>
      </c>
      <c r="X1405" s="38" t="s">
        <v>173</v>
      </c>
      <c r="Y1405" s="62"/>
      <c r="Z1405" s="38" t="e">
        <f t="shared" si="64"/>
        <v>#NUM!</v>
      </c>
      <c r="AA1405" s="38"/>
      <c r="AB1405" s="34" t="s">
        <v>602</v>
      </c>
      <c r="AC1405" s="34" t="s">
        <v>610</v>
      </c>
      <c r="AD1405" s="38"/>
      <c r="AE1405" s="59" t="str">
        <f t="shared" si="65"/>
        <v>NO</v>
      </c>
      <c r="AF1405" s="38" t="e" cm="1">
        <f t="array" aca="1" ref="AF1405" ca="1">MIN(100, MAX(0, (IF(R1405="ESTUDIANTE", 31, 0)) + (IF(I1405&lt;=3, 30, IF(I1405&lt;=6, 20, 0))) +(IF(OR(E1405="413 - Control de Costes y Enlace Construcción", E1405="480 - Secretaría General del Consejo", E1405="132 - Civil y estructuras", E1405="136 - Mecánica", E1405="412 - Planificación", E1405="142 - Compras"), 25, 0)) +(IF(OR(S1405="GRADO ING. MECÁNICA", S1405="GRADO ING. ELÉCTRICA", S1405="GRADO DERECHO", S1405="GRADO ECONOMÍA", S1405="GRADO ING. TECNOLOGÍAS INDUSTRIALES"), 24, 0)) + (IF(AND(K1405&gt;=451, K1405&lt;=700), 23, 0)) + (IF(AND(AB1405&gt;=5, AB1405&lt;=8), 17, 0)) +(IF(_xludf.OR(_xludf.AND(AC1405&gt;=8, AC1405&lt;=10), _xludf.AND(AC1405&gt;=0, AC1405&lt;=5)), 16, 0)) + (IF(F1405="Madrid", 11, 0))))</f>
        <v>#NAME?</v>
      </c>
      <c r="AG1405" s="68"/>
      <c r="AH1405" s="71" t="s">
        <v>164</v>
      </c>
    </row>
    <row r="1406" spans="1:34" ht="14.4" x14ac:dyDescent="0.3">
      <c r="A1406" s="66" t="s">
        <v>2383</v>
      </c>
      <c r="B1406" s="66" t="s">
        <v>4500</v>
      </c>
      <c r="C1406" s="33">
        <v>1404</v>
      </c>
      <c r="D1406" s="33" t="s">
        <v>5393</v>
      </c>
      <c r="E1406" s="34" t="s">
        <v>5324</v>
      </c>
      <c r="F1406" s="34" t="s">
        <v>18</v>
      </c>
      <c r="G1406" s="57">
        <v>44816</v>
      </c>
      <c r="H1406" s="57">
        <v>44996</v>
      </c>
      <c r="I1406" s="34">
        <f t="shared" si="63"/>
        <v>5</v>
      </c>
      <c r="J1406" s="34">
        <v>35</v>
      </c>
      <c r="K1406" s="36">
        <v>650</v>
      </c>
      <c r="L1406" s="34" t="s">
        <v>17</v>
      </c>
      <c r="M1406" s="57">
        <v>36433</v>
      </c>
      <c r="N1406" s="37">
        <f>(YEAR(TablaMadre[[#This Row],[ALTA]])-YEAR(M1406))</f>
        <v>23</v>
      </c>
      <c r="O1406" s="34" t="s">
        <v>18</v>
      </c>
      <c r="P1406" s="34" t="s">
        <v>19</v>
      </c>
      <c r="Q1406" s="34" t="s">
        <v>533</v>
      </c>
      <c r="R1406" s="58" t="s">
        <v>30</v>
      </c>
      <c r="S1406" s="34" t="s">
        <v>297</v>
      </c>
      <c r="T1406" s="34"/>
      <c r="U1406" s="34"/>
      <c r="V1406" s="34" t="s">
        <v>56</v>
      </c>
      <c r="W1406" s="34" t="s">
        <v>28</v>
      </c>
      <c r="X1406" s="38" t="s">
        <v>173</v>
      </c>
      <c r="Y1406" s="62"/>
      <c r="Z1406" s="38" t="e">
        <f t="shared" si="64"/>
        <v>#NUM!</v>
      </c>
      <c r="AA1406" s="38"/>
      <c r="AB1406" s="34" t="s">
        <v>602</v>
      </c>
      <c r="AC1406" s="34">
        <v>10</v>
      </c>
      <c r="AD1406" s="38"/>
      <c r="AE1406" s="59" t="str">
        <f t="shared" si="65"/>
        <v>NO</v>
      </c>
      <c r="AF1406" s="38" t="e" cm="1">
        <f t="array" aca="1" ref="AF1406" ca="1">MIN(100, MAX(0, (IF(R1406="ESTUDIANTE", 31, 0)) + (IF(I1406&lt;=3, 30, IF(I1406&lt;=6, 20, 0))) +(IF(OR(E1406="413 - Control de Costes y Enlace Construcción", E1406="480 - Secretaría General del Consejo", E1406="132 - Civil y estructuras", E1406="136 - Mecánica", E1406="412 - Planificación", E1406="142 - Compras"), 25, 0)) +(IF(OR(S1406="GRADO ING. MECÁNICA", S1406="GRADO ING. ELÉCTRICA", S1406="GRADO DERECHO", S1406="GRADO ECONOMÍA", S1406="GRADO ING. TECNOLOGÍAS INDUSTRIALES"), 24, 0)) + (IF(AND(K1406&gt;=451, K1406&lt;=700), 23, 0)) + (IF(AND(AB1406&gt;=5, AB1406&lt;=8), 17, 0)) +(IF(_xludf.OR(_xludf.AND(AC1406&gt;=8, AC1406&lt;=10), _xludf.AND(AC1406&gt;=0, AC1406&lt;=5)), 16, 0)) + (IF(F1406="Madrid", 11, 0))))</f>
        <v>#NAME?</v>
      </c>
      <c r="AG1406" s="68"/>
      <c r="AH1406" s="71" t="s">
        <v>164</v>
      </c>
    </row>
    <row r="1407" spans="1:34" ht="14.4" x14ac:dyDescent="0.3">
      <c r="A1407" s="66" t="s">
        <v>2385</v>
      </c>
      <c r="B1407" s="66" t="s">
        <v>4502</v>
      </c>
      <c r="C1407" s="33">
        <v>1406</v>
      </c>
      <c r="D1407" s="33" t="s">
        <v>5394</v>
      </c>
      <c r="E1407" s="34" t="s">
        <v>5235</v>
      </c>
      <c r="F1407" s="34" t="s">
        <v>18</v>
      </c>
      <c r="G1407" s="57">
        <v>44817</v>
      </c>
      <c r="H1407" s="57">
        <v>45090</v>
      </c>
      <c r="I1407" s="34">
        <f t="shared" si="63"/>
        <v>9</v>
      </c>
      <c r="J1407" s="34">
        <v>35</v>
      </c>
      <c r="K1407" s="36">
        <v>900</v>
      </c>
      <c r="L1407" s="34" t="s">
        <v>17</v>
      </c>
      <c r="M1407" s="57">
        <v>35599</v>
      </c>
      <c r="N1407" s="37">
        <f>(YEAR(TablaMadre[[#This Row],[ALTA]])-YEAR(M1407))</f>
        <v>25</v>
      </c>
      <c r="O1407" s="34" t="s">
        <v>411</v>
      </c>
      <c r="P1407" s="34" t="s">
        <v>19</v>
      </c>
      <c r="Q1407" s="34" t="s">
        <v>515</v>
      </c>
      <c r="R1407" s="34" t="s">
        <v>21</v>
      </c>
      <c r="S1407" s="34" t="s">
        <v>297</v>
      </c>
      <c r="T1407" s="34"/>
      <c r="U1407" s="34"/>
      <c r="V1407" s="34" t="s">
        <v>84</v>
      </c>
      <c r="W1407" s="34" t="s">
        <v>28</v>
      </c>
      <c r="X1407" s="38" t="s">
        <v>173</v>
      </c>
      <c r="Y1407" s="62"/>
      <c r="Z1407" s="38" t="e">
        <f t="shared" si="64"/>
        <v>#NUM!</v>
      </c>
      <c r="AA1407" s="38"/>
      <c r="AB1407" s="34">
        <v>10</v>
      </c>
      <c r="AC1407" s="34" t="s">
        <v>610</v>
      </c>
      <c r="AD1407" s="38"/>
      <c r="AE1407" s="59" t="str">
        <f t="shared" si="65"/>
        <v>SÍ</v>
      </c>
      <c r="AF1407" s="38" t="e" cm="1">
        <f t="array" aca="1" ref="AF1407" ca="1">MIN(100, MAX(0, (IF(R1407="ESTUDIANTE", 31, 0)) + (IF(I1407&lt;=3, 30, IF(I1407&lt;=6, 20, 0))) +(IF(OR(E1407="413 - Control de Costes y Enlace Construcción", E1407="480 - Secretaría General del Consejo", E1407="132 - Civil y estructuras", E1407="136 - Mecánica", E1407="412 - Planificación", E1407="142 - Compras"), 25, 0)) +(IF(OR(S1407="GRADO ING. MECÁNICA", S1407="GRADO ING. ELÉCTRICA", S1407="GRADO DERECHO", S1407="GRADO ECONOMÍA", S1407="GRADO ING. TECNOLOGÍAS INDUSTRIALES"), 24, 0)) + (IF(AND(K1407&gt;=451, K1407&lt;=700), 23, 0)) + (IF(AND(AB1407&gt;=5, AB1407&lt;=8), 17, 0)) +(IF(_xludf.OR(_xludf.AND(AC1407&gt;=8, AC1407&lt;=10), _xludf.AND(AC1407&gt;=0, AC1407&lt;=5)), 16, 0)) + (IF(F1407="Madrid", 11, 0))))</f>
        <v>#NAME?</v>
      </c>
      <c r="AG1407" s="68"/>
      <c r="AH1407" s="71" t="s">
        <v>164</v>
      </c>
    </row>
    <row r="1408" spans="1:34" ht="14.4" x14ac:dyDescent="0.3">
      <c r="A1408" s="66" t="s">
        <v>2386</v>
      </c>
      <c r="B1408" s="66" t="s">
        <v>4503</v>
      </c>
      <c r="C1408" s="33">
        <v>1407</v>
      </c>
      <c r="D1408" s="33" t="s">
        <v>5395</v>
      </c>
      <c r="E1408" s="34" t="s">
        <v>5246</v>
      </c>
      <c r="F1408" s="34" t="s">
        <v>931</v>
      </c>
      <c r="G1408" s="57">
        <v>44819</v>
      </c>
      <c r="H1408" s="57">
        <v>45000</v>
      </c>
      <c r="I1408" s="34">
        <f t="shared" si="63"/>
        <v>6</v>
      </c>
      <c r="J1408" s="34">
        <v>40</v>
      </c>
      <c r="K1408" s="36">
        <v>0</v>
      </c>
      <c r="L1408" s="34" t="s">
        <v>29</v>
      </c>
      <c r="M1408" s="57">
        <v>36055</v>
      </c>
      <c r="N1408" s="37">
        <f>(YEAR(TablaMadre[[#This Row],[ALTA]])-YEAR(M1408))</f>
        <v>24</v>
      </c>
      <c r="O1408" s="34" t="s">
        <v>951</v>
      </c>
      <c r="P1408" s="34" t="s">
        <v>95</v>
      </c>
      <c r="Q1408" s="34" t="s">
        <v>277</v>
      </c>
      <c r="R1408" s="34" t="s">
        <v>30</v>
      </c>
      <c r="S1408" s="34" t="s">
        <v>277</v>
      </c>
      <c r="T1408" s="34"/>
      <c r="U1408" s="34"/>
      <c r="V1408" s="34" t="s">
        <v>90</v>
      </c>
      <c r="W1408" s="34" t="s">
        <v>23</v>
      </c>
      <c r="X1408" s="38" t="s">
        <v>164</v>
      </c>
      <c r="Y1408" s="62"/>
      <c r="Z1408" s="38" t="e">
        <f t="shared" si="64"/>
        <v>#NUM!</v>
      </c>
      <c r="AA1408" s="38"/>
      <c r="AB1408" s="34" t="s">
        <v>347</v>
      </c>
      <c r="AC1408" s="34" t="s">
        <v>347</v>
      </c>
      <c r="AD1408" s="38"/>
      <c r="AE1408" s="59" t="str">
        <f t="shared" si="65"/>
        <v>SÍ</v>
      </c>
      <c r="AF1408" s="38" t="e" cm="1">
        <f t="array" aca="1" ref="AF1408" ca="1">MIN(100, MAX(0, (IF(R1408="ESTUDIANTE", 31, 0)) + (IF(I1408&lt;=3, 30, IF(I1408&lt;=6, 20, 0))) +(IF(OR(E1408="413 - Control de Costes y Enlace Construcción", E1408="480 - Secretaría General del Consejo", E1408="132 - Civil y estructuras", E1408="136 - Mecánica", E1408="412 - Planificación", E1408="142 - Compras"), 25, 0)) +(IF(OR(S1408="GRADO ING. MECÁNICA", S1408="GRADO ING. ELÉCTRICA", S1408="GRADO DERECHO", S1408="GRADO ECONOMÍA", S1408="GRADO ING. TECNOLOGÍAS INDUSTRIALES"), 24, 0)) + (IF(AND(K1408&gt;=451, K1408&lt;=700), 23, 0)) + (IF(AND(AB1408&gt;=5, AB1408&lt;=8), 17, 0)) +(IF(_xludf.OR(_xludf.AND(AC1408&gt;=8, AC1408&lt;=10), _xludf.AND(AC1408&gt;=0, AC1408&lt;=5)), 16, 0)) + (IF(F1408="Madrid", 11, 0))))</f>
        <v>#NAME?</v>
      </c>
      <c r="AG1408" s="68"/>
      <c r="AH1408" s="71" t="s">
        <v>164</v>
      </c>
    </row>
    <row r="1409" spans="1:34" ht="14.4" x14ac:dyDescent="0.3">
      <c r="A1409" s="66" t="s">
        <v>2968</v>
      </c>
      <c r="B1409" s="66" t="s">
        <v>5085</v>
      </c>
      <c r="C1409" s="33">
        <v>1408</v>
      </c>
      <c r="D1409" s="33" t="s">
        <v>5396</v>
      </c>
      <c r="E1409" s="34" t="s">
        <v>5216</v>
      </c>
      <c r="F1409" s="34" t="s">
        <v>931</v>
      </c>
      <c r="G1409" s="57">
        <v>44819</v>
      </c>
      <c r="H1409" s="57">
        <v>45000</v>
      </c>
      <c r="I1409" s="34">
        <f t="shared" si="63"/>
        <v>6</v>
      </c>
      <c r="J1409" s="34">
        <v>40</v>
      </c>
      <c r="K1409" s="36">
        <v>0</v>
      </c>
      <c r="L1409" s="34" t="s">
        <v>17</v>
      </c>
      <c r="M1409" s="57">
        <v>36923</v>
      </c>
      <c r="N1409" s="37">
        <f>(YEAR(TablaMadre[[#This Row],[ALTA]])-YEAR(M1409))</f>
        <v>21</v>
      </c>
      <c r="O1409" s="34" t="s">
        <v>951</v>
      </c>
      <c r="P1409" s="34" t="s">
        <v>95</v>
      </c>
      <c r="Q1409" s="34" t="s">
        <v>533</v>
      </c>
      <c r="R1409" s="34" t="s">
        <v>30</v>
      </c>
      <c r="S1409" s="34" t="s">
        <v>297</v>
      </c>
      <c r="T1409" s="34"/>
      <c r="U1409" s="34"/>
      <c r="V1409" s="34" t="s">
        <v>90</v>
      </c>
      <c r="W1409" s="34" t="s">
        <v>23</v>
      </c>
      <c r="X1409" s="38" t="s">
        <v>164</v>
      </c>
      <c r="Y1409" s="62"/>
      <c r="Z1409" s="38" t="e">
        <f t="shared" si="64"/>
        <v>#NUM!</v>
      </c>
      <c r="AA1409" s="38"/>
      <c r="AB1409" s="34" t="s">
        <v>347</v>
      </c>
      <c r="AC1409" s="34" t="s">
        <v>347</v>
      </c>
      <c r="AD1409" s="38"/>
      <c r="AE1409" s="59" t="str">
        <f t="shared" si="65"/>
        <v>SÍ</v>
      </c>
      <c r="AF1409" s="38" t="e" cm="1">
        <f t="array" aca="1" ref="AF1409" ca="1">MIN(100, MAX(0, (IF(R1409="ESTUDIANTE", 31, 0)) + (IF(I1409&lt;=3, 30, IF(I1409&lt;=6, 20, 0))) +(IF(OR(E1409="413 - Control de Costes y Enlace Construcción", E1409="480 - Secretaría General del Consejo", E1409="132 - Civil y estructuras", E1409="136 - Mecánica", E1409="412 - Planificación", E1409="142 - Compras"), 25, 0)) +(IF(OR(S1409="GRADO ING. MECÁNICA", S1409="GRADO ING. ELÉCTRICA", S1409="GRADO DERECHO", S1409="GRADO ECONOMÍA", S1409="GRADO ING. TECNOLOGÍAS INDUSTRIALES"), 24, 0)) + (IF(AND(K1409&gt;=451, K1409&lt;=700), 23, 0)) + (IF(AND(AB1409&gt;=5, AB1409&lt;=8), 17, 0)) +(IF(_xludf.OR(_xludf.AND(AC1409&gt;=8, AC1409&lt;=10), _xludf.AND(AC1409&gt;=0, AC1409&lt;=5)), 16, 0)) + (IF(F1409="Madrid", 11, 0))))</f>
        <v>#NAME?</v>
      </c>
      <c r="AG1409" s="68"/>
      <c r="AH1409" s="71" t="s">
        <v>164</v>
      </c>
    </row>
    <row r="1410" spans="1:34" ht="14.4" x14ac:dyDescent="0.3">
      <c r="A1410" s="66" t="s">
        <v>2969</v>
      </c>
      <c r="B1410" s="66" t="s">
        <v>5086</v>
      </c>
      <c r="C1410" s="33">
        <v>1409</v>
      </c>
      <c r="D1410" s="33" t="s">
        <v>5397</v>
      </c>
      <c r="E1410" s="34" t="s">
        <v>5285</v>
      </c>
      <c r="F1410" s="34" t="s">
        <v>931</v>
      </c>
      <c r="G1410" s="57">
        <v>44819</v>
      </c>
      <c r="H1410" s="57">
        <v>45000</v>
      </c>
      <c r="I1410" s="34">
        <f t="shared" ref="I1410:I1473" si="66">DATEDIF(G1410, H1410, "M")</f>
        <v>6</v>
      </c>
      <c r="J1410" s="34">
        <v>40</v>
      </c>
      <c r="K1410" s="36">
        <v>0</v>
      </c>
      <c r="L1410" s="34" t="s">
        <v>17</v>
      </c>
      <c r="M1410" s="57">
        <v>35752</v>
      </c>
      <c r="N1410" s="37">
        <f>(YEAR(TablaMadre[[#This Row],[ALTA]])-YEAR(M1410))</f>
        <v>25</v>
      </c>
      <c r="O1410" s="34" t="s">
        <v>951</v>
      </c>
      <c r="P1410" s="34" t="s">
        <v>95</v>
      </c>
      <c r="Q1410" s="34" t="s">
        <v>518</v>
      </c>
      <c r="R1410" s="34" t="s">
        <v>30</v>
      </c>
      <c r="S1410" s="34" t="s">
        <v>151</v>
      </c>
      <c r="T1410" s="34"/>
      <c r="U1410" s="34"/>
      <c r="V1410" s="34" t="s">
        <v>90</v>
      </c>
      <c r="W1410" s="34" t="s">
        <v>23</v>
      </c>
      <c r="X1410" s="38" t="s">
        <v>164</v>
      </c>
      <c r="Y1410" s="62"/>
      <c r="Z1410" s="38" t="e">
        <f t="shared" ref="Z1410:Z1473" si="67">DATEDIF(H1410, Y1410, "y")</f>
        <v>#NUM!</v>
      </c>
      <c r="AA1410" s="38"/>
      <c r="AB1410" s="34" t="s">
        <v>347</v>
      </c>
      <c r="AC1410" s="34" t="s">
        <v>347</v>
      </c>
      <c r="AD1410" s="38"/>
      <c r="AE1410" s="59" t="str">
        <f t="shared" si="65"/>
        <v>SÍ</v>
      </c>
      <c r="AF1410" s="38" t="e" cm="1">
        <f t="array" aca="1" ref="AF1410" ca="1">MIN(100, MAX(0, (IF(R1410="ESTUDIANTE", 31, 0)) + (IF(I1410&lt;=3, 30, IF(I1410&lt;=6, 20, 0))) +(IF(OR(E1410="413 - Control de Costes y Enlace Construcción", E1410="480 - Secretaría General del Consejo", E1410="132 - Civil y estructuras", E1410="136 - Mecánica", E1410="412 - Planificación", E1410="142 - Compras"), 25, 0)) +(IF(OR(S1410="GRADO ING. MECÁNICA", S1410="GRADO ING. ELÉCTRICA", S1410="GRADO DERECHO", S1410="GRADO ECONOMÍA", S1410="GRADO ING. TECNOLOGÍAS INDUSTRIALES"), 24, 0)) + (IF(AND(K1410&gt;=451, K1410&lt;=700), 23, 0)) + (IF(AND(AB1410&gt;=5, AB1410&lt;=8), 17, 0)) +(IF(_xludf.OR(_xludf.AND(AC1410&gt;=8, AC1410&lt;=10), _xludf.AND(AC1410&gt;=0, AC1410&lt;=5)), 16, 0)) + (IF(F1410="Madrid", 11, 0))))</f>
        <v>#NAME?</v>
      </c>
      <c r="AG1410" s="68"/>
      <c r="AH1410" s="71" t="s">
        <v>164</v>
      </c>
    </row>
    <row r="1411" spans="1:34" ht="14.4" x14ac:dyDescent="0.3">
      <c r="A1411" s="66" t="s">
        <v>2970</v>
      </c>
      <c r="B1411" s="66" t="s">
        <v>5087</v>
      </c>
      <c r="C1411" s="33">
        <v>1410</v>
      </c>
      <c r="D1411" s="33" t="s">
        <v>5398</v>
      </c>
      <c r="E1411" s="34" t="s">
        <v>5216</v>
      </c>
      <c r="F1411" s="34" t="s">
        <v>931</v>
      </c>
      <c r="G1411" s="57">
        <v>44819</v>
      </c>
      <c r="H1411" s="57">
        <v>45000</v>
      </c>
      <c r="I1411" s="34">
        <f t="shared" si="66"/>
        <v>6</v>
      </c>
      <c r="J1411" s="34">
        <v>40</v>
      </c>
      <c r="K1411" s="36">
        <v>0</v>
      </c>
      <c r="L1411" s="34" t="s">
        <v>29</v>
      </c>
      <c r="M1411" s="57">
        <v>36452</v>
      </c>
      <c r="N1411" s="37">
        <f>(YEAR(TablaMadre[[#This Row],[ALTA]])-YEAR(M1411))</f>
        <v>23</v>
      </c>
      <c r="O1411" s="34" t="s">
        <v>951</v>
      </c>
      <c r="P1411" s="34" t="s">
        <v>95</v>
      </c>
      <c r="Q1411" s="34" t="s">
        <v>533</v>
      </c>
      <c r="R1411" s="34" t="s">
        <v>30</v>
      </c>
      <c r="S1411" s="34" t="s">
        <v>297</v>
      </c>
      <c r="T1411" s="34"/>
      <c r="U1411" s="34"/>
      <c r="V1411" s="34" t="s">
        <v>90</v>
      </c>
      <c r="W1411" s="34" t="s">
        <v>23</v>
      </c>
      <c r="X1411" s="38" t="s">
        <v>164</v>
      </c>
      <c r="Y1411" s="62"/>
      <c r="Z1411" s="38" t="e">
        <f t="shared" si="67"/>
        <v>#NUM!</v>
      </c>
      <c r="AA1411" s="38"/>
      <c r="AB1411" s="34" t="s">
        <v>347</v>
      </c>
      <c r="AC1411" s="34" t="s">
        <v>347</v>
      </c>
      <c r="AD1411" s="38"/>
      <c r="AE1411" s="59" t="str">
        <f t="shared" ref="AE1411:AE1474" si="68">IF(F1411=O1411, "NO", "SÍ")</f>
        <v>SÍ</v>
      </c>
      <c r="AF1411" s="38" t="e" cm="1">
        <f t="array" aca="1" ref="AF1411" ca="1">MIN(100, MAX(0, (IF(R1411="ESTUDIANTE", 31, 0)) + (IF(I1411&lt;=3, 30, IF(I1411&lt;=6, 20, 0))) +(IF(OR(E1411="413 - Control de Costes y Enlace Construcción", E1411="480 - Secretaría General del Consejo", E1411="132 - Civil y estructuras", E1411="136 - Mecánica", E1411="412 - Planificación", E1411="142 - Compras"), 25, 0)) +(IF(OR(S1411="GRADO ING. MECÁNICA", S1411="GRADO ING. ELÉCTRICA", S1411="GRADO DERECHO", S1411="GRADO ECONOMÍA", S1411="GRADO ING. TECNOLOGÍAS INDUSTRIALES"), 24, 0)) + (IF(AND(K1411&gt;=451, K1411&lt;=700), 23, 0)) + (IF(AND(AB1411&gt;=5, AB1411&lt;=8), 17, 0)) +(IF(_xludf.OR(_xludf.AND(AC1411&gt;=8, AC1411&lt;=10), _xludf.AND(AC1411&gt;=0, AC1411&lt;=5)), 16, 0)) + (IF(F1411="Madrid", 11, 0))))</f>
        <v>#NAME?</v>
      </c>
      <c r="AG1411" s="68"/>
      <c r="AH1411" s="71" t="s">
        <v>164</v>
      </c>
    </row>
    <row r="1412" spans="1:34" ht="14.4" x14ac:dyDescent="0.3">
      <c r="A1412" s="66" t="s">
        <v>2971</v>
      </c>
      <c r="B1412" s="66" t="s">
        <v>5088</v>
      </c>
      <c r="C1412" s="33">
        <v>1411</v>
      </c>
      <c r="D1412" s="33" t="s">
        <v>5399</v>
      </c>
      <c r="E1412" s="34" t="s">
        <v>5326</v>
      </c>
      <c r="F1412" s="34" t="s">
        <v>931</v>
      </c>
      <c r="G1412" s="57">
        <v>44823</v>
      </c>
      <c r="H1412" s="57">
        <v>44851</v>
      </c>
      <c r="I1412" s="34">
        <f t="shared" si="66"/>
        <v>0</v>
      </c>
      <c r="J1412" s="34">
        <v>40</v>
      </c>
      <c r="K1412" s="36">
        <v>0</v>
      </c>
      <c r="L1412" s="34" t="s">
        <v>29</v>
      </c>
      <c r="M1412" s="57">
        <v>36526</v>
      </c>
      <c r="N1412" s="37">
        <f>(YEAR(TablaMadre[[#This Row],[ALTA]])-YEAR(M1412))</f>
        <v>22</v>
      </c>
      <c r="O1412" s="34"/>
      <c r="P1412" s="34" t="s">
        <v>19</v>
      </c>
      <c r="Q1412" s="34"/>
      <c r="R1412" s="34" t="s">
        <v>30</v>
      </c>
      <c r="S1412" s="34" t="s">
        <v>301</v>
      </c>
      <c r="T1412" s="34"/>
      <c r="U1412" s="34"/>
      <c r="V1412" s="34" t="s">
        <v>27</v>
      </c>
      <c r="W1412" s="34" t="s">
        <v>23</v>
      </c>
      <c r="X1412" s="38" t="s">
        <v>164</v>
      </c>
      <c r="Y1412" s="62"/>
      <c r="Z1412" s="38" t="e">
        <f t="shared" si="67"/>
        <v>#NUM!</v>
      </c>
      <c r="AA1412" s="38"/>
      <c r="AB1412" s="34"/>
      <c r="AC1412" s="34"/>
      <c r="AD1412" s="38"/>
      <c r="AE1412" s="59" t="str">
        <f t="shared" si="68"/>
        <v>SÍ</v>
      </c>
      <c r="AF1412" s="38" t="e" cm="1">
        <f t="array" aca="1" ref="AF1412" ca="1">MIN(100, MAX(0, (IF(R1412="ESTUDIANTE", 31, 0)) + (IF(I1412&lt;=3, 30, IF(I1412&lt;=6, 20, 0))) +(IF(OR(E1412="413 - Control de Costes y Enlace Construcción", E1412="480 - Secretaría General del Consejo", E1412="132 - Civil y estructuras", E1412="136 - Mecánica", E1412="412 - Planificación", E1412="142 - Compras"), 25, 0)) +(IF(OR(S1412="GRADO ING. MECÁNICA", S1412="GRADO ING. ELÉCTRICA", S1412="GRADO DERECHO", S1412="GRADO ECONOMÍA", S1412="GRADO ING. TECNOLOGÍAS INDUSTRIALES"), 24, 0)) + (IF(AND(K1412&gt;=451, K1412&lt;=700), 23, 0)) + (IF(AND(AB1412&gt;=5, AB1412&lt;=8), 17, 0)) +(IF(_xludf.OR(_xludf.AND(AC1412&gt;=8, AC1412&lt;=10), _xludf.AND(AC1412&gt;=0, AC1412&lt;=5)), 16, 0)) + (IF(F1412="Madrid", 11, 0))))</f>
        <v>#NAME?</v>
      </c>
      <c r="AG1412" s="68"/>
      <c r="AH1412" s="71" t="s">
        <v>164</v>
      </c>
    </row>
    <row r="1413" spans="1:34" ht="14.4" x14ac:dyDescent="0.3">
      <c r="A1413" s="66" t="s">
        <v>2350</v>
      </c>
      <c r="B1413" s="66" t="s">
        <v>4467</v>
      </c>
      <c r="C1413" s="33">
        <v>1412</v>
      </c>
      <c r="D1413" s="33" t="s">
        <v>5400</v>
      </c>
      <c r="E1413" s="34" t="s">
        <v>5317</v>
      </c>
      <c r="F1413" s="34" t="s">
        <v>18</v>
      </c>
      <c r="G1413" s="57">
        <v>44824</v>
      </c>
      <c r="H1413" s="57">
        <v>45004</v>
      </c>
      <c r="I1413" s="34">
        <f t="shared" si="66"/>
        <v>5</v>
      </c>
      <c r="J1413" s="34">
        <v>30</v>
      </c>
      <c r="K1413" s="36">
        <v>560</v>
      </c>
      <c r="L1413" s="34" t="s">
        <v>17</v>
      </c>
      <c r="M1413" s="57">
        <v>35541</v>
      </c>
      <c r="N1413" s="37">
        <f>(YEAR(TablaMadre[[#This Row],[ALTA]])-YEAR(M1413))</f>
        <v>25</v>
      </c>
      <c r="O1413" s="34" t="s">
        <v>65</v>
      </c>
      <c r="P1413" s="34" t="s">
        <v>19</v>
      </c>
      <c r="Q1413" s="34" t="s">
        <v>613</v>
      </c>
      <c r="R1413" s="58" t="s">
        <v>30</v>
      </c>
      <c r="S1413" s="34" t="s">
        <v>354</v>
      </c>
      <c r="T1413" s="34"/>
      <c r="U1413" s="34"/>
      <c r="V1413" s="34" t="s">
        <v>182</v>
      </c>
      <c r="W1413" s="34" t="s">
        <v>23</v>
      </c>
      <c r="X1413" s="38" t="s">
        <v>164</v>
      </c>
      <c r="Y1413" s="62"/>
      <c r="Z1413" s="38" t="e">
        <f t="shared" si="67"/>
        <v>#NUM!</v>
      </c>
      <c r="AA1413" s="38"/>
      <c r="AB1413" s="34" t="s">
        <v>602</v>
      </c>
      <c r="AC1413" s="34"/>
      <c r="AD1413" s="38"/>
      <c r="AE1413" s="59" t="str">
        <f t="shared" si="68"/>
        <v>SÍ</v>
      </c>
      <c r="AF1413" s="38" t="e" cm="1">
        <f t="array" aca="1" ref="AF1413" ca="1">MIN(100, MAX(0, (IF(R1413="ESTUDIANTE", 31, 0)) + (IF(I1413&lt;=3, 30, IF(I1413&lt;=6, 20, 0))) +(IF(OR(E1413="413 - Control de Costes y Enlace Construcción", E1413="480 - Secretaría General del Consejo", E1413="132 - Civil y estructuras", E1413="136 - Mecánica", E1413="412 - Planificación", E1413="142 - Compras"), 25, 0)) +(IF(OR(S1413="GRADO ING. MECÁNICA", S1413="GRADO ING. ELÉCTRICA", S1413="GRADO DERECHO", S1413="GRADO ECONOMÍA", S1413="GRADO ING. TECNOLOGÍAS INDUSTRIALES"), 24, 0)) + (IF(AND(K1413&gt;=451, K1413&lt;=700), 23, 0)) + (IF(AND(AB1413&gt;=5, AB1413&lt;=8), 17, 0)) +(IF(_xludf.OR(_xludf.AND(AC1413&gt;=8, AC1413&lt;=10), _xludf.AND(AC1413&gt;=0, AC1413&lt;=5)), 16, 0)) + (IF(F1413="Madrid", 11, 0))))</f>
        <v>#NAME?</v>
      </c>
      <c r="AG1413" s="68"/>
      <c r="AH1413" s="71" t="s">
        <v>164</v>
      </c>
    </row>
    <row r="1414" spans="1:34" ht="14.4" x14ac:dyDescent="0.3">
      <c r="A1414" s="66" t="s">
        <v>2392</v>
      </c>
      <c r="B1414" s="66" t="s">
        <v>4509</v>
      </c>
      <c r="C1414" s="33">
        <v>1413</v>
      </c>
      <c r="D1414" s="33" t="s">
        <v>5401</v>
      </c>
      <c r="E1414" s="34" t="s">
        <v>5233</v>
      </c>
      <c r="F1414" s="34" t="s">
        <v>18</v>
      </c>
      <c r="G1414" s="57">
        <v>44824</v>
      </c>
      <c r="H1414" s="57">
        <v>45188</v>
      </c>
      <c r="I1414" s="34">
        <f t="shared" si="66"/>
        <v>11</v>
      </c>
      <c r="J1414" s="34">
        <v>35</v>
      </c>
      <c r="K1414" s="36">
        <v>650</v>
      </c>
      <c r="L1414" s="34" t="s">
        <v>17</v>
      </c>
      <c r="M1414" s="57">
        <v>36200</v>
      </c>
      <c r="N1414" s="37">
        <f>(YEAR(TablaMadre[[#This Row],[ALTA]])-YEAR(M1414))</f>
        <v>23</v>
      </c>
      <c r="O1414" s="34" t="s">
        <v>18</v>
      </c>
      <c r="P1414" s="34" t="s">
        <v>19</v>
      </c>
      <c r="Q1414" s="34" t="s">
        <v>136</v>
      </c>
      <c r="R1414" s="58" t="s">
        <v>30</v>
      </c>
      <c r="S1414" s="34" t="s">
        <v>136</v>
      </c>
      <c r="T1414" s="34"/>
      <c r="U1414" s="34"/>
      <c r="V1414" s="34" t="s">
        <v>67</v>
      </c>
      <c r="W1414" s="34" t="s">
        <v>127</v>
      </c>
      <c r="X1414" s="38" t="s">
        <v>173</v>
      </c>
      <c r="Y1414" s="62"/>
      <c r="Z1414" s="38" t="e">
        <f t="shared" si="67"/>
        <v>#NUM!</v>
      </c>
      <c r="AA1414" s="38"/>
      <c r="AB1414" s="34">
        <v>9</v>
      </c>
      <c r="AC1414" s="34">
        <v>10</v>
      </c>
      <c r="AD1414" s="38"/>
      <c r="AE1414" s="59" t="str">
        <f t="shared" si="68"/>
        <v>NO</v>
      </c>
      <c r="AF1414" s="38" t="e" cm="1">
        <f t="array" aca="1" ref="AF1414" ca="1">MIN(100, MAX(0, (IF(R1414="ESTUDIANTE", 31, 0)) + (IF(I1414&lt;=3, 30, IF(I1414&lt;=6, 20, 0))) +(IF(OR(E1414="413 - Control de Costes y Enlace Construcción", E1414="480 - Secretaría General del Consejo", E1414="132 - Civil y estructuras", E1414="136 - Mecánica", E1414="412 - Planificación", E1414="142 - Compras"), 25, 0)) +(IF(OR(S1414="GRADO ING. MECÁNICA", S1414="GRADO ING. ELÉCTRICA", S1414="GRADO DERECHO", S1414="GRADO ECONOMÍA", S1414="GRADO ING. TECNOLOGÍAS INDUSTRIALES"), 24, 0)) + (IF(AND(K1414&gt;=451, K1414&lt;=700), 23, 0)) + (IF(AND(AB1414&gt;=5, AB1414&lt;=8), 17, 0)) +(IF(_xludf.OR(_xludf.AND(AC1414&gt;=8, AC1414&lt;=10), _xludf.AND(AC1414&gt;=0, AC1414&lt;=5)), 16, 0)) + (IF(F1414="Madrid", 11, 0))))</f>
        <v>#NAME?</v>
      </c>
      <c r="AG1414" s="68"/>
      <c r="AH1414" s="71" t="s">
        <v>164</v>
      </c>
    </row>
    <row r="1415" spans="1:34" s="4" customFormat="1" ht="14.4" x14ac:dyDescent="0.3">
      <c r="A1415" s="66" t="s">
        <v>2393</v>
      </c>
      <c r="B1415" s="66" t="s">
        <v>4510</v>
      </c>
      <c r="C1415" s="33">
        <v>1414</v>
      </c>
      <c r="D1415" s="33" t="s">
        <v>5402</v>
      </c>
      <c r="E1415" s="34" t="s">
        <v>5313</v>
      </c>
      <c r="F1415" s="34" t="s">
        <v>18</v>
      </c>
      <c r="G1415" s="57">
        <v>44830</v>
      </c>
      <c r="H1415" s="57">
        <v>45199</v>
      </c>
      <c r="I1415" s="34">
        <f t="shared" si="66"/>
        <v>12</v>
      </c>
      <c r="J1415" s="34">
        <v>35</v>
      </c>
      <c r="K1415" s="36">
        <v>700</v>
      </c>
      <c r="L1415" s="34" t="s">
        <v>17</v>
      </c>
      <c r="M1415" s="57">
        <v>35131</v>
      </c>
      <c r="N1415" s="37">
        <f>(YEAR(TablaMadre[[#This Row],[ALTA]])-YEAR(M1415))</f>
        <v>26</v>
      </c>
      <c r="O1415" s="34" t="s">
        <v>18</v>
      </c>
      <c r="P1415" s="34" t="s">
        <v>19</v>
      </c>
      <c r="Q1415" s="34" t="s">
        <v>665</v>
      </c>
      <c r="R1415" s="58" t="s">
        <v>30</v>
      </c>
      <c r="S1415" s="34" t="s">
        <v>151</v>
      </c>
      <c r="T1415" s="34"/>
      <c r="U1415" s="34"/>
      <c r="V1415" s="34" t="s">
        <v>22</v>
      </c>
      <c r="W1415" s="34" t="s">
        <v>127</v>
      </c>
      <c r="X1415" s="34" t="s">
        <v>164</v>
      </c>
      <c r="Y1415" s="57">
        <v>45996</v>
      </c>
      <c r="Z1415" s="34">
        <f t="shared" si="67"/>
        <v>2</v>
      </c>
      <c r="AA1415" s="34"/>
      <c r="AB1415" s="34">
        <v>9</v>
      </c>
      <c r="AC1415" s="34">
        <v>9</v>
      </c>
      <c r="AD1415" s="34"/>
      <c r="AE1415" s="59" t="str">
        <f t="shared" si="68"/>
        <v>NO</v>
      </c>
      <c r="AF1415" s="34" t="e" cm="1">
        <f t="array" aca="1" ref="AF1415" ca="1">MIN(100, MAX(0, (IF(R1415="ESTUDIANTE", 31, 0)) + (IF(I1415&lt;=3, 30, IF(I1415&lt;=6, 20, 0))) +(IF(OR(E1415="413 - Control de Costes y Enlace Construcción", E1415="480 - Secretaría General del Consejo", E1415="132 - Civil y estructuras", E1415="136 - Mecánica", E1415="412 - Planificación", E1415="142 - Compras"), 25, 0)) +(IF(OR(S1415="GRADO ING. MECÁNICA", S1415="GRADO ING. ELÉCTRICA", S1415="GRADO DERECHO", S1415="GRADO ECONOMÍA", S1415="GRADO ING. TECNOLOGÍAS INDUSTRIALES"), 24, 0)) + (IF(AND(K1415&gt;=451, K1415&lt;=700), 23, 0)) + (IF(AND(AB1415&gt;=5, AB1415&lt;=8), 17, 0)) +(IF(_xludf.OR(_xludf.AND(AC1415&gt;=8, AC1415&lt;=10), _xludf.AND(AC1415&gt;=0, AC1415&lt;=5)), 16, 0)) + (IF(F1415="Madrid", 11, 0))))</f>
        <v>#NAME?</v>
      </c>
      <c r="AG1415" s="69"/>
      <c r="AH1415" s="71" t="s">
        <v>164</v>
      </c>
    </row>
    <row r="1416" spans="1:34" ht="14.4" x14ac:dyDescent="0.3">
      <c r="A1416" s="66" t="s">
        <v>2394</v>
      </c>
      <c r="B1416" s="66" t="s">
        <v>4511</v>
      </c>
      <c r="C1416" s="33">
        <v>1415</v>
      </c>
      <c r="D1416" s="33" t="s">
        <v>5393</v>
      </c>
      <c r="E1416" s="34" t="s">
        <v>5328</v>
      </c>
      <c r="F1416" s="34" t="s">
        <v>18</v>
      </c>
      <c r="G1416" s="57">
        <v>44830</v>
      </c>
      <c r="H1416" s="57">
        <v>45266</v>
      </c>
      <c r="I1416" s="34">
        <f t="shared" si="66"/>
        <v>14</v>
      </c>
      <c r="J1416" s="34">
        <v>35</v>
      </c>
      <c r="K1416" s="36">
        <v>725</v>
      </c>
      <c r="L1416" s="34" t="s">
        <v>29</v>
      </c>
      <c r="M1416" s="57">
        <v>34863</v>
      </c>
      <c r="N1416" s="37">
        <f>(YEAR(TablaMadre[[#This Row],[ALTA]])-YEAR(M1416))</f>
        <v>27</v>
      </c>
      <c r="O1416" s="34" t="s">
        <v>18</v>
      </c>
      <c r="P1416" s="34" t="s">
        <v>19</v>
      </c>
      <c r="Q1416" s="34" t="s">
        <v>674</v>
      </c>
      <c r="R1416" s="34" t="s">
        <v>21</v>
      </c>
      <c r="S1416" s="34" t="s">
        <v>26</v>
      </c>
      <c r="T1416" s="34"/>
      <c r="U1416" s="34"/>
      <c r="V1416" s="34" t="s">
        <v>27</v>
      </c>
      <c r="W1416" s="34" t="s">
        <v>28</v>
      </c>
      <c r="X1416" s="38" t="s">
        <v>173</v>
      </c>
      <c r="Y1416" s="62"/>
      <c r="Z1416" s="38" t="e">
        <f t="shared" si="67"/>
        <v>#NUM!</v>
      </c>
      <c r="AA1416" s="38"/>
      <c r="AB1416" s="34">
        <v>10</v>
      </c>
      <c r="AC1416" s="34">
        <v>10</v>
      </c>
      <c r="AD1416" s="38"/>
      <c r="AE1416" s="59" t="str">
        <f t="shared" si="68"/>
        <v>NO</v>
      </c>
      <c r="AF1416" s="38" t="e" cm="1">
        <f t="array" aca="1" ref="AF1416" ca="1">MIN(100, MAX(0, (IF(R1416="ESTUDIANTE", 31, 0)) + (IF(I1416&lt;=3, 30, IF(I1416&lt;=6, 20, 0))) +(IF(OR(E1416="413 - Control de Costes y Enlace Construcción", E1416="480 - Secretaría General del Consejo", E1416="132 - Civil y estructuras", E1416="136 - Mecánica", E1416="412 - Planificación", E1416="142 - Compras"), 25, 0)) +(IF(OR(S1416="GRADO ING. MECÁNICA", S1416="GRADO ING. ELÉCTRICA", S1416="GRADO DERECHO", S1416="GRADO ECONOMÍA", S1416="GRADO ING. TECNOLOGÍAS INDUSTRIALES"), 24, 0)) + (IF(AND(K1416&gt;=451, K1416&lt;=700), 23, 0)) + (IF(AND(AB1416&gt;=5, AB1416&lt;=8), 17, 0)) +(IF(_xludf.OR(_xludf.AND(AC1416&gt;=8, AC1416&lt;=10), _xludf.AND(AC1416&gt;=0, AC1416&lt;=5)), 16, 0)) + (IF(F1416="Madrid", 11, 0))))</f>
        <v>#NAME?</v>
      </c>
      <c r="AG1416" s="68"/>
      <c r="AH1416" s="71" t="s">
        <v>164</v>
      </c>
    </row>
    <row r="1417" spans="1:34" ht="14.4" x14ac:dyDescent="0.3">
      <c r="A1417" s="66" t="s">
        <v>2351</v>
      </c>
      <c r="B1417" s="66" t="s">
        <v>4468</v>
      </c>
      <c r="C1417" s="33">
        <v>1419</v>
      </c>
      <c r="D1417" s="33" t="s">
        <v>5394</v>
      </c>
      <c r="E1417" s="34" t="s">
        <v>5285</v>
      </c>
      <c r="F1417" s="34" t="s">
        <v>931</v>
      </c>
      <c r="G1417" s="57">
        <v>44837</v>
      </c>
      <c r="H1417" s="57">
        <v>44949</v>
      </c>
      <c r="I1417" s="34">
        <f t="shared" si="66"/>
        <v>3</v>
      </c>
      <c r="J1417" s="34">
        <v>35</v>
      </c>
      <c r="K1417" s="36">
        <v>900</v>
      </c>
      <c r="L1417" s="34" t="s">
        <v>29</v>
      </c>
      <c r="M1417" s="57">
        <v>34451</v>
      </c>
      <c r="N1417" s="37">
        <f>(YEAR(TablaMadre[[#This Row],[ALTA]])-YEAR(M1417))</f>
        <v>28</v>
      </c>
      <c r="O1417" s="34"/>
      <c r="P1417" s="34" t="s">
        <v>19</v>
      </c>
      <c r="Q1417" s="34" t="s">
        <v>598</v>
      </c>
      <c r="R1417" s="34" t="s">
        <v>21</v>
      </c>
      <c r="S1417" s="34" t="s">
        <v>307</v>
      </c>
      <c r="T1417" s="34"/>
      <c r="U1417" s="34"/>
      <c r="V1417" s="34" t="s">
        <v>174</v>
      </c>
      <c r="W1417" s="34" t="s">
        <v>181</v>
      </c>
      <c r="X1417" s="38" t="s">
        <v>164</v>
      </c>
      <c r="Y1417" s="62"/>
      <c r="Z1417" s="38" t="e">
        <f t="shared" si="67"/>
        <v>#NUM!</v>
      </c>
      <c r="AA1417" s="38"/>
      <c r="AB1417" s="34"/>
      <c r="AC1417" s="34"/>
      <c r="AD1417" s="38"/>
      <c r="AE1417" s="59" t="str">
        <f t="shared" si="68"/>
        <v>SÍ</v>
      </c>
      <c r="AF1417" s="38" t="e" cm="1">
        <f t="array" aca="1" ref="AF1417" ca="1">MIN(100, MAX(0, (IF(R1417="ESTUDIANTE", 31, 0)) + (IF(I1417&lt;=3, 30, IF(I1417&lt;=6, 20, 0))) +(IF(OR(E1417="413 - Control de Costes y Enlace Construcción", E1417="480 - Secretaría General del Consejo", E1417="132 - Civil y estructuras", E1417="136 - Mecánica", E1417="412 - Planificación", E1417="142 - Compras"), 25, 0)) +(IF(OR(S1417="GRADO ING. MECÁNICA", S1417="GRADO ING. ELÉCTRICA", S1417="GRADO DERECHO", S1417="GRADO ECONOMÍA", S1417="GRADO ING. TECNOLOGÍAS INDUSTRIALES"), 24, 0)) + (IF(AND(K1417&gt;=451, K1417&lt;=700), 23, 0)) + (IF(AND(AB1417&gt;=5, AB1417&lt;=8), 17, 0)) +(IF(_xludf.OR(_xludf.AND(AC1417&gt;=8, AC1417&lt;=10), _xludf.AND(AC1417&gt;=0, AC1417&lt;=5)), 16, 0)) + (IF(F1417="Madrid", 11, 0))))</f>
        <v>#NAME?</v>
      </c>
      <c r="AG1417" s="68"/>
      <c r="AH1417" s="71" t="s">
        <v>164</v>
      </c>
    </row>
    <row r="1418" spans="1:34" s="4" customFormat="1" ht="14.4" x14ac:dyDescent="0.3">
      <c r="A1418" s="66" t="s">
        <v>2360</v>
      </c>
      <c r="B1418" s="66" t="s">
        <v>4477</v>
      </c>
      <c r="C1418" s="33">
        <v>1421</v>
      </c>
      <c r="D1418" s="33" t="s">
        <v>5403</v>
      </c>
      <c r="E1418" s="34" t="s">
        <v>5315</v>
      </c>
      <c r="F1418" s="34" t="s">
        <v>931</v>
      </c>
      <c r="G1418" s="57">
        <v>44837</v>
      </c>
      <c r="H1418" s="57">
        <v>45086</v>
      </c>
      <c r="I1418" s="34">
        <f t="shared" si="66"/>
        <v>8</v>
      </c>
      <c r="J1418" s="34">
        <v>40</v>
      </c>
      <c r="K1418" s="36">
        <v>300</v>
      </c>
      <c r="L1418" s="34" t="s">
        <v>17</v>
      </c>
      <c r="M1418" s="57">
        <v>36526</v>
      </c>
      <c r="N1418" s="37">
        <f>(YEAR(TablaMadre[[#This Row],[ALTA]])-YEAR(M1418))</f>
        <v>22</v>
      </c>
      <c r="O1418" s="34"/>
      <c r="P1418" s="34"/>
      <c r="Q1418" s="34" t="s">
        <v>629</v>
      </c>
      <c r="R1418" s="58" t="s">
        <v>30</v>
      </c>
      <c r="S1418" s="34" t="s">
        <v>301</v>
      </c>
      <c r="T1418" s="34"/>
      <c r="U1418" s="34"/>
      <c r="V1418" s="34" t="s">
        <v>27</v>
      </c>
      <c r="W1418" s="34" t="s">
        <v>23</v>
      </c>
      <c r="X1418" s="38" t="s">
        <v>164</v>
      </c>
      <c r="Y1418" s="62"/>
      <c r="Z1418" s="38" t="e">
        <f t="shared" si="67"/>
        <v>#NUM!</v>
      </c>
      <c r="AA1418" s="38"/>
      <c r="AB1418" s="34"/>
      <c r="AC1418" s="34"/>
      <c r="AD1418" s="38"/>
      <c r="AE1418" s="59" t="str">
        <f t="shared" si="68"/>
        <v>SÍ</v>
      </c>
      <c r="AF1418" s="34" t="e" cm="1">
        <f t="array" aca="1" ref="AF1418" ca="1">MIN(100, MAX(0, (IF(R1418="ESTUDIANTE", 31, 0)) + (IF(I1418&lt;=3, 30, IF(I1418&lt;=6, 20, 0))) +(IF(OR(E1418="413 - Control de Costes y Enlace Construcción", E1418="480 - Secretaría General del Consejo", E1418="132 - Civil y estructuras", E1418="136 - Mecánica", E1418="412 - Planificación", E1418="142 - Compras"), 25, 0)) +(IF(OR(S1418="GRADO ING. MECÁNICA", S1418="GRADO ING. ELÉCTRICA", S1418="GRADO DERECHO", S1418="GRADO ECONOMÍA", S1418="GRADO ING. TECNOLOGÍAS INDUSTRIALES"), 24, 0)) + (IF(AND(K1418&gt;=451, K1418&lt;=700), 23, 0)) + (IF(AND(AB1418&gt;=5, AB1418&lt;=8), 17, 0)) +(IF(_xludf.OR(_xludf.AND(AC1418&gt;=8, AC1418&lt;=10), _xludf.AND(AC1418&gt;=0, AC1418&lt;=5)), 16, 0)) + (IF(F1418="Madrid", 11, 0))))</f>
        <v>#NAME?</v>
      </c>
      <c r="AG1418" s="69"/>
      <c r="AH1418" s="71" t="s">
        <v>164</v>
      </c>
    </row>
    <row r="1419" spans="1:34" s="4" customFormat="1" ht="14.4" x14ac:dyDescent="0.3">
      <c r="A1419" s="66" t="s">
        <v>2365</v>
      </c>
      <c r="B1419" s="66" t="s">
        <v>4482</v>
      </c>
      <c r="C1419" s="33">
        <v>1423</v>
      </c>
      <c r="D1419" s="33" t="s">
        <v>5404</v>
      </c>
      <c r="E1419" s="34" t="s">
        <v>5222</v>
      </c>
      <c r="F1419" s="34" t="s">
        <v>18</v>
      </c>
      <c r="G1419" s="57">
        <v>44837</v>
      </c>
      <c r="H1419" s="57">
        <v>45169</v>
      </c>
      <c r="I1419" s="34">
        <f t="shared" si="66"/>
        <v>10</v>
      </c>
      <c r="J1419" s="34">
        <v>35</v>
      </c>
      <c r="K1419" s="36">
        <v>825</v>
      </c>
      <c r="L1419" s="34" t="s">
        <v>29</v>
      </c>
      <c r="M1419" s="57">
        <v>36450</v>
      </c>
      <c r="N1419" s="37">
        <f>(YEAR(TablaMadre[[#This Row],[ALTA]])-YEAR(M1419))</f>
        <v>23</v>
      </c>
      <c r="O1419" s="34" t="s">
        <v>152</v>
      </c>
      <c r="P1419" s="34" t="s">
        <v>152</v>
      </c>
      <c r="Q1419" s="34" t="s">
        <v>384</v>
      </c>
      <c r="R1419" s="34" t="s">
        <v>21</v>
      </c>
      <c r="S1419" s="34" t="s">
        <v>384</v>
      </c>
      <c r="T1419" s="34"/>
      <c r="U1419" s="34"/>
      <c r="V1419" s="34" t="s">
        <v>56</v>
      </c>
      <c r="W1419" s="34" t="s">
        <v>91</v>
      </c>
      <c r="X1419" s="38" t="s">
        <v>164</v>
      </c>
      <c r="Y1419" s="62"/>
      <c r="Z1419" s="38" t="e">
        <f t="shared" si="67"/>
        <v>#NUM!</v>
      </c>
      <c r="AA1419" s="38"/>
      <c r="AB1419" s="34">
        <v>10</v>
      </c>
      <c r="AC1419" s="34">
        <v>6</v>
      </c>
      <c r="AD1419" s="38"/>
      <c r="AE1419" s="59" t="str">
        <f t="shared" si="68"/>
        <v>SÍ</v>
      </c>
      <c r="AF1419" s="34" t="e" cm="1">
        <f t="array" aca="1" ref="AF1419" ca="1">MIN(100, MAX(0, (IF(R1419="ESTUDIANTE", 31, 0)) + (IF(I1419&lt;=3, 30, IF(I1419&lt;=6, 20, 0))) +(IF(OR(E1419="413 - Control de Costes y Enlace Construcción", E1419="480 - Secretaría General del Consejo", E1419="132 - Civil y estructuras", E1419="136 - Mecánica", E1419="412 - Planificación", E1419="142 - Compras"), 25, 0)) +(IF(OR(S1419="GRADO ING. MECÁNICA", S1419="GRADO ING. ELÉCTRICA", S1419="GRADO DERECHO", S1419="GRADO ECONOMÍA", S1419="GRADO ING. TECNOLOGÍAS INDUSTRIALES"), 24, 0)) + (IF(AND(K1419&gt;=451, K1419&lt;=700), 23, 0)) + (IF(AND(AB1419&gt;=5, AB1419&lt;=8), 17, 0)) +(IF(_xludf.OR(_xludf.AND(AC1419&gt;=8, AC1419&lt;=10), _xludf.AND(AC1419&gt;=0, AC1419&lt;=5)), 16, 0)) + (IF(F1419="Madrid", 11, 0))))</f>
        <v>#NAME?</v>
      </c>
      <c r="AG1419" s="69"/>
      <c r="AH1419" s="71" t="s">
        <v>164</v>
      </c>
    </row>
    <row r="1420" spans="1:34" ht="14.4" x14ac:dyDescent="0.3">
      <c r="A1420" s="66" t="s">
        <v>2388</v>
      </c>
      <c r="B1420" s="66" t="s">
        <v>4505</v>
      </c>
      <c r="C1420" s="33">
        <v>1417</v>
      </c>
      <c r="D1420" s="33" t="s">
        <v>5405</v>
      </c>
      <c r="E1420" s="34" t="s">
        <v>5315</v>
      </c>
      <c r="F1420" s="34" t="s">
        <v>931</v>
      </c>
      <c r="G1420" s="57">
        <v>44837</v>
      </c>
      <c r="H1420" s="57">
        <v>44942</v>
      </c>
      <c r="I1420" s="34">
        <f t="shared" si="66"/>
        <v>3</v>
      </c>
      <c r="J1420" s="34">
        <v>40</v>
      </c>
      <c r="K1420" s="36">
        <v>0</v>
      </c>
      <c r="L1420" s="34" t="s">
        <v>17</v>
      </c>
      <c r="M1420" s="57">
        <v>36526</v>
      </c>
      <c r="N1420" s="37">
        <f>(YEAR(TablaMadre[[#This Row],[ALTA]])-YEAR(M1420))</f>
        <v>22</v>
      </c>
      <c r="O1420" s="34"/>
      <c r="P1420" s="34"/>
      <c r="Q1420" s="34" t="s">
        <v>497</v>
      </c>
      <c r="R1420" s="34" t="s">
        <v>30</v>
      </c>
      <c r="S1420" s="34" t="s">
        <v>26</v>
      </c>
      <c r="T1420" s="34"/>
      <c r="U1420" s="34"/>
      <c r="V1420" s="34" t="s">
        <v>27</v>
      </c>
      <c r="W1420" s="34" t="s">
        <v>23</v>
      </c>
      <c r="X1420" s="34" t="s">
        <v>164</v>
      </c>
      <c r="Y1420" s="57"/>
      <c r="Z1420" s="34" t="e">
        <f t="shared" si="67"/>
        <v>#NUM!</v>
      </c>
      <c r="AA1420" s="34"/>
      <c r="AB1420" s="34"/>
      <c r="AC1420" s="34"/>
      <c r="AD1420" s="34"/>
      <c r="AE1420" s="59" t="str">
        <f t="shared" si="68"/>
        <v>SÍ</v>
      </c>
      <c r="AF1420" s="38" t="e" cm="1">
        <f t="array" aca="1" ref="AF1420" ca="1">MIN(100, MAX(0, (IF(R1420="ESTUDIANTE", 31, 0)) + (IF(I1420&lt;=3, 30, IF(I1420&lt;=6, 20, 0))) +(IF(OR(E1420="413 - Control de Costes y Enlace Construcción", E1420="480 - Secretaría General del Consejo", E1420="132 - Civil y estructuras", E1420="136 - Mecánica", E1420="412 - Planificación", E1420="142 - Compras"), 25, 0)) +(IF(OR(S1420="GRADO ING. MECÁNICA", S1420="GRADO ING. ELÉCTRICA", S1420="GRADO DERECHO", S1420="GRADO ECONOMÍA", S1420="GRADO ING. TECNOLOGÍAS INDUSTRIALES"), 24, 0)) + (IF(AND(K1420&gt;=451, K1420&lt;=700), 23, 0)) + (IF(AND(AB1420&gt;=5, AB1420&lt;=8), 17, 0)) +(IF(_xludf.OR(_xludf.AND(AC1420&gt;=8, AC1420&lt;=10), _xludf.AND(AC1420&gt;=0, AC1420&lt;=5)), 16, 0)) + (IF(F1420="Madrid", 11, 0))))</f>
        <v>#NAME?</v>
      </c>
      <c r="AG1420" s="68"/>
      <c r="AH1420" s="71" t="s">
        <v>164</v>
      </c>
    </row>
    <row r="1421" spans="1:34" ht="14.4" x14ac:dyDescent="0.3">
      <c r="A1421" s="66" t="s">
        <v>2399</v>
      </c>
      <c r="B1421" s="66" t="s">
        <v>4516</v>
      </c>
      <c r="C1421" s="33">
        <v>1420</v>
      </c>
      <c r="D1421" s="33" t="s">
        <v>5396</v>
      </c>
      <c r="E1421" s="34" t="s">
        <v>5313</v>
      </c>
      <c r="F1421" s="34" t="s">
        <v>18</v>
      </c>
      <c r="G1421" s="57">
        <v>44837</v>
      </c>
      <c r="H1421" s="57">
        <v>45018</v>
      </c>
      <c r="I1421" s="34">
        <f t="shared" si="66"/>
        <v>5</v>
      </c>
      <c r="J1421" s="34">
        <v>35</v>
      </c>
      <c r="K1421" s="36">
        <v>900</v>
      </c>
      <c r="L1421" s="34" t="s">
        <v>17</v>
      </c>
      <c r="M1421" s="57">
        <v>35096</v>
      </c>
      <c r="N1421" s="37">
        <f>(YEAR(TablaMadre[[#This Row],[ALTA]])-YEAR(M1421))</f>
        <v>26</v>
      </c>
      <c r="O1421" s="34" t="s">
        <v>99</v>
      </c>
      <c r="P1421" s="34" t="s">
        <v>99</v>
      </c>
      <c r="Q1421" s="34" t="s">
        <v>615</v>
      </c>
      <c r="R1421" s="34" t="s">
        <v>21</v>
      </c>
      <c r="S1421" s="34" t="s">
        <v>151</v>
      </c>
      <c r="T1421" s="34"/>
      <c r="U1421" s="34"/>
      <c r="V1421" s="34" t="s">
        <v>90</v>
      </c>
      <c r="W1421" s="34" t="s">
        <v>28</v>
      </c>
      <c r="X1421" s="38" t="s">
        <v>173</v>
      </c>
      <c r="Y1421" s="62"/>
      <c r="Z1421" s="38" t="e">
        <f t="shared" si="67"/>
        <v>#NUM!</v>
      </c>
      <c r="AA1421" s="38"/>
      <c r="AB1421" s="34">
        <v>10</v>
      </c>
      <c r="AC1421" s="34">
        <v>9</v>
      </c>
      <c r="AD1421" s="38"/>
      <c r="AE1421" s="59" t="str">
        <f t="shared" si="68"/>
        <v>SÍ</v>
      </c>
      <c r="AF1421" s="38" t="e" cm="1">
        <f t="array" aca="1" ref="AF1421" ca="1">MIN(100, MAX(0, (IF(R1421="ESTUDIANTE", 31, 0)) + (IF(I1421&lt;=3, 30, IF(I1421&lt;=6, 20, 0))) +(IF(OR(E1421="413 - Control de Costes y Enlace Construcción", E1421="480 - Secretaría General del Consejo", E1421="132 - Civil y estructuras", E1421="136 - Mecánica", E1421="412 - Planificación", E1421="142 - Compras"), 25, 0)) +(IF(OR(S1421="GRADO ING. MECÁNICA", S1421="GRADO ING. ELÉCTRICA", S1421="GRADO DERECHO", S1421="GRADO ECONOMÍA", S1421="GRADO ING. TECNOLOGÍAS INDUSTRIALES"), 24, 0)) + (IF(AND(K1421&gt;=451, K1421&lt;=700), 23, 0)) + (IF(AND(AB1421&gt;=5, AB1421&lt;=8), 17, 0)) +(IF(_xludf.OR(_xludf.AND(AC1421&gt;=8, AC1421&lt;=10), _xludf.AND(AC1421&gt;=0, AC1421&lt;=5)), 16, 0)) + (IF(F1421="Madrid", 11, 0))))</f>
        <v>#NAME?</v>
      </c>
      <c r="AG1421" s="68"/>
      <c r="AH1421" s="71" t="s">
        <v>164</v>
      </c>
    </row>
    <row r="1422" spans="1:34" ht="14.4" x14ac:dyDescent="0.3">
      <c r="A1422" s="66" t="s">
        <v>2401</v>
      </c>
      <c r="B1422" s="66" t="s">
        <v>4518</v>
      </c>
      <c r="C1422" s="33">
        <v>1422</v>
      </c>
      <c r="D1422" s="33" t="s">
        <v>5397</v>
      </c>
      <c r="E1422" s="34" t="s">
        <v>5313</v>
      </c>
      <c r="F1422" s="34" t="s">
        <v>18</v>
      </c>
      <c r="G1422" s="57">
        <v>44837</v>
      </c>
      <c r="H1422" s="57">
        <v>45138</v>
      </c>
      <c r="I1422" s="34">
        <f t="shared" si="66"/>
        <v>9</v>
      </c>
      <c r="J1422" s="34">
        <v>35</v>
      </c>
      <c r="K1422" s="36">
        <v>700</v>
      </c>
      <c r="L1422" s="34" t="s">
        <v>17</v>
      </c>
      <c r="M1422" s="57">
        <v>36813</v>
      </c>
      <c r="N1422" s="37">
        <f>(YEAR(TablaMadre[[#This Row],[ALTA]])-YEAR(M1422))</f>
        <v>22</v>
      </c>
      <c r="O1422" s="34" t="s">
        <v>18</v>
      </c>
      <c r="P1422" s="34" t="s">
        <v>19</v>
      </c>
      <c r="Q1422" s="34" t="s">
        <v>136</v>
      </c>
      <c r="R1422" s="58" t="s">
        <v>30</v>
      </c>
      <c r="S1422" s="34" t="s">
        <v>136</v>
      </c>
      <c r="T1422" s="34"/>
      <c r="U1422" s="34"/>
      <c r="V1422" s="34" t="s">
        <v>22</v>
      </c>
      <c r="W1422" s="34" t="s">
        <v>28</v>
      </c>
      <c r="X1422" s="38" t="s">
        <v>173</v>
      </c>
      <c r="Y1422" s="62"/>
      <c r="Z1422" s="38" t="e">
        <f t="shared" si="67"/>
        <v>#NUM!</v>
      </c>
      <c r="AA1422" s="38"/>
      <c r="AB1422" s="34">
        <v>8</v>
      </c>
      <c r="AC1422" s="34">
        <v>9</v>
      </c>
      <c r="AD1422" s="38"/>
      <c r="AE1422" s="59" t="str">
        <f t="shared" si="68"/>
        <v>NO</v>
      </c>
      <c r="AF1422" s="38" t="e" cm="1">
        <f t="array" aca="1" ref="AF1422" ca="1">MIN(100, MAX(0, (IF(R1422="ESTUDIANTE", 31, 0)) + (IF(I1422&lt;=3, 30, IF(I1422&lt;=6, 20, 0))) +(IF(OR(E1422="413 - Control de Costes y Enlace Construcción", E1422="480 - Secretaría General del Consejo", E1422="132 - Civil y estructuras", E1422="136 - Mecánica", E1422="412 - Planificación", E1422="142 - Compras"), 25, 0)) +(IF(OR(S1422="GRADO ING. MECÁNICA", S1422="GRADO ING. ELÉCTRICA", S1422="GRADO DERECHO", S1422="GRADO ECONOMÍA", S1422="GRADO ING. TECNOLOGÍAS INDUSTRIALES"), 24, 0)) + (IF(AND(K1422&gt;=451, K1422&lt;=700), 23, 0)) + (IF(AND(AB1422&gt;=5, AB1422&lt;=8), 17, 0)) +(IF(_xludf.OR(_xludf.AND(AC1422&gt;=8, AC1422&lt;=10), _xludf.AND(AC1422&gt;=0, AC1422&lt;=5)), 16, 0)) + (IF(F1422="Madrid", 11, 0))))</f>
        <v>#NAME?</v>
      </c>
      <c r="AG1422" s="68"/>
      <c r="AH1422" s="71" t="s">
        <v>164</v>
      </c>
    </row>
    <row r="1423" spans="1:34" ht="14.4" x14ac:dyDescent="0.3">
      <c r="A1423" s="66" t="s">
        <v>2403</v>
      </c>
      <c r="B1423" s="66" t="s">
        <v>4520</v>
      </c>
      <c r="C1423" s="33">
        <v>1424</v>
      </c>
      <c r="D1423" s="33" t="s">
        <v>5393</v>
      </c>
      <c r="E1423" s="34" t="s">
        <v>5222</v>
      </c>
      <c r="F1423" s="34" t="s">
        <v>18</v>
      </c>
      <c r="G1423" s="57">
        <v>44837</v>
      </c>
      <c r="H1423" s="57">
        <v>45201</v>
      </c>
      <c r="I1423" s="34">
        <f t="shared" si="66"/>
        <v>11</v>
      </c>
      <c r="J1423" s="34">
        <v>35</v>
      </c>
      <c r="K1423" s="36">
        <v>825</v>
      </c>
      <c r="L1423" s="34" t="s">
        <v>17</v>
      </c>
      <c r="M1423" s="57">
        <v>35188</v>
      </c>
      <c r="N1423" s="37">
        <f>(YEAR(TablaMadre[[#This Row],[ALTA]])-YEAR(M1423))</f>
        <v>26</v>
      </c>
      <c r="O1423" s="34" t="s">
        <v>153</v>
      </c>
      <c r="P1423" s="34" t="s">
        <v>19</v>
      </c>
      <c r="Q1423" s="34" t="s">
        <v>668</v>
      </c>
      <c r="R1423" s="34" t="s">
        <v>21</v>
      </c>
      <c r="S1423" s="34" t="s">
        <v>297</v>
      </c>
      <c r="T1423" s="34"/>
      <c r="U1423" s="34"/>
      <c r="V1423" s="34" t="s">
        <v>311</v>
      </c>
      <c r="W1423" s="34" t="s">
        <v>28</v>
      </c>
      <c r="X1423" s="38" t="s">
        <v>173</v>
      </c>
      <c r="Y1423" s="62"/>
      <c r="Z1423" s="38" t="e">
        <f t="shared" si="67"/>
        <v>#NUM!</v>
      </c>
      <c r="AA1423" s="38"/>
      <c r="AB1423" s="34">
        <v>9</v>
      </c>
      <c r="AC1423" s="34">
        <v>7</v>
      </c>
      <c r="AD1423" s="38"/>
      <c r="AE1423" s="59" t="str">
        <f t="shared" si="68"/>
        <v>SÍ</v>
      </c>
      <c r="AF1423" s="38" t="e" cm="1">
        <f t="array" aca="1" ref="AF1423" ca="1">MIN(100, MAX(0, (IF(R1423="ESTUDIANTE", 31, 0)) + (IF(I1423&lt;=3, 30, IF(I1423&lt;=6, 20, 0))) +(IF(OR(E1423="413 - Control de Costes y Enlace Construcción", E1423="480 - Secretaría General del Consejo", E1423="132 - Civil y estructuras", E1423="136 - Mecánica", E1423="412 - Planificación", E1423="142 - Compras"), 25, 0)) +(IF(OR(S1423="GRADO ING. MECÁNICA", S1423="GRADO ING. ELÉCTRICA", S1423="GRADO DERECHO", S1423="GRADO ECONOMÍA", S1423="GRADO ING. TECNOLOGÍAS INDUSTRIALES"), 24, 0)) + (IF(AND(K1423&gt;=451, K1423&lt;=700), 23, 0)) + (IF(AND(AB1423&gt;=5, AB1423&lt;=8), 17, 0)) +(IF(_xludf.OR(_xludf.AND(AC1423&gt;=8, AC1423&lt;=10), _xludf.AND(AC1423&gt;=0, AC1423&lt;=5)), 16, 0)) + (IF(F1423="Madrid", 11, 0))))</f>
        <v>#NAME?</v>
      </c>
      <c r="AG1423" s="68"/>
      <c r="AH1423" s="71" t="s">
        <v>164</v>
      </c>
    </row>
    <row r="1424" spans="1:34" ht="14.4" x14ac:dyDescent="0.3">
      <c r="A1424" s="66" t="s">
        <v>2972</v>
      </c>
      <c r="B1424" s="66" t="s">
        <v>5089</v>
      </c>
      <c r="C1424" s="33">
        <v>1416</v>
      </c>
      <c r="D1424" s="33" t="s">
        <v>5394</v>
      </c>
      <c r="E1424" s="34" t="s">
        <v>5315</v>
      </c>
      <c r="F1424" s="34" t="s">
        <v>931</v>
      </c>
      <c r="G1424" s="57">
        <v>44837</v>
      </c>
      <c r="H1424" s="57">
        <v>44904</v>
      </c>
      <c r="I1424" s="34">
        <f t="shared" si="66"/>
        <v>2</v>
      </c>
      <c r="J1424" s="34">
        <v>40</v>
      </c>
      <c r="K1424" s="36">
        <v>0</v>
      </c>
      <c r="L1424" s="34" t="s">
        <v>17</v>
      </c>
      <c r="M1424" s="57">
        <v>36526</v>
      </c>
      <c r="N1424" s="37">
        <f>(YEAR(TablaMadre[[#This Row],[ALTA]])-YEAR(M1424))</f>
        <v>22</v>
      </c>
      <c r="O1424" s="34"/>
      <c r="P1424" s="34"/>
      <c r="Q1424" s="34" t="s">
        <v>582</v>
      </c>
      <c r="R1424" s="34" t="s">
        <v>30</v>
      </c>
      <c r="S1424" s="34" t="s">
        <v>26</v>
      </c>
      <c r="T1424" s="34"/>
      <c r="U1424" s="34"/>
      <c r="V1424" s="34" t="s">
        <v>27</v>
      </c>
      <c r="W1424" s="34" t="s">
        <v>23</v>
      </c>
      <c r="X1424" s="38" t="s">
        <v>164</v>
      </c>
      <c r="Y1424" s="62"/>
      <c r="Z1424" s="38" t="e">
        <f t="shared" si="67"/>
        <v>#NUM!</v>
      </c>
      <c r="AA1424" s="38"/>
      <c r="AB1424" s="34"/>
      <c r="AC1424" s="34"/>
      <c r="AD1424" s="38"/>
      <c r="AE1424" s="59" t="str">
        <f t="shared" si="68"/>
        <v>SÍ</v>
      </c>
      <c r="AF1424" s="38" t="e" cm="1">
        <f t="array" aca="1" ref="AF1424" ca="1">MIN(100, MAX(0, (IF(R1424="ESTUDIANTE", 31, 0)) + (IF(I1424&lt;=3, 30, IF(I1424&lt;=6, 20, 0))) +(IF(OR(E1424="413 - Control de Costes y Enlace Construcción", E1424="480 - Secretaría General del Consejo", E1424="132 - Civil y estructuras", E1424="136 - Mecánica", E1424="412 - Planificación", E1424="142 - Compras"), 25, 0)) +(IF(OR(S1424="GRADO ING. MECÁNICA", S1424="GRADO ING. ELÉCTRICA", S1424="GRADO DERECHO", S1424="GRADO ECONOMÍA", S1424="GRADO ING. TECNOLOGÍAS INDUSTRIALES"), 24, 0)) + (IF(AND(K1424&gt;=451, K1424&lt;=700), 23, 0)) + (IF(AND(AB1424&gt;=5, AB1424&lt;=8), 17, 0)) +(IF(_xludf.OR(_xludf.AND(AC1424&gt;=8, AC1424&lt;=10), _xludf.AND(AC1424&gt;=0, AC1424&lt;=5)), 16, 0)) + (IF(F1424="Madrid", 11, 0))))</f>
        <v>#NAME?</v>
      </c>
      <c r="AG1424" s="68"/>
      <c r="AH1424" s="71" t="s">
        <v>164</v>
      </c>
    </row>
    <row r="1425" spans="1:34" ht="14.4" x14ac:dyDescent="0.3">
      <c r="A1425" s="66" t="s">
        <v>2974</v>
      </c>
      <c r="B1425" s="66" t="s">
        <v>5091</v>
      </c>
      <c r="C1425" s="33">
        <v>1418</v>
      </c>
      <c r="D1425" s="33" t="s">
        <v>5395</v>
      </c>
      <c r="E1425" s="34" t="s">
        <v>5315</v>
      </c>
      <c r="F1425" s="34" t="s">
        <v>931</v>
      </c>
      <c r="G1425" s="57">
        <v>44837</v>
      </c>
      <c r="H1425" s="57">
        <v>44942</v>
      </c>
      <c r="I1425" s="34">
        <f t="shared" si="66"/>
        <v>3</v>
      </c>
      <c r="J1425" s="34">
        <v>40</v>
      </c>
      <c r="K1425" s="36">
        <v>0</v>
      </c>
      <c r="L1425" s="34" t="s">
        <v>17</v>
      </c>
      <c r="M1425" s="57">
        <v>36526</v>
      </c>
      <c r="N1425" s="37">
        <f>(YEAR(TablaMadre[[#This Row],[ALTA]])-YEAR(M1425))</f>
        <v>22</v>
      </c>
      <c r="O1425" s="34"/>
      <c r="P1425" s="34"/>
      <c r="Q1425" s="34" t="s">
        <v>497</v>
      </c>
      <c r="R1425" s="34" t="s">
        <v>30</v>
      </c>
      <c r="S1425" s="34" t="s">
        <v>26</v>
      </c>
      <c r="T1425" s="34"/>
      <c r="U1425" s="34"/>
      <c r="V1425" s="34" t="s">
        <v>27</v>
      </c>
      <c r="W1425" s="34" t="s">
        <v>23</v>
      </c>
      <c r="X1425" s="34" t="s">
        <v>164</v>
      </c>
      <c r="Y1425" s="57"/>
      <c r="Z1425" s="34" t="e">
        <f t="shared" si="67"/>
        <v>#NUM!</v>
      </c>
      <c r="AA1425" s="34"/>
      <c r="AB1425" s="34"/>
      <c r="AC1425" s="34"/>
      <c r="AD1425" s="34"/>
      <c r="AE1425" s="59" t="str">
        <f t="shared" si="68"/>
        <v>SÍ</v>
      </c>
      <c r="AF1425" s="38" t="e" cm="1">
        <f t="array" aca="1" ref="AF1425" ca="1">MIN(100, MAX(0, (IF(R1425="ESTUDIANTE", 31, 0)) + (IF(I1425&lt;=3, 30, IF(I1425&lt;=6, 20, 0))) +(IF(OR(E1425="413 - Control de Costes y Enlace Construcción", E1425="480 - Secretaría General del Consejo", E1425="132 - Civil y estructuras", E1425="136 - Mecánica", E1425="412 - Planificación", E1425="142 - Compras"), 25, 0)) +(IF(OR(S1425="GRADO ING. MECÁNICA", S1425="GRADO ING. ELÉCTRICA", S1425="GRADO DERECHO", S1425="GRADO ECONOMÍA", S1425="GRADO ING. TECNOLOGÍAS INDUSTRIALES"), 24, 0)) + (IF(AND(K1425&gt;=451, K1425&lt;=700), 23, 0)) + (IF(AND(AB1425&gt;=5, AB1425&lt;=8), 17, 0)) +(IF(_xludf.OR(_xludf.AND(AC1425&gt;=8, AC1425&lt;=10), _xludf.AND(AC1425&gt;=0, AC1425&lt;=5)), 16, 0)) + (IF(F1425="Madrid", 11, 0))))</f>
        <v>#NAME?</v>
      </c>
      <c r="AG1425" s="68"/>
      <c r="AH1425" s="71" t="s">
        <v>164</v>
      </c>
    </row>
    <row r="1426" spans="1:34" ht="14.4" x14ac:dyDescent="0.3">
      <c r="A1426" s="66" t="s">
        <v>2366</v>
      </c>
      <c r="B1426" s="66" t="s">
        <v>4483</v>
      </c>
      <c r="C1426" s="33">
        <v>1425</v>
      </c>
      <c r="D1426" s="33" t="s">
        <v>5396</v>
      </c>
      <c r="E1426" s="34" t="s">
        <v>5285</v>
      </c>
      <c r="F1426" s="34" t="s">
        <v>18</v>
      </c>
      <c r="G1426" s="57">
        <v>44844</v>
      </c>
      <c r="H1426" s="57">
        <v>44932</v>
      </c>
      <c r="I1426" s="34">
        <f t="shared" si="66"/>
        <v>2</v>
      </c>
      <c r="J1426" s="34">
        <v>35</v>
      </c>
      <c r="K1426" s="36">
        <v>900</v>
      </c>
      <c r="L1426" s="34" t="s">
        <v>17</v>
      </c>
      <c r="M1426" s="57">
        <v>33876</v>
      </c>
      <c r="N1426" s="37">
        <f>(YEAR(TablaMadre[[#This Row],[ALTA]])-YEAR(M1426))</f>
        <v>30</v>
      </c>
      <c r="O1426" s="34" t="s">
        <v>943</v>
      </c>
      <c r="P1426" s="34" t="s">
        <v>19</v>
      </c>
      <c r="Q1426" s="34" t="s">
        <v>590</v>
      </c>
      <c r="R1426" s="34" t="s">
        <v>21</v>
      </c>
      <c r="S1426" s="34" t="s">
        <v>591</v>
      </c>
      <c r="T1426" s="34"/>
      <c r="U1426" s="34"/>
      <c r="V1426" s="34" t="s">
        <v>592</v>
      </c>
      <c r="W1426" s="34" t="s">
        <v>47</v>
      </c>
      <c r="X1426" s="38" t="s">
        <v>164</v>
      </c>
      <c r="Y1426" s="62"/>
      <c r="Z1426" s="38" t="e">
        <f t="shared" si="67"/>
        <v>#NUM!</v>
      </c>
      <c r="AA1426" s="38"/>
      <c r="AB1426" s="34"/>
      <c r="AC1426" s="34"/>
      <c r="AD1426" s="38"/>
      <c r="AE1426" s="59" t="str">
        <f t="shared" si="68"/>
        <v>SÍ</v>
      </c>
      <c r="AF1426" s="38" t="e" cm="1">
        <f t="array" aca="1" ref="AF1426" ca="1">MIN(100, MAX(0, (IF(R1426="ESTUDIANTE", 31, 0)) + (IF(I1426&lt;=3, 30, IF(I1426&lt;=6, 20, 0))) +(IF(OR(E1426="413 - Control de Costes y Enlace Construcción", E1426="480 - Secretaría General del Consejo", E1426="132 - Civil y estructuras", E1426="136 - Mecánica", E1426="412 - Planificación", E1426="142 - Compras"), 25, 0)) +(IF(OR(S1426="GRADO ING. MECÁNICA", S1426="GRADO ING. ELÉCTRICA", S1426="GRADO DERECHO", S1426="GRADO ECONOMÍA", S1426="GRADO ING. TECNOLOGÍAS INDUSTRIALES"), 24, 0)) + (IF(AND(K1426&gt;=451, K1426&lt;=700), 23, 0)) + (IF(AND(AB1426&gt;=5, AB1426&lt;=8), 17, 0)) +(IF(_xludf.OR(_xludf.AND(AC1426&gt;=8, AC1426&lt;=10), _xludf.AND(AC1426&gt;=0, AC1426&lt;=5)), 16, 0)) + (IF(F1426="Madrid", 11, 0))))</f>
        <v>#NAME?</v>
      </c>
      <c r="AG1426" s="68"/>
      <c r="AH1426" s="71" t="s">
        <v>164</v>
      </c>
    </row>
    <row r="1427" spans="1:34" s="4" customFormat="1" ht="14.4" x14ac:dyDescent="0.3">
      <c r="A1427" s="66" t="s">
        <v>2405</v>
      </c>
      <c r="B1427" s="66" t="s">
        <v>4522</v>
      </c>
      <c r="C1427" s="33">
        <v>1426</v>
      </c>
      <c r="D1427" s="33" t="s">
        <v>5397</v>
      </c>
      <c r="E1427" s="34" t="s">
        <v>5222</v>
      </c>
      <c r="F1427" s="34" t="s">
        <v>18</v>
      </c>
      <c r="G1427" s="57">
        <v>44844</v>
      </c>
      <c r="H1427" s="57">
        <v>45025</v>
      </c>
      <c r="I1427" s="34">
        <f t="shared" si="66"/>
        <v>5</v>
      </c>
      <c r="J1427" s="34">
        <v>35</v>
      </c>
      <c r="K1427" s="36">
        <v>650</v>
      </c>
      <c r="L1427" s="34" t="s">
        <v>17</v>
      </c>
      <c r="M1427" s="57">
        <v>36181</v>
      </c>
      <c r="N1427" s="37">
        <f>(YEAR(TablaMadre[[#This Row],[ALTA]])-YEAR(M1427))</f>
        <v>23</v>
      </c>
      <c r="O1427" s="34" t="s">
        <v>18</v>
      </c>
      <c r="P1427" s="34" t="s">
        <v>19</v>
      </c>
      <c r="Q1427" s="34" t="s">
        <v>617</v>
      </c>
      <c r="R1427" s="58" t="s">
        <v>30</v>
      </c>
      <c r="S1427" s="34" t="s">
        <v>26</v>
      </c>
      <c r="T1427" s="34"/>
      <c r="U1427" s="34"/>
      <c r="V1427" s="34" t="s">
        <v>27</v>
      </c>
      <c r="W1427" s="34" t="s">
        <v>28</v>
      </c>
      <c r="X1427" s="34" t="s">
        <v>173</v>
      </c>
      <c r="Y1427" s="57"/>
      <c r="Z1427" s="34" t="e">
        <f t="shared" si="67"/>
        <v>#NUM!</v>
      </c>
      <c r="AA1427" s="34"/>
      <c r="AB1427" s="34">
        <v>8</v>
      </c>
      <c r="AC1427" s="34">
        <v>9</v>
      </c>
      <c r="AD1427" s="34"/>
      <c r="AE1427" s="59" t="str">
        <f t="shared" si="68"/>
        <v>NO</v>
      </c>
      <c r="AF1427" s="34" t="e" cm="1">
        <f t="array" aca="1" ref="AF1427" ca="1">MIN(100, MAX(0, (IF(R1427="ESTUDIANTE", 31, 0)) + (IF(I1427&lt;=3, 30, IF(I1427&lt;=6, 20, 0))) +(IF(OR(E1427="413 - Control de Costes y Enlace Construcción", E1427="480 - Secretaría General del Consejo", E1427="132 - Civil y estructuras", E1427="136 - Mecánica", E1427="412 - Planificación", E1427="142 - Compras"), 25, 0)) +(IF(OR(S1427="GRADO ING. MECÁNICA", S1427="GRADO ING. ELÉCTRICA", S1427="GRADO DERECHO", S1427="GRADO ECONOMÍA", S1427="GRADO ING. TECNOLOGÍAS INDUSTRIALES"), 24, 0)) + (IF(AND(K1427&gt;=451, K1427&lt;=700), 23, 0)) + (IF(AND(AB1427&gt;=5, AB1427&lt;=8), 17, 0)) +(IF(_xludf.OR(_xludf.AND(AC1427&gt;=8, AC1427&lt;=10), _xludf.AND(AC1427&gt;=0, AC1427&lt;=5)), 16, 0)) + (IF(F1427="Madrid", 11, 0))))</f>
        <v>#NAME?</v>
      </c>
      <c r="AG1427" s="69"/>
      <c r="AH1427" s="71" t="s">
        <v>164</v>
      </c>
    </row>
    <row r="1428" spans="1:34" ht="14.4" x14ac:dyDescent="0.3">
      <c r="A1428" s="66" t="s">
        <v>2406</v>
      </c>
      <c r="B1428" s="66" t="s">
        <v>4523</v>
      </c>
      <c r="C1428" s="33">
        <v>1427</v>
      </c>
      <c r="D1428" s="33" t="s">
        <v>5398</v>
      </c>
      <c r="E1428" s="34" t="s">
        <v>5233</v>
      </c>
      <c r="F1428" s="34" t="s">
        <v>18</v>
      </c>
      <c r="G1428" s="57">
        <v>44844</v>
      </c>
      <c r="H1428" s="57">
        <v>45208</v>
      </c>
      <c r="I1428" s="34">
        <f t="shared" si="66"/>
        <v>11</v>
      </c>
      <c r="J1428" s="34">
        <v>35</v>
      </c>
      <c r="K1428" s="36">
        <v>700</v>
      </c>
      <c r="L1428" s="34" t="s">
        <v>17</v>
      </c>
      <c r="M1428" s="57">
        <v>36098</v>
      </c>
      <c r="N1428" s="37">
        <f>(YEAR(TablaMadre[[#This Row],[ALTA]])-YEAR(M1428))</f>
        <v>24</v>
      </c>
      <c r="O1428" s="34" t="s">
        <v>18</v>
      </c>
      <c r="P1428" s="34" t="s">
        <v>19</v>
      </c>
      <c r="Q1428" s="34" t="s">
        <v>604</v>
      </c>
      <c r="R1428" s="58" t="s">
        <v>30</v>
      </c>
      <c r="S1428" s="34" t="s">
        <v>297</v>
      </c>
      <c r="T1428" s="34"/>
      <c r="U1428" s="34"/>
      <c r="V1428" s="34" t="s">
        <v>40</v>
      </c>
      <c r="W1428" s="34" t="s">
        <v>28</v>
      </c>
      <c r="X1428" s="38" t="s">
        <v>173</v>
      </c>
      <c r="Y1428" s="62"/>
      <c r="Z1428" s="38" t="e">
        <f t="shared" si="67"/>
        <v>#NUM!</v>
      </c>
      <c r="AA1428" s="38"/>
      <c r="AB1428" s="34">
        <v>9</v>
      </c>
      <c r="AC1428" s="34">
        <v>8</v>
      </c>
      <c r="AD1428" s="38"/>
      <c r="AE1428" s="59" t="str">
        <f t="shared" si="68"/>
        <v>NO</v>
      </c>
      <c r="AF1428" s="38" t="e" cm="1">
        <f t="array" aca="1" ref="AF1428" ca="1">MIN(100, MAX(0, (IF(R1428="ESTUDIANTE", 31, 0)) + (IF(I1428&lt;=3, 30, IF(I1428&lt;=6, 20, 0))) +(IF(OR(E1428="413 - Control de Costes y Enlace Construcción", E1428="480 - Secretaría General del Consejo", E1428="132 - Civil y estructuras", E1428="136 - Mecánica", E1428="412 - Planificación", E1428="142 - Compras"), 25, 0)) +(IF(OR(S1428="GRADO ING. MECÁNICA", S1428="GRADO ING. ELÉCTRICA", S1428="GRADO DERECHO", S1428="GRADO ECONOMÍA", S1428="GRADO ING. TECNOLOGÍAS INDUSTRIALES"), 24, 0)) + (IF(AND(K1428&gt;=451, K1428&lt;=700), 23, 0)) + (IF(AND(AB1428&gt;=5, AB1428&lt;=8), 17, 0)) +(IF(_xludf.OR(_xludf.AND(AC1428&gt;=8, AC1428&lt;=10), _xludf.AND(AC1428&gt;=0, AC1428&lt;=5)), 16, 0)) + (IF(F1428="Madrid", 11, 0))))</f>
        <v>#NAME?</v>
      </c>
      <c r="AG1428" s="68"/>
      <c r="AH1428" s="71" t="s">
        <v>164</v>
      </c>
    </row>
    <row r="1429" spans="1:34" ht="14.4" x14ac:dyDescent="0.3">
      <c r="A1429" s="66" t="s">
        <v>2407</v>
      </c>
      <c r="B1429" s="66" t="s">
        <v>4524</v>
      </c>
      <c r="C1429" s="33">
        <v>1428</v>
      </c>
      <c r="D1429" s="33" t="s">
        <v>5399</v>
      </c>
      <c r="E1429" s="34" t="s">
        <v>5235</v>
      </c>
      <c r="F1429" s="34" t="s">
        <v>18</v>
      </c>
      <c r="G1429" s="57">
        <v>44844</v>
      </c>
      <c r="H1429" s="57">
        <v>45208</v>
      </c>
      <c r="I1429" s="34">
        <f t="shared" si="66"/>
        <v>11</v>
      </c>
      <c r="J1429" s="34">
        <v>35</v>
      </c>
      <c r="K1429" s="36">
        <v>700</v>
      </c>
      <c r="L1429" s="34" t="s">
        <v>17</v>
      </c>
      <c r="M1429" s="57">
        <v>35613</v>
      </c>
      <c r="N1429" s="37">
        <f>(YEAR(TablaMadre[[#This Row],[ALTA]])-YEAR(M1429))</f>
        <v>25</v>
      </c>
      <c r="O1429" s="34" t="s">
        <v>211</v>
      </c>
      <c r="P1429" s="34" t="s">
        <v>19</v>
      </c>
      <c r="Q1429" s="34" t="s">
        <v>326</v>
      </c>
      <c r="R1429" s="58" t="s">
        <v>30</v>
      </c>
      <c r="S1429" s="34" t="s">
        <v>326</v>
      </c>
      <c r="T1429" s="34"/>
      <c r="U1429" s="34"/>
      <c r="V1429" s="34" t="s">
        <v>22</v>
      </c>
      <c r="W1429" s="34" t="s">
        <v>28</v>
      </c>
      <c r="X1429" s="38" t="s">
        <v>173</v>
      </c>
      <c r="Y1429" s="62"/>
      <c r="Z1429" s="38" t="e">
        <f t="shared" si="67"/>
        <v>#NUM!</v>
      </c>
      <c r="AA1429" s="38"/>
      <c r="AB1429" s="34" t="s">
        <v>622</v>
      </c>
      <c r="AC1429" s="34">
        <v>9</v>
      </c>
      <c r="AD1429" s="38"/>
      <c r="AE1429" s="59" t="str">
        <f t="shared" si="68"/>
        <v>SÍ</v>
      </c>
      <c r="AF1429" s="38" t="e" cm="1">
        <f t="array" aca="1" ref="AF1429" ca="1">MIN(100, MAX(0, (IF(R1429="ESTUDIANTE", 31, 0)) + (IF(I1429&lt;=3, 30, IF(I1429&lt;=6, 20, 0))) +(IF(OR(E1429="413 - Control de Costes y Enlace Construcción", E1429="480 - Secretaría General del Consejo", E1429="132 - Civil y estructuras", E1429="136 - Mecánica", E1429="412 - Planificación", E1429="142 - Compras"), 25, 0)) +(IF(OR(S1429="GRADO ING. MECÁNICA", S1429="GRADO ING. ELÉCTRICA", S1429="GRADO DERECHO", S1429="GRADO ECONOMÍA", S1429="GRADO ING. TECNOLOGÍAS INDUSTRIALES"), 24, 0)) + (IF(AND(K1429&gt;=451, K1429&lt;=700), 23, 0)) + (IF(AND(AB1429&gt;=5, AB1429&lt;=8), 17, 0)) +(IF(_xludf.OR(_xludf.AND(AC1429&gt;=8, AC1429&lt;=10), _xludf.AND(AC1429&gt;=0, AC1429&lt;=5)), 16, 0)) + (IF(F1429="Madrid", 11, 0))))</f>
        <v>#NAME?</v>
      </c>
      <c r="AG1429" s="68"/>
      <c r="AH1429" s="71" t="s">
        <v>164</v>
      </c>
    </row>
    <row r="1430" spans="1:34" ht="14.4" x14ac:dyDescent="0.3">
      <c r="A1430" s="66" t="s">
        <v>2408</v>
      </c>
      <c r="B1430" s="66" t="s">
        <v>4525</v>
      </c>
      <c r="C1430" s="33">
        <v>1429</v>
      </c>
      <c r="D1430" s="33" t="s">
        <v>5400</v>
      </c>
      <c r="E1430" s="34" t="s">
        <v>5339</v>
      </c>
      <c r="F1430" s="34" t="s">
        <v>18</v>
      </c>
      <c r="G1430" s="57">
        <v>44851</v>
      </c>
      <c r="H1430" s="57">
        <v>45138</v>
      </c>
      <c r="I1430" s="34">
        <f t="shared" si="66"/>
        <v>9</v>
      </c>
      <c r="J1430" s="34">
        <v>35</v>
      </c>
      <c r="K1430" s="36">
        <v>825</v>
      </c>
      <c r="L1430" s="34" t="s">
        <v>29</v>
      </c>
      <c r="M1430" s="35">
        <v>36271</v>
      </c>
      <c r="N1430" s="37">
        <f>(YEAR(TablaMadre[[#This Row],[ALTA]])-YEAR(M1430))</f>
        <v>23</v>
      </c>
      <c r="O1430" s="34" t="s">
        <v>654</v>
      </c>
      <c r="P1430" s="34" t="s">
        <v>19</v>
      </c>
      <c r="Q1430" s="34" t="s">
        <v>533</v>
      </c>
      <c r="R1430" s="34" t="s">
        <v>21</v>
      </c>
      <c r="S1430" s="34" t="s">
        <v>297</v>
      </c>
      <c r="T1430" s="34"/>
      <c r="U1430" s="34"/>
      <c r="V1430" s="34" t="s">
        <v>51</v>
      </c>
      <c r="W1430" s="34" t="s">
        <v>28</v>
      </c>
      <c r="X1430" s="38" t="s">
        <v>173</v>
      </c>
      <c r="Y1430" s="62"/>
      <c r="Z1430" s="38" t="e">
        <f t="shared" si="67"/>
        <v>#NUM!</v>
      </c>
      <c r="AA1430" s="38"/>
      <c r="AB1430" s="34">
        <v>10</v>
      </c>
      <c r="AC1430" s="34">
        <v>9</v>
      </c>
      <c r="AD1430" s="38"/>
      <c r="AE1430" s="59" t="str">
        <f t="shared" si="68"/>
        <v>SÍ</v>
      </c>
      <c r="AF1430" s="38" t="e" cm="1">
        <f t="array" aca="1" ref="AF1430" ca="1">MIN(100, MAX(0, (IF(R1430="ESTUDIANTE", 31, 0)) + (IF(I1430&lt;=3, 30, IF(I1430&lt;=6, 20, 0))) +(IF(OR(E1430="413 - Control de Costes y Enlace Construcción", E1430="480 - Secretaría General del Consejo", E1430="132 - Civil y estructuras", E1430="136 - Mecánica", E1430="412 - Planificación", E1430="142 - Compras"), 25, 0)) +(IF(OR(S1430="GRADO ING. MECÁNICA", S1430="GRADO ING. ELÉCTRICA", S1430="GRADO DERECHO", S1430="GRADO ECONOMÍA", S1430="GRADO ING. TECNOLOGÍAS INDUSTRIALES"), 24, 0)) + (IF(AND(K1430&gt;=451, K1430&lt;=700), 23, 0)) + (IF(AND(AB1430&gt;=5, AB1430&lt;=8), 17, 0)) +(IF(_xludf.OR(_xludf.AND(AC1430&gt;=8, AC1430&lt;=10), _xludf.AND(AC1430&gt;=0, AC1430&lt;=5)), 16, 0)) + (IF(F1430="Madrid", 11, 0))))</f>
        <v>#NAME?</v>
      </c>
      <c r="AG1430" s="68"/>
      <c r="AH1430" s="71" t="s">
        <v>164</v>
      </c>
    </row>
    <row r="1431" spans="1:34" s="4" customFormat="1" ht="14.4" x14ac:dyDescent="0.3">
      <c r="A1431" s="66" t="s">
        <v>2409</v>
      </c>
      <c r="B1431" s="66" t="s">
        <v>4526</v>
      </c>
      <c r="C1431" s="33">
        <v>1430</v>
      </c>
      <c r="D1431" s="33" t="s">
        <v>5401</v>
      </c>
      <c r="E1431" s="34" t="s">
        <v>5340</v>
      </c>
      <c r="F1431" s="34" t="s">
        <v>18</v>
      </c>
      <c r="G1431" s="57">
        <v>44851</v>
      </c>
      <c r="H1431" s="57">
        <v>45199</v>
      </c>
      <c r="I1431" s="34">
        <f t="shared" si="66"/>
        <v>11</v>
      </c>
      <c r="J1431" s="34">
        <v>35</v>
      </c>
      <c r="K1431" s="36">
        <v>800</v>
      </c>
      <c r="L1431" s="34" t="s">
        <v>29</v>
      </c>
      <c r="M1431" s="35">
        <v>36501</v>
      </c>
      <c r="N1431" s="37">
        <f>(YEAR(TablaMadre[[#This Row],[ALTA]])-YEAR(M1431))</f>
        <v>23</v>
      </c>
      <c r="O1431" s="34" t="s">
        <v>257</v>
      </c>
      <c r="P1431" s="34" t="s">
        <v>19</v>
      </c>
      <c r="Q1431" s="34" t="s">
        <v>666</v>
      </c>
      <c r="R1431" s="34" t="s">
        <v>21</v>
      </c>
      <c r="S1431" s="34" t="s">
        <v>345</v>
      </c>
      <c r="T1431" s="34"/>
      <c r="U1431" s="34"/>
      <c r="V1431" s="34" t="s">
        <v>122</v>
      </c>
      <c r="W1431" s="34" t="s">
        <v>28</v>
      </c>
      <c r="X1431" s="34" t="s">
        <v>173</v>
      </c>
      <c r="Y1431" s="57"/>
      <c r="Z1431" s="34" t="e">
        <f t="shared" si="67"/>
        <v>#NUM!</v>
      </c>
      <c r="AA1431" s="34"/>
      <c r="AB1431" s="34">
        <v>9</v>
      </c>
      <c r="AC1431" s="34">
        <v>9</v>
      </c>
      <c r="AD1431" s="34"/>
      <c r="AE1431" s="59" t="str">
        <f t="shared" si="68"/>
        <v>SÍ</v>
      </c>
      <c r="AF1431" s="34" t="e" cm="1">
        <f t="array" aca="1" ref="AF1431" ca="1">MIN(100, MAX(0, (IF(R1431="ESTUDIANTE", 31, 0)) + (IF(I1431&lt;=3, 30, IF(I1431&lt;=6, 20, 0))) +(IF(OR(E1431="413 - Control de Costes y Enlace Construcción", E1431="480 - Secretaría General del Consejo", E1431="132 - Civil y estructuras", E1431="136 - Mecánica", E1431="412 - Planificación", E1431="142 - Compras"), 25, 0)) +(IF(OR(S1431="GRADO ING. MECÁNICA", S1431="GRADO ING. ELÉCTRICA", S1431="GRADO DERECHO", S1431="GRADO ECONOMÍA", S1431="GRADO ING. TECNOLOGÍAS INDUSTRIALES"), 24, 0)) + (IF(AND(K1431&gt;=451, K1431&lt;=700), 23, 0)) + (IF(AND(AB1431&gt;=5, AB1431&lt;=8), 17, 0)) +(IF(_xludf.OR(_xludf.AND(AC1431&gt;=8, AC1431&lt;=10), _xludf.AND(AC1431&gt;=0, AC1431&lt;=5)), 16, 0)) + (IF(F1431="Madrid", 11, 0))))</f>
        <v>#NAME?</v>
      </c>
      <c r="AG1431" s="69"/>
      <c r="AH1431" s="71" t="s">
        <v>164</v>
      </c>
    </row>
    <row r="1432" spans="1:34" ht="14.4" x14ac:dyDescent="0.3">
      <c r="A1432" s="66" t="s">
        <v>2410</v>
      </c>
      <c r="B1432" s="66" t="s">
        <v>4527</v>
      </c>
      <c r="C1432" s="33">
        <v>1431</v>
      </c>
      <c r="D1432" s="33" t="s">
        <v>5402</v>
      </c>
      <c r="E1432" s="34" t="s">
        <v>5341</v>
      </c>
      <c r="F1432" s="34" t="s">
        <v>18</v>
      </c>
      <c r="G1432" s="57">
        <v>44851</v>
      </c>
      <c r="H1432" s="57">
        <v>45199</v>
      </c>
      <c r="I1432" s="34">
        <f t="shared" si="66"/>
        <v>11</v>
      </c>
      <c r="J1432" s="34">
        <v>35</v>
      </c>
      <c r="K1432" s="36">
        <v>750</v>
      </c>
      <c r="L1432" s="34" t="s">
        <v>17</v>
      </c>
      <c r="M1432" s="35">
        <v>34653</v>
      </c>
      <c r="N1432" s="37">
        <f>(YEAR(TablaMadre[[#This Row],[ALTA]])-YEAR(M1432))</f>
        <v>28</v>
      </c>
      <c r="O1432" s="34" t="s">
        <v>18</v>
      </c>
      <c r="P1432" s="34" t="s">
        <v>19</v>
      </c>
      <c r="Q1432" s="34" t="s">
        <v>667</v>
      </c>
      <c r="R1432" s="34" t="s">
        <v>21</v>
      </c>
      <c r="S1432" s="34" t="s">
        <v>345</v>
      </c>
      <c r="T1432" s="34"/>
      <c r="U1432" s="34"/>
      <c r="V1432" s="34" t="s">
        <v>56</v>
      </c>
      <c r="W1432" s="34" t="s">
        <v>28</v>
      </c>
      <c r="X1432" s="38" t="s">
        <v>173</v>
      </c>
      <c r="Y1432" s="62"/>
      <c r="Z1432" s="38" t="e">
        <f t="shared" si="67"/>
        <v>#NUM!</v>
      </c>
      <c r="AA1432" s="38"/>
      <c r="AB1432" s="34">
        <v>10</v>
      </c>
      <c r="AC1432" s="34">
        <v>10</v>
      </c>
      <c r="AD1432" s="38"/>
      <c r="AE1432" s="59" t="str">
        <f t="shared" si="68"/>
        <v>NO</v>
      </c>
      <c r="AF1432" s="38" t="e" cm="1">
        <f t="array" aca="1" ref="AF1432" ca="1">MIN(100, MAX(0, (IF(R1432="ESTUDIANTE", 31, 0)) + (IF(I1432&lt;=3, 30, IF(I1432&lt;=6, 20, 0))) +(IF(OR(E1432="413 - Control de Costes y Enlace Construcción", E1432="480 - Secretaría General del Consejo", E1432="132 - Civil y estructuras", E1432="136 - Mecánica", E1432="412 - Planificación", E1432="142 - Compras"), 25, 0)) +(IF(OR(S1432="GRADO ING. MECÁNICA", S1432="GRADO ING. ELÉCTRICA", S1432="GRADO DERECHO", S1432="GRADO ECONOMÍA", S1432="GRADO ING. TECNOLOGÍAS INDUSTRIALES"), 24, 0)) + (IF(AND(K1432&gt;=451, K1432&lt;=700), 23, 0)) + (IF(AND(AB1432&gt;=5, AB1432&lt;=8), 17, 0)) +(IF(_xludf.OR(_xludf.AND(AC1432&gt;=8, AC1432&lt;=10), _xludf.AND(AC1432&gt;=0, AC1432&lt;=5)), 16, 0)) + (IF(F1432="Madrid", 11, 0))))</f>
        <v>#NAME?</v>
      </c>
      <c r="AG1432" s="68"/>
      <c r="AH1432" s="71" t="s">
        <v>164</v>
      </c>
    </row>
    <row r="1433" spans="1:34" ht="14.4" x14ac:dyDescent="0.3">
      <c r="A1433" s="66" t="s">
        <v>2411</v>
      </c>
      <c r="B1433" s="66" t="s">
        <v>4528</v>
      </c>
      <c r="C1433" s="33">
        <v>1432</v>
      </c>
      <c r="D1433" s="33" t="s">
        <v>5393</v>
      </c>
      <c r="E1433" s="34" t="s">
        <v>5315</v>
      </c>
      <c r="F1433" s="34" t="s">
        <v>931</v>
      </c>
      <c r="G1433" s="57">
        <v>44860</v>
      </c>
      <c r="H1433" s="57">
        <v>45041</v>
      </c>
      <c r="I1433" s="34">
        <f t="shared" si="66"/>
        <v>5</v>
      </c>
      <c r="J1433" s="34">
        <v>35</v>
      </c>
      <c r="K1433" s="36">
        <v>650</v>
      </c>
      <c r="L1433" s="34" t="s">
        <v>17</v>
      </c>
      <c r="M1433" s="57">
        <v>36526</v>
      </c>
      <c r="N1433" s="37">
        <f>(YEAR(TablaMadre[[#This Row],[ALTA]])-YEAR(M1433))</f>
        <v>22</v>
      </c>
      <c r="O1433" s="34"/>
      <c r="P1433" s="34" t="s">
        <v>19</v>
      </c>
      <c r="Q1433" s="34" t="s">
        <v>621</v>
      </c>
      <c r="R1433" s="58" t="s">
        <v>30</v>
      </c>
      <c r="S1433" s="34" t="s">
        <v>384</v>
      </c>
      <c r="T1433" s="34"/>
      <c r="U1433" s="34"/>
      <c r="V1433" s="34" t="s">
        <v>163</v>
      </c>
      <c r="W1433" s="34" t="s">
        <v>23</v>
      </c>
      <c r="X1433" s="38" t="s">
        <v>164</v>
      </c>
      <c r="Y1433" s="62"/>
      <c r="Z1433" s="38" t="e">
        <f t="shared" si="67"/>
        <v>#NUM!</v>
      </c>
      <c r="AA1433" s="38"/>
      <c r="AB1433" s="34"/>
      <c r="AC1433" s="34"/>
      <c r="AD1433" s="38"/>
      <c r="AE1433" s="59" t="str">
        <f t="shared" si="68"/>
        <v>SÍ</v>
      </c>
      <c r="AF1433" s="38" t="e" cm="1">
        <f t="array" aca="1" ref="AF1433" ca="1">MIN(100, MAX(0, (IF(R1433="ESTUDIANTE", 31, 0)) + (IF(I1433&lt;=3, 30, IF(I1433&lt;=6, 20, 0))) +(IF(OR(E1433="413 - Control de Costes y Enlace Construcción", E1433="480 - Secretaría General del Consejo", E1433="132 - Civil y estructuras", E1433="136 - Mecánica", E1433="412 - Planificación", E1433="142 - Compras"), 25, 0)) +(IF(OR(S1433="GRADO ING. MECÁNICA", S1433="GRADO ING. ELÉCTRICA", S1433="GRADO DERECHO", S1433="GRADO ECONOMÍA", S1433="GRADO ING. TECNOLOGÍAS INDUSTRIALES"), 24, 0)) + (IF(AND(K1433&gt;=451, K1433&lt;=700), 23, 0)) + (IF(AND(AB1433&gt;=5, AB1433&lt;=8), 17, 0)) +(IF(_xludf.OR(_xludf.AND(AC1433&gt;=8, AC1433&lt;=10), _xludf.AND(AC1433&gt;=0, AC1433&lt;=5)), 16, 0)) + (IF(F1433="Madrid", 11, 0))))</f>
        <v>#NAME?</v>
      </c>
      <c r="AG1433" s="68"/>
      <c r="AH1433" s="71" t="s">
        <v>164</v>
      </c>
    </row>
    <row r="1434" spans="1:34" ht="14.4" x14ac:dyDescent="0.3">
      <c r="A1434" s="66" t="s">
        <v>2412</v>
      </c>
      <c r="B1434" s="66" t="s">
        <v>4529</v>
      </c>
      <c r="C1434" s="33">
        <v>1433</v>
      </c>
      <c r="D1434" s="33" t="s">
        <v>5394</v>
      </c>
      <c r="E1434" s="34" t="s">
        <v>5241</v>
      </c>
      <c r="F1434" s="34" t="s">
        <v>18</v>
      </c>
      <c r="G1434" s="57">
        <v>44867</v>
      </c>
      <c r="H1434" s="57">
        <v>45046</v>
      </c>
      <c r="I1434" s="34">
        <f t="shared" si="66"/>
        <v>5</v>
      </c>
      <c r="J1434" s="34">
        <v>35</v>
      </c>
      <c r="K1434" s="36">
        <v>825</v>
      </c>
      <c r="L1434" s="34" t="s">
        <v>17</v>
      </c>
      <c r="M1434" s="57">
        <v>35704</v>
      </c>
      <c r="N1434" s="37">
        <f>(YEAR(TablaMadre[[#This Row],[ALTA]])-YEAR(M1434))</f>
        <v>25</v>
      </c>
      <c r="O1434" s="34" t="s">
        <v>18</v>
      </c>
      <c r="P1434" s="34" t="s">
        <v>19</v>
      </c>
      <c r="Q1434" s="34" t="s">
        <v>297</v>
      </c>
      <c r="R1434" s="34" t="s">
        <v>21</v>
      </c>
      <c r="S1434" s="34" t="s">
        <v>297</v>
      </c>
      <c r="T1434" s="34"/>
      <c r="U1434" s="34"/>
      <c r="V1434" s="34" t="s">
        <v>22</v>
      </c>
      <c r="W1434" s="34" t="s">
        <v>28</v>
      </c>
      <c r="X1434" s="38" t="s">
        <v>173</v>
      </c>
      <c r="Y1434" s="62"/>
      <c r="Z1434" s="38" t="e">
        <f t="shared" si="67"/>
        <v>#NUM!</v>
      </c>
      <c r="AA1434" s="38"/>
      <c r="AB1434" s="34" t="s">
        <v>622</v>
      </c>
      <c r="AC1434" s="34">
        <v>9</v>
      </c>
      <c r="AD1434" s="38"/>
      <c r="AE1434" s="59" t="str">
        <f t="shared" si="68"/>
        <v>NO</v>
      </c>
      <c r="AF1434" s="38" t="e" cm="1">
        <f t="array" aca="1" ref="AF1434" ca="1">MIN(100, MAX(0, (IF(R1434="ESTUDIANTE", 31, 0)) + (IF(I1434&lt;=3, 30, IF(I1434&lt;=6, 20, 0))) +(IF(OR(E1434="413 - Control de Costes y Enlace Construcción", E1434="480 - Secretaría General del Consejo", E1434="132 - Civil y estructuras", E1434="136 - Mecánica", E1434="412 - Planificación", E1434="142 - Compras"), 25, 0)) +(IF(OR(S1434="GRADO ING. MECÁNICA", S1434="GRADO ING. ELÉCTRICA", S1434="GRADO DERECHO", S1434="GRADO ECONOMÍA", S1434="GRADO ING. TECNOLOGÍAS INDUSTRIALES"), 24, 0)) + (IF(AND(K1434&gt;=451, K1434&lt;=700), 23, 0)) + (IF(AND(AB1434&gt;=5, AB1434&lt;=8), 17, 0)) +(IF(_xludf.OR(_xludf.AND(AC1434&gt;=8, AC1434&lt;=10), _xludf.AND(AC1434&gt;=0, AC1434&lt;=5)), 16, 0)) + (IF(F1434="Madrid", 11, 0))))</f>
        <v>#NAME?</v>
      </c>
      <c r="AG1434" s="68"/>
      <c r="AH1434" s="71" t="s">
        <v>164</v>
      </c>
    </row>
    <row r="1435" spans="1:34" ht="14.4" x14ac:dyDescent="0.3">
      <c r="A1435" s="66" t="s">
        <v>2413</v>
      </c>
      <c r="B1435" s="66" t="s">
        <v>4530</v>
      </c>
      <c r="C1435" s="33">
        <v>1434</v>
      </c>
      <c r="D1435" s="33" t="s">
        <v>5403</v>
      </c>
      <c r="E1435" s="34" t="s">
        <v>5241</v>
      </c>
      <c r="F1435" s="34" t="s">
        <v>18</v>
      </c>
      <c r="G1435" s="57">
        <v>44867</v>
      </c>
      <c r="H1435" s="57">
        <v>45046</v>
      </c>
      <c r="I1435" s="34">
        <f t="shared" si="66"/>
        <v>5</v>
      </c>
      <c r="J1435" s="34">
        <v>35</v>
      </c>
      <c r="K1435" s="36">
        <v>825</v>
      </c>
      <c r="L1435" s="34" t="s">
        <v>29</v>
      </c>
      <c r="M1435" s="57">
        <v>36866</v>
      </c>
      <c r="N1435" s="37">
        <f>(YEAR(TablaMadre[[#This Row],[ALTA]])-YEAR(M1435))</f>
        <v>22</v>
      </c>
      <c r="O1435" s="34" t="s">
        <v>18</v>
      </c>
      <c r="P1435" s="34" t="s">
        <v>19</v>
      </c>
      <c r="Q1435" s="34" t="s">
        <v>297</v>
      </c>
      <c r="R1435" s="34" t="s">
        <v>21</v>
      </c>
      <c r="S1435" s="34" t="s">
        <v>297</v>
      </c>
      <c r="T1435" s="34"/>
      <c r="U1435" s="34"/>
      <c r="V1435" s="34" t="s">
        <v>22</v>
      </c>
      <c r="W1435" s="34" t="s">
        <v>28</v>
      </c>
      <c r="X1435" s="38" t="s">
        <v>173</v>
      </c>
      <c r="Y1435" s="62"/>
      <c r="Z1435" s="38" t="e">
        <f t="shared" si="67"/>
        <v>#NUM!</v>
      </c>
      <c r="AA1435" s="38"/>
      <c r="AB1435" s="34">
        <v>8</v>
      </c>
      <c r="AC1435" s="34">
        <v>10</v>
      </c>
      <c r="AD1435" s="38"/>
      <c r="AE1435" s="59" t="str">
        <f t="shared" si="68"/>
        <v>NO</v>
      </c>
      <c r="AF1435" s="38" t="e" cm="1">
        <f t="array" aca="1" ref="AF1435" ca="1">MIN(100, MAX(0, (IF(R1435="ESTUDIANTE", 31, 0)) + (IF(I1435&lt;=3, 30, IF(I1435&lt;=6, 20, 0))) +(IF(OR(E1435="413 - Control de Costes y Enlace Construcción", E1435="480 - Secretaría General del Consejo", E1435="132 - Civil y estructuras", E1435="136 - Mecánica", E1435="412 - Planificación", E1435="142 - Compras"), 25, 0)) +(IF(OR(S1435="GRADO ING. MECÁNICA", S1435="GRADO ING. ELÉCTRICA", S1435="GRADO DERECHO", S1435="GRADO ECONOMÍA", S1435="GRADO ING. TECNOLOGÍAS INDUSTRIALES"), 24, 0)) + (IF(AND(K1435&gt;=451, K1435&lt;=700), 23, 0)) + (IF(AND(AB1435&gt;=5, AB1435&lt;=8), 17, 0)) +(IF(_xludf.OR(_xludf.AND(AC1435&gt;=8, AC1435&lt;=10), _xludf.AND(AC1435&gt;=0, AC1435&lt;=5)), 16, 0)) + (IF(F1435="Madrid", 11, 0))))</f>
        <v>#NAME?</v>
      </c>
      <c r="AG1435" s="68"/>
      <c r="AH1435" s="71" t="s">
        <v>164</v>
      </c>
    </row>
    <row r="1436" spans="1:34" ht="14.4" x14ac:dyDescent="0.3">
      <c r="A1436" s="66" t="s">
        <v>2958</v>
      </c>
      <c r="B1436" s="66" t="s">
        <v>5075</v>
      </c>
      <c r="C1436" s="33">
        <v>1435</v>
      </c>
      <c r="D1436" s="33" t="s">
        <v>5404</v>
      </c>
      <c r="E1436" s="34" t="s">
        <v>5333</v>
      </c>
      <c r="F1436" s="34" t="s">
        <v>18</v>
      </c>
      <c r="G1436" s="57">
        <v>44867</v>
      </c>
      <c r="H1436" s="57">
        <v>45107</v>
      </c>
      <c r="I1436" s="34">
        <f t="shared" si="66"/>
        <v>7</v>
      </c>
      <c r="J1436" s="34">
        <v>35</v>
      </c>
      <c r="K1436" s="36">
        <v>800</v>
      </c>
      <c r="L1436" s="34" t="s">
        <v>17</v>
      </c>
      <c r="M1436" s="57">
        <v>36522</v>
      </c>
      <c r="N1436" s="37">
        <f>(YEAR(TablaMadre[[#This Row],[ALTA]])-YEAR(M1436))</f>
        <v>23</v>
      </c>
      <c r="O1436" s="34" t="s">
        <v>18</v>
      </c>
      <c r="P1436" s="34" t="s">
        <v>19</v>
      </c>
      <c r="Q1436" s="34" t="s">
        <v>635</v>
      </c>
      <c r="R1436" s="34" t="s">
        <v>21</v>
      </c>
      <c r="S1436" s="34" t="s">
        <v>291</v>
      </c>
      <c r="T1436" s="34"/>
      <c r="U1436" s="34"/>
      <c r="V1436" s="34" t="s">
        <v>67</v>
      </c>
      <c r="W1436" s="34" t="s">
        <v>47</v>
      </c>
      <c r="X1436" s="38" t="s">
        <v>164</v>
      </c>
      <c r="Y1436" s="62"/>
      <c r="Z1436" s="38" t="e">
        <f t="shared" si="67"/>
        <v>#NUM!</v>
      </c>
      <c r="AA1436" s="38"/>
      <c r="AB1436" s="34"/>
      <c r="AC1436" s="34"/>
      <c r="AD1436" s="38"/>
      <c r="AE1436" s="59" t="str">
        <f t="shared" si="68"/>
        <v>NO</v>
      </c>
      <c r="AF1436" s="38" t="e" cm="1">
        <f t="array" aca="1" ref="AF1436" ca="1">MIN(100, MAX(0, (IF(R1436="ESTUDIANTE", 31, 0)) + (IF(I1436&lt;=3, 30, IF(I1436&lt;=6, 20, 0))) +(IF(OR(E1436="413 - Control de Costes y Enlace Construcción", E1436="480 - Secretaría General del Consejo", E1436="132 - Civil y estructuras", E1436="136 - Mecánica", E1436="412 - Planificación", E1436="142 - Compras"), 25, 0)) +(IF(OR(S1436="GRADO ING. MECÁNICA", S1436="GRADO ING. ELÉCTRICA", S1436="GRADO DERECHO", S1436="GRADO ECONOMÍA", S1436="GRADO ING. TECNOLOGÍAS INDUSTRIALES"), 24, 0)) + (IF(AND(K1436&gt;=451, K1436&lt;=700), 23, 0)) + (IF(AND(AB1436&gt;=5, AB1436&lt;=8), 17, 0)) +(IF(_xludf.OR(_xludf.AND(AC1436&gt;=8, AC1436&lt;=10), _xludf.AND(AC1436&gt;=0, AC1436&lt;=5)), 16, 0)) + (IF(F1436="Madrid", 11, 0))))</f>
        <v>#NAME?</v>
      </c>
      <c r="AG1436" s="68"/>
      <c r="AH1436" s="71" t="s">
        <v>164</v>
      </c>
    </row>
    <row r="1437" spans="1:34" ht="14.4" x14ac:dyDescent="0.3">
      <c r="A1437" s="66" t="s">
        <v>2415</v>
      </c>
      <c r="B1437" s="66" t="s">
        <v>4532</v>
      </c>
      <c r="C1437" s="33">
        <v>1436</v>
      </c>
      <c r="D1437" s="33" t="s">
        <v>5405</v>
      </c>
      <c r="E1437" s="34" t="s">
        <v>5241</v>
      </c>
      <c r="F1437" s="34" t="s">
        <v>18</v>
      </c>
      <c r="G1437" s="57">
        <v>44872</v>
      </c>
      <c r="H1437" s="57">
        <v>45052</v>
      </c>
      <c r="I1437" s="34">
        <f t="shared" si="66"/>
        <v>5</v>
      </c>
      <c r="J1437" s="34">
        <v>35</v>
      </c>
      <c r="K1437" s="36">
        <v>650</v>
      </c>
      <c r="L1437" s="34" t="s">
        <v>17</v>
      </c>
      <c r="M1437" s="57">
        <v>36599</v>
      </c>
      <c r="N1437" s="37">
        <f>(YEAR(TablaMadre[[#This Row],[ALTA]])-YEAR(M1437))</f>
        <v>22</v>
      </c>
      <c r="O1437" s="34" t="s">
        <v>623</v>
      </c>
      <c r="P1437" s="34" t="s">
        <v>19</v>
      </c>
      <c r="Q1437" s="34" t="s">
        <v>297</v>
      </c>
      <c r="R1437" s="58" t="s">
        <v>30</v>
      </c>
      <c r="S1437" s="34" t="s">
        <v>297</v>
      </c>
      <c r="T1437" s="34"/>
      <c r="U1437" s="34"/>
      <c r="V1437" s="34" t="s">
        <v>22</v>
      </c>
      <c r="W1437" s="34" t="s">
        <v>28</v>
      </c>
      <c r="X1437" s="38" t="s">
        <v>164</v>
      </c>
      <c r="Y1437" s="62">
        <v>45609</v>
      </c>
      <c r="Z1437" s="38">
        <f t="shared" si="67"/>
        <v>1</v>
      </c>
      <c r="AA1437" s="38"/>
      <c r="AB1437" s="34">
        <v>10</v>
      </c>
      <c r="AC1437" s="34" t="s">
        <v>624</v>
      </c>
      <c r="AD1437" s="38"/>
      <c r="AE1437" s="59" t="str">
        <f t="shared" si="68"/>
        <v>SÍ</v>
      </c>
      <c r="AF1437" s="38" t="e" cm="1">
        <f t="array" aca="1" ref="AF1437" ca="1">MIN(100, MAX(0, (IF(R1437="ESTUDIANTE", 31, 0)) + (IF(I1437&lt;=3, 30, IF(I1437&lt;=6, 20, 0))) +(IF(OR(E1437="413 - Control de Costes y Enlace Construcción", E1437="480 - Secretaría General del Consejo", E1437="132 - Civil y estructuras", E1437="136 - Mecánica", E1437="412 - Planificación", E1437="142 - Compras"), 25, 0)) +(IF(OR(S1437="GRADO ING. MECÁNICA", S1437="GRADO ING. ELÉCTRICA", S1437="GRADO DERECHO", S1437="GRADO ECONOMÍA", S1437="GRADO ING. TECNOLOGÍAS INDUSTRIALES"), 24, 0)) + (IF(AND(K1437&gt;=451, K1437&lt;=700), 23, 0)) + (IF(AND(AB1437&gt;=5, AB1437&lt;=8), 17, 0)) +(IF(_xludf.OR(_xludf.AND(AC1437&gt;=8, AC1437&lt;=10), _xludf.AND(AC1437&gt;=0, AC1437&lt;=5)), 16, 0)) + (IF(F1437="Madrid", 11, 0))))</f>
        <v>#NAME?</v>
      </c>
      <c r="AG1437" s="68"/>
      <c r="AH1437" s="71" t="s">
        <v>164</v>
      </c>
    </row>
    <row r="1438" spans="1:34" ht="14.4" x14ac:dyDescent="0.3">
      <c r="A1438" s="66" t="s">
        <v>2416</v>
      </c>
      <c r="B1438" s="66" t="s">
        <v>4533</v>
      </c>
      <c r="C1438" s="33">
        <v>1437</v>
      </c>
      <c r="D1438" s="33" t="s">
        <v>5396</v>
      </c>
      <c r="E1438" s="34" t="s">
        <v>5248</v>
      </c>
      <c r="F1438" s="34" t="s">
        <v>18</v>
      </c>
      <c r="G1438" s="57">
        <v>44872</v>
      </c>
      <c r="H1438" s="57">
        <v>45052</v>
      </c>
      <c r="I1438" s="34">
        <f t="shared" si="66"/>
        <v>5</v>
      </c>
      <c r="J1438" s="34">
        <v>35</v>
      </c>
      <c r="K1438" s="36">
        <v>900</v>
      </c>
      <c r="L1438" s="34" t="s">
        <v>29</v>
      </c>
      <c r="M1438" s="57">
        <v>34727</v>
      </c>
      <c r="N1438" s="37">
        <f>(YEAR(TablaMadre[[#This Row],[ALTA]])-YEAR(M1438))</f>
        <v>27</v>
      </c>
      <c r="O1438" s="34" t="s">
        <v>18</v>
      </c>
      <c r="P1438" s="34" t="s">
        <v>19</v>
      </c>
      <c r="Q1438" s="34" t="s">
        <v>625</v>
      </c>
      <c r="R1438" s="34" t="s">
        <v>21</v>
      </c>
      <c r="S1438" s="34" t="s">
        <v>297</v>
      </c>
      <c r="T1438" s="34"/>
      <c r="U1438" s="34"/>
      <c r="V1438" s="34" t="s">
        <v>56</v>
      </c>
      <c r="W1438" s="34" t="s">
        <v>28</v>
      </c>
      <c r="X1438" s="38" t="s">
        <v>173</v>
      </c>
      <c r="Y1438" s="62"/>
      <c r="Z1438" s="38" t="e">
        <f t="shared" si="67"/>
        <v>#NUM!</v>
      </c>
      <c r="AA1438" s="38"/>
      <c r="AB1438" s="34">
        <v>6</v>
      </c>
      <c r="AC1438" s="34">
        <v>9</v>
      </c>
      <c r="AD1438" s="38"/>
      <c r="AE1438" s="59" t="str">
        <f t="shared" si="68"/>
        <v>NO</v>
      </c>
      <c r="AF1438" s="38" t="e" cm="1">
        <f t="array" aca="1" ref="AF1438" ca="1">MIN(100, MAX(0, (IF(R1438="ESTUDIANTE", 31, 0)) + (IF(I1438&lt;=3, 30, IF(I1438&lt;=6, 20, 0))) +(IF(OR(E1438="413 - Control de Costes y Enlace Construcción", E1438="480 - Secretaría General del Consejo", E1438="132 - Civil y estructuras", E1438="136 - Mecánica", E1438="412 - Planificación", E1438="142 - Compras"), 25, 0)) +(IF(OR(S1438="GRADO ING. MECÁNICA", S1438="GRADO ING. ELÉCTRICA", S1438="GRADO DERECHO", S1438="GRADO ECONOMÍA", S1438="GRADO ING. TECNOLOGÍAS INDUSTRIALES"), 24, 0)) + (IF(AND(K1438&gt;=451, K1438&lt;=700), 23, 0)) + (IF(AND(AB1438&gt;=5, AB1438&lt;=8), 17, 0)) +(IF(_xludf.OR(_xludf.AND(AC1438&gt;=8, AC1438&lt;=10), _xludf.AND(AC1438&gt;=0, AC1438&lt;=5)), 16, 0)) + (IF(F1438="Madrid", 11, 0))))</f>
        <v>#NAME?</v>
      </c>
      <c r="AG1438" s="68"/>
      <c r="AH1438" s="71" t="s">
        <v>164</v>
      </c>
    </row>
    <row r="1439" spans="1:34" s="4" customFormat="1" ht="14.4" x14ac:dyDescent="0.3">
      <c r="A1439" s="66" t="s">
        <v>2417</v>
      </c>
      <c r="B1439" s="66" t="s">
        <v>4534</v>
      </c>
      <c r="C1439" s="33">
        <v>1438</v>
      </c>
      <c r="D1439" s="33" t="s">
        <v>5397</v>
      </c>
      <c r="E1439" s="34" t="s">
        <v>5233</v>
      </c>
      <c r="F1439" s="34" t="s">
        <v>18</v>
      </c>
      <c r="G1439" s="57">
        <v>44879</v>
      </c>
      <c r="H1439" s="57">
        <v>45243</v>
      </c>
      <c r="I1439" s="34">
        <f t="shared" si="66"/>
        <v>11</v>
      </c>
      <c r="J1439" s="34">
        <v>35</v>
      </c>
      <c r="K1439" s="36">
        <v>900</v>
      </c>
      <c r="L1439" s="34" t="s">
        <v>17</v>
      </c>
      <c r="M1439" s="35">
        <v>35825</v>
      </c>
      <c r="N1439" s="37">
        <f>(YEAR(TablaMadre[[#This Row],[ALTA]])-YEAR(M1439))</f>
        <v>24</v>
      </c>
      <c r="O1439" s="34" t="s">
        <v>153</v>
      </c>
      <c r="P1439" s="34" t="s">
        <v>484</v>
      </c>
      <c r="Q1439" s="34" t="s">
        <v>671</v>
      </c>
      <c r="R1439" s="34" t="s">
        <v>21</v>
      </c>
      <c r="S1439" s="34" t="s">
        <v>136</v>
      </c>
      <c r="T1439" s="34"/>
      <c r="U1439" s="34"/>
      <c r="V1439" s="34" t="s">
        <v>90</v>
      </c>
      <c r="W1439" s="34" t="s">
        <v>28</v>
      </c>
      <c r="X1439" s="34" t="s">
        <v>173</v>
      </c>
      <c r="Y1439" s="57"/>
      <c r="Z1439" s="34" t="e">
        <f t="shared" si="67"/>
        <v>#NUM!</v>
      </c>
      <c r="AA1439" s="34"/>
      <c r="AB1439" s="34">
        <v>10</v>
      </c>
      <c r="AC1439" s="34">
        <v>8</v>
      </c>
      <c r="AD1439" s="34"/>
      <c r="AE1439" s="59" t="str">
        <f t="shared" si="68"/>
        <v>SÍ</v>
      </c>
      <c r="AF1439" s="34" t="e" cm="1">
        <f t="array" aca="1" ref="AF1439" ca="1">MIN(100, MAX(0, (IF(R1439="ESTUDIANTE", 31, 0)) + (IF(I1439&lt;=3, 30, IF(I1439&lt;=6, 20, 0))) +(IF(OR(E1439="413 - Control de Costes y Enlace Construcción", E1439="480 - Secretaría General del Consejo", E1439="132 - Civil y estructuras", E1439="136 - Mecánica", E1439="412 - Planificación", E1439="142 - Compras"), 25, 0)) +(IF(OR(S1439="GRADO ING. MECÁNICA", S1439="GRADO ING. ELÉCTRICA", S1439="GRADO DERECHO", S1439="GRADO ECONOMÍA", S1439="GRADO ING. TECNOLOGÍAS INDUSTRIALES"), 24, 0)) + (IF(AND(K1439&gt;=451, K1439&lt;=700), 23, 0)) + (IF(AND(AB1439&gt;=5, AB1439&lt;=8), 17, 0)) +(IF(_xludf.OR(_xludf.AND(AC1439&gt;=8, AC1439&lt;=10), _xludf.AND(AC1439&gt;=0, AC1439&lt;=5)), 16, 0)) + (IF(F1439="Madrid", 11, 0))))</f>
        <v>#NAME?</v>
      </c>
      <c r="AG1439" s="69"/>
      <c r="AH1439" s="71" t="s">
        <v>164</v>
      </c>
    </row>
    <row r="1440" spans="1:34" s="4" customFormat="1" ht="14.4" x14ac:dyDescent="0.3">
      <c r="A1440" s="66" t="s">
        <v>2369</v>
      </c>
      <c r="B1440" s="66" t="s">
        <v>4486</v>
      </c>
      <c r="C1440" s="33">
        <v>1439</v>
      </c>
      <c r="D1440" s="33" t="s">
        <v>5393</v>
      </c>
      <c r="E1440" s="34" t="s">
        <v>5233</v>
      </c>
      <c r="F1440" s="34" t="s">
        <v>18</v>
      </c>
      <c r="G1440" s="57">
        <v>44880</v>
      </c>
      <c r="H1440" s="57">
        <v>45205</v>
      </c>
      <c r="I1440" s="34">
        <f t="shared" si="66"/>
        <v>10</v>
      </c>
      <c r="J1440" s="34">
        <v>35</v>
      </c>
      <c r="K1440" s="36">
        <v>875</v>
      </c>
      <c r="L1440" s="34" t="s">
        <v>17</v>
      </c>
      <c r="M1440" s="35">
        <v>35540</v>
      </c>
      <c r="N1440" s="37">
        <f>(YEAR(TablaMadre[[#This Row],[ALTA]])-YEAR(M1440))</f>
        <v>25</v>
      </c>
      <c r="O1440" s="34" t="s">
        <v>176</v>
      </c>
      <c r="P1440" s="34" t="s">
        <v>19</v>
      </c>
      <c r="Q1440" s="34" t="s">
        <v>630</v>
      </c>
      <c r="R1440" s="34" t="s">
        <v>21</v>
      </c>
      <c r="S1440" s="34" t="s">
        <v>136</v>
      </c>
      <c r="T1440" s="34"/>
      <c r="U1440" s="34"/>
      <c r="V1440" s="34" t="s">
        <v>69</v>
      </c>
      <c r="W1440" s="34" t="s">
        <v>91</v>
      </c>
      <c r="X1440" s="34" t="s">
        <v>164</v>
      </c>
      <c r="Y1440" s="57"/>
      <c r="Z1440" s="34" t="e">
        <f t="shared" si="67"/>
        <v>#NUM!</v>
      </c>
      <c r="AA1440" s="34"/>
      <c r="AB1440" s="34" t="s">
        <v>628</v>
      </c>
      <c r="AC1440" s="34" t="s">
        <v>661</v>
      </c>
      <c r="AD1440" s="34"/>
      <c r="AE1440" s="59" t="str">
        <f t="shared" si="68"/>
        <v>SÍ</v>
      </c>
      <c r="AF1440" s="34" t="e" cm="1">
        <f t="array" aca="1" ref="AF1440" ca="1">MIN(100, MAX(0, (IF(R1440="ESTUDIANTE", 31, 0)) + (IF(I1440&lt;=3, 30, IF(I1440&lt;=6, 20, 0))) +(IF(OR(E1440="413 - Control de Costes y Enlace Construcción", E1440="480 - Secretaría General del Consejo", E1440="132 - Civil y estructuras", E1440="136 - Mecánica", E1440="412 - Planificación", E1440="142 - Compras"), 25, 0)) +(IF(OR(S1440="GRADO ING. MECÁNICA", S1440="GRADO ING. ELÉCTRICA", S1440="GRADO DERECHO", S1440="GRADO ECONOMÍA", S1440="GRADO ING. TECNOLOGÍAS INDUSTRIALES"), 24, 0)) + (IF(AND(K1440&gt;=451, K1440&lt;=700), 23, 0)) + (IF(AND(AB1440&gt;=5, AB1440&lt;=8), 17, 0)) +(IF(_xludf.OR(_xludf.AND(AC1440&gt;=8, AC1440&lt;=10), _xludf.AND(AC1440&gt;=0, AC1440&lt;=5)), 16, 0)) + (IF(F1440="Madrid", 11, 0))))</f>
        <v>#NAME?</v>
      </c>
      <c r="AG1440" s="69"/>
      <c r="AH1440" s="71" t="s">
        <v>164</v>
      </c>
    </row>
    <row r="1441" spans="1:34" s="4" customFormat="1" ht="14.4" x14ac:dyDescent="0.3">
      <c r="A1441" s="66" t="s">
        <v>2370</v>
      </c>
      <c r="B1441" s="66" t="s">
        <v>4487</v>
      </c>
      <c r="C1441" s="33">
        <v>1440</v>
      </c>
      <c r="D1441" s="33" t="s">
        <v>5394</v>
      </c>
      <c r="E1441" s="34" t="s">
        <v>5216</v>
      </c>
      <c r="F1441" s="34" t="s">
        <v>18</v>
      </c>
      <c r="G1441" s="57">
        <v>44886</v>
      </c>
      <c r="H1441" s="57">
        <v>45060</v>
      </c>
      <c r="I1441" s="34">
        <f t="shared" si="66"/>
        <v>5</v>
      </c>
      <c r="J1441" s="34">
        <v>35</v>
      </c>
      <c r="K1441" s="36">
        <v>825</v>
      </c>
      <c r="L1441" s="34" t="s">
        <v>17</v>
      </c>
      <c r="M1441" s="57">
        <v>35775</v>
      </c>
      <c r="N1441" s="37">
        <f>(YEAR(TablaMadre[[#This Row],[ALTA]])-YEAR(M1441))</f>
        <v>25</v>
      </c>
      <c r="O1441" s="34" t="s">
        <v>70</v>
      </c>
      <c r="P1441" s="34" t="s">
        <v>19</v>
      </c>
      <c r="Q1441" s="34" t="s">
        <v>428</v>
      </c>
      <c r="R1441" s="34" t="s">
        <v>21</v>
      </c>
      <c r="S1441" s="34" t="s">
        <v>297</v>
      </c>
      <c r="T1441" s="34"/>
      <c r="U1441" s="34"/>
      <c r="V1441" s="34" t="s">
        <v>86</v>
      </c>
      <c r="W1441" s="34" t="s">
        <v>23</v>
      </c>
      <c r="X1441" s="34" t="s">
        <v>164</v>
      </c>
      <c r="Y1441" s="57"/>
      <c r="Z1441" s="34" t="e">
        <f t="shared" si="67"/>
        <v>#NUM!</v>
      </c>
      <c r="AA1441" s="34"/>
      <c r="AB1441" s="34" t="s">
        <v>624</v>
      </c>
      <c r="AC1441" s="34" t="s">
        <v>624</v>
      </c>
      <c r="AD1441" s="34"/>
      <c r="AE1441" s="59" t="str">
        <f t="shared" si="68"/>
        <v>SÍ</v>
      </c>
      <c r="AF1441" s="34" t="e" cm="1">
        <f t="array" aca="1" ref="AF1441" ca="1">MIN(100, MAX(0, (IF(R1441="ESTUDIANTE", 31, 0)) + (IF(I1441&lt;=3, 30, IF(I1441&lt;=6, 20, 0))) +(IF(OR(E1441="413 - Control de Costes y Enlace Construcción", E1441="480 - Secretaría General del Consejo", E1441="132 - Civil y estructuras", E1441="136 - Mecánica", E1441="412 - Planificación", E1441="142 - Compras"), 25, 0)) +(IF(OR(S1441="GRADO ING. MECÁNICA", S1441="GRADO ING. ELÉCTRICA", S1441="GRADO DERECHO", S1441="GRADO ECONOMÍA", S1441="GRADO ING. TECNOLOGÍAS INDUSTRIALES"), 24, 0)) + (IF(AND(K1441&gt;=451, K1441&lt;=700), 23, 0)) + (IF(AND(AB1441&gt;=5, AB1441&lt;=8), 17, 0)) +(IF(_xludf.OR(_xludf.AND(AC1441&gt;=8, AC1441&lt;=10), _xludf.AND(AC1441&gt;=0, AC1441&lt;=5)), 16, 0)) + (IF(F1441="Madrid", 11, 0))))</f>
        <v>#NAME?</v>
      </c>
      <c r="AG1441" s="69"/>
      <c r="AH1441" s="71" t="s">
        <v>164</v>
      </c>
    </row>
    <row r="1442" spans="1:34" s="4" customFormat="1" ht="14.4" x14ac:dyDescent="0.3">
      <c r="A1442" s="66" t="s">
        <v>2420</v>
      </c>
      <c r="B1442" s="66" t="s">
        <v>4537</v>
      </c>
      <c r="C1442" s="33">
        <v>1441</v>
      </c>
      <c r="D1442" s="33" t="s">
        <v>5395</v>
      </c>
      <c r="E1442" s="34" t="s">
        <v>5216</v>
      </c>
      <c r="F1442" s="34" t="s">
        <v>18</v>
      </c>
      <c r="G1442" s="57">
        <v>44886</v>
      </c>
      <c r="H1442" s="57">
        <v>45102</v>
      </c>
      <c r="I1442" s="34">
        <f t="shared" si="66"/>
        <v>7</v>
      </c>
      <c r="J1442" s="34">
        <v>35</v>
      </c>
      <c r="K1442" s="36">
        <v>825</v>
      </c>
      <c r="L1442" s="34" t="s">
        <v>29</v>
      </c>
      <c r="M1442" s="35">
        <v>35047</v>
      </c>
      <c r="N1442" s="37">
        <f>(YEAR(TablaMadre[[#This Row],[ALTA]])-YEAR(M1442))</f>
        <v>27</v>
      </c>
      <c r="O1442" s="34" t="s">
        <v>928</v>
      </c>
      <c r="P1442" s="34" t="s">
        <v>19</v>
      </c>
      <c r="Q1442" s="34" t="s">
        <v>515</v>
      </c>
      <c r="R1442" s="34" t="s">
        <v>21</v>
      </c>
      <c r="S1442" s="34" t="s">
        <v>297</v>
      </c>
      <c r="T1442" s="34"/>
      <c r="U1442" s="34"/>
      <c r="V1442" s="34" t="s">
        <v>22</v>
      </c>
      <c r="W1442" s="34" t="s">
        <v>28</v>
      </c>
      <c r="X1442" s="34" t="s">
        <v>173</v>
      </c>
      <c r="Y1442" s="57"/>
      <c r="Z1442" s="34" t="e">
        <f t="shared" si="67"/>
        <v>#NUM!</v>
      </c>
      <c r="AA1442" s="34"/>
      <c r="AB1442" s="34">
        <v>9</v>
      </c>
      <c r="AC1442" s="34" t="s">
        <v>622</v>
      </c>
      <c r="AD1442" s="34"/>
      <c r="AE1442" s="59" t="str">
        <f t="shared" si="68"/>
        <v>SÍ</v>
      </c>
      <c r="AF1442" s="34" t="e" cm="1">
        <f t="array" aca="1" ref="AF1442" ca="1">MIN(100, MAX(0, (IF(R1442="ESTUDIANTE", 31, 0)) + (IF(I1442&lt;=3, 30, IF(I1442&lt;=6, 20, 0))) +(IF(OR(E1442="413 - Control de Costes y Enlace Construcción", E1442="480 - Secretaría General del Consejo", E1442="132 - Civil y estructuras", E1442="136 - Mecánica", E1442="412 - Planificación", E1442="142 - Compras"), 25, 0)) +(IF(OR(S1442="GRADO ING. MECÁNICA", S1442="GRADO ING. ELÉCTRICA", S1442="GRADO DERECHO", S1442="GRADO ECONOMÍA", S1442="GRADO ING. TECNOLOGÍAS INDUSTRIALES"), 24, 0)) + (IF(AND(K1442&gt;=451, K1442&lt;=700), 23, 0)) + (IF(AND(AB1442&gt;=5, AB1442&lt;=8), 17, 0)) +(IF(_xludf.OR(_xludf.AND(AC1442&gt;=8, AC1442&lt;=10), _xludf.AND(AC1442&gt;=0, AC1442&lt;=5)), 16, 0)) + (IF(F1442="Madrid", 11, 0))))</f>
        <v>#NAME?</v>
      </c>
      <c r="AG1442" s="69"/>
      <c r="AH1442" s="71" t="s">
        <v>164</v>
      </c>
    </row>
    <row r="1443" spans="1:34" s="4" customFormat="1" ht="14.4" x14ac:dyDescent="0.3">
      <c r="A1443" s="66" t="s">
        <v>2421</v>
      </c>
      <c r="B1443" s="66" t="s">
        <v>4538</v>
      </c>
      <c r="C1443" s="33">
        <v>1442</v>
      </c>
      <c r="D1443" s="33" t="s">
        <v>5396</v>
      </c>
      <c r="E1443" s="34" t="s">
        <v>5216</v>
      </c>
      <c r="F1443" s="34" t="s">
        <v>18</v>
      </c>
      <c r="G1443" s="57">
        <v>44886</v>
      </c>
      <c r="H1443" s="57">
        <v>45250</v>
      </c>
      <c r="I1443" s="34">
        <f t="shared" si="66"/>
        <v>11</v>
      </c>
      <c r="J1443" s="34">
        <v>35</v>
      </c>
      <c r="K1443" s="36">
        <v>955</v>
      </c>
      <c r="L1443" s="34" t="s">
        <v>17</v>
      </c>
      <c r="M1443" s="35">
        <v>36342</v>
      </c>
      <c r="N1443" s="37">
        <f>(YEAR(TablaMadre[[#This Row],[ALTA]])-YEAR(M1443))</f>
        <v>23</v>
      </c>
      <c r="O1443" s="34" t="s">
        <v>18</v>
      </c>
      <c r="P1443" s="34" t="s">
        <v>19</v>
      </c>
      <c r="Q1443" s="34" t="s">
        <v>672</v>
      </c>
      <c r="R1443" s="34" t="s">
        <v>21</v>
      </c>
      <c r="S1443" s="34" t="s">
        <v>297</v>
      </c>
      <c r="T1443" s="34"/>
      <c r="U1443" s="34"/>
      <c r="V1443" s="34" t="s">
        <v>56</v>
      </c>
      <c r="W1443" s="34" t="s">
        <v>28</v>
      </c>
      <c r="X1443" s="34" t="s">
        <v>173</v>
      </c>
      <c r="Y1443" s="57"/>
      <c r="Z1443" s="34" t="e">
        <f t="shared" si="67"/>
        <v>#NUM!</v>
      </c>
      <c r="AA1443" s="34"/>
      <c r="AB1443" s="34">
        <v>10</v>
      </c>
      <c r="AC1443" s="34">
        <v>7</v>
      </c>
      <c r="AD1443" s="34"/>
      <c r="AE1443" s="59" t="str">
        <f t="shared" si="68"/>
        <v>NO</v>
      </c>
      <c r="AF1443" s="34" t="e" cm="1">
        <f t="array" aca="1" ref="AF1443" ca="1">MIN(100, MAX(0, (IF(R1443="ESTUDIANTE", 31, 0)) + (IF(I1443&lt;=3, 30, IF(I1443&lt;=6, 20, 0))) +(IF(OR(E1443="413 - Control de Costes y Enlace Construcción", E1443="480 - Secretaría General del Consejo", E1443="132 - Civil y estructuras", E1443="136 - Mecánica", E1443="412 - Planificación", E1443="142 - Compras"), 25, 0)) +(IF(OR(S1443="GRADO ING. MECÁNICA", S1443="GRADO ING. ELÉCTRICA", S1443="GRADO DERECHO", S1443="GRADO ECONOMÍA", S1443="GRADO ING. TECNOLOGÍAS INDUSTRIALES"), 24, 0)) + (IF(AND(K1443&gt;=451, K1443&lt;=700), 23, 0)) + (IF(AND(AB1443&gt;=5, AB1443&lt;=8), 17, 0)) +(IF(_xludf.OR(_xludf.AND(AC1443&gt;=8, AC1443&lt;=10), _xludf.AND(AC1443&gt;=0, AC1443&lt;=5)), 16, 0)) + (IF(F1443="Madrid", 11, 0))))</f>
        <v>#NAME?</v>
      </c>
      <c r="AG1443" s="69"/>
      <c r="AH1443" s="71" t="s">
        <v>164</v>
      </c>
    </row>
    <row r="1444" spans="1:34" ht="14.4" x14ac:dyDescent="0.3">
      <c r="A1444" s="66" t="s">
        <v>2422</v>
      </c>
      <c r="B1444" s="66" t="s">
        <v>4539</v>
      </c>
      <c r="C1444" s="33">
        <v>1443</v>
      </c>
      <c r="D1444" s="33" t="s">
        <v>5397</v>
      </c>
      <c r="E1444" s="34" t="s">
        <v>5319</v>
      </c>
      <c r="F1444" s="34" t="s">
        <v>18</v>
      </c>
      <c r="G1444" s="57">
        <v>44886</v>
      </c>
      <c r="H1444" s="57">
        <v>45250</v>
      </c>
      <c r="I1444" s="34">
        <f t="shared" si="66"/>
        <v>11</v>
      </c>
      <c r="J1444" s="34">
        <v>35</v>
      </c>
      <c r="K1444" s="36">
        <v>825</v>
      </c>
      <c r="L1444" s="34" t="s">
        <v>17</v>
      </c>
      <c r="M1444" s="35">
        <v>36488</v>
      </c>
      <c r="N1444" s="37">
        <f>(YEAR(TablaMadre[[#This Row],[ALTA]])-YEAR(M1444))</f>
        <v>23</v>
      </c>
      <c r="O1444" s="34" t="s">
        <v>18</v>
      </c>
      <c r="P1444" s="34" t="s">
        <v>19</v>
      </c>
      <c r="Q1444" s="34" t="s">
        <v>668</v>
      </c>
      <c r="R1444" s="34" t="s">
        <v>21</v>
      </c>
      <c r="S1444" s="34" t="s">
        <v>297</v>
      </c>
      <c r="T1444" s="34"/>
      <c r="U1444" s="34"/>
      <c r="V1444" s="34" t="s">
        <v>84</v>
      </c>
      <c r="W1444" s="34" t="s">
        <v>28</v>
      </c>
      <c r="X1444" s="38" t="s">
        <v>173</v>
      </c>
      <c r="Y1444" s="62"/>
      <c r="Z1444" s="38" t="e">
        <f t="shared" si="67"/>
        <v>#NUM!</v>
      </c>
      <c r="AA1444" s="38"/>
      <c r="AB1444" s="34" t="s">
        <v>628</v>
      </c>
      <c r="AC1444" s="34">
        <v>9</v>
      </c>
      <c r="AD1444" s="38"/>
      <c r="AE1444" s="59" t="str">
        <f t="shared" si="68"/>
        <v>NO</v>
      </c>
      <c r="AF1444" s="38" t="e" cm="1">
        <f t="array" aca="1" ref="AF1444" ca="1">MIN(100, MAX(0, (IF(R1444="ESTUDIANTE", 31, 0)) + (IF(I1444&lt;=3, 30, IF(I1444&lt;=6, 20, 0))) +(IF(OR(E1444="413 - Control de Costes y Enlace Construcción", E1444="480 - Secretaría General del Consejo", E1444="132 - Civil y estructuras", E1444="136 - Mecánica", E1444="412 - Planificación", E1444="142 - Compras"), 25, 0)) +(IF(OR(S1444="GRADO ING. MECÁNICA", S1444="GRADO ING. ELÉCTRICA", S1444="GRADO DERECHO", S1444="GRADO ECONOMÍA", S1444="GRADO ING. TECNOLOGÍAS INDUSTRIALES"), 24, 0)) + (IF(AND(K1444&gt;=451, K1444&lt;=700), 23, 0)) + (IF(AND(AB1444&gt;=5, AB1444&lt;=8), 17, 0)) +(IF(_xludf.OR(_xludf.AND(AC1444&gt;=8, AC1444&lt;=10), _xludf.AND(AC1444&gt;=0, AC1444&lt;=5)), 16, 0)) + (IF(F1444="Madrid", 11, 0))))</f>
        <v>#NAME?</v>
      </c>
      <c r="AG1444" s="68"/>
      <c r="AH1444" s="71" t="s">
        <v>164</v>
      </c>
    </row>
    <row r="1445" spans="1:34" ht="14.4" x14ac:dyDescent="0.3">
      <c r="A1445" s="66" t="s">
        <v>2423</v>
      </c>
      <c r="B1445" s="66" t="s">
        <v>4540</v>
      </c>
      <c r="C1445" s="33">
        <v>1444</v>
      </c>
      <c r="D1445" s="33" t="s">
        <v>5398</v>
      </c>
      <c r="E1445" s="34" t="s">
        <v>5216</v>
      </c>
      <c r="F1445" s="34" t="s">
        <v>18</v>
      </c>
      <c r="G1445" s="57">
        <v>44886</v>
      </c>
      <c r="H1445" s="57">
        <v>45382</v>
      </c>
      <c r="I1445" s="34">
        <f t="shared" si="66"/>
        <v>16</v>
      </c>
      <c r="J1445" s="34">
        <v>35</v>
      </c>
      <c r="K1445" s="36">
        <v>0</v>
      </c>
      <c r="L1445" s="34" t="s">
        <v>17</v>
      </c>
      <c r="M1445" s="35">
        <v>36100</v>
      </c>
      <c r="N1445" s="37">
        <f>(YEAR(TablaMadre[[#This Row],[ALTA]])-YEAR(M1445))</f>
        <v>24</v>
      </c>
      <c r="O1445" s="34" t="s">
        <v>18</v>
      </c>
      <c r="P1445" s="34" t="s">
        <v>19</v>
      </c>
      <c r="Q1445" s="34" t="s">
        <v>704</v>
      </c>
      <c r="R1445" s="34" t="s">
        <v>30</v>
      </c>
      <c r="S1445" s="34" t="s">
        <v>297</v>
      </c>
      <c r="T1445" s="34"/>
      <c r="U1445" s="34"/>
      <c r="V1445" s="34" t="s">
        <v>40</v>
      </c>
      <c r="W1445" s="34" t="s">
        <v>127</v>
      </c>
      <c r="X1445" s="38" t="s">
        <v>164</v>
      </c>
      <c r="Y1445" s="62">
        <v>45542</v>
      </c>
      <c r="Z1445" s="38">
        <f t="shared" si="67"/>
        <v>0</v>
      </c>
      <c r="AA1445" s="38"/>
      <c r="AB1445" s="34">
        <v>8</v>
      </c>
      <c r="AC1445" s="34">
        <v>8</v>
      </c>
      <c r="AD1445" s="38"/>
      <c r="AE1445" s="59" t="str">
        <f t="shared" si="68"/>
        <v>NO</v>
      </c>
      <c r="AF1445" s="38" t="e" cm="1">
        <f t="array" aca="1" ref="AF1445" ca="1">MIN(100, MAX(0, (IF(R1445="ESTUDIANTE", 31, 0)) + (IF(I1445&lt;=3, 30, IF(I1445&lt;=6, 20, 0))) +(IF(OR(E1445="413 - Control de Costes y Enlace Construcción", E1445="480 - Secretaría General del Consejo", E1445="132 - Civil y estructuras", E1445="136 - Mecánica", E1445="412 - Planificación", E1445="142 - Compras"), 25, 0)) +(IF(OR(S1445="GRADO ING. MECÁNICA", S1445="GRADO ING. ELÉCTRICA", S1445="GRADO DERECHO", S1445="GRADO ECONOMÍA", S1445="GRADO ING. TECNOLOGÍAS INDUSTRIALES"), 24, 0)) + (IF(AND(K1445&gt;=451, K1445&lt;=700), 23, 0)) + (IF(AND(AB1445&gt;=5, AB1445&lt;=8), 17, 0)) +(IF(_xludf.OR(_xludf.AND(AC1445&gt;=8, AC1445&lt;=10), _xludf.AND(AC1445&gt;=0, AC1445&lt;=5)), 16, 0)) + (IF(F1445="Madrid", 11, 0))))</f>
        <v>#NAME?</v>
      </c>
      <c r="AG1445" s="68"/>
      <c r="AH1445" s="71" t="s">
        <v>164</v>
      </c>
    </row>
    <row r="1446" spans="1:34" ht="14.4" x14ac:dyDescent="0.3">
      <c r="A1446" s="66" t="s">
        <v>2424</v>
      </c>
      <c r="B1446" s="66" t="s">
        <v>4541</v>
      </c>
      <c r="C1446" s="33">
        <v>1445</v>
      </c>
      <c r="D1446" s="33" t="s">
        <v>5399</v>
      </c>
      <c r="E1446" s="34" t="s">
        <v>5216</v>
      </c>
      <c r="F1446" s="34" t="s">
        <v>18</v>
      </c>
      <c r="G1446" s="57">
        <v>44893</v>
      </c>
      <c r="H1446" s="57">
        <v>45073</v>
      </c>
      <c r="I1446" s="34">
        <f t="shared" si="66"/>
        <v>5</v>
      </c>
      <c r="J1446" s="34">
        <v>35</v>
      </c>
      <c r="K1446" s="36">
        <v>825</v>
      </c>
      <c r="L1446" s="34" t="s">
        <v>29</v>
      </c>
      <c r="M1446" s="57">
        <v>36416</v>
      </c>
      <c r="N1446" s="37">
        <f>(YEAR(TablaMadre[[#This Row],[ALTA]])-YEAR(M1446))</f>
        <v>23</v>
      </c>
      <c r="O1446" s="34" t="s">
        <v>18</v>
      </c>
      <c r="P1446" s="34" t="s">
        <v>19</v>
      </c>
      <c r="Q1446" s="34" t="s">
        <v>297</v>
      </c>
      <c r="R1446" s="34" t="s">
        <v>21</v>
      </c>
      <c r="S1446" s="34" t="s">
        <v>297</v>
      </c>
      <c r="T1446" s="34"/>
      <c r="U1446" s="34"/>
      <c r="V1446" s="34" t="s">
        <v>22</v>
      </c>
      <c r="W1446" s="34" t="s">
        <v>28</v>
      </c>
      <c r="X1446" s="38" t="s">
        <v>173</v>
      </c>
      <c r="Y1446" s="62"/>
      <c r="Z1446" s="38" t="e">
        <f t="shared" si="67"/>
        <v>#NUM!</v>
      </c>
      <c r="AA1446" s="38"/>
      <c r="AB1446" s="34">
        <v>9</v>
      </c>
      <c r="AC1446" s="34">
        <v>9</v>
      </c>
      <c r="AD1446" s="38"/>
      <c r="AE1446" s="59" t="str">
        <f t="shared" si="68"/>
        <v>NO</v>
      </c>
      <c r="AF1446" s="38" t="e" cm="1">
        <f t="array" aca="1" ref="AF1446" ca="1">MIN(100, MAX(0, (IF(R1446="ESTUDIANTE", 31, 0)) + (IF(I1446&lt;=3, 30, IF(I1446&lt;=6, 20, 0))) +(IF(OR(E1446="413 - Control de Costes y Enlace Construcción", E1446="480 - Secretaría General del Consejo", E1446="132 - Civil y estructuras", E1446="136 - Mecánica", E1446="412 - Planificación", E1446="142 - Compras"), 25, 0)) +(IF(OR(S1446="GRADO ING. MECÁNICA", S1446="GRADO ING. ELÉCTRICA", S1446="GRADO DERECHO", S1446="GRADO ECONOMÍA", S1446="GRADO ING. TECNOLOGÍAS INDUSTRIALES"), 24, 0)) + (IF(AND(K1446&gt;=451, K1446&lt;=700), 23, 0)) + (IF(AND(AB1446&gt;=5, AB1446&lt;=8), 17, 0)) +(IF(_xludf.OR(_xludf.AND(AC1446&gt;=8, AC1446&lt;=10), _xludf.AND(AC1446&gt;=0, AC1446&lt;=5)), 16, 0)) + (IF(F1446="Madrid", 11, 0))))</f>
        <v>#NAME?</v>
      </c>
      <c r="AG1446" s="68"/>
      <c r="AH1446" s="71" t="s">
        <v>164</v>
      </c>
    </row>
    <row r="1447" spans="1:34" ht="14.4" x14ac:dyDescent="0.3">
      <c r="A1447" s="66" t="s">
        <v>2425</v>
      </c>
      <c r="B1447" s="66" t="s">
        <v>4542</v>
      </c>
      <c r="C1447" s="33">
        <v>1446</v>
      </c>
      <c r="D1447" s="33" t="s">
        <v>5400</v>
      </c>
      <c r="E1447" s="34" t="s">
        <v>5246</v>
      </c>
      <c r="F1447" s="34" t="s">
        <v>18</v>
      </c>
      <c r="G1447" s="57">
        <v>44893</v>
      </c>
      <c r="H1447" s="57">
        <v>45118</v>
      </c>
      <c r="I1447" s="34">
        <f t="shared" si="66"/>
        <v>7</v>
      </c>
      <c r="J1447" s="34">
        <v>35</v>
      </c>
      <c r="K1447" s="36">
        <v>825</v>
      </c>
      <c r="L1447" s="34" t="s">
        <v>17</v>
      </c>
      <c r="M1447" s="35">
        <v>34216</v>
      </c>
      <c r="N1447" s="37">
        <f>(YEAR(TablaMadre[[#This Row],[ALTA]])-YEAR(M1447))</f>
        <v>29</v>
      </c>
      <c r="O1447" s="34" t="s">
        <v>191</v>
      </c>
      <c r="P1447" s="34" t="s">
        <v>19</v>
      </c>
      <c r="Q1447" s="34" t="s">
        <v>644</v>
      </c>
      <c r="R1447" s="34" t="s">
        <v>21</v>
      </c>
      <c r="S1447" s="34" t="s">
        <v>321</v>
      </c>
      <c r="T1447" s="34"/>
      <c r="U1447" s="34"/>
      <c r="V1447" s="34" t="s">
        <v>142</v>
      </c>
      <c r="W1447" s="34" t="s">
        <v>28</v>
      </c>
      <c r="X1447" s="38" t="s">
        <v>164</v>
      </c>
      <c r="Y1447" s="62">
        <v>45603</v>
      </c>
      <c r="Z1447" s="38">
        <f t="shared" si="67"/>
        <v>1</v>
      </c>
      <c r="AA1447" s="38"/>
      <c r="AB1447" s="34" t="s">
        <v>628</v>
      </c>
      <c r="AC1447" s="34">
        <v>5</v>
      </c>
      <c r="AD1447" s="38"/>
      <c r="AE1447" s="59" t="str">
        <f t="shared" si="68"/>
        <v>SÍ</v>
      </c>
      <c r="AF1447" s="38" t="e" cm="1">
        <f t="array" aca="1" ref="AF1447" ca="1">MIN(100, MAX(0, (IF(R1447="ESTUDIANTE", 31, 0)) + (IF(I1447&lt;=3, 30, IF(I1447&lt;=6, 20, 0))) +(IF(OR(E1447="413 - Control de Costes y Enlace Construcción", E1447="480 - Secretaría General del Consejo", E1447="132 - Civil y estructuras", E1447="136 - Mecánica", E1447="412 - Planificación", E1447="142 - Compras"), 25, 0)) +(IF(OR(S1447="GRADO ING. MECÁNICA", S1447="GRADO ING. ELÉCTRICA", S1447="GRADO DERECHO", S1447="GRADO ECONOMÍA", S1447="GRADO ING. TECNOLOGÍAS INDUSTRIALES"), 24, 0)) + (IF(AND(K1447&gt;=451, K1447&lt;=700), 23, 0)) + (IF(AND(AB1447&gt;=5, AB1447&lt;=8), 17, 0)) +(IF(_xludf.OR(_xludf.AND(AC1447&gt;=8, AC1447&lt;=10), _xludf.AND(AC1447&gt;=0, AC1447&lt;=5)), 16, 0)) + (IF(F1447="Madrid", 11, 0))))</f>
        <v>#NAME?</v>
      </c>
      <c r="AG1447" s="68"/>
      <c r="AH1447" s="71" t="s">
        <v>164</v>
      </c>
    </row>
    <row r="1448" spans="1:34" ht="14.4" x14ac:dyDescent="0.3">
      <c r="A1448" s="66" t="s">
        <v>2426</v>
      </c>
      <c r="B1448" s="66" t="s">
        <v>4543</v>
      </c>
      <c r="C1448" s="33">
        <v>1447</v>
      </c>
      <c r="D1448" s="33" t="s">
        <v>5401</v>
      </c>
      <c r="E1448" s="34" t="s">
        <v>5313</v>
      </c>
      <c r="F1448" s="34" t="s">
        <v>18</v>
      </c>
      <c r="G1448" s="57">
        <v>44907</v>
      </c>
      <c r="H1448" s="57">
        <v>45088</v>
      </c>
      <c r="I1448" s="34">
        <f t="shared" si="66"/>
        <v>5</v>
      </c>
      <c r="J1448" s="34">
        <v>35</v>
      </c>
      <c r="K1448" s="36">
        <v>825</v>
      </c>
      <c r="L1448" s="34" t="s">
        <v>17</v>
      </c>
      <c r="M1448" s="35">
        <v>35885</v>
      </c>
      <c r="N1448" s="37">
        <f>(YEAR(TablaMadre[[#This Row],[ALTA]])-YEAR(M1448))</f>
        <v>24</v>
      </c>
      <c r="O1448" s="34" t="s">
        <v>257</v>
      </c>
      <c r="P1448" s="34" t="s">
        <v>19</v>
      </c>
      <c r="Q1448" s="34" t="s">
        <v>630</v>
      </c>
      <c r="R1448" s="34" t="s">
        <v>21</v>
      </c>
      <c r="S1448" s="34" t="s">
        <v>136</v>
      </c>
      <c r="T1448" s="34"/>
      <c r="U1448" s="34"/>
      <c r="V1448" s="34" t="s">
        <v>67</v>
      </c>
      <c r="W1448" s="34" t="s">
        <v>28</v>
      </c>
      <c r="X1448" s="38" t="s">
        <v>173</v>
      </c>
      <c r="Y1448" s="62"/>
      <c r="Z1448" s="38" t="e">
        <f t="shared" si="67"/>
        <v>#NUM!</v>
      </c>
      <c r="AA1448" s="38"/>
      <c r="AB1448" s="34" t="s">
        <v>602</v>
      </c>
      <c r="AC1448" s="34">
        <v>9</v>
      </c>
      <c r="AD1448" s="38"/>
      <c r="AE1448" s="59" t="str">
        <f t="shared" si="68"/>
        <v>SÍ</v>
      </c>
      <c r="AF1448" s="38" t="e" cm="1">
        <f t="array" aca="1" ref="AF1448" ca="1">MIN(100, MAX(0, (IF(R1448="ESTUDIANTE", 31, 0)) + (IF(I1448&lt;=3, 30, IF(I1448&lt;=6, 20, 0))) +(IF(OR(E1448="413 - Control de Costes y Enlace Construcción", E1448="480 - Secretaría General del Consejo", E1448="132 - Civil y estructuras", E1448="136 - Mecánica", E1448="412 - Planificación", E1448="142 - Compras"), 25, 0)) +(IF(OR(S1448="GRADO ING. MECÁNICA", S1448="GRADO ING. ELÉCTRICA", S1448="GRADO DERECHO", S1448="GRADO ECONOMÍA", S1448="GRADO ING. TECNOLOGÍAS INDUSTRIALES"), 24, 0)) + (IF(AND(K1448&gt;=451, K1448&lt;=700), 23, 0)) + (IF(AND(AB1448&gt;=5, AB1448&lt;=8), 17, 0)) +(IF(_xludf.OR(_xludf.AND(AC1448&gt;=8, AC1448&lt;=10), _xludf.AND(AC1448&gt;=0, AC1448&lt;=5)), 16, 0)) + (IF(F1448="Madrid", 11, 0))))</f>
        <v>#NAME?</v>
      </c>
      <c r="AG1448" s="68"/>
      <c r="AH1448" s="71" t="s">
        <v>164</v>
      </c>
    </row>
    <row r="1449" spans="1:34" s="4" customFormat="1" ht="14.4" x14ac:dyDescent="0.3">
      <c r="A1449" s="66" t="s">
        <v>2427</v>
      </c>
      <c r="B1449" s="66" t="s">
        <v>4544</v>
      </c>
      <c r="C1449" s="33">
        <v>1448</v>
      </c>
      <c r="D1449" s="33" t="s">
        <v>5402</v>
      </c>
      <c r="E1449" s="34" t="s">
        <v>5222</v>
      </c>
      <c r="F1449" s="34" t="s">
        <v>18</v>
      </c>
      <c r="G1449" s="57">
        <v>44907</v>
      </c>
      <c r="H1449" s="57">
        <v>45231</v>
      </c>
      <c r="I1449" s="34">
        <f t="shared" si="66"/>
        <v>10</v>
      </c>
      <c r="J1449" s="34">
        <v>35</v>
      </c>
      <c r="K1449" s="36">
        <v>875</v>
      </c>
      <c r="L1449" s="34" t="s">
        <v>17</v>
      </c>
      <c r="M1449" s="35">
        <v>36864</v>
      </c>
      <c r="N1449" s="37">
        <f>(YEAR(TablaMadre[[#This Row],[ALTA]])-YEAR(M1449))</f>
        <v>22</v>
      </c>
      <c r="O1449" s="34" t="s">
        <v>257</v>
      </c>
      <c r="P1449" s="34" t="s">
        <v>19</v>
      </c>
      <c r="Q1449" s="34" t="s">
        <v>297</v>
      </c>
      <c r="R1449" s="34" t="s">
        <v>21</v>
      </c>
      <c r="S1449" s="34" t="s">
        <v>297</v>
      </c>
      <c r="T1449" s="34"/>
      <c r="U1449" s="34"/>
      <c r="V1449" s="34" t="s">
        <v>56</v>
      </c>
      <c r="W1449" s="34" t="s">
        <v>28</v>
      </c>
      <c r="X1449" s="34" t="s">
        <v>173</v>
      </c>
      <c r="Y1449" s="57"/>
      <c r="Z1449" s="34" t="e">
        <f t="shared" si="67"/>
        <v>#NUM!</v>
      </c>
      <c r="AA1449" s="34"/>
      <c r="AB1449" s="34">
        <v>9</v>
      </c>
      <c r="AC1449" s="34" t="s">
        <v>661</v>
      </c>
      <c r="AD1449" s="34"/>
      <c r="AE1449" s="59" t="str">
        <f t="shared" si="68"/>
        <v>SÍ</v>
      </c>
      <c r="AF1449" s="34" t="e" cm="1">
        <f t="array" aca="1" ref="AF1449" ca="1">MIN(100, MAX(0, (IF(R1449="ESTUDIANTE", 31, 0)) + (IF(I1449&lt;=3, 30, IF(I1449&lt;=6, 20, 0))) +(IF(OR(E1449="413 - Control de Costes y Enlace Construcción", E1449="480 - Secretaría General del Consejo", E1449="132 - Civil y estructuras", E1449="136 - Mecánica", E1449="412 - Planificación", E1449="142 - Compras"), 25, 0)) +(IF(OR(S1449="GRADO ING. MECÁNICA", S1449="GRADO ING. ELÉCTRICA", S1449="GRADO DERECHO", S1449="GRADO ECONOMÍA", S1449="GRADO ING. TECNOLOGÍAS INDUSTRIALES"), 24, 0)) + (IF(AND(K1449&gt;=451, K1449&lt;=700), 23, 0)) + (IF(AND(AB1449&gt;=5, AB1449&lt;=8), 17, 0)) +(IF(_xludf.OR(_xludf.AND(AC1449&gt;=8, AC1449&lt;=10), _xludf.AND(AC1449&gt;=0, AC1449&lt;=5)), 16, 0)) + (IF(F1449="Madrid", 11, 0))))</f>
        <v>#NAME?</v>
      </c>
      <c r="AG1449" s="69"/>
      <c r="AH1449" s="71" t="s">
        <v>164</v>
      </c>
    </row>
    <row r="1450" spans="1:34" s="4" customFormat="1" ht="14.4" x14ac:dyDescent="0.3">
      <c r="A1450" s="66" t="s">
        <v>2428</v>
      </c>
      <c r="B1450" s="66" t="s">
        <v>4545</v>
      </c>
      <c r="C1450" s="33">
        <v>1449</v>
      </c>
      <c r="D1450" s="33" t="s">
        <v>5393</v>
      </c>
      <c r="E1450" s="34" t="s">
        <v>5319</v>
      </c>
      <c r="F1450" s="34" t="s">
        <v>18</v>
      </c>
      <c r="G1450" s="57">
        <v>44907</v>
      </c>
      <c r="H1450" s="57">
        <v>45271</v>
      </c>
      <c r="I1450" s="34">
        <f t="shared" si="66"/>
        <v>11</v>
      </c>
      <c r="J1450" s="34">
        <v>35</v>
      </c>
      <c r="K1450" s="36">
        <v>900</v>
      </c>
      <c r="L1450" s="34" t="s">
        <v>29</v>
      </c>
      <c r="M1450" s="35">
        <v>35262</v>
      </c>
      <c r="N1450" s="37">
        <f>(YEAR(TablaMadre[[#This Row],[ALTA]])-YEAR(M1450))</f>
        <v>26</v>
      </c>
      <c r="O1450" s="34" t="s">
        <v>18</v>
      </c>
      <c r="P1450" s="34" t="s">
        <v>19</v>
      </c>
      <c r="Q1450" s="34" t="s">
        <v>676</v>
      </c>
      <c r="R1450" s="34" t="s">
        <v>21</v>
      </c>
      <c r="S1450" s="34" t="s">
        <v>297</v>
      </c>
      <c r="T1450" s="34"/>
      <c r="U1450" s="34"/>
      <c r="V1450" s="34" t="s">
        <v>40</v>
      </c>
      <c r="W1450" s="34" t="s">
        <v>28</v>
      </c>
      <c r="X1450" s="34" t="s">
        <v>173</v>
      </c>
      <c r="Y1450" s="57"/>
      <c r="Z1450" s="34" t="e">
        <f t="shared" si="67"/>
        <v>#NUM!</v>
      </c>
      <c r="AA1450" s="34"/>
      <c r="AB1450" s="34">
        <v>6</v>
      </c>
      <c r="AC1450" s="34">
        <v>9</v>
      </c>
      <c r="AD1450" s="34"/>
      <c r="AE1450" s="59" t="str">
        <f t="shared" si="68"/>
        <v>NO</v>
      </c>
      <c r="AF1450" s="34" t="e" cm="1">
        <f t="array" aca="1" ref="AF1450" ca="1">MIN(100, MAX(0, (IF(R1450="ESTUDIANTE", 31, 0)) + (IF(I1450&lt;=3, 30, IF(I1450&lt;=6, 20, 0))) +(IF(OR(E1450="413 - Control de Costes y Enlace Construcción", E1450="480 - Secretaría General del Consejo", E1450="132 - Civil y estructuras", E1450="136 - Mecánica", E1450="412 - Planificación", E1450="142 - Compras"), 25, 0)) +(IF(OR(S1450="GRADO ING. MECÁNICA", S1450="GRADO ING. ELÉCTRICA", S1450="GRADO DERECHO", S1450="GRADO ECONOMÍA", S1450="GRADO ING. TECNOLOGÍAS INDUSTRIALES"), 24, 0)) + (IF(AND(K1450&gt;=451, K1450&lt;=700), 23, 0)) + (IF(AND(AB1450&gt;=5, AB1450&lt;=8), 17, 0)) +(IF(_xludf.OR(_xludf.AND(AC1450&gt;=8, AC1450&lt;=10), _xludf.AND(AC1450&gt;=0, AC1450&lt;=5)), 16, 0)) + (IF(F1450="Madrid", 11, 0))))</f>
        <v>#NAME?</v>
      </c>
      <c r="AG1450" s="69"/>
      <c r="AH1450" s="71" t="s">
        <v>164</v>
      </c>
    </row>
    <row r="1451" spans="1:34" s="4" customFormat="1" ht="14.4" x14ac:dyDescent="0.3">
      <c r="A1451" s="66" t="s">
        <v>2429</v>
      </c>
      <c r="B1451" s="66" t="s">
        <v>4546</v>
      </c>
      <c r="C1451" s="33">
        <v>1450</v>
      </c>
      <c r="D1451" s="33" t="s">
        <v>5394</v>
      </c>
      <c r="E1451" s="34" t="s">
        <v>5342</v>
      </c>
      <c r="F1451" s="34" t="s">
        <v>18</v>
      </c>
      <c r="G1451" s="57">
        <v>44907</v>
      </c>
      <c r="H1451" s="57">
        <v>45271</v>
      </c>
      <c r="I1451" s="34">
        <f t="shared" si="66"/>
        <v>11</v>
      </c>
      <c r="J1451" s="34">
        <v>35</v>
      </c>
      <c r="K1451" s="36">
        <v>800</v>
      </c>
      <c r="L1451" s="34" t="s">
        <v>29</v>
      </c>
      <c r="M1451" s="35">
        <v>35680</v>
      </c>
      <c r="N1451" s="37">
        <f>(YEAR(TablaMadre[[#This Row],[ALTA]])-YEAR(M1451))</f>
        <v>25</v>
      </c>
      <c r="O1451" s="34" t="s">
        <v>293</v>
      </c>
      <c r="P1451" s="34" t="s">
        <v>19</v>
      </c>
      <c r="Q1451" s="34" t="s">
        <v>677</v>
      </c>
      <c r="R1451" s="34" t="s">
        <v>21</v>
      </c>
      <c r="S1451" s="34" t="s">
        <v>291</v>
      </c>
      <c r="T1451" s="34"/>
      <c r="U1451" s="34"/>
      <c r="V1451" s="34" t="s">
        <v>310</v>
      </c>
      <c r="W1451" s="34" t="s">
        <v>28</v>
      </c>
      <c r="X1451" s="34" t="s">
        <v>173</v>
      </c>
      <c r="Y1451" s="57"/>
      <c r="Z1451" s="34" t="e">
        <f t="shared" si="67"/>
        <v>#NUM!</v>
      </c>
      <c r="AA1451" s="34"/>
      <c r="AB1451" s="34" t="s">
        <v>661</v>
      </c>
      <c r="AC1451" s="34">
        <v>8</v>
      </c>
      <c r="AD1451" s="34"/>
      <c r="AE1451" s="59" t="str">
        <f t="shared" si="68"/>
        <v>SÍ</v>
      </c>
      <c r="AF1451" s="34" t="e" cm="1">
        <f t="array" aca="1" ref="AF1451" ca="1">MIN(100, MAX(0, (IF(R1451="ESTUDIANTE", 31, 0)) + (IF(I1451&lt;=3, 30, IF(I1451&lt;=6, 20, 0))) +(IF(OR(E1451="413 - Control de Costes y Enlace Construcción", E1451="480 - Secretaría General del Consejo", E1451="132 - Civil y estructuras", E1451="136 - Mecánica", E1451="412 - Planificación", E1451="142 - Compras"), 25, 0)) +(IF(OR(S1451="GRADO ING. MECÁNICA", S1451="GRADO ING. ELÉCTRICA", S1451="GRADO DERECHO", S1451="GRADO ECONOMÍA", S1451="GRADO ING. TECNOLOGÍAS INDUSTRIALES"), 24, 0)) + (IF(AND(K1451&gt;=451, K1451&lt;=700), 23, 0)) + (IF(AND(AB1451&gt;=5, AB1451&lt;=8), 17, 0)) +(IF(_xludf.OR(_xludf.AND(AC1451&gt;=8, AC1451&lt;=10), _xludf.AND(AC1451&gt;=0, AC1451&lt;=5)), 16, 0)) + (IF(F1451="Madrid", 11, 0))))</f>
        <v>#NAME?</v>
      </c>
      <c r="AG1451" s="69"/>
      <c r="AH1451" s="71" t="s">
        <v>164</v>
      </c>
    </row>
    <row r="1452" spans="1:34" ht="14.4" x14ac:dyDescent="0.3">
      <c r="A1452" s="66" t="s">
        <v>2430</v>
      </c>
      <c r="B1452" s="66" t="s">
        <v>4547</v>
      </c>
      <c r="C1452" s="33">
        <v>1451</v>
      </c>
      <c r="D1452" s="33" t="s">
        <v>5403</v>
      </c>
      <c r="E1452" s="34" t="s">
        <v>5319</v>
      </c>
      <c r="F1452" s="34" t="s">
        <v>18</v>
      </c>
      <c r="G1452" s="57">
        <v>44907</v>
      </c>
      <c r="H1452" s="57">
        <v>45271</v>
      </c>
      <c r="I1452" s="34">
        <f t="shared" si="66"/>
        <v>11</v>
      </c>
      <c r="J1452" s="34">
        <v>35</v>
      </c>
      <c r="K1452" s="36">
        <v>900</v>
      </c>
      <c r="L1452" s="34" t="s">
        <v>29</v>
      </c>
      <c r="M1452" s="35">
        <v>35751</v>
      </c>
      <c r="N1452" s="37">
        <f>(YEAR(TablaMadre[[#This Row],[ALTA]])-YEAR(M1452))</f>
        <v>25</v>
      </c>
      <c r="O1452" s="34" t="s">
        <v>18</v>
      </c>
      <c r="P1452" s="34" t="s">
        <v>19</v>
      </c>
      <c r="Q1452" s="34" t="s">
        <v>515</v>
      </c>
      <c r="R1452" s="34" t="s">
        <v>21</v>
      </c>
      <c r="S1452" s="34" t="s">
        <v>297</v>
      </c>
      <c r="T1452" s="34"/>
      <c r="U1452" s="34"/>
      <c r="V1452" s="34" t="s">
        <v>84</v>
      </c>
      <c r="W1452" s="34" t="s">
        <v>28</v>
      </c>
      <c r="X1452" s="38" t="s">
        <v>173</v>
      </c>
      <c r="Y1452" s="62"/>
      <c r="Z1452" s="38" t="e">
        <f t="shared" si="67"/>
        <v>#NUM!</v>
      </c>
      <c r="AA1452" s="38"/>
      <c r="AB1452" s="34">
        <v>9</v>
      </c>
      <c r="AC1452" s="34" t="s">
        <v>661</v>
      </c>
      <c r="AD1452" s="38"/>
      <c r="AE1452" s="59" t="str">
        <f t="shared" si="68"/>
        <v>NO</v>
      </c>
      <c r="AF1452" s="38" t="e" cm="1">
        <f t="array" aca="1" ref="AF1452" ca="1">MIN(100, MAX(0, (IF(R1452="ESTUDIANTE", 31, 0)) + (IF(I1452&lt;=3, 30, IF(I1452&lt;=6, 20, 0))) +(IF(OR(E1452="413 - Control de Costes y Enlace Construcción", E1452="480 - Secretaría General del Consejo", E1452="132 - Civil y estructuras", E1452="136 - Mecánica", E1452="412 - Planificación", E1452="142 - Compras"), 25, 0)) +(IF(OR(S1452="GRADO ING. MECÁNICA", S1452="GRADO ING. ELÉCTRICA", S1452="GRADO DERECHO", S1452="GRADO ECONOMÍA", S1452="GRADO ING. TECNOLOGÍAS INDUSTRIALES"), 24, 0)) + (IF(AND(K1452&gt;=451, K1452&lt;=700), 23, 0)) + (IF(AND(AB1452&gt;=5, AB1452&lt;=8), 17, 0)) +(IF(_xludf.OR(_xludf.AND(AC1452&gt;=8, AC1452&lt;=10), _xludf.AND(AC1452&gt;=0, AC1452&lt;=5)), 16, 0)) + (IF(F1452="Madrid", 11, 0))))</f>
        <v>#NAME?</v>
      </c>
      <c r="AG1452" s="68"/>
      <c r="AH1452" s="71" t="s">
        <v>164</v>
      </c>
    </row>
    <row r="1453" spans="1:34" s="4" customFormat="1" ht="14.4" x14ac:dyDescent="0.3">
      <c r="A1453" s="66" t="s">
        <v>2431</v>
      </c>
      <c r="B1453" s="66" t="s">
        <v>4548</v>
      </c>
      <c r="C1453" s="33">
        <v>1452</v>
      </c>
      <c r="D1453" s="33" t="s">
        <v>5404</v>
      </c>
      <c r="E1453" s="34" t="s">
        <v>5222</v>
      </c>
      <c r="F1453" s="34" t="s">
        <v>18</v>
      </c>
      <c r="G1453" s="57">
        <v>44912</v>
      </c>
      <c r="H1453" s="57">
        <v>45201</v>
      </c>
      <c r="I1453" s="34">
        <f t="shared" si="66"/>
        <v>9</v>
      </c>
      <c r="J1453" s="34">
        <v>35</v>
      </c>
      <c r="K1453" s="36">
        <v>725</v>
      </c>
      <c r="L1453" s="34" t="s">
        <v>17</v>
      </c>
      <c r="M1453" s="35">
        <v>37411</v>
      </c>
      <c r="N1453" s="37">
        <f>(YEAR(TablaMadre[[#This Row],[ALTA]])-YEAR(M1453))</f>
        <v>20</v>
      </c>
      <c r="O1453" s="34" t="s">
        <v>18</v>
      </c>
      <c r="P1453" s="34" t="s">
        <v>19</v>
      </c>
      <c r="Q1453" s="34" t="s">
        <v>669</v>
      </c>
      <c r="R1453" s="34" t="s">
        <v>21</v>
      </c>
      <c r="S1453" s="34" t="s">
        <v>26</v>
      </c>
      <c r="T1453" s="34"/>
      <c r="U1453" s="34"/>
      <c r="V1453" s="34" t="s">
        <v>27</v>
      </c>
      <c r="W1453" s="34" t="s">
        <v>28</v>
      </c>
      <c r="X1453" s="34" t="s">
        <v>173</v>
      </c>
      <c r="Y1453" s="57"/>
      <c r="Z1453" s="34" t="e">
        <f t="shared" si="67"/>
        <v>#NUM!</v>
      </c>
      <c r="AA1453" s="34"/>
      <c r="AB1453" s="34">
        <v>8</v>
      </c>
      <c r="AC1453" s="34">
        <v>5</v>
      </c>
      <c r="AD1453" s="34"/>
      <c r="AE1453" s="59" t="str">
        <f t="shared" si="68"/>
        <v>NO</v>
      </c>
      <c r="AF1453" s="34" t="e" cm="1">
        <f t="array" aca="1" ref="AF1453" ca="1">MIN(100, MAX(0, (IF(R1453="ESTUDIANTE", 31, 0)) + (IF(I1453&lt;=3, 30, IF(I1453&lt;=6, 20, 0))) +(IF(OR(E1453="413 - Control de Costes y Enlace Construcción", E1453="480 - Secretaría General del Consejo", E1453="132 - Civil y estructuras", E1453="136 - Mecánica", E1453="412 - Planificación", E1453="142 - Compras"), 25, 0)) +(IF(OR(S1453="GRADO ING. MECÁNICA", S1453="GRADO ING. ELÉCTRICA", S1453="GRADO DERECHO", S1453="GRADO ECONOMÍA", S1453="GRADO ING. TECNOLOGÍAS INDUSTRIALES"), 24, 0)) + (IF(AND(K1453&gt;=451, K1453&lt;=700), 23, 0)) + (IF(AND(AB1453&gt;=5, AB1453&lt;=8), 17, 0)) +(IF(_xludf.OR(_xludf.AND(AC1453&gt;=8, AC1453&lt;=10), _xludf.AND(AC1453&gt;=0, AC1453&lt;=5)), 16, 0)) + (IF(F1453="Madrid", 11, 0))))</f>
        <v>#NAME?</v>
      </c>
      <c r="AG1453" s="69"/>
      <c r="AH1453" s="71" t="s">
        <v>164</v>
      </c>
    </row>
    <row r="1454" spans="1:34" s="4" customFormat="1" ht="14.4" x14ac:dyDescent="0.3">
      <c r="A1454" s="66" t="s">
        <v>2378</v>
      </c>
      <c r="B1454" s="66" t="s">
        <v>4495</v>
      </c>
      <c r="C1454" s="33">
        <v>1455</v>
      </c>
      <c r="D1454" s="33" t="s">
        <v>5405</v>
      </c>
      <c r="E1454" s="34" t="s">
        <v>5233</v>
      </c>
      <c r="F1454" s="34" t="s">
        <v>18</v>
      </c>
      <c r="G1454" s="57">
        <v>44935</v>
      </c>
      <c r="H1454" s="57">
        <v>45169</v>
      </c>
      <c r="I1454" s="34">
        <f t="shared" si="66"/>
        <v>7</v>
      </c>
      <c r="J1454" s="34">
        <v>35</v>
      </c>
      <c r="K1454" s="36">
        <v>900</v>
      </c>
      <c r="L1454" s="34" t="s">
        <v>17</v>
      </c>
      <c r="M1454" s="35">
        <v>36883</v>
      </c>
      <c r="N1454" s="37">
        <f>(YEAR(TablaMadre[[#This Row],[ALTA]])-YEAR(M1454))</f>
        <v>23</v>
      </c>
      <c r="O1454" s="34" t="s">
        <v>659</v>
      </c>
      <c r="P1454" s="34" t="s">
        <v>659</v>
      </c>
      <c r="Q1454" s="34" t="s">
        <v>136</v>
      </c>
      <c r="R1454" s="34" t="s">
        <v>21</v>
      </c>
      <c r="S1454" s="34" t="s">
        <v>136</v>
      </c>
      <c r="T1454" s="34"/>
      <c r="U1454" s="34"/>
      <c r="V1454" s="34" t="s">
        <v>90</v>
      </c>
      <c r="W1454" s="34" t="s">
        <v>23</v>
      </c>
      <c r="X1454" s="38" t="s">
        <v>164</v>
      </c>
      <c r="Y1454" s="62"/>
      <c r="Z1454" s="38" t="e">
        <f t="shared" si="67"/>
        <v>#NUM!</v>
      </c>
      <c r="AA1454" s="38"/>
      <c r="AB1454" s="34">
        <v>10</v>
      </c>
      <c r="AC1454" s="34">
        <v>9</v>
      </c>
      <c r="AD1454" s="38"/>
      <c r="AE1454" s="59" t="str">
        <f t="shared" si="68"/>
        <v>SÍ</v>
      </c>
      <c r="AF1454" s="34" t="e" cm="1">
        <f t="array" aca="1" ref="AF1454" ca="1">MIN(100, MAX(0, (IF(R1454="ESTUDIANTE", 31, 0)) + (IF(I1454&lt;=3, 30, IF(I1454&lt;=6, 20, 0))) +(IF(OR(E1454="413 - Control de Costes y Enlace Construcción", E1454="480 - Secretaría General del Consejo", E1454="132 - Civil y estructuras", E1454="136 - Mecánica", E1454="412 - Planificación", E1454="142 - Compras"), 25, 0)) +(IF(OR(S1454="GRADO ING. MECÁNICA", S1454="GRADO ING. ELÉCTRICA", S1454="GRADO DERECHO", S1454="GRADO ECONOMÍA", S1454="GRADO ING. TECNOLOGÍAS INDUSTRIALES"), 24, 0)) + (IF(AND(K1454&gt;=451, K1454&lt;=700), 23, 0)) + (IF(AND(AB1454&gt;=5, AB1454&lt;=8), 17, 0)) +(IF(_xludf.OR(_xludf.AND(AC1454&gt;=8, AC1454&lt;=10), _xludf.AND(AC1454&gt;=0, AC1454&lt;=5)), 16, 0)) + (IF(F1454="Madrid", 11, 0))))</f>
        <v>#NAME?</v>
      </c>
      <c r="AG1454" s="69"/>
      <c r="AH1454" s="71" t="s">
        <v>164</v>
      </c>
    </row>
    <row r="1455" spans="1:34" ht="14.4" x14ac:dyDescent="0.3">
      <c r="A1455" s="66" t="s">
        <v>2432</v>
      </c>
      <c r="B1455" s="66" t="s">
        <v>4549</v>
      </c>
      <c r="C1455" s="33">
        <v>1453</v>
      </c>
      <c r="D1455" s="33" t="s">
        <v>5396</v>
      </c>
      <c r="E1455" s="34" t="s">
        <v>5270</v>
      </c>
      <c r="F1455" s="34" t="s">
        <v>18</v>
      </c>
      <c r="G1455" s="57">
        <v>44935</v>
      </c>
      <c r="H1455" s="57">
        <v>45112</v>
      </c>
      <c r="I1455" s="34">
        <f t="shared" si="66"/>
        <v>5</v>
      </c>
      <c r="J1455" s="34">
        <v>35</v>
      </c>
      <c r="K1455" s="36">
        <v>825</v>
      </c>
      <c r="L1455" s="34" t="s">
        <v>29</v>
      </c>
      <c r="M1455" s="35">
        <v>36131</v>
      </c>
      <c r="N1455" s="37">
        <f>(YEAR(TablaMadre[[#This Row],[ALTA]])-YEAR(M1455))</f>
        <v>25</v>
      </c>
      <c r="O1455" s="34" t="s">
        <v>18</v>
      </c>
      <c r="P1455" s="34" t="s">
        <v>19</v>
      </c>
      <c r="Q1455" s="34" t="s">
        <v>533</v>
      </c>
      <c r="R1455" s="34" t="s">
        <v>21</v>
      </c>
      <c r="S1455" s="34" t="s">
        <v>297</v>
      </c>
      <c r="T1455" s="34"/>
      <c r="U1455" s="34"/>
      <c r="V1455" s="34" t="s">
        <v>56</v>
      </c>
      <c r="W1455" s="34" t="s">
        <v>28</v>
      </c>
      <c r="X1455" s="34" t="s">
        <v>173</v>
      </c>
      <c r="Y1455" s="57"/>
      <c r="Z1455" s="34" t="e">
        <f t="shared" si="67"/>
        <v>#NUM!</v>
      </c>
      <c r="AA1455" s="34"/>
      <c r="AB1455" s="34">
        <v>8</v>
      </c>
      <c r="AC1455" s="34">
        <v>9</v>
      </c>
      <c r="AD1455" s="34"/>
      <c r="AE1455" s="59" t="str">
        <f t="shared" si="68"/>
        <v>NO</v>
      </c>
      <c r="AF1455" s="38" t="e" cm="1">
        <f t="array" aca="1" ref="AF1455" ca="1">MIN(100, MAX(0, (IF(R1455="ESTUDIANTE", 31, 0)) + (IF(I1455&lt;=3, 30, IF(I1455&lt;=6, 20, 0))) +(IF(OR(E1455="413 - Control de Costes y Enlace Construcción", E1455="480 - Secretaría General del Consejo", E1455="132 - Civil y estructuras", E1455="136 - Mecánica", E1455="412 - Planificación", E1455="142 - Compras"), 25, 0)) +(IF(OR(S1455="GRADO ING. MECÁNICA", S1455="GRADO ING. ELÉCTRICA", S1455="GRADO DERECHO", S1455="GRADO ECONOMÍA", S1455="GRADO ING. TECNOLOGÍAS INDUSTRIALES"), 24, 0)) + (IF(AND(K1455&gt;=451, K1455&lt;=700), 23, 0)) + (IF(AND(AB1455&gt;=5, AB1455&lt;=8), 17, 0)) +(IF(_xludf.OR(_xludf.AND(AC1455&gt;=8, AC1455&lt;=10), _xludf.AND(AC1455&gt;=0, AC1455&lt;=5)), 16, 0)) + (IF(F1455="Madrid", 11, 0))))</f>
        <v>#NAME?</v>
      </c>
      <c r="AG1455" s="68"/>
      <c r="AH1455" s="71" t="s">
        <v>164</v>
      </c>
    </row>
    <row r="1456" spans="1:34" ht="14.4" x14ac:dyDescent="0.3">
      <c r="A1456" s="66" t="s">
        <v>2433</v>
      </c>
      <c r="B1456" s="66" t="s">
        <v>4550</v>
      </c>
      <c r="C1456" s="33">
        <v>1454</v>
      </c>
      <c r="D1456" s="33" t="s">
        <v>5397</v>
      </c>
      <c r="E1456" s="34" t="s">
        <v>5273</v>
      </c>
      <c r="F1456" s="34" t="s">
        <v>18</v>
      </c>
      <c r="G1456" s="57">
        <v>44935</v>
      </c>
      <c r="H1456" s="57">
        <v>45115</v>
      </c>
      <c r="I1456" s="34">
        <f t="shared" si="66"/>
        <v>5</v>
      </c>
      <c r="J1456" s="34">
        <v>35</v>
      </c>
      <c r="K1456" s="36">
        <v>825</v>
      </c>
      <c r="L1456" s="34" t="s">
        <v>29</v>
      </c>
      <c r="M1456" s="35">
        <v>36013</v>
      </c>
      <c r="N1456" s="37">
        <f>(YEAR(TablaMadre[[#This Row],[ALTA]])-YEAR(M1456))</f>
        <v>25</v>
      </c>
      <c r="O1456" s="34" t="s">
        <v>18</v>
      </c>
      <c r="P1456" s="34" t="s">
        <v>19</v>
      </c>
      <c r="Q1456" s="34" t="s">
        <v>641</v>
      </c>
      <c r="R1456" s="34" t="s">
        <v>21</v>
      </c>
      <c r="S1456" s="34" t="s">
        <v>322</v>
      </c>
      <c r="T1456" s="34"/>
      <c r="U1456" s="34"/>
      <c r="V1456" s="34" t="s">
        <v>22</v>
      </c>
      <c r="W1456" s="34" t="s">
        <v>28</v>
      </c>
      <c r="X1456" s="38" t="s">
        <v>173</v>
      </c>
      <c r="Y1456" s="62"/>
      <c r="Z1456" s="38" t="e">
        <f t="shared" si="67"/>
        <v>#NUM!</v>
      </c>
      <c r="AA1456" s="38"/>
      <c r="AB1456" s="34">
        <v>8</v>
      </c>
      <c r="AC1456" s="34">
        <v>10</v>
      </c>
      <c r="AD1456" s="38"/>
      <c r="AE1456" s="59" t="str">
        <f t="shared" si="68"/>
        <v>NO</v>
      </c>
      <c r="AF1456" s="38" t="e" cm="1">
        <f t="array" aca="1" ref="AF1456" ca="1">MIN(100, MAX(0, (IF(R1456="ESTUDIANTE", 31, 0)) + (IF(I1456&lt;=3, 30, IF(I1456&lt;=6, 20, 0))) +(IF(OR(E1456="413 - Control de Costes y Enlace Construcción", E1456="480 - Secretaría General del Consejo", E1456="132 - Civil y estructuras", E1456="136 - Mecánica", E1456="412 - Planificación", E1456="142 - Compras"), 25, 0)) +(IF(OR(S1456="GRADO ING. MECÁNICA", S1456="GRADO ING. ELÉCTRICA", S1456="GRADO DERECHO", S1456="GRADO ECONOMÍA", S1456="GRADO ING. TECNOLOGÍAS INDUSTRIALES"), 24, 0)) + (IF(AND(K1456&gt;=451, K1456&lt;=700), 23, 0)) + (IF(AND(AB1456&gt;=5, AB1456&lt;=8), 17, 0)) +(IF(_xludf.OR(_xludf.AND(AC1456&gt;=8, AC1456&lt;=10), _xludf.AND(AC1456&gt;=0, AC1456&lt;=5)), 16, 0)) + (IF(F1456="Madrid", 11, 0))))</f>
        <v>#NAME?</v>
      </c>
      <c r="AG1456" s="68"/>
      <c r="AH1456" s="71" t="s">
        <v>164</v>
      </c>
    </row>
    <row r="1457" spans="1:34" ht="14.4" x14ac:dyDescent="0.3">
      <c r="A1457" s="66" t="s">
        <v>2435</v>
      </c>
      <c r="B1457" s="66" t="s">
        <v>4552</v>
      </c>
      <c r="C1457" s="33">
        <v>1456</v>
      </c>
      <c r="D1457" s="33" t="s">
        <v>5393</v>
      </c>
      <c r="E1457" s="34" t="s">
        <v>5317</v>
      </c>
      <c r="F1457" s="34" t="s">
        <v>18</v>
      </c>
      <c r="G1457" s="57">
        <v>44942</v>
      </c>
      <c r="H1457" s="57">
        <v>45149</v>
      </c>
      <c r="I1457" s="34">
        <f t="shared" si="66"/>
        <v>6</v>
      </c>
      <c r="J1457" s="34">
        <v>35</v>
      </c>
      <c r="K1457" s="36">
        <v>825</v>
      </c>
      <c r="L1457" s="34" t="s">
        <v>17</v>
      </c>
      <c r="M1457" s="35">
        <v>36239</v>
      </c>
      <c r="N1457" s="37">
        <f>(YEAR(TablaMadre[[#This Row],[ALTA]])-YEAR(M1457))</f>
        <v>24</v>
      </c>
      <c r="O1457" s="34" t="s">
        <v>954</v>
      </c>
      <c r="P1457" s="34" t="s">
        <v>19</v>
      </c>
      <c r="Q1457" s="34" t="s">
        <v>655</v>
      </c>
      <c r="R1457" s="34" t="s">
        <v>21</v>
      </c>
      <c r="S1457" s="34" t="s">
        <v>307</v>
      </c>
      <c r="T1457" s="34"/>
      <c r="U1457" s="34"/>
      <c r="V1457" s="34" t="s">
        <v>22</v>
      </c>
      <c r="W1457" s="34" t="s">
        <v>28</v>
      </c>
      <c r="X1457" s="38" t="s">
        <v>164</v>
      </c>
      <c r="Y1457" s="62">
        <v>45817</v>
      </c>
      <c r="Z1457" s="38">
        <f t="shared" si="67"/>
        <v>1</v>
      </c>
      <c r="AA1457" s="38"/>
      <c r="AB1457" s="34">
        <v>9</v>
      </c>
      <c r="AC1457" s="34">
        <v>9</v>
      </c>
      <c r="AD1457" s="38"/>
      <c r="AE1457" s="59" t="str">
        <f t="shared" si="68"/>
        <v>SÍ</v>
      </c>
      <c r="AF1457" s="38" t="e" cm="1">
        <f t="array" aca="1" ref="AF1457" ca="1">MIN(100, MAX(0, (IF(R1457="ESTUDIANTE", 31, 0)) + (IF(I1457&lt;=3, 30, IF(I1457&lt;=6, 20, 0))) +(IF(OR(E1457="413 - Control de Costes y Enlace Construcción", E1457="480 - Secretaría General del Consejo", E1457="132 - Civil y estructuras", E1457="136 - Mecánica", E1457="412 - Planificación", E1457="142 - Compras"), 25, 0)) +(IF(OR(S1457="GRADO ING. MECÁNICA", S1457="GRADO ING. ELÉCTRICA", S1457="GRADO DERECHO", S1457="GRADO ECONOMÍA", S1457="GRADO ING. TECNOLOGÍAS INDUSTRIALES"), 24, 0)) + (IF(AND(K1457&gt;=451, K1457&lt;=700), 23, 0)) + (IF(AND(AB1457&gt;=5, AB1457&lt;=8), 17, 0)) +(IF(_xludf.OR(_xludf.AND(AC1457&gt;=8, AC1457&lt;=10), _xludf.AND(AC1457&gt;=0, AC1457&lt;=5)), 16, 0)) + (IF(F1457="Madrid", 11, 0))))</f>
        <v>#NAME?</v>
      </c>
      <c r="AG1457" s="68"/>
      <c r="AH1457" s="71" t="s">
        <v>164</v>
      </c>
    </row>
    <row r="1458" spans="1:34" s="4" customFormat="1" ht="14.4" x14ac:dyDescent="0.3">
      <c r="A1458" s="66" t="s">
        <v>2436</v>
      </c>
      <c r="B1458" s="66" t="s">
        <v>4553</v>
      </c>
      <c r="C1458" s="33">
        <v>1457</v>
      </c>
      <c r="D1458" s="33" t="s">
        <v>5394</v>
      </c>
      <c r="E1458" s="34" t="s">
        <v>5255</v>
      </c>
      <c r="F1458" s="34" t="s">
        <v>18</v>
      </c>
      <c r="G1458" s="57">
        <v>44942</v>
      </c>
      <c r="H1458" s="57">
        <v>45306</v>
      </c>
      <c r="I1458" s="34">
        <f t="shared" si="66"/>
        <v>11</v>
      </c>
      <c r="J1458" s="34">
        <v>35</v>
      </c>
      <c r="K1458" s="36">
        <v>825</v>
      </c>
      <c r="L1458" s="34" t="s">
        <v>17</v>
      </c>
      <c r="M1458" s="35">
        <v>35000</v>
      </c>
      <c r="N1458" s="37">
        <f>(YEAR(TablaMadre[[#This Row],[ALTA]])-YEAR(M1458))</f>
        <v>28</v>
      </c>
      <c r="O1458" s="34" t="s">
        <v>18</v>
      </c>
      <c r="P1458" s="34" t="s">
        <v>19</v>
      </c>
      <c r="Q1458" s="34" t="s">
        <v>684</v>
      </c>
      <c r="R1458" s="34" t="s">
        <v>21</v>
      </c>
      <c r="S1458" s="34" t="s">
        <v>685</v>
      </c>
      <c r="T1458" s="34"/>
      <c r="U1458" s="34"/>
      <c r="V1458" s="34" t="s">
        <v>22</v>
      </c>
      <c r="W1458" s="34" t="s">
        <v>28</v>
      </c>
      <c r="X1458" s="34" t="s">
        <v>164</v>
      </c>
      <c r="Y1458" s="57">
        <v>45566</v>
      </c>
      <c r="Z1458" s="34">
        <f t="shared" si="67"/>
        <v>0</v>
      </c>
      <c r="AA1458" s="34"/>
      <c r="AB1458" s="34">
        <v>10</v>
      </c>
      <c r="AC1458" s="34">
        <v>9</v>
      </c>
      <c r="AD1458" s="34"/>
      <c r="AE1458" s="59" t="str">
        <f t="shared" si="68"/>
        <v>NO</v>
      </c>
      <c r="AF1458" s="34" t="e" cm="1">
        <f t="array" aca="1" ref="AF1458" ca="1">MIN(100, MAX(0, (IF(R1458="ESTUDIANTE", 31, 0)) + (IF(I1458&lt;=3, 30, IF(I1458&lt;=6, 20, 0))) +(IF(OR(E1458="413 - Control de Costes y Enlace Construcción", E1458="480 - Secretaría General del Consejo", E1458="132 - Civil y estructuras", E1458="136 - Mecánica", E1458="412 - Planificación", E1458="142 - Compras"), 25, 0)) +(IF(OR(S1458="GRADO ING. MECÁNICA", S1458="GRADO ING. ELÉCTRICA", S1458="GRADO DERECHO", S1458="GRADO ECONOMÍA", S1458="GRADO ING. TECNOLOGÍAS INDUSTRIALES"), 24, 0)) + (IF(AND(K1458&gt;=451, K1458&lt;=700), 23, 0)) + (IF(AND(AB1458&gt;=5, AB1458&lt;=8), 17, 0)) +(IF(_xludf.OR(_xludf.AND(AC1458&gt;=8, AC1458&lt;=10), _xludf.AND(AC1458&gt;=0, AC1458&lt;=5)), 16, 0)) + (IF(F1458="Madrid", 11, 0))))</f>
        <v>#NAME?</v>
      </c>
      <c r="AG1458" s="69"/>
      <c r="AH1458" s="71" t="s">
        <v>164</v>
      </c>
    </row>
    <row r="1459" spans="1:34" s="4" customFormat="1" ht="14.4" x14ac:dyDescent="0.3">
      <c r="A1459" s="66" t="s">
        <v>2437</v>
      </c>
      <c r="B1459" s="66" t="s">
        <v>4554</v>
      </c>
      <c r="C1459" s="33">
        <v>1458</v>
      </c>
      <c r="D1459" s="33" t="s">
        <v>5395</v>
      </c>
      <c r="E1459" s="34" t="s">
        <v>5270</v>
      </c>
      <c r="F1459" s="34" t="s">
        <v>18</v>
      </c>
      <c r="G1459" s="57">
        <v>44942</v>
      </c>
      <c r="H1459" s="57">
        <v>45306</v>
      </c>
      <c r="I1459" s="34">
        <f t="shared" si="66"/>
        <v>11</v>
      </c>
      <c r="J1459" s="34">
        <v>35</v>
      </c>
      <c r="K1459" s="36">
        <v>700</v>
      </c>
      <c r="L1459" s="34" t="s">
        <v>29</v>
      </c>
      <c r="M1459" s="35">
        <v>36458</v>
      </c>
      <c r="N1459" s="37">
        <f>(YEAR(TablaMadre[[#This Row],[ALTA]])-YEAR(M1459))</f>
        <v>24</v>
      </c>
      <c r="O1459" s="34" t="s">
        <v>62</v>
      </c>
      <c r="P1459" s="34" t="s">
        <v>19</v>
      </c>
      <c r="Q1459" s="34" t="s">
        <v>136</v>
      </c>
      <c r="R1459" s="58" t="s">
        <v>30</v>
      </c>
      <c r="S1459" s="34" t="s">
        <v>136</v>
      </c>
      <c r="T1459" s="34"/>
      <c r="U1459" s="34"/>
      <c r="V1459" s="34" t="s">
        <v>142</v>
      </c>
      <c r="W1459" s="34" t="s">
        <v>28</v>
      </c>
      <c r="X1459" s="34" t="s">
        <v>173</v>
      </c>
      <c r="Y1459" s="57"/>
      <c r="Z1459" s="34" t="e">
        <f t="shared" si="67"/>
        <v>#NUM!</v>
      </c>
      <c r="AA1459" s="34"/>
      <c r="AB1459" s="34">
        <v>10</v>
      </c>
      <c r="AC1459" s="34">
        <v>8</v>
      </c>
      <c r="AD1459" s="34"/>
      <c r="AE1459" s="59" t="str">
        <f t="shared" si="68"/>
        <v>SÍ</v>
      </c>
      <c r="AF1459" s="34" t="e" cm="1">
        <f t="array" aca="1" ref="AF1459" ca="1">MIN(100, MAX(0, (IF(R1459="ESTUDIANTE", 31, 0)) + (IF(I1459&lt;=3, 30, IF(I1459&lt;=6, 20, 0))) +(IF(OR(E1459="413 - Control de Costes y Enlace Construcción", E1459="480 - Secretaría General del Consejo", E1459="132 - Civil y estructuras", E1459="136 - Mecánica", E1459="412 - Planificación", E1459="142 - Compras"), 25, 0)) +(IF(OR(S1459="GRADO ING. MECÁNICA", S1459="GRADO ING. ELÉCTRICA", S1459="GRADO DERECHO", S1459="GRADO ECONOMÍA", S1459="GRADO ING. TECNOLOGÍAS INDUSTRIALES"), 24, 0)) + (IF(AND(K1459&gt;=451, K1459&lt;=700), 23, 0)) + (IF(AND(AB1459&gt;=5, AB1459&lt;=8), 17, 0)) +(IF(_xludf.OR(_xludf.AND(AC1459&gt;=8, AC1459&lt;=10), _xludf.AND(AC1459&gt;=0, AC1459&lt;=5)), 16, 0)) + (IF(F1459="Madrid", 11, 0))))</f>
        <v>#NAME?</v>
      </c>
      <c r="AG1459" s="69"/>
      <c r="AH1459" s="71" t="s">
        <v>164</v>
      </c>
    </row>
    <row r="1460" spans="1:34" ht="14.4" x14ac:dyDescent="0.3">
      <c r="A1460" s="66" t="s">
        <v>2438</v>
      </c>
      <c r="B1460" s="66" t="s">
        <v>4555</v>
      </c>
      <c r="C1460" s="33">
        <v>1459</v>
      </c>
      <c r="D1460" s="33" t="s">
        <v>5396</v>
      </c>
      <c r="E1460" s="34" t="s">
        <v>5273</v>
      </c>
      <c r="F1460" s="34" t="s">
        <v>18</v>
      </c>
      <c r="G1460" s="57">
        <v>44942</v>
      </c>
      <c r="H1460" s="57">
        <v>45306</v>
      </c>
      <c r="I1460" s="34">
        <f t="shared" si="66"/>
        <v>11</v>
      </c>
      <c r="J1460" s="34">
        <v>35</v>
      </c>
      <c r="K1460" s="36">
        <v>875</v>
      </c>
      <c r="L1460" s="34" t="s">
        <v>17</v>
      </c>
      <c r="M1460" s="35">
        <v>35448</v>
      </c>
      <c r="N1460" s="37">
        <f>(YEAR(TablaMadre[[#This Row],[ALTA]])-YEAR(M1460))</f>
        <v>26</v>
      </c>
      <c r="O1460" s="34" t="s">
        <v>941</v>
      </c>
      <c r="P1460" s="34" t="s">
        <v>19</v>
      </c>
      <c r="Q1460" s="34" t="s">
        <v>686</v>
      </c>
      <c r="R1460" s="34" t="s">
        <v>21</v>
      </c>
      <c r="S1460" s="34" t="s">
        <v>473</v>
      </c>
      <c r="T1460" s="34"/>
      <c r="U1460" s="34"/>
      <c r="V1460" s="34" t="s">
        <v>22</v>
      </c>
      <c r="W1460" s="34" t="s">
        <v>28</v>
      </c>
      <c r="X1460" s="38" t="s">
        <v>164</v>
      </c>
      <c r="Y1460" s="62">
        <v>45843</v>
      </c>
      <c r="Z1460" s="38">
        <f t="shared" si="67"/>
        <v>1</v>
      </c>
      <c r="AA1460" s="38"/>
      <c r="AB1460" s="34">
        <v>8</v>
      </c>
      <c r="AC1460" s="34">
        <v>5</v>
      </c>
      <c r="AD1460" s="38"/>
      <c r="AE1460" s="59" t="str">
        <f t="shared" si="68"/>
        <v>SÍ</v>
      </c>
      <c r="AF1460" s="38" t="e" cm="1">
        <f t="array" aca="1" ref="AF1460" ca="1">MIN(100, MAX(0, (IF(R1460="ESTUDIANTE", 31, 0)) + (IF(I1460&lt;=3, 30, IF(I1460&lt;=6, 20, 0))) +(IF(OR(E1460="413 - Control de Costes y Enlace Construcción", E1460="480 - Secretaría General del Consejo", E1460="132 - Civil y estructuras", E1460="136 - Mecánica", E1460="412 - Planificación", E1460="142 - Compras"), 25, 0)) +(IF(OR(S1460="GRADO ING. MECÁNICA", S1460="GRADO ING. ELÉCTRICA", S1460="GRADO DERECHO", S1460="GRADO ECONOMÍA", S1460="GRADO ING. TECNOLOGÍAS INDUSTRIALES"), 24, 0)) + (IF(AND(K1460&gt;=451, K1460&lt;=700), 23, 0)) + (IF(AND(AB1460&gt;=5, AB1460&lt;=8), 17, 0)) +(IF(_xludf.OR(_xludf.AND(AC1460&gt;=8, AC1460&lt;=10), _xludf.AND(AC1460&gt;=0, AC1460&lt;=5)), 16, 0)) + (IF(F1460="Madrid", 11, 0))))</f>
        <v>#NAME?</v>
      </c>
      <c r="AG1460" s="68"/>
      <c r="AH1460" s="71" t="s">
        <v>164</v>
      </c>
    </row>
    <row r="1461" spans="1:34" ht="14.4" x14ac:dyDescent="0.3">
      <c r="A1461" s="66" t="s">
        <v>2439</v>
      </c>
      <c r="B1461" s="66" t="s">
        <v>4556</v>
      </c>
      <c r="C1461" s="33">
        <v>1460</v>
      </c>
      <c r="D1461" s="33" t="s">
        <v>5397</v>
      </c>
      <c r="E1461" s="34" t="s">
        <v>5255</v>
      </c>
      <c r="F1461" s="34" t="s">
        <v>18</v>
      </c>
      <c r="G1461" s="57">
        <v>44942</v>
      </c>
      <c r="H1461" s="57">
        <v>45306</v>
      </c>
      <c r="I1461" s="34">
        <f t="shared" si="66"/>
        <v>11</v>
      </c>
      <c r="J1461" s="34">
        <v>35</v>
      </c>
      <c r="K1461" s="36">
        <v>955</v>
      </c>
      <c r="L1461" s="34" t="s">
        <v>29</v>
      </c>
      <c r="M1461" s="35">
        <v>34857</v>
      </c>
      <c r="N1461" s="37">
        <f>(YEAR(TablaMadre[[#This Row],[ALTA]])-YEAR(M1461))</f>
        <v>28</v>
      </c>
      <c r="O1461" s="34" t="s">
        <v>940</v>
      </c>
      <c r="P1461" s="34" t="s">
        <v>191</v>
      </c>
      <c r="Q1461" s="34" t="s">
        <v>687</v>
      </c>
      <c r="R1461" s="34" t="s">
        <v>21</v>
      </c>
      <c r="S1461" s="34" t="s">
        <v>322</v>
      </c>
      <c r="T1461" s="34"/>
      <c r="U1461" s="34"/>
      <c r="V1461" s="34" t="s">
        <v>90</v>
      </c>
      <c r="W1461" s="34" t="s">
        <v>28</v>
      </c>
      <c r="X1461" s="38" t="s">
        <v>173</v>
      </c>
      <c r="Y1461" s="62"/>
      <c r="Z1461" s="38" t="e">
        <f t="shared" si="67"/>
        <v>#NUM!</v>
      </c>
      <c r="AA1461" s="38"/>
      <c r="AB1461" s="34">
        <v>10</v>
      </c>
      <c r="AC1461" s="34">
        <v>9</v>
      </c>
      <c r="AD1461" s="38"/>
      <c r="AE1461" s="59" t="str">
        <f t="shared" si="68"/>
        <v>SÍ</v>
      </c>
      <c r="AF1461" s="38" t="e" cm="1">
        <f t="array" aca="1" ref="AF1461" ca="1">MIN(100, MAX(0, (IF(R1461="ESTUDIANTE", 31, 0)) + (IF(I1461&lt;=3, 30, IF(I1461&lt;=6, 20, 0))) +(IF(OR(E1461="413 - Control de Costes y Enlace Construcción", E1461="480 - Secretaría General del Consejo", E1461="132 - Civil y estructuras", E1461="136 - Mecánica", E1461="412 - Planificación", E1461="142 - Compras"), 25, 0)) +(IF(OR(S1461="GRADO ING. MECÁNICA", S1461="GRADO ING. ELÉCTRICA", S1461="GRADO DERECHO", S1461="GRADO ECONOMÍA", S1461="GRADO ING. TECNOLOGÍAS INDUSTRIALES"), 24, 0)) + (IF(AND(K1461&gt;=451, K1461&lt;=700), 23, 0)) + (IF(AND(AB1461&gt;=5, AB1461&lt;=8), 17, 0)) +(IF(_xludf.OR(_xludf.AND(AC1461&gt;=8, AC1461&lt;=10), _xludf.AND(AC1461&gt;=0, AC1461&lt;=5)), 16, 0)) + (IF(F1461="Madrid", 11, 0))))</f>
        <v>#NAME?</v>
      </c>
      <c r="AG1461" s="68"/>
      <c r="AH1461" s="71" t="s">
        <v>164</v>
      </c>
    </row>
    <row r="1462" spans="1:34" s="4" customFormat="1" ht="14.4" x14ac:dyDescent="0.3">
      <c r="A1462" s="66" t="s">
        <v>2384</v>
      </c>
      <c r="B1462" s="66" t="s">
        <v>4501</v>
      </c>
      <c r="C1462" s="33">
        <v>1461</v>
      </c>
      <c r="D1462" s="33" t="s">
        <v>5398</v>
      </c>
      <c r="E1462" s="34" t="s">
        <v>5333</v>
      </c>
      <c r="F1462" s="34" t="s">
        <v>18</v>
      </c>
      <c r="G1462" s="57">
        <v>44949</v>
      </c>
      <c r="H1462" s="57">
        <v>45100</v>
      </c>
      <c r="I1462" s="34">
        <f t="shared" si="66"/>
        <v>5</v>
      </c>
      <c r="J1462" s="34">
        <v>35</v>
      </c>
      <c r="K1462" s="36">
        <v>750</v>
      </c>
      <c r="L1462" s="34" t="s">
        <v>17</v>
      </c>
      <c r="M1462" s="35">
        <v>36461</v>
      </c>
      <c r="N1462" s="37">
        <f>(YEAR(TablaMadre[[#This Row],[ALTA]])-YEAR(M1462))</f>
        <v>24</v>
      </c>
      <c r="O1462" s="34" t="s">
        <v>511</v>
      </c>
      <c r="P1462" s="34" t="s">
        <v>19</v>
      </c>
      <c r="Q1462" s="34" t="s">
        <v>633</v>
      </c>
      <c r="R1462" s="34" t="s">
        <v>21</v>
      </c>
      <c r="S1462" s="34" t="s">
        <v>291</v>
      </c>
      <c r="T1462" s="34"/>
      <c r="U1462" s="34"/>
      <c r="V1462" s="34" t="s">
        <v>632</v>
      </c>
      <c r="W1462" s="34" t="s">
        <v>47</v>
      </c>
      <c r="X1462" s="34" t="s">
        <v>164</v>
      </c>
      <c r="Y1462" s="57"/>
      <c r="Z1462" s="34" t="e">
        <f t="shared" si="67"/>
        <v>#NUM!</v>
      </c>
      <c r="AA1462" s="34"/>
      <c r="AB1462" s="34">
        <v>10</v>
      </c>
      <c r="AC1462" s="34">
        <v>10</v>
      </c>
      <c r="AD1462" s="34"/>
      <c r="AE1462" s="59" t="str">
        <f t="shared" si="68"/>
        <v>SÍ</v>
      </c>
      <c r="AF1462" s="34" t="e" cm="1">
        <f t="array" aca="1" ref="AF1462" ca="1">MIN(100, MAX(0, (IF(R1462="ESTUDIANTE", 31, 0)) + (IF(I1462&lt;=3, 30, IF(I1462&lt;=6, 20, 0))) +(IF(OR(E1462="413 - Control de Costes y Enlace Construcción", E1462="480 - Secretaría General del Consejo", E1462="132 - Civil y estructuras", E1462="136 - Mecánica", E1462="412 - Planificación", E1462="142 - Compras"), 25, 0)) +(IF(OR(S1462="GRADO ING. MECÁNICA", S1462="GRADO ING. ELÉCTRICA", S1462="GRADO DERECHO", S1462="GRADO ECONOMÍA", S1462="GRADO ING. TECNOLOGÍAS INDUSTRIALES"), 24, 0)) + (IF(AND(K1462&gt;=451, K1462&lt;=700), 23, 0)) + (IF(AND(AB1462&gt;=5, AB1462&lt;=8), 17, 0)) +(IF(_xludf.OR(_xludf.AND(AC1462&gt;=8, AC1462&lt;=10), _xludf.AND(AC1462&gt;=0, AC1462&lt;=5)), 16, 0)) + (IF(F1462="Madrid", 11, 0))))</f>
        <v>#NAME?</v>
      </c>
      <c r="AG1462" s="69"/>
      <c r="AH1462" s="71" t="s">
        <v>164</v>
      </c>
    </row>
    <row r="1463" spans="1:34" s="4" customFormat="1" ht="14.4" x14ac:dyDescent="0.3">
      <c r="A1463" s="66" t="s">
        <v>2387</v>
      </c>
      <c r="B1463" s="66" t="s">
        <v>4504</v>
      </c>
      <c r="C1463" s="33">
        <v>1464</v>
      </c>
      <c r="D1463" s="33" t="s">
        <v>5399</v>
      </c>
      <c r="E1463" s="34" t="s">
        <v>5343</v>
      </c>
      <c r="F1463" s="34" t="s">
        <v>18</v>
      </c>
      <c r="G1463" s="57">
        <v>44949</v>
      </c>
      <c r="H1463" s="57">
        <v>45219</v>
      </c>
      <c r="I1463" s="34">
        <f t="shared" si="66"/>
        <v>8</v>
      </c>
      <c r="J1463" s="34">
        <v>25</v>
      </c>
      <c r="K1463" s="36">
        <v>475</v>
      </c>
      <c r="L1463" s="34" t="s">
        <v>17</v>
      </c>
      <c r="M1463" s="35">
        <v>36682</v>
      </c>
      <c r="N1463" s="37">
        <f>(YEAR(TablaMadre[[#This Row],[ALTA]])-YEAR(M1463))</f>
        <v>23</v>
      </c>
      <c r="O1463" s="34" t="s">
        <v>155</v>
      </c>
      <c r="P1463" s="34" t="s">
        <v>19</v>
      </c>
      <c r="Q1463" s="34" t="s">
        <v>136</v>
      </c>
      <c r="R1463" s="58" t="s">
        <v>30</v>
      </c>
      <c r="S1463" s="34" t="s">
        <v>136</v>
      </c>
      <c r="T1463" s="34"/>
      <c r="U1463" s="34"/>
      <c r="V1463" s="34" t="s">
        <v>22</v>
      </c>
      <c r="W1463" s="34" t="s">
        <v>91</v>
      </c>
      <c r="X1463" s="38" t="s">
        <v>173</v>
      </c>
      <c r="Y1463" s="62"/>
      <c r="Z1463" s="38" t="e">
        <f t="shared" si="67"/>
        <v>#NUM!</v>
      </c>
      <c r="AA1463" s="38"/>
      <c r="AB1463" s="34">
        <v>9</v>
      </c>
      <c r="AC1463" s="34">
        <v>8</v>
      </c>
      <c r="AD1463" s="38"/>
      <c r="AE1463" s="59" t="str">
        <f t="shared" si="68"/>
        <v>SÍ</v>
      </c>
      <c r="AF1463" s="34" t="e" cm="1">
        <f t="array" aca="1" ref="AF1463" ca="1">MIN(100, MAX(0, (IF(R1463="ESTUDIANTE", 31, 0)) + (IF(I1463&lt;=3, 30, IF(I1463&lt;=6, 20, 0))) +(IF(OR(E1463="413 - Control de Costes y Enlace Construcción", E1463="480 - Secretaría General del Consejo", E1463="132 - Civil y estructuras", E1463="136 - Mecánica", E1463="412 - Planificación", E1463="142 - Compras"), 25, 0)) +(IF(OR(S1463="GRADO ING. MECÁNICA", S1463="GRADO ING. ELÉCTRICA", S1463="GRADO DERECHO", S1463="GRADO ECONOMÍA", S1463="GRADO ING. TECNOLOGÍAS INDUSTRIALES"), 24, 0)) + (IF(AND(K1463&gt;=451, K1463&lt;=700), 23, 0)) + (IF(AND(AB1463&gt;=5, AB1463&lt;=8), 17, 0)) +(IF(_xludf.OR(_xludf.AND(AC1463&gt;=8, AC1463&lt;=10), _xludf.AND(AC1463&gt;=0, AC1463&lt;=5)), 16, 0)) + (IF(F1463="Madrid", 11, 0))))</f>
        <v>#NAME?</v>
      </c>
      <c r="AG1463" s="69"/>
      <c r="AH1463" s="71" t="s">
        <v>164</v>
      </c>
    </row>
    <row r="1464" spans="1:34" ht="14.4" x14ac:dyDescent="0.3">
      <c r="A1464" s="66" t="s">
        <v>2441</v>
      </c>
      <c r="B1464" s="66" t="s">
        <v>4558</v>
      </c>
      <c r="C1464" s="33">
        <v>1462</v>
      </c>
      <c r="D1464" s="33" t="s">
        <v>5400</v>
      </c>
      <c r="E1464" s="34" t="s">
        <v>5327</v>
      </c>
      <c r="F1464" s="34" t="s">
        <v>18</v>
      </c>
      <c r="G1464" s="57">
        <v>44949</v>
      </c>
      <c r="H1464" s="57">
        <v>45129</v>
      </c>
      <c r="I1464" s="34">
        <f t="shared" si="66"/>
        <v>5</v>
      </c>
      <c r="J1464" s="34">
        <v>25</v>
      </c>
      <c r="K1464" s="36">
        <v>465</v>
      </c>
      <c r="L1464" s="34" t="s">
        <v>17</v>
      </c>
      <c r="M1464" s="35">
        <v>35214</v>
      </c>
      <c r="N1464" s="37">
        <f>(YEAR(TablaMadre[[#This Row],[ALTA]])-YEAR(M1464))</f>
        <v>27</v>
      </c>
      <c r="O1464" s="34" t="s">
        <v>70</v>
      </c>
      <c r="P1464" s="34" t="s">
        <v>19</v>
      </c>
      <c r="Q1464" s="34" t="s">
        <v>649</v>
      </c>
      <c r="R1464" s="58" t="s">
        <v>30</v>
      </c>
      <c r="S1464" s="34" t="s">
        <v>429</v>
      </c>
      <c r="T1464" s="34"/>
      <c r="U1464" s="34"/>
      <c r="V1464" s="34" t="s">
        <v>22</v>
      </c>
      <c r="W1464" s="34" t="s">
        <v>127</v>
      </c>
      <c r="X1464" s="34" t="s">
        <v>173</v>
      </c>
      <c r="Y1464" s="57"/>
      <c r="Z1464" s="34" t="e">
        <f t="shared" si="67"/>
        <v>#NUM!</v>
      </c>
      <c r="AA1464" s="34"/>
      <c r="AB1464" s="34" t="s">
        <v>639</v>
      </c>
      <c r="AC1464" s="34"/>
      <c r="AD1464" s="34"/>
      <c r="AE1464" s="59" t="str">
        <f t="shared" si="68"/>
        <v>SÍ</v>
      </c>
      <c r="AF1464" s="38" t="e" cm="1">
        <f t="array" aca="1" ref="AF1464" ca="1">MIN(100, MAX(0, (IF(R1464="ESTUDIANTE", 31, 0)) + (IF(I1464&lt;=3, 30, IF(I1464&lt;=6, 20, 0))) +(IF(OR(E1464="413 - Control de Costes y Enlace Construcción", E1464="480 - Secretaría General del Consejo", E1464="132 - Civil y estructuras", E1464="136 - Mecánica", E1464="412 - Planificación", E1464="142 - Compras"), 25, 0)) +(IF(OR(S1464="GRADO ING. MECÁNICA", S1464="GRADO ING. ELÉCTRICA", S1464="GRADO DERECHO", S1464="GRADO ECONOMÍA", S1464="GRADO ING. TECNOLOGÍAS INDUSTRIALES"), 24, 0)) + (IF(AND(K1464&gt;=451, K1464&lt;=700), 23, 0)) + (IF(AND(AB1464&gt;=5, AB1464&lt;=8), 17, 0)) +(IF(_xludf.OR(_xludf.AND(AC1464&gt;=8, AC1464&lt;=10), _xludf.AND(AC1464&gt;=0, AC1464&lt;=5)), 16, 0)) + (IF(F1464="Madrid", 11, 0))))</f>
        <v>#NAME?</v>
      </c>
      <c r="AG1464" s="68"/>
      <c r="AH1464" s="71" t="s">
        <v>164</v>
      </c>
    </row>
    <row r="1465" spans="1:34" ht="14.4" x14ac:dyDescent="0.3">
      <c r="A1465" s="66" t="s">
        <v>2442</v>
      </c>
      <c r="B1465" s="66" t="s">
        <v>4559</v>
      </c>
      <c r="C1465" s="33">
        <v>1463</v>
      </c>
      <c r="D1465" s="33" t="s">
        <v>5401</v>
      </c>
      <c r="E1465" s="34" t="s">
        <v>5248</v>
      </c>
      <c r="F1465" s="34" t="s">
        <v>18</v>
      </c>
      <c r="G1465" s="57">
        <v>44949</v>
      </c>
      <c r="H1465" s="57">
        <v>45129</v>
      </c>
      <c r="I1465" s="34">
        <f t="shared" si="66"/>
        <v>5</v>
      </c>
      <c r="J1465" s="34">
        <v>35</v>
      </c>
      <c r="K1465" s="36">
        <v>825</v>
      </c>
      <c r="L1465" s="34" t="s">
        <v>17</v>
      </c>
      <c r="M1465" s="35">
        <v>35279</v>
      </c>
      <c r="N1465" s="37">
        <f>(YEAR(TablaMadre[[#This Row],[ALTA]])-YEAR(M1465))</f>
        <v>27</v>
      </c>
      <c r="O1465" s="34" t="s">
        <v>18</v>
      </c>
      <c r="P1465" s="34" t="s">
        <v>19</v>
      </c>
      <c r="Q1465" s="34" t="s">
        <v>515</v>
      </c>
      <c r="R1465" s="34" t="s">
        <v>21</v>
      </c>
      <c r="S1465" s="34" t="s">
        <v>297</v>
      </c>
      <c r="T1465" s="34"/>
      <c r="U1465" s="34"/>
      <c r="V1465" s="34" t="s">
        <v>84</v>
      </c>
      <c r="W1465" s="34" t="s">
        <v>28</v>
      </c>
      <c r="X1465" s="38" t="s">
        <v>173</v>
      </c>
      <c r="Y1465" s="62"/>
      <c r="Z1465" s="38" t="e">
        <f t="shared" si="67"/>
        <v>#NUM!</v>
      </c>
      <c r="AA1465" s="38"/>
      <c r="AB1465" s="34">
        <v>9</v>
      </c>
      <c r="AC1465" s="34">
        <v>9</v>
      </c>
      <c r="AD1465" s="38"/>
      <c r="AE1465" s="59" t="str">
        <f t="shared" si="68"/>
        <v>NO</v>
      </c>
      <c r="AF1465" s="38" t="e" cm="1">
        <f t="array" aca="1" ref="AF1465" ca="1">MIN(100, MAX(0, (IF(R1465="ESTUDIANTE", 31, 0)) + (IF(I1465&lt;=3, 30, IF(I1465&lt;=6, 20, 0))) +(IF(OR(E1465="413 - Control de Costes y Enlace Construcción", E1465="480 - Secretaría General del Consejo", E1465="132 - Civil y estructuras", E1465="136 - Mecánica", E1465="412 - Planificación", E1465="142 - Compras"), 25, 0)) +(IF(OR(S1465="GRADO ING. MECÁNICA", S1465="GRADO ING. ELÉCTRICA", S1465="GRADO DERECHO", S1465="GRADO ECONOMÍA", S1465="GRADO ING. TECNOLOGÍAS INDUSTRIALES"), 24, 0)) + (IF(AND(K1465&gt;=451, K1465&lt;=700), 23, 0)) + (IF(AND(AB1465&gt;=5, AB1465&lt;=8), 17, 0)) +(IF(_xludf.OR(_xludf.AND(AC1465&gt;=8, AC1465&lt;=10), _xludf.AND(AC1465&gt;=0, AC1465&lt;=5)), 16, 0)) + (IF(F1465="Madrid", 11, 0))))</f>
        <v>#NAME?</v>
      </c>
      <c r="AG1465" s="68"/>
      <c r="AH1465" s="71" t="s">
        <v>164</v>
      </c>
    </row>
    <row r="1466" spans="1:34" ht="14.4" x14ac:dyDescent="0.3">
      <c r="A1466" s="66" t="s">
        <v>2444</v>
      </c>
      <c r="B1466" s="66" t="s">
        <v>4561</v>
      </c>
      <c r="C1466" s="33">
        <v>1465</v>
      </c>
      <c r="D1466" s="33" t="s">
        <v>5402</v>
      </c>
      <c r="E1466" s="34" t="s">
        <v>5322</v>
      </c>
      <c r="F1466" s="34" t="s">
        <v>18</v>
      </c>
      <c r="G1466" s="57">
        <v>44949</v>
      </c>
      <c r="H1466" s="57">
        <v>45313</v>
      </c>
      <c r="I1466" s="34">
        <f t="shared" si="66"/>
        <v>11</v>
      </c>
      <c r="J1466" s="34">
        <v>35</v>
      </c>
      <c r="K1466" s="36">
        <v>875</v>
      </c>
      <c r="L1466" s="34" t="s">
        <v>29</v>
      </c>
      <c r="M1466" s="35">
        <v>36750</v>
      </c>
      <c r="N1466" s="37">
        <f>(YEAR(TablaMadre[[#This Row],[ALTA]])-YEAR(M1466))</f>
        <v>23</v>
      </c>
      <c r="O1466" s="34" t="s">
        <v>18</v>
      </c>
      <c r="P1466" s="34" t="s">
        <v>19</v>
      </c>
      <c r="Q1466" s="34" t="s">
        <v>689</v>
      </c>
      <c r="R1466" s="34" t="s">
        <v>21</v>
      </c>
      <c r="S1466" s="34" t="s">
        <v>297</v>
      </c>
      <c r="T1466" s="34"/>
      <c r="U1466" s="34"/>
      <c r="V1466" s="34" t="s">
        <v>40</v>
      </c>
      <c r="W1466" s="34" t="s">
        <v>28</v>
      </c>
      <c r="X1466" s="38" t="s">
        <v>173</v>
      </c>
      <c r="Y1466" s="62"/>
      <c r="Z1466" s="38" t="e">
        <f t="shared" si="67"/>
        <v>#NUM!</v>
      </c>
      <c r="AA1466" s="38"/>
      <c r="AB1466" s="34">
        <v>10</v>
      </c>
      <c r="AC1466" s="34">
        <v>9</v>
      </c>
      <c r="AD1466" s="38"/>
      <c r="AE1466" s="59" t="str">
        <f t="shared" si="68"/>
        <v>NO</v>
      </c>
      <c r="AF1466" s="38" t="e" cm="1">
        <f t="array" aca="1" ref="AF1466" ca="1">MIN(100, MAX(0, (IF(R1466="ESTUDIANTE", 31, 0)) + (IF(I1466&lt;=3, 30, IF(I1466&lt;=6, 20, 0))) +(IF(OR(E1466="413 - Control de Costes y Enlace Construcción", E1466="480 - Secretaría General del Consejo", E1466="132 - Civil y estructuras", E1466="136 - Mecánica", E1466="412 - Planificación", E1466="142 - Compras"), 25, 0)) +(IF(OR(S1466="GRADO ING. MECÁNICA", S1466="GRADO ING. ELÉCTRICA", S1466="GRADO DERECHO", S1466="GRADO ECONOMÍA", S1466="GRADO ING. TECNOLOGÍAS INDUSTRIALES"), 24, 0)) + (IF(AND(K1466&gt;=451, K1466&lt;=700), 23, 0)) + (IF(AND(AB1466&gt;=5, AB1466&lt;=8), 17, 0)) +(IF(_xludf.OR(_xludf.AND(AC1466&gt;=8, AC1466&lt;=10), _xludf.AND(AC1466&gt;=0, AC1466&lt;=5)), 16, 0)) + (IF(F1466="Madrid", 11, 0))))</f>
        <v>#NAME?</v>
      </c>
      <c r="AG1466" s="68"/>
      <c r="AH1466" s="71" t="s">
        <v>164</v>
      </c>
    </row>
    <row r="1467" spans="1:34" ht="14.4" x14ac:dyDescent="0.3">
      <c r="A1467" s="66" t="s">
        <v>2445</v>
      </c>
      <c r="B1467" s="66" t="s">
        <v>4562</v>
      </c>
      <c r="C1467" s="33">
        <v>1466</v>
      </c>
      <c r="D1467" s="33" t="s">
        <v>5393</v>
      </c>
      <c r="E1467" s="34" t="s">
        <v>5235</v>
      </c>
      <c r="F1467" s="34" t="s">
        <v>18</v>
      </c>
      <c r="G1467" s="57">
        <v>44949</v>
      </c>
      <c r="H1467" s="57">
        <v>45313</v>
      </c>
      <c r="I1467" s="34">
        <f t="shared" si="66"/>
        <v>11</v>
      </c>
      <c r="J1467" s="34">
        <v>35</v>
      </c>
      <c r="K1467" s="36">
        <v>875</v>
      </c>
      <c r="L1467" s="34" t="s">
        <v>17</v>
      </c>
      <c r="M1467" s="35">
        <v>37216</v>
      </c>
      <c r="N1467" s="37">
        <f>(YEAR(TablaMadre[[#This Row],[ALTA]])-YEAR(M1467))</f>
        <v>22</v>
      </c>
      <c r="O1467" s="34" t="s">
        <v>18</v>
      </c>
      <c r="P1467" s="34" t="s">
        <v>19</v>
      </c>
      <c r="Q1467" s="34" t="s">
        <v>537</v>
      </c>
      <c r="R1467" s="34" t="s">
        <v>21</v>
      </c>
      <c r="S1467" s="34" t="s">
        <v>322</v>
      </c>
      <c r="T1467" s="34"/>
      <c r="U1467" s="34"/>
      <c r="V1467" s="34" t="s">
        <v>182</v>
      </c>
      <c r="W1467" s="34" t="s">
        <v>28</v>
      </c>
      <c r="X1467" s="38" t="s">
        <v>173</v>
      </c>
      <c r="Y1467" s="62"/>
      <c r="Z1467" s="38" t="e">
        <f t="shared" si="67"/>
        <v>#NUM!</v>
      </c>
      <c r="AA1467" s="38"/>
      <c r="AB1467" s="34">
        <v>9</v>
      </c>
      <c r="AC1467" s="34">
        <v>8</v>
      </c>
      <c r="AD1467" s="38"/>
      <c r="AE1467" s="59" t="str">
        <f t="shared" si="68"/>
        <v>NO</v>
      </c>
      <c r="AF1467" s="38" t="e" cm="1">
        <f t="array" aca="1" ref="AF1467" ca="1">MIN(100, MAX(0, (IF(R1467="ESTUDIANTE", 31, 0)) + (IF(I1467&lt;=3, 30, IF(I1467&lt;=6, 20, 0))) +(IF(OR(E1467="413 - Control de Costes y Enlace Construcción", E1467="480 - Secretaría General del Consejo", E1467="132 - Civil y estructuras", E1467="136 - Mecánica", E1467="412 - Planificación", E1467="142 - Compras"), 25, 0)) +(IF(OR(S1467="GRADO ING. MECÁNICA", S1467="GRADO ING. ELÉCTRICA", S1467="GRADO DERECHO", S1467="GRADO ECONOMÍA", S1467="GRADO ING. TECNOLOGÍAS INDUSTRIALES"), 24, 0)) + (IF(AND(K1467&gt;=451, K1467&lt;=700), 23, 0)) + (IF(AND(AB1467&gt;=5, AB1467&lt;=8), 17, 0)) +(IF(_xludf.OR(_xludf.AND(AC1467&gt;=8, AC1467&lt;=10), _xludf.AND(AC1467&gt;=0, AC1467&lt;=5)), 16, 0)) + (IF(F1467="Madrid", 11, 0))))</f>
        <v>#NAME?</v>
      </c>
      <c r="AG1467" s="68"/>
      <c r="AH1467" s="71" t="s">
        <v>164</v>
      </c>
    </row>
    <row r="1468" spans="1:34" ht="14.4" x14ac:dyDescent="0.3">
      <c r="A1468" s="66" t="s">
        <v>2446</v>
      </c>
      <c r="B1468" s="66" t="s">
        <v>4563</v>
      </c>
      <c r="C1468" s="33">
        <v>1467</v>
      </c>
      <c r="D1468" s="33" t="s">
        <v>5394</v>
      </c>
      <c r="E1468" s="34" t="s">
        <v>5323</v>
      </c>
      <c r="F1468" s="34" t="s">
        <v>18</v>
      </c>
      <c r="G1468" s="57">
        <v>44952</v>
      </c>
      <c r="H1468" s="57">
        <v>45230</v>
      </c>
      <c r="I1468" s="34">
        <f t="shared" si="66"/>
        <v>9</v>
      </c>
      <c r="J1468" s="34">
        <v>35</v>
      </c>
      <c r="K1468" s="36">
        <v>700</v>
      </c>
      <c r="L1468" s="34" t="s">
        <v>29</v>
      </c>
      <c r="M1468" s="35">
        <v>35704</v>
      </c>
      <c r="N1468" s="37">
        <f>(YEAR(TablaMadre[[#This Row],[ALTA]])-YEAR(M1468))</f>
        <v>26</v>
      </c>
      <c r="O1468" s="34" t="s">
        <v>226</v>
      </c>
      <c r="P1468" s="34" t="s">
        <v>19</v>
      </c>
      <c r="Q1468" s="34" t="s">
        <v>297</v>
      </c>
      <c r="R1468" s="58" t="s">
        <v>30</v>
      </c>
      <c r="S1468" s="34" t="s">
        <v>297</v>
      </c>
      <c r="T1468" s="34"/>
      <c r="U1468" s="34"/>
      <c r="V1468" s="34" t="s">
        <v>40</v>
      </c>
      <c r="W1468" s="34" t="s">
        <v>28</v>
      </c>
      <c r="X1468" s="38" t="s">
        <v>164</v>
      </c>
      <c r="Y1468" s="62">
        <v>45461</v>
      </c>
      <c r="Z1468" s="38">
        <f t="shared" si="67"/>
        <v>0</v>
      </c>
      <c r="AA1468" s="38"/>
      <c r="AB1468" s="34">
        <v>8</v>
      </c>
      <c r="AC1468" s="34" t="s">
        <v>661</v>
      </c>
      <c r="AD1468" s="38"/>
      <c r="AE1468" s="59" t="str">
        <f t="shared" si="68"/>
        <v>SÍ</v>
      </c>
      <c r="AF1468" s="38" t="e" cm="1">
        <f t="array" aca="1" ref="AF1468" ca="1">MIN(100, MAX(0, (IF(R1468="ESTUDIANTE", 31, 0)) + (IF(I1468&lt;=3, 30, IF(I1468&lt;=6, 20, 0))) +(IF(OR(E1468="413 - Control de Costes y Enlace Construcción", E1468="480 - Secretaría General del Consejo", E1468="132 - Civil y estructuras", E1468="136 - Mecánica", E1468="412 - Planificación", E1468="142 - Compras"), 25, 0)) +(IF(OR(S1468="GRADO ING. MECÁNICA", S1468="GRADO ING. ELÉCTRICA", S1468="GRADO DERECHO", S1468="GRADO ECONOMÍA", S1468="GRADO ING. TECNOLOGÍAS INDUSTRIALES"), 24, 0)) + (IF(AND(K1468&gt;=451, K1468&lt;=700), 23, 0)) + (IF(AND(AB1468&gt;=5, AB1468&lt;=8), 17, 0)) +(IF(_xludf.OR(_xludf.AND(AC1468&gt;=8, AC1468&lt;=10), _xludf.AND(AC1468&gt;=0, AC1468&lt;=5)), 16, 0)) + (IF(F1468="Madrid", 11, 0))))</f>
        <v>#NAME?</v>
      </c>
      <c r="AG1468" s="68"/>
      <c r="AH1468" s="71" t="s">
        <v>164</v>
      </c>
    </row>
    <row r="1469" spans="1:34" ht="14.4" x14ac:dyDescent="0.3">
      <c r="A1469" s="66" t="s">
        <v>2447</v>
      </c>
      <c r="B1469" s="66" t="s">
        <v>4564</v>
      </c>
      <c r="C1469" s="33">
        <v>1468</v>
      </c>
      <c r="D1469" s="33" t="s">
        <v>5403</v>
      </c>
      <c r="E1469" s="34" t="s">
        <v>5319</v>
      </c>
      <c r="F1469" s="34" t="s">
        <v>18</v>
      </c>
      <c r="G1469" s="57">
        <v>44956</v>
      </c>
      <c r="H1469" s="57">
        <v>45082</v>
      </c>
      <c r="I1469" s="34">
        <f t="shared" si="66"/>
        <v>4</v>
      </c>
      <c r="J1469" s="34">
        <v>35</v>
      </c>
      <c r="K1469" s="36">
        <v>900</v>
      </c>
      <c r="L1469" s="34" t="s">
        <v>17</v>
      </c>
      <c r="M1469" s="35">
        <v>36463</v>
      </c>
      <c r="N1469" s="37">
        <f>(YEAR(TablaMadre[[#This Row],[ALTA]])-YEAR(M1469))</f>
        <v>24</v>
      </c>
      <c r="O1469" s="34" t="s">
        <v>948</v>
      </c>
      <c r="P1469" s="34" t="s">
        <v>19</v>
      </c>
      <c r="Q1469" s="34" t="s">
        <v>399</v>
      </c>
      <c r="R1469" s="34" t="s">
        <v>21</v>
      </c>
      <c r="S1469" s="34" t="s">
        <v>322</v>
      </c>
      <c r="T1469" s="34"/>
      <c r="U1469" s="34"/>
      <c r="V1469" s="34" t="s">
        <v>239</v>
      </c>
      <c r="W1469" s="34" t="s">
        <v>28</v>
      </c>
      <c r="X1469" s="38" t="s">
        <v>173</v>
      </c>
      <c r="Y1469" s="62"/>
      <c r="Z1469" s="38" t="e">
        <f t="shared" si="67"/>
        <v>#NUM!</v>
      </c>
      <c r="AA1469" s="38"/>
      <c r="AB1469" s="34">
        <v>7</v>
      </c>
      <c r="AC1469" s="34" t="s">
        <v>602</v>
      </c>
      <c r="AD1469" s="38"/>
      <c r="AE1469" s="59" t="str">
        <f t="shared" si="68"/>
        <v>SÍ</v>
      </c>
      <c r="AF1469" s="38" t="e" cm="1">
        <f t="array" aca="1" ref="AF1469" ca="1">MIN(100, MAX(0, (IF(R1469="ESTUDIANTE", 31, 0)) + (IF(I1469&lt;=3, 30, IF(I1469&lt;=6, 20, 0))) +(IF(OR(E1469="413 - Control de Costes y Enlace Construcción", E1469="480 - Secretaría General del Consejo", E1469="132 - Civil y estructuras", E1469="136 - Mecánica", E1469="412 - Planificación", E1469="142 - Compras"), 25, 0)) +(IF(OR(S1469="GRADO ING. MECÁNICA", S1469="GRADO ING. ELÉCTRICA", S1469="GRADO DERECHO", S1469="GRADO ECONOMÍA", S1469="GRADO ING. TECNOLOGÍAS INDUSTRIALES"), 24, 0)) + (IF(AND(K1469&gt;=451, K1469&lt;=700), 23, 0)) + (IF(AND(AB1469&gt;=5, AB1469&lt;=8), 17, 0)) +(IF(_xludf.OR(_xludf.AND(AC1469&gt;=8, AC1469&lt;=10), _xludf.AND(AC1469&gt;=0, AC1469&lt;=5)), 16, 0)) + (IF(F1469="Madrid", 11, 0))))</f>
        <v>#NAME?</v>
      </c>
      <c r="AG1469" s="68"/>
      <c r="AH1469" s="71" t="s">
        <v>164</v>
      </c>
    </row>
    <row r="1470" spans="1:34" ht="14.4" x14ac:dyDescent="0.3">
      <c r="A1470" s="66" t="s">
        <v>2448</v>
      </c>
      <c r="B1470" s="66" t="s">
        <v>4565</v>
      </c>
      <c r="C1470" s="33">
        <v>1469</v>
      </c>
      <c r="D1470" s="33" t="s">
        <v>5404</v>
      </c>
      <c r="E1470" s="34" t="s">
        <v>5216</v>
      </c>
      <c r="F1470" s="34" t="s">
        <v>18</v>
      </c>
      <c r="G1470" s="57">
        <v>44958</v>
      </c>
      <c r="H1470" s="57">
        <v>45138</v>
      </c>
      <c r="I1470" s="34">
        <f t="shared" si="66"/>
        <v>5</v>
      </c>
      <c r="J1470" s="34">
        <v>35</v>
      </c>
      <c r="K1470" s="36">
        <v>825</v>
      </c>
      <c r="L1470" s="34" t="s">
        <v>17</v>
      </c>
      <c r="M1470" s="35">
        <v>36017</v>
      </c>
      <c r="N1470" s="37">
        <f>(YEAR(TablaMadre[[#This Row],[ALTA]])-YEAR(M1470))</f>
        <v>25</v>
      </c>
      <c r="O1470" s="34" t="s">
        <v>18</v>
      </c>
      <c r="P1470" s="34" t="s">
        <v>19</v>
      </c>
      <c r="Q1470" s="34" t="s">
        <v>515</v>
      </c>
      <c r="R1470" s="34" t="s">
        <v>21</v>
      </c>
      <c r="S1470" s="34" t="s">
        <v>297</v>
      </c>
      <c r="T1470" s="34"/>
      <c r="U1470" s="34"/>
      <c r="V1470" s="34" t="s">
        <v>56</v>
      </c>
      <c r="W1470" s="34" t="s">
        <v>28</v>
      </c>
      <c r="X1470" s="38" t="s">
        <v>173</v>
      </c>
      <c r="Y1470" s="62"/>
      <c r="Z1470" s="38" t="e">
        <f t="shared" si="67"/>
        <v>#NUM!</v>
      </c>
      <c r="AA1470" s="38"/>
      <c r="AB1470" s="34" t="s">
        <v>639</v>
      </c>
      <c r="AC1470" s="34">
        <v>4</v>
      </c>
      <c r="AD1470" s="38"/>
      <c r="AE1470" s="59" t="str">
        <f t="shared" si="68"/>
        <v>NO</v>
      </c>
      <c r="AF1470" s="38" t="e" cm="1">
        <f t="array" aca="1" ref="AF1470" ca="1">MIN(100, MAX(0, (IF(R1470="ESTUDIANTE", 31, 0)) + (IF(I1470&lt;=3, 30, IF(I1470&lt;=6, 20, 0))) +(IF(OR(E1470="413 - Control de Costes y Enlace Construcción", E1470="480 - Secretaría General del Consejo", E1470="132 - Civil y estructuras", E1470="136 - Mecánica", E1470="412 - Planificación", E1470="142 - Compras"), 25, 0)) +(IF(OR(S1470="GRADO ING. MECÁNICA", S1470="GRADO ING. ELÉCTRICA", S1470="GRADO DERECHO", S1470="GRADO ECONOMÍA", S1470="GRADO ING. TECNOLOGÍAS INDUSTRIALES"), 24, 0)) + (IF(AND(K1470&gt;=451, K1470&lt;=700), 23, 0)) + (IF(AND(AB1470&gt;=5, AB1470&lt;=8), 17, 0)) +(IF(_xludf.OR(_xludf.AND(AC1470&gt;=8, AC1470&lt;=10), _xludf.AND(AC1470&gt;=0, AC1470&lt;=5)), 16, 0)) + (IF(F1470="Madrid", 11, 0))))</f>
        <v>#NAME?</v>
      </c>
      <c r="AG1470" s="68"/>
      <c r="AH1470" s="71" t="s">
        <v>164</v>
      </c>
    </row>
    <row r="1471" spans="1:34" s="4" customFormat="1" ht="14.4" x14ac:dyDescent="0.3">
      <c r="A1471" s="66" t="s">
        <v>2449</v>
      </c>
      <c r="B1471" s="66" t="s">
        <v>4566</v>
      </c>
      <c r="C1471" s="33">
        <v>1470</v>
      </c>
      <c r="D1471" s="33" t="s">
        <v>5405</v>
      </c>
      <c r="E1471" s="34" t="s">
        <v>5313</v>
      </c>
      <c r="F1471" s="34" t="s">
        <v>18</v>
      </c>
      <c r="G1471" s="57">
        <v>44958</v>
      </c>
      <c r="H1471" s="57">
        <v>45322</v>
      </c>
      <c r="I1471" s="34">
        <f t="shared" si="66"/>
        <v>11</v>
      </c>
      <c r="J1471" s="34">
        <v>35</v>
      </c>
      <c r="K1471" s="36">
        <v>875</v>
      </c>
      <c r="L1471" s="34" t="s">
        <v>29</v>
      </c>
      <c r="M1471" s="35">
        <v>35395</v>
      </c>
      <c r="N1471" s="37">
        <f>(YEAR(TablaMadre[[#This Row],[ALTA]])-YEAR(M1471))</f>
        <v>27</v>
      </c>
      <c r="O1471" s="34" t="s">
        <v>302</v>
      </c>
      <c r="P1471" s="34" t="s">
        <v>19</v>
      </c>
      <c r="Q1471" s="34" t="s">
        <v>322</v>
      </c>
      <c r="R1471" s="34" t="s">
        <v>21</v>
      </c>
      <c r="S1471" s="34" t="s">
        <v>322</v>
      </c>
      <c r="T1471" s="34"/>
      <c r="U1471" s="34"/>
      <c r="V1471" s="34" t="s">
        <v>40</v>
      </c>
      <c r="W1471" s="34" t="s">
        <v>28</v>
      </c>
      <c r="X1471" s="34" t="s">
        <v>173</v>
      </c>
      <c r="Y1471" s="57"/>
      <c r="Z1471" s="34" t="e">
        <f t="shared" si="67"/>
        <v>#NUM!</v>
      </c>
      <c r="AA1471" s="34"/>
      <c r="AB1471" s="34">
        <v>9</v>
      </c>
      <c r="AC1471" s="34">
        <v>8</v>
      </c>
      <c r="AD1471" s="34"/>
      <c r="AE1471" s="59" t="str">
        <f t="shared" si="68"/>
        <v>SÍ</v>
      </c>
      <c r="AF1471" s="34" t="e" cm="1">
        <f t="array" aca="1" ref="AF1471" ca="1">MIN(100, MAX(0, (IF(R1471="ESTUDIANTE", 31, 0)) + (IF(I1471&lt;=3, 30, IF(I1471&lt;=6, 20, 0))) +(IF(OR(E1471="413 - Control de Costes y Enlace Construcción", E1471="480 - Secretaría General del Consejo", E1471="132 - Civil y estructuras", E1471="136 - Mecánica", E1471="412 - Planificación", E1471="142 - Compras"), 25, 0)) +(IF(OR(S1471="GRADO ING. MECÁNICA", S1471="GRADO ING. ELÉCTRICA", S1471="GRADO DERECHO", S1471="GRADO ECONOMÍA", S1471="GRADO ING. TECNOLOGÍAS INDUSTRIALES"), 24, 0)) + (IF(AND(K1471&gt;=451, K1471&lt;=700), 23, 0)) + (IF(AND(AB1471&gt;=5, AB1471&lt;=8), 17, 0)) +(IF(_xludf.OR(_xludf.AND(AC1471&gt;=8, AC1471&lt;=10), _xludf.AND(AC1471&gt;=0, AC1471&lt;=5)), 16, 0)) + (IF(F1471="Madrid", 11, 0))))</f>
        <v>#NAME?</v>
      </c>
      <c r="AG1471" s="69"/>
      <c r="AH1471" s="71" t="s">
        <v>164</v>
      </c>
    </row>
    <row r="1472" spans="1:34" s="4" customFormat="1" ht="14.4" x14ac:dyDescent="0.3">
      <c r="A1472" s="66" t="s">
        <v>2450</v>
      </c>
      <c r="B1472" s="66" t="s">
        <v>4567</v>
      </c>
      <c r="C1472" s="33">
        <v>1471</v>
      </c>
      <c r="D1472" s="33" t="s">
        <v>5396</v>
      </c>
      <c r="E1472" s="34" t="s">
        <v>5233</v>
      </c>
      <c r="F1472" s="34" t="s">
        <v>18</v>
      </c>
      <c r="G1472" s="57">
        <v>44958</v>
      </c>
      <c r="H1472" s="57">
        <v>45322</v>
      </c>
      <c r="I1472" s="34">
        <f t="shared" si="66"/>
        <v>11</v>
      </c>
      <c r="J1472" s="34">
        <v>35</v>
      </c>
      <c r="K1472" s="36">
        <v>875</v>
      </c>
      <c r="L1472" s="34" t="s">
        <v>17</v>
      </c>
      <c r="M1472" s="35">
        <v>36673</v>
      </c>
      <c r="N1472" s="37">
        <f>(YEAR(TablaMadre[[#This Row],[ALTA]])-YEAR(M1472))</f>
        <v>23</v>
      </c>
      <c r="O1472" s="34" t="s">
        <v>941</v>
      </c>
      <c r="P1472" s="34" t="s">
        <v>19</v>
      </c>
      <c r="Q1472" s="34" t="s">
        <v>136</v>
      </c>
      <c r="R1472" s="34" t="s">
        <v>21</v>
      </c>
      <c r="S1472" s="34" t="s">
        <v>136</v>
      </c>
      <c r="T1472" s="34"/>
      <c r="U1472" s="34"/>
      <c r="V1472" s="34" t="s">
        <v>67</v>
      </c>
      <c r="W1472" s="34" t="s">
        <v>28</v>
      </c>
      <c r="X1472" s="34" t="s">
        <v>173</v>
      </c>
      <c r="Y1472" s="57"/>
      <c r="Z1472" s="34" t="e">
        <f t="shared" si="67"/>
        <v>#NUM!</v>
      </c>
      <c r="AA1472" s="34"/>
      <c r="AB1472" s="34">
        <v>7</v>
      </c>
      <c r="AC1472" s="34">
        <v>5</v>
      </c>
      <c r="AD1472" s="34"/>
      <c r="AE1472" s="59" t="str">
        <f t="shared" si="68"/>
        <v>SÍ</v>
      </c>
      <c r="AF1472" s="34" t="e" cm="1">
        <f t="array" aca="1" ref="AF1472" ca="1">MIN(100, MAX(0, (IF(R1472="ESTUDIANTE", 31, 0)) + (IF(I1472&lt;=3, 30, IF(I1472&lt;=6, 20, 0))) +(IF(OR(E1472="413 - Control de Costes y Enlace Construcción", E1472="480 - Secretaría General del Consejo", E1472="132 - Civil y estructuras", E1472="136 - Mecánica", E1472="412 - Planificación", E1472="142 - Compras"), 25, 0)) +(IF(OR(S1472="GRADO ING. MECÁNICA", S1472="GRADO ING. ELÉCTRICA", S1472="GRADO DERECHO", S1472="GRADO ECONOMÍA", S1472="GRADO ING. TECNOLOGÍAS INDUSTRIALES"), 24, 0)) + (IF(AND(K1472&gt;=451, K1472&lt;=700), 23, 0)) + (IF(AND(AB1472&gt;=5, AB1472&lt;=8), 17, 0)) +(IF(_xludf.OR(_xludf.AND(AC1472&gt;=8, AC1472&lt;=10), _xludf.AND(AC1472&gt;=0, AC1472&lt;=5)), 16, 0)) + (IF(F1472="Madrid", 11, 0))))</f>
        <v>#NAME?</v>
      </c>
      <c r="AG1472" s="69"/>
      <c r="AH1472" s="71" t="s">
        <v>164</v>
      </c>
    </row>
    <row r="1473" spans="1:34" s="4" customFormat="1" ht="14.4" x14ac:dyDescent="0.3">
      <c r="A1473" s="66" t="s">
        <v>2451</v>
      </c>
      <c r="B1473" s="66" t="s">
        <v>4568</v>
      </c>
      <c r="C1473" s="33">
        <v>1472</v>
      </c>
      <c r="D1473" s="33" t="s">
        <v>5397</v>
      </c>
      <c r="E1473" s="34" t="s">
        <v>5319</v>
      </c>
      <c r="F1473" s="34" t="s">
        <v>18</v>
      </c>
      <c r="G1473" s="57">
        <v>44958</v>
      </c>
      <c r="H1473" s="57">
        <v>45322</v>
      </c>
      <c r="I1473" s="34">
        <f t="shared" si="66"/>
        <v>11</v>
      </c>
      <c r="J1473" s="34">
        <v>35</v>
      </c>
      <c r="K1473" s="36">
        <v>875</v>
      </c>
      <c r="L1473" s="34" t="s">
        <v>17</v>
      </c>
      <c r="M1473" s="35">
        <v>36353</v>
      </c>
      <c r="N1473" s="37">
        <f>(YEAR(TablaMadre[[#This Row],[ALTA]])-YEAR(M1473))</f>
        <v>24</v>
      </c>
      <c r="O1473" s="34" t="s">
        <v>273</v>
      </c>
      <c r="P1473" s="34" t="s">
        <v>273</v>
      </c>
      <c r="Q1473" s="34" t="s">
        <v>215</v>
      </c>
      <c r="R1473" s="34" t="s">
        <v>21</v>
      </c>
      <c r="S1473" s="34" t="s">
        <v>322</v>
      </c>
      <c r="T1473" s="34"/>
      <c r="U1473" s="34"/>
      <c r="V1473" s="34" t="s">
        <v>74</v>
      </c>
      <c r="W1473" s="34" t="s">
        <v>28</v>
      </c>
      <c r="X1473" s="34" t="s">
        <v>164</v>
      </c>
      <c r="Y1473" s="57">
        <v>45640</v>
      </c>
      <c r="Z1473" s="34">
        <f t="shared" si="67"/>
        <v>0</v>
      </c>
      <c r="AA1473" s="34"/>
      <c r="AB1473" s="34">
        <v>10</v>
      </c>
      <c r="AC1473" s="34">
        <v>10</v>
      </c>
      <c r="AD1473" s="34"/>
      <c r="AE1473" s="59" t="str">
        <f t="shared" si="68"/>
        <v>SÍ</v>
      </c>
      <c r="AF1473" s="34" t="e" cm="1">
        <f t="array" aca="1" ref="AF1473" ca="1">MIN(100, MAX(0, (IF(R1473="ESTUDIANTE", 31, 0)) + (IF(I1473&lt;=3, 30, IF(I1473&lt;=6, 20, 0))) +(IF(OR(E1473="413 - Control de Costes y Enlace Construcción", E1473="480 - Secretaría General del Consejo", E1473="132 - Civil y estructuras", E1473="136 - Mecánica", E1473="412 - Planificación", E1473="142 - Compras"), 25, 0)) +(IF(OR(S1473="GRADO ING. MECÁNICA", S1473="GRADO ING. ELÉCTRICA", S1473="GRADO DERECHO", S1473="GRADO ECONOMÍA", S1473="GRADO ING. TECNOLOGÍAS INDUSTRIALES"), 24, 0)) + (IF(AND(K1473&gt;=451, K1473&lt;=700), 23, 0)) + (IF(AND(AB1473&gt;=5, AB1473&lt;=8), 17, 0)) +(IF(_xludf.OR(_xludf.AND(AC1473&gt;=8, AC1473&lt;=10), _xludf.AND(AC1473&gt;=0, AC1473&lt;=5)), 16, 0)) + (IF(F1473="Madrid", 11, 0))))</f>
        <v>#NAME?</v>
      </c>
      <c r="AG1473" s="69"/>
      <c r="AH1473" s="71" t="s">
        <v>164</v>
      </c>
    </row>
    <row r="1474" spans="1:34" ht="14.4" x14ac:dyDescent="0.3">
      <c r="A1474" s="66" t="s">
        <v>2452</v>
      </c>
      <c r="B1474" s="66" t="s">
        <v>4569</v>
      </c>
      <c r="C1474" s="33">
        <v>1473</v>
      </c>
      <c r="D1474" s="33" t="s">
        <v>5393</v>
      </c>
      <c r="E1474" s="34" t="s">
        <v>5241</v>
      </c>
      <c r="F1474" s="34" t="s">
        <v>18</v>
      </c>
      <c r="G1474" s="57">
        <v>44958</v>
      </c>
      <c r="H1474" s="57">
        <v>45382</v>
      </c>
      <c r="I1474" s="34">
        <f t="shared" ref="I1474:I1537" si="69">DATEDIF(G1474, H1474, "M")</f>
        <v>13</v>
      </c>
      <c r="J1474" s="34">
        <v>35</v>
      </c>
      <c r="K1474" s="36">
        <v>0</v>
      </c>
      <c r="L1474" s="34" t="s">
        <v>17</v>
      </c>
      <c r="M1474" s="35">
        <v>34731</v>
      </c>
      <c r="N1474" s="37">
        <f>(YEAR(TablaMadre[[#This Row],[ALTA]])-YEAR(M1474))</f>
        <v>28</v>
      </c>
      <c r="O1474" s="34" t="s">
        <v>217</v>
      </c>
      <c r="P1474" s="34" t="s">
        <v>19</v>
      </c>
      <c r="Q1474" s="34" t="s">
        <v>136</v>
      </c>
      <c r="R1474" s="34" t="s">
        <v>30</v>
      </c>
      <c r="S1474" s="34" t="s">
        <v>136</v>
      </c>
      <c r="T1474" s="34"/>
      <c r="U1474" s="34"/>
      <c r="V1474" s="34" t="s">
        <v>163</v>
      </c>
      <c r="W1474" s="34" t="s">
        <v>97</v>
      </c>
      <c r="X1474" s="38" t="s">
        <v>164</v>
      </c>
      <c r="Y1474" s="62">
        <v>45870</v>
      </c>
      <c r="Z1474" s="38">
        <f t="shared" ref="Z1474:Z1537" si="70">DATEDIF(H1474, Y1474, "y")</f>
        <v>1</v>
      </c>
      <c r="AA1474" s="38"/>
      <c r="AB1474" s="34">
        <v>8</v>
      </c>
      <c r="AC1474" s="34" t="s">
        <v>694</v>
      </c>
      <c r="AD1474" s="38"/>
      <c r="AE1474" s="59" t="str">
        <f t="shared" si="68"/>
        <v>SÍ</v>
      </c>
      <c r="AF1474" s="38" t="e" cm="1">
        <f t="array" aca="1" ref="AF1474" ca="1">MIN(100, MAX(0, (IF(R1474="ESTUDIANTE", 31, 0)) + (IF(I1474&lt;=3, 30, IF(I1474&lt;=6, 20, 0))) +(IF(OR(E1474="413 - Control de Costes y Enlace Construcción", E1474="480 - Secretaría General del Consejo", E1474="132 - Civil y estructuras", E1474="136 - Mecánica", E1474="412 - Planificación", E1474="142 - Compras"), 25, 0)) +(IF(OR(S1474="GRADO ING. MECÁNICA", S1474="GRADO ING. ELÉCTRICA", S1474="GRADO DERECHO", S1474="GRADO ECONOMÍA", S1474="GRADO ING. TECNOLOGÍAS INDUSTRIALES"), 24, 0)) + (IF(AND(K1474&gt;=451, K1474&lt;=700), 23, 0)) + (IF(AND(AB1474&gt;=5, AB1474&lt;=8), 17, 0)) +(IF(_xludf.OR(_xludf.AND(AC1474&gt;=8, AC1474&lt;=10), _xludf.AND(AC1474&gt;=0, AC1474&lt;=5)), 16, 0)) + (IF(F1474="Madrid", 11, 0))))</f>
        <v>#NAME?</v>
      </c>
      <c r="AG1474" s="68"/>
      <c r="AH1474" s="71" t="s">
        <v>164</v>
      </c>
    </row>
    <row r="1475" spans="1:34" s="4" customFormat="1" ht="14.4" x14ac:dyDescent="0.3">
      <c r="A1475" s="66" t="s">
        <v>2453</v>
      </c>
      <c r="B1475" s="66" t="s">
        <v>4570</v>
      </c>
      <c r="C1475" s="33">
        <v>1474</v>
      </c>
      <c r="D1475" s="33" t="s">
        <v>5394</v>
      </c>
      <c r="E1475" s="34" t="s">
        <v>5313</v>
      </c>
      <c r="F1475" s="34" t="s">
        <v>18</v>
      </c>
      <c r="G1475" s="57">
        <v>44963</v>
      </c>
      <c r="H1475" s="57">
        <v>45329</v>
      </c>
      <c r="I1475" s="34">
        <f t="shared" si="69"/>
        <v>12</v>
      </c>
      <c r="J1475" s="34">
        <v>35</v>
      </c>
      <c r="K1475" s="36">
        <v>700</v>
      </c>
      <c r="L1475" s="34" t="s">
        <v>29</v>
      </c>
      <c r="M1475" s="35">
        <v>36336</v>
      </c>
      <c r="N1475" s="37">
        <f>(YEAR(TablaMadre[[#This Row],[ALTA]])-YEAR(M1475))</f>
        <v>24</v>
      </c>
      <c r="O1475" s="34" t="s">
        <v>18</v>
      </c>
      <c r="P1475" s="34" t="s">
        <v>19</v>
      </c>
      <c r="Q1475" s="34" t="s">
        <v>368</v>
      </c>
      <c r="R1475" s="58" t="s">
        <v>30</v>
      </c>
      <c r="S1475" s="34" t="s">
        <v>690</v>
      </c>
      <c r="T1475" s="34"/>
      <c r="U1475" s="34"/>
      <c r="V1475" s="34" t="s">
        <v>40</v>
      </c>
      <c r="W1475" s="34" t="s">
        <v>28</v>
      </c>
      <c r="X1475" s="34" t="s">
        <v>173</v>
      </c>
      <c r="Y1475" s="57"/>
      <c r="Z1475" s="34" t="e">
        <f t="shared" si="70"/>
        <v>#NUM!</v>
      </c>
      <c r="AA1475" s="34"/>
      <c r="AB1475" s="34">
        <v>10</v>
      </c>
      <c r="AC1475" s="34">
        <v>10</v>
      </c>
      <c r="AD1475" s="34"/>
      <c r="AE1475" s="59" t="str">
        <f t="shared" ref="AE1475:AE1538" si="71">IF(F1475=O1475, "NO", "SÍ")</f>
        <v>NO</v>
      </c>
      <c r="AF1475" s="34" t="e" cm="1">
        <f t="array" aca="1" ref="AF1475" ca="1">MIN(100, MAX(0, (IF(R1475="ESTUDIANTE", 31, 0)) + (IF(I1475&lt;=3, 30, IF(I1475&lt;=6, 20, 0))) +(IF(OR(E1475="413 - Control de Costes y Enlace Construcción", E1475="480 - Secretaría General del Consejo", E1475="132 - Civil y estructuras", E1475="136 - Mecánica", E1475="412 - Planificación", E1475="142 - Compras"), 25, 0)) +(IF(OR(S1475="GRADO ING. MECÁNICA", S1475="GRADO ING. ELÉCTRICA", S1475="GRADO DERECHO", S1475="GRADO ECONOMÍA", S1475="GRADO ING. TECNOLOGÍAS INDUSTRIALES"), 24, 0)) + (IF(AND(K1475&gt;=451, K1475&lt;=700), 23, 0)) + (IF(AND(AB1475&gt;=5, AB1475&lt;=8), 17, 0)) +(IF(_xludf.OR(_xludf.AND(AC1475&gt;=8, AC1475&lt;=10), _xludf.AND(AC1475&gt;=0, AC1475&lt;=5)), 16, 0)) + (IF(F1475="Madrid", 11, 0))))</f>
        <v>#NAME?</v>
      </c>
      <c r="AG1475" s="69"/>
      <c r="AH1475" s="71" t="s">
        <v>164</v>
      </c>
    </row>
    <row r="1476" spans="1:34" ht="14.4" x14ac:dyDescent="0.3">
      <c r="A1476" s="66" t="s">
        <v>2389</v>
      </c>
      <c r="B1476" s="66" t="s">
        <v>4506</v>
      </c>
      <c r="C1476" s="33">
        <v>1478</v>
      </c>
      <c r="D1476" s="33" t="s">
        <v>5395</v>
      </c>
      <c r="E1476" s="34" t="s">
        <v>5216</v>
      </c>
      <c r="F1476" s="34" t="s">
        <v>18</v>
      </c>
      <c r="G1476" s="57">
        <v>44970</v>
      </c>
      <c r="H1476" s="57">
        <v>45150</v>
      </c>
      <c r="I1476" s="34">
        <f t="shared" si="69"/>
        <v>5</v>
      </c>
      <c r="J1476" s="34">
        <v>35</v>
      </c>
      <c r="K1476" s="36">
        <v>700</v>
      </c>
      <c r="L1476" s="34" t="s">
        <v>29</v>
      </c>
      <c r="M1476" s="35">
        <v>37082</v>
      </c>
      <c r="N1476" s="37">
        <f>(YEAR(TablaMadre[[#This Row],[ALTA]])-YEAR(M1476))</f>
        <v>22</v>
      </c>
      <c r="O1476" s="34" t="s">
        <v>18</v>
      </c>
      <c r="P1476" s="34" t="s">
        <v>19</v>
      </c>
      <c r="Q1476" s="34" t="s">
        <v>297</v>
      </c>
      <c r="R1476" s="58" t="s">
        <v>30</v>
      </c>
      <c r="S1476" s="34" t="s">
        <v>297</v>
      </c>
      <c r="T1476" s="34"/>
      <c r="U1476" s="34"/>
      <c r="V1476" s="34" t="s">
        <v>22</v>
      </c>
      <c r="W1476" s="34" t="s">
        <v>91</v>
      </c>
      <c r="X1476" s="38" t="s">
        <v>164</v>
      </c>
      <c r="Y1476" s="62"/>
      <c r="Z1476" s="38" t="e">
        <f t="shared" si="70"/>
        <v>#NUM!</v>
      </c>
      <c r="AA1476" s="38"/>
      <c r="AB1476" s="34">
        <v>9</v>
      </c>
      <c r="AC1476" s="34" t="s">
        <v>602</v>
      </c>
      <c r="AD1476" s="38"/>
      <c r="AE1476" s="59" t="str">
        <f t="shared" si="71"/>
        <v>NO</v>
      </c>
      <c r="AF1476" s="38" t="e" cm="1">
        <f t="array" aca="1" ref="AF1476" ca="1">MIN(100, MAX(0, (IF(R1476="ESTUDIANTE", 31, 0)) + (IF(I1476&lt;=3, 30, IF(I1476&lt;=6, 20, 0))) +(IF(OR(E1476="413 - Control de Costes y Enlace Construcción", E1476="480 - Secretaría General del Consejo", E1476="132 - Civil y estructuras", E1476="136 - Mecánica", E1476="412 - Planificación", E1476="142 - Compras"), 25, 0)) +(IF(OR(S1476="GRADO ING. MECÁNICA", S1476="GRADO ING. ELÉCTRICA", S1476="GRADO DERECHO", S1476="GRADO ECONOMÍA", S1476="GRADO ING. TECNOLOGÍAS INDUSTRIALES"), 24, 0)) + (IF(AND(K1476&gt;=451, K1476&lt;=700), 23, 0)) + (IF(AND(AB1476&gt;=5, AB1476&lt;=8), 17, 0)) +(IF(_xludf.OR(_xludf.AND(AC1476&gt;=8, AC1476&lt;=10), _xludf.AND(AC1476&gt;=0, AC1476&lt;=5)), 16, 0)) + (IF(F1476="Madrid", 11, 0))))</f>
        <v>#NAME?</v>
      </c>
      <c r="AG1476" s="68"/>
      <c r="AH1476" s="71" t="s">
        <v>164</v>
      </c>
    </row>
    <row r="1477" spans="1:34" ht="14.4" x14ac:dyDescent="0.3">
      <c r="A1477" s="66" t="s">
        <v>2454</v>
      </c>
      <c r="B1477" s="66" t="s">
        <v>4571</v>
      </c>
      <c r="C1477" s="33">
        <v>1475</v>
      </c>
      <c r="D1477" s="33" t="s">
        <v>5396</v>
      </c>
      <c r="E1477" s="34" t="s">
        <v>5313</v>
      </c>
      <c r="F1477" s="34" t="s">
        <v>18</v>
      </c>
      <c r="G1477" s="57">
        <v>44970</v>
      </c>
      <c r="H1477" s="57">
        <v>45109</v>
      </c>
      <c r="I1477" s="34">
        <f t="shared" si="69"/>
        <v>4</v>
      </c>
      <c r="J1477" s="34">
        <v>35</v>
      </c>
      <c r="K1477" s="36">
        <v>825</v>
      </c>
      <c r="L1477" s="34" t="s">
        <v>17</v>
      </c>
      <c r="M1477" s="35">
        <v>35520</v>
      </c>
      <c r="N1477" s="37">
        <f>(YEAR(TablaMadre[[#This Row],[ALTA]])-YEAR(M1477))</f>
        <v>26</v>
      </c>
      <c r="O1477" s="34" t="s">
        <v>65</v>
      </c>
      <c r="P1477" s="34" t="s">
        <v>19</v>
      </c>
      <c r="Q1477" s="34" t="s">
        <v>151</v>
      </c>
      <c r="R1477" s="34" t="s">
        <v>21</v>
      </c>
      <c r="S1477" s="34" t="s">
        <v>151</v>
      </c>
      <c r="T1477" s="34"/>
      <c r="U1477" s="34"/>
      <c r="V1477" s="34" t="s">
        <v>81</v>
      </c>
      <c r="W1477" s="34" t="s">
        <v>28</v>
      </c>
      <c r="X1477" s="38" t="s">
        <v>173</v>
      </c>
      <c r="Y1477" s="62"/>
      <c r="Z1477" s="38" t="e">
        <f t="shared" si="70"/>
        <v>#NUM!</v>
      </c>
      <c r="AA1477" s="38"/>
      <c r="AB1477" s="34">
        <v>10</v>
      </c>
      <c r="AC1477" s="34">
        <v>10</v>
      </c>
      <c r="AD1477" s="38"/>
      <c r="AE1477" s="59" t="str">
        <f t="shared" si="71"/>
        <v>SÍ</v>
      </c>
      <c r="AF1477" s="38" t="e" cm="1">
        <f t="array" aca="1" ref="AF1477" ca="1">MIN(100, MAX(0, (IF(R1477="ESTUDIANTE", 31, 0)) + (IF(I1477&lt;=3, 30, IF(I1477&lt;=6, 20, 0))) +(IF(OR(E1477="413 - Control de Costes y Enlace Construcción", E1477="480 - Secretaría General del Consejo", E1477="132 - Civil y estructuras", E1477="136 - Mecánica", E1477="412 - Planificación", E1477="142 - Compras"), 25, 0)) +(IF(OR(S1477="GRADO ING. MECÁNICA", S1477="GRADO ING. ELÉCTRICA", S1477="GRADO DERECHO", S1477="GRADO ECONOMÍA", S1477="GRADO ING. TECNOLOGÍAS INDUSTRIALES"), 24, 0)) + (IF(AND(K1477&gt;=451, K1477&lt;=700), 23, 0)) + (IF(AND(AB1477&gt;=5, AB1477&lt;=8), 17, 0)) +(IF(_xludf.OR(_xludf.AND(AC1477&gt;=8, AC1477&lt;=10), _xludf.AND(AC1477&gt;=0, AC1477&lt;=5)), 16, 0)) + (IF(F1477="Madrid", 11, 0))))</f>
        <v>#NAME?</v>
      </c>
      <c r="AG1477" s="68"/>
      <c r="AH1477" s="71" t="s">
        <v>164</v>
      </c>
    </row>
    <row r="1478" spans="1:34" ht="14.4" x14ac:dyDescent="0.3">
      <c r="A1478" s="66" t="s">
        <v>2455</v>
      </c>
      <c r="B1478" s="66" t="s">
        <v>4572</v>
      </c>
      <c r="C1478" s="33">
        <v>1476</v>
      </c>
      <c r="D1478" s="33" t="s">
        <v>5397</v>
      </c>
      <c r="E1478" s="34" t="s">
        <v>5313</v>
      </c>
      <c r="F1478" s="34" t="s">
        <v>18</v>
      </c>
      <c r="G1478" s="57">
        <v>44970</v>
      </c>
      <c r="H1478" s="57">
        <v>45150</v>
      </c>
      <c r="I1478" s="34">
        <f t="shared" si="69"/>
        <v>5</v>
      </c>
      <c r="J1478" s="34">
        <v>35</v>
      </c>
      <c r="K1478" s="36">
        <v>825</v>
      </c>
      <c r="L1478" s="34" t="s">
        <v>29</v>
      </c>
      <c r="M1478" s="35">
        <v>35560</v>
      </c>
      <c r="N1478" s="37">
        <f>(YEAR(TablaMadre[[#This Row],[ALTA]])-YEAR(M1478))</f>
        <v>26</v>
      </c>
      <c r="O1478" s="34" t="s">
        <v>837</v>
      </c>
      <c r="P1478" s="34" t="s">
        <v>560</v>
      </c>
      <c r="Q1478" s="34" t="s">
        <v>656</v>
      </c>
      <c r="R1478" s="34" t="s">
        <v>21</v>
      </c>
      <c r="S1478" s="34" t="s">
        <v>206</v>
      </c>
      <c r="T1478" s="34"/>
      <c r="U1478" s="34"/>
      <c r="V1478" s="34" t="s">
        <v>56</v>
      </c>
      <c r="W1478" s="34" t="s">
        <v>28</v>
      </c>
      <c r="X1478" s="38" t="s">
        <v>164</v>
      </c>
      <c r="Y1478" s="62">
        <v>45710</v>
      </c>
      <c r="Z1478" s="38">
        <f t="shared" si="70"/>
        <v>1</v>
      </c>
      <c r="AA1478" s="38"/>
      <c r="AB1478" s="34">
        <v>9</v>
      </c>
      <c r="AC1478" s="34">
        <v>7</v>
      </c>
      <c r="AD1478" s="38"/>
      <c r="AE1478" s="59" t="str">
        <f t="shared" si="71"/>
        <v>SÍ</v>
      </c>
      <c r="AF1478" s="38" t="e" cm="1">
        <f t="array" aca="1" ref="AF1478" ca="1">MIN(100, MAX(0, (IF(R1478="ESTUDIANTE", 31, 0)) + (IF(I1478&lt;=3, 30, IF(I1478&lt;=6, 20, 0))) +(IF(OR(E1478="413 - Control de Costes y Enlace Construcción", E1478="480 - Secretaría General del Consejo", E1478="132 - Civil y estructuras", E1478="136 - Mecánica", E1478="412 - Planificación", E1478="142 - Compras"), 25, 0)) +(IF(OR(S1478="GRADO ING. MECÁNICA", S1478="GRADO ING. ELÉCTRICA", S1478="GRADO DERECHO", S1478="GRADO ECONOMÍA", S1478="GRADO ING. TECNOLOGÍAS INDUSTRIALES"), 24, 0)) + (IF(AND(K1478&gt;=451, K1478&lt;=700), 23, 0)) + (IF(AND(AB1478&gt;=5, AB1478&lt;=8), 17, 0)) +(IF(_xludf.OR(_xludf.AND(AC1478&gt;=8, AC1478&lt;=10), _xludf.AND(AC1478&gt;=0, AC1478&lt;=5)), 16, 0)) + (IF(F1478="Madrid", 11, 0))))</f>
        <v>#NAME?</v>
      </c>
      <c r="AG1478" s="68"/>
      <c r="AH1478" s="71" t="s">
        <v>164</v>
      </c>
    </row>
    <row r="1479" spans="1:34" ht="14.4" x14ac:dyDescent="0.3">
      <c r="A1479" s="66" t="s">
        <v>2456</v>
      </c>
      <c r="B1479" s="66" t="s">
        <v>4573</v>
      </c>
      <c r="C1479" s="33">
        <v>1477</v>
      </c>
      <c r="D1479" s="33" t="s">
        <v>5398</v>
      </c>
      <c r="E1479" s="34" t="s">
        <v>5324</v>
      </c>
      <c r="F1479" s="34" t="s">
        <v>18</v>
      </c>
      <c r="G1479" s="57">
        <v>44970</v>
      </c>
      <c r="H1479" s="57">
        <v>45150</v>
      </c>
      <c r="I1479" s="34">
        <f t="shared" si="69"/>
        <v>5</v>
      </c>
      <c r="J1479" s="34">
        <v>35</v>
      </c>
      <c r="K1479" s="36">
        <v>650</v>
      </c>
      <c r="L1479" s="34" t="s">
        <v>29</v>
      </c>
      <c r="M1479" s="35">
        <v>36166</v>
      </c>
      <c r="N1479" s="37">
        <f>(YEAR(TablaMadre[[#This Row],[ALTA]])-YEAR(M1479))</f>
        <v>24</v>
      </c>
      <c r="O1479" s="34" t="s">
        <v>257</v>
      </c>
      <c r="P1479" s="34" t="s">
        <v>19</v>
      </c>
      <c r="Q1479" s="34" t="s">
        <v>297</v>
      </c>
      <c r="R1479" s="58" t="s">
        <v>30</v>
      </c>
      <c r="S1479" s="34" t="s">
        <v>297</v>
      </c>
      <c r="T1479" s="34"/>
      <c r="U1479" s="34"/>
      <c r="V1479" s="34" t="s">
        <v>40</v>
      </c>
      <c r="W1479" s="34" t="s">
        <v>28</v>
      </c>
      <c r="X1479" s="38" t="s">
        <v>173</v>
      </c>
      <c r="Y1479" s="62"/>
      <c r="Z1479" s="38" t="e">
        <f t="shared" si="70"/>
        <v>#NUM!</v>
      </c>
      <c r="AA1479" s="38"/>
      <c r="AB1479" s="34">
        <v>10</v>
      </c>
      <c r="AC1479" s="34">
        <v>10</v>
      </c>
      <c r="AD1479" s="38"/>
      <c r="AE1479" s="59" t="str">
        <f t="shared" si="71"/>
        <v>SÍ</v>
      </c>
      <c r="AF1479" s="38" t="e" cm="1">
        <f t="array" aca="1" ref="AF1479" ca="1">MIN(100, MAX(0, (IF(R1479="ESTUDIANTE", 31, 0)) + (IF(I1479&lt;=3, 30, IF(I1479&lt;=6, 20, 0))) +(IF(OR(E1479="413 - Control de Costes y Enlace Construcción", E1479="480 - Secretaría General del Consejo", E1479="132 - Civil y estructuras", E1479="136 - Mecánica", E1479="412 - Planificación", E1479="142 - Compras"), 25, 0)) +(IF(OR(S1479="GRADO ING. MECÁNICA", S1479="GRADO ING. ELÉCTRICA", S1479="GRADO DERECHO", S1479="GRADO ECONOMÍA", S1479="GRADO ING. TECNOLOGÍAS INDUSTRIALES"), 24, 0)) + (IF(AND(K1479&gt;=451, K1479&lt;=700), 23, 0)) + (IF(AND(AB1479&gt;=5, AB1479&lt;=8), 17, 0)) +(IF(_xludf.OR(_xludf.AND(AC1479&gt;=8, AC1479&lt;=10), _xludf.AND(AC1479&gt;=0, AC1479&lt;=5)), 16, 0)) + (IF(F1479="Madrid", 11, 0))))</f>
        <v>#NAME?</v>
      </c>
      <c r="AG1479" s="68"/>
      <c r="AH1479" s="71" t="s">
        <v>164</v>
      </c>
    </row>
    <row r="1480" spans="1:34" ht="14.4" x14ac:dyDescent="0.3">
      <c r="A1480" s="66" t="s">
        <v>2458</v>
      </c>
      <c r="B1480" s="66" t="s">
        <v>4575</v>
      </c>
      <c r="C1480" s="33">
        <v>1479</v>
      </c>
      <c r="D1480" s="33" t="s">
        <v>5399</v>
      </c>
      <c r="E1480" s="34" t="s">
        <v>5322</v>
      </c>
      <c r="F1480" s="34" t="s">
        <v>18</v>
      </c>
      <c r="G1480" s="57">
        <v>44970</v>
      </c>
      <c r="H1480" s="57">
        <v>45274</v>
      </c>
      <c r="I1480" s="34">
        <f t="shared" si="69"/>
        <v>10</v>
      </c>
      <c r="J1480" s="34">
        <v>35</v>
      </c>
      <c r="K1480" s="36">
        <v>875</v>
      </c>
      <c r="L1480" s="34" t="s">
        <v>17</v>
      </c>
      <c r="M1480" s="35">
        <v>36446</v>
      </c>
      <c r="N1480" s="37">
        <f>(YEAR(TablaMadre[[#This Row],[ALTA]])-YEAR(M1480))</f>
        <v>24</v>
      </c>
      <c r="O1480" s="34" t="s">
        <v>18</v>
      </c>
      <c r="P1480" s="34" t="s">
        <v>19</v>
      </c>
      <c r="Q1480" s="34" t="s">
        <v>297</v>
      </c>
      <c r="R1480" s="34" t="s">
        <v>21</v>
      </c>
      <c r="S1480" s="34" t="s">
        <v>297</v>
      </c>
      <c r="T1480" s="34"/>
      <c r="U1480" s="34"/>
      <c r="V1480" s="34" t="s">
        <v>84</v>
      </c>
      <c r="W1480" s="34" t="s">
        <v>28</v>
      </c>
      <c r="X1480" s="38" t="s">
        <v>164</v>
      </c>
      <c r="Y1480" s="62">
        <v>45875</v>
      </c>
      <c r="Z1480" s="38">
        <f t="shared" si="70"/>
        <v>1</v>
      </c>
      <c r="AA1480" s="38"/>
      <c r="AB1480" s="34">
        <v>9</v>
      </c>
      <c r="AC1480" s="34">
        <v>9</v>
      </c>
      <c r="AD1480" s="38"/>
      <c r="AE1480" s="59" t="str">
        <f t="shared" si="71"/>
        <v>NO</v>
      </c>
      <c r="AF1480" s="38" t="e" cm="1">
        <f t="array" aca="1" ref="AF1480" ca="1">MIN(100, MAX(0, (IF(R1480="ESTUDIANTE", 31, 0)) + (IF(I1480&lt;=3, 30, IF(I1480&lt;=6, 20, 0))) +(IF(OR(E1480="413 - Control de Costes y Enlace Construcción", E1480="480 - Secretaría General del Consejo", E1480="132 - Civil y estructuras", E1480="136 - Mecánica", E1480="412 - Planificación", E1480="142 - Compras"), 25, 0)) +(IF(OR(S1480="GRADO ING. MECÁNICA", S1480="GRADO ING. ELÉCTRICA", S1480="GRADO DERECHO", S1480="GRADO ECONOMÍA", S1480="GRADO ING. TECNOLOGÍAS INDUSTRIALES"), 24, 0)) + (IF(AND(K1480&gt;=451, K1480&lt;=700), 23, 0)) + (IF(AND(AB1480&gt;=5, AB1480&lt;=8), 17, 0)) +(IF(_xludf.OR(_xludf.AND(AC1480&gt;=8, AC1480&lt;=10), _xludf.AND(AC1480&gt;=0, AC1480&lt;=5)), 16, 0)) + (IF(F1480="Madrid", 11, 0))))</f>
        <v>#NAME?</v>
      </c>
      <c r="AG1480" s="68"/>
      <c r="AH1480" s="71" t="s">
        <v>164</v>
      </c>
    </row>
    <row r="1481" spans="1:34" ht="14.4" x14ac:dyDescent="0.3">
      <c r="A1481" s="66" t="s">
        <v>2390</v>
      </c>
      <c r="B1481" s="66" t="s">
        <v>4507</v>
      </c>
      <c r="C1481" s="33">
        <v>1480</v>
      </c>
      <c r="D1481" s="33" t="s">
        <v>5400</v>
      </c>
      <c r="E1481" s="34" t="s">
        <v>5248</v>
      </c>
      <c r="F1481" s="34" t="s">
        <v>18</v>
      </c>
      <c r="G1481" s="57">
        <v>44972</v>
      </c>
      <c r="H1481" s="57">
        <v>45076</v>
      </c>
      <c r="I1481" s="34">
        <f t="shared" si="69"/>
        <v>3</v>
      </c>
      <c r="J1481" s="34">
        <v>30</v>
      </c>
      <c r="K1481" s="36">
        <v>560</v>
      </c>
      <c r="L1481" s="34" t="s">
        <v>29</v>
      </c>
      <c r="M1481" s="35">
        <v>36992</v>
      </c>
      <c r="N1481" s="37">
        <f>(YEAR(TablaMadre[[#This Row],[ALTA]])-YEAR(M1481))</f>
        <v>22</v>
      </c>
      <c r="O1481" s="34" t="s">
        <v>217</v>
      </c>
      <c r="P1481" s="34" t="s">
        <v>19</v>
      </c>
      <c r="Q1481" s="34" t="s">
        <v>627</v>
      </c>
      <c r="R1481" s="58" t="s">
        <v>30</v>
      </c>
      <c r="S1481" s="34" t="s">
        <v>322</v>
      </c>
      <c r="T1481" s="34"/>
      <c r="U1481" s="34"/>
      <c r="V1481" s="34" t="s">
        <v>182</v>
      </c>
      <c r="W1481" s="34" t="s">
        <v>91</v>
      </c>
      <c r="X1481" s="38" t="s">
        <v>164</v>
      </c>
      <c r="Y1481" s="62"/>
      <c r="Z1481" s="38" t="e">
        <f t="shared" si="70"/>
        <v>#NUM!</v>
      </c>
      <c r="AA1481" s="38"/>
      <c r="AB1481" s="34" t="s">
        <v>622</v>
      </c>
      <c r="AC1481" s="34">
        <v>8</v>
      </c>
      <c r="AD1481" s="38"/>
      <c r="AE1481" s="59" t="str">
        <f t="shared" si="71"/>
        <v>SÍ</v>
      </c>
      <c r="AF1481" s="38" t="e" cm="1">
        <f t="array" aca="1" ref="AF1481" ca="1">MIN(100, MAX(0, (IF(R1481="ESTUDIANTE", 31, 0)) + (IF(I1481&lt;=3, 30, IF(I1481&lt;=6, 20, 0))) +(IF(OR(E1481="413 - Control de Costes y Enlace Construcción", E1481="480 - Secretaría General del Consejo", E1481="132 - Civil y estructuras", E1481="136 - Mecánica", E1481="412 - Planificación", E1481="142 - Compras"), 25, 0)) +(IF(OR(S1481="GRADO ING. MECÁNICA", S1481="GRADO ING. ELÉCTRICA", S1481="GRADO DERECHO", S1481="GRADO ECONOMÍA", S1481="GRADO ING. TECNOLOGÍAS INDUSTRIALES"), 24, 0)) + (IF(AND(K1481&gt;=451, K1481&lt;=700), 23, 0)) + (IF(AND(AB1481&gt;=5, AB1481&lt;=8), 17, 0)) +(IF(_xludf.OR(_xludf.AND(AC1481&gt;=8, AC1481&lt;=10), _xludf.AND(AC1481&gt;=0, AC1481&lt;=5)), 16, 0)) + (IF(F1481="Madrid", 11, 0))))</f>
        <v>#NAME?</v>
      </c>
      <c r="AG1481" s="68"/>
      <c r="AH1481" s="71" t="s">
        <v>164</v>
      </c>
    </row>
    <row r="1482" spans="1:34" ht="14.4" x14ac:dyDescent="0.3">
      <c r="A1482" s="66" t="s">
        <v>2391</v>
      </c>
      <c r="B1482" s="66" t="s">
        <v>4508</v>
      </c>
      <c r="C1482" s="33">
        <v>1481</v>
      </c>
      <c r="D1482" s="33" t="s">
        <v>5401</v>
      </c>
      <c r="E1482" s="34" t="s">
        <v>5241</v>
      </c>
      <c r="F1482" s="34" t="s">
        <v>18</v>
      </c>
      <c r="G1482" s="57">
        <v>44977</v>
      </c>
      <c r="H1482" s="57">
        <v>45088</v>
      </c>
      <c r="I1482" s="34">
        <f t="shared" si="69"/>
        <v>3</v>
      </c>
      <c r="J1482" s="34">
        <v>35</v>
      </c>
      <c r="K1482" s="36">
        <v>825</v>
      </c>
      <c r="L1482" s="34" t="s">
        <v>17</v>
      </c>
      <c r="M1482" s="35">
        <v>35867</v>
      </c>
      <c r="N1482" s="37">
        <f>(YEAR(TablaMadre[[#This Row],[ALTA]])-YEAR(M1482))</f>
        <v>25</v>
      </c>
      <c r="O1482" s="34" t="s">
        <v>64</v>
      </c>
      <c r="P1482" s="34" t="s">
        <v>19</v>
      </c>
      <c r="Q1482" s="34" t="s">
        <v>549</v>
      </c>
      <c r="R1482" s="34" t="s">
        <v>21</v>
      </c>
      <c r="S1482" s="34" t="s">
        <v>297</v>
      </c>
      <c r="T1482" s="34"/>
      <c r="U1482" s="34"/>
      <c r="V1482" s="34" t="s">
        <v>22</v>
      </c>
      <c r="W1482" s="34" t="s">
        <v>47</v>
      </c>
      <c r="X1482" s="38" t="s">
        <v>164</v>
      </c>
      <c r="Y1482" s="62"/>
      <c r="Z1482" s="38" t="e">
        <f t="shared" si="70"/>
        <v>#NUM!</v>
      </c>
      <c r="AA1482" s="38"/>
      <c r="AB1482" s="34">
        <v>5</v>
      </c>
      <c r="AC1482" s="34">
        <v>9</v>
      </c>
      <c r="AD1482" s="38"/>
      <c r="AE1482" s="59" t="str">
        <f t="shared" si="71"/>
        <v>SÍ</v>
      </c>
      <c r="AF1482" s="38" t="e" cm="1">
        <f t="array" aca="1" ref="AF1482" ca="1">MIN(100, MAX(0, (IF(R1482="ESTUDIANTE", 31, 0)) + (IF(I1482&lt;=3, 30, IF(I1482&lt;=6, 20, 0))) +(IF(OR(E1482="413 - Control de Costes y Enlace Construcción", E1482="480 - Secretaría General del Consejo", E1482="132 - Civil y estructuras", E1482="136 - Mecánica", E1482="412 - Planificación", E1482="142 - Compras"), 25, 0)) +(IF(OR(S1482="GRADO ING. MECÁNICA", S1482="GRADO ING. ELÉCTRICA", S1482="GRADO DERECHO", S1482="GRADO ECONOMÍA", S1482="GRADO ING. TECNOLOGÍAS INDUSTRIALES"), 24, 0)) + (IF(AND(K1482&gt;=451, K1482&lt;=700), 23, 0)) + (IF(AND(AB1482&gt;=5, AB1482&lt;=8), 17, 0)) +(IF(_xludf.OR(_xludf.AND(AC1482&gt;=8, AC1482&lt;=10), _xludf.AND(AC1482&gt;=0, AC1482&lt;=5)), 16, 0)) + (IF(F1482="Madrid", 11, 0))))</f>
        <v>#NAME?</v>
      </c>
      <c r="AG1482" s="68"/>
      <c r="AH1482" s="71" t="s">
        <v>164</v>
      </c>
    </row>
    <row r="1483" spans="1:34" s="4" customFormat="1" ht="14.4" x14ac:dyDescent="0.3">
      <c r="A1483" s="66" t="s">
        <v>2395</v>
      </c>
      <c r="B1483" s="66" t="s">
        <v>4512</v>
      </c>
      <c r="C1483" s="33">
        <v>1483</v>
      </c>
      <c r="D1483" s="33" t="s">
        <v>5402</v>
      </c>
      <c r="E1483" s="34" t="s">
        <v>5344</v>
      </c>
      <c r="F1483" s="34" t="s">
        <v>18</v>
      </c>
      <c r="G1483" s="57">
        <v>44977</v>
      </c>
      <c r="H1483" s="57">
        <v>45141</v>
      </c>
      <c r="I1483" s="34">
        <f t="shared" si="69"/>
        <v>5</v>
      </c>
      <c r="J1483" s="34">
        <v>35</v>
      </c>
      <c r="K1483" s="36">
        <v>650</v>
      </c>
      <c r="L1483" s="34" t="s">
        <v>17</v>
      </c>
      <c r="M1483" s="35">
        <v>35139</v>
      </c>
      <c r="N1483" s="37">
        <f>(YEAR(TablaMadre[[#This Row],[ALTA]])-YEAR(M1483))</f>
        <v>27</v>
      </c>
      <c r="O1483" s="34" t="s">
        <v>558</v>
      </c>
      <c r="P1483" s="34" t="s">
        <v>19</v>
      </c>
      <c r="Q1483" s="34" t="s">
        <v>151</v>
      </c>
      <c r="R1483" s="58" t="s">
        <v>30</v>
      </c>
      <c r="S1483" s="34" t="s">
        <v>151</v>
      </c>
      <c r="T1483" s="34"/>
      <c r="U1483" s="34"/>
      <c r="V1483" s="34" t="s">
        <v>310</v>
      </c>
      <c r="W1483" s="34" t="s">
        <v>47</v>
      </c>
      <c r="X1483" s="38" t="s">
        <v>164</v>
      </c>
      <c r="Y1483" s="62"/>
      <c r="Z1483" s="38" t="e">
        <f t="shared" si="70"/>
        <v>#NUM!</v>
      </c>
      <c r="AA1483" s="38"/>
      <c r="AB1483" s="34">
        <v>1</v>
      </c>
      <c r="AC1483" s="34"/>
      <c r="AD1483" s="38"/>
      <c r="AE1483" s="59" t="str">
        <f t="shared" si="71"/>
        <v>SÍ</v>
      </c>
      <c r="AF1483" s="34" t="e" cm="1">
        <f t="array" aca="1" ref="AF1483" ca="1">MIN(100, MAX(0, (IF(R1483="ESTUDIANTE", 31, 0)) + (IF(I1483&lt;=3, 30, IF(I1483&lt;=6, 20, 0))) +(IF(OR(E1483="413 - Control de Costes y Enlace Construcción", E1483="480 - Secretaría General del Consejo", E1483="132 - Civil y estructuras", E1483="136 - Mecánica", E1483="412 - Planificación", E1483="142 - Compras"), 25, 0)) +(IF(OR(S1483="GRADO ING. MECÁNICA", S1483="GRADO ING. ELÉCTRICA", S1483="GRADO DERECHO", S1483="GRADO ECONOMÍA", S1483="GRADO ING. TECNOLOGÍAS INDUSTRIALES"), 24, 0)) + (IF(AND(K1483&gt;=451, K1483&lt;=700), 23, 0)) + (IF(AND(AB1483&gt;=5, AB1483&lt;=8), 17, 0)) +(IF(_xludf.OR(_xludf.AND(AC1483&gt;=8, AC1483&lt;=10), _xludf.AND(AC1483&gt;=0, AC1483&lt;=5)), 16, 0)) + (IF(F1483="Madrid", 11, 0))))</f>
        <v>#NAME?</v>
      </c>
      <c r="AG1483" s="69"/>
      <c r="AH1483" s="71" t="s">
        <v>164</v>
      </c>
    </row>
    <row r="1484" spans="1:34" ht="14.4" x14ac:dyDescent="0.3">
      <c r="A1484" s="66" t="s">
        <v>2461</v>
      </c>
      <c r="B1484" s="66" t="s">
        <v>4578</v>
      </c>
      <c r="C1484" s="33">
        <v>1482</v>
      </c>
      <c r="D1484" s="33" t="s">
        <v>5393</v>
      </c>
      <c r="E1484" s="34" t="s">
        <v>5285</v>
      </c>
      <c r="F1484" s="34" t="s">
        <v>18</v>
      </c>
      <c r="G1484" s="57">
        <v>44977</v>
      </c>
      <c r="H1484" s="57">
        <v>45131</v>
      </c>
      <c r="I1484" s="34">
        <f t="shared" si="69"/>
        <v>5</v>
      </c>
      <c r="J1484" s="34">
        <v>25</v>
      </c>
      <c r="K1484" s="36">
        <v>600</v>
      </c>
      <c r="L1484" s="34" t="s">
        <v>17</v>
      </c>
      <c r="M1484" s="35">
        <v>36488</v>
      </c>
      <c r="N1484" s="37">
        <f>(YEAR(TablaMadre[[#This Row],[ALTA]])-YEAR(M1484))</f>
        <v>24</v>
      </c>
      <c r="O1484" s="34" t="s">
        <v>18</v>
      </c>
      <c r="P1484" s="34" t="s">
        <v>19</v>
      </c>
      <c r="Q1484" s="34" t="s">
        <v>650</v>
      </c>
      <c r="R1484" s="58" t="s">
        <v>30</v>
      </c>
      <c r="S1484" s="34" t="s">
        <v>322</v>
      </c>
      <c r="T1484" s="34"/>
      <c r="U1484" s="34"/>
      <c r="V1484" s="34" t="s">
        <v>22</v>
      </c>
      <c r="W1484" s="34" t="s">
        <v>28</v>
      </c>
      <c r="X1484" s="34" t="s">
        <v>164</v>
      </c>
      <c r="Y1484" s="57">
        <v>45521</v>
      </c>
      <c r="Z1484" s="34">
        <f t="shared" si="70"/>
        <v>1</v>
      </c>
      <c r="AA1484" s="34"/>
      <c r="AB1484" s="34" t="s">
        <v>639</v>
      </c>
      <c r="AC1484" s="34">
        <v>10</v>
      </c>
      <c r="AD1484" s="34"/>
      <c r="AE1484" s="59" t="str">
        <f t="shared" si="71"/>
        <v>NO</v>
      </c>
      <c r="AF1484" s="38" t="e" cm="1">
        <f t="array" aca="1" ref="AF1484" ca="1">MIN(100, MAX(0, (IF(R1484="ESTUDIANTE", 31, 0)) + (IF(I1484&lt;=3, 30, IF(I1484&lt;=6, 20, 0))) +(IF(OR(E1484="413 - Control de Costes y Enlace Construcción", E1484="480 - Secretaría General del Consejo", E1484="132 - Civil y estructuras", E1484="136 - Mecánica", E1484="412 - Planificación", E1484="142 - Compras"), 25, 0)) +(IF(OR(S1484="GRADO ING. MECÁNICA", S1484="GRADO ING. ELÉCTRICA", S1484="GRADO DERECHO", S1484="GRADO ECONOMÍA", S1484="GRADO ING. TECNOLOGÍAS INDUSTRIALES"), 24, 0)) + (IF(AND(K1484&gt;=451, K1484&lt;=700), 23, 0)) + (IF(AND(AB1484&gt;=5, AB1484&lt;=8), 17, 0)) +(IF(_xludf.OR(_xludf.AND(AC1484&gt;=8, AC1484&lt;=10), _xludf.AND(AC1484&gt;=0, AC1484&lt;=5)), 16, 0)) + (IF(F1484="Madrid", 11, 0))))</f>
        <v>#NAME?</v>
      </c>
      <c r="AG1484" s="68"/>
      <c r="AH1484" s="71" t="s">
        <v>164</v>
      </c>
    </row>
    <row r="1485" spans="1:34" ht="14.4" x14ac:dyDescent="0.3">
      <c r="A1485" s="66" t="s">
        <v>2463</v>
      </c>
      <c r="B1485" s="66" t="s">
        <v>4580</v>
      </c>
      <c r="C1485" s="33">
        <v>1484</v>
      </c>
      <c r="D1485" s="33" t="s">
        <v>5394</v>
      </c>
      <c r="E1485" s="34" t="s">
        <v>5241</v>
      </c>
      <c r="F1485" s="34" t="s">
        <v>18</v>
      </c>
      <c r="G1485" s="57">
        <v>44977</v>
      </c>
      <c r="H1485" s="57">
        <v>45157</v>
      </c>
      <c r="I1485" s="34">
        <f t="shared" si="69"/>
        <v>5</v>
      </c>
      <c r="J1485" s="34">
        <v>35</v>
      </c>
      <c r="K1485" s="36">
        <v>825</v>
      </c>
      <c r="L1485" s="34" t="s">
        <v>29</v>
      </c>
      <c r="M1485" s="35">
        <v>35810</v>
      </c>
      <c r="N1485" s="37">
        <f>(YEAR(TablaMadre[[#This Row],[ALTA]])-YEAR(M1485))</f>
        <v>25</v>
      </c>
      <c r="O1485" s="34" t="s">
        <v>18</v>
      </c>
      <c r="P1485" s="34" t="s">
        <v>19</v>
      </c>
      <c r="Q1485" s="34" t="s">
        <v>626</v>
      </c>
      <c r="R1485" s="34" t="s">
        <v>21</v>
      </c>
      <c r="S1485" s="34" t="s">
        <v>322</v>
      </c>
      <c r="T1485" s="34"/>
      <c r="U1485" s="34"/>
      <c r="V1485" s="34" t="s">
        <v>40</v>
      </c>
      <c r="W1485" s="34" t="s">
        <v>28</v>
      </c>
      <c r="X1485" s="38" t="s">
        <v>173</v>
      </c>
      <c r="Y1485" s="62"/>
      <c r="Z1485" s="38" t="e">
        <f t="shared" si="70"/>
        <v>#NUM!</v>
      </c>
      <c r="AA1485" s="38"/>
      <c r="AB1485" s="34">
        <v>8</v>
      </c>
      <c r="AC1485" s="34">
        <v>9</v>
      </c>
      <c r="AD1485" s="38"/>
      <c r="AE1485" s="59" t="str">
        <f t="shared" si="71"/>
        <v>NO</v>
      </c>
      <c r="AF1485" s="38" t="e" cm="1">
        <f t="array" aca="1" ref="AF1485" ca="1">MIN(100, MAX(0, (IF(R1485="ESTUDIANTE", 31, 0)) + (IF(I1485&lt;=3, 30, IF(I1485&lt;=6, 20, 0))) +(IF(OR(E1485="413 - Control de Costes y Enlace Construcción", E1485="480 - Secretaría General del Consejo", E1485="132 - Civil y estructuras", E1485="136 - Mecánica", E1485="412 - Planificación", E1485="142 - Compras"), 25, 0)) +(IF(OR(S1485="GRADO ING. MECÁNICA", S1485="GRADO ING. ELÉCTRICA", S1485="GRADO DERECHO", S1485="GRADO ECONOMÍA", S1485="GRADO ING. TECNOLOGÍAS INDUSTRIALES"), 24, 0)) + (IF(AND(K1485&gt;=451, K1485&lt;=700), 23, 0)) + (IF(AND(AB1485&gt;=5, AB1485&lt;=8), 17, 0)) +(IF(_xludf.OR(_xludf.AND(AC1485&gt;=8, AC1485&lt;=10), _xludf.AND(AC1485&gt;=0, AC1485&lt;=5)), 16, 0)) + (IF(F1485="Madrid", 11, 0))))</f>
        <v>#NAME?</v>
      </c>
      <c r="AG1485" s="68"/>
      <c r="AH1485" s="71" t="s">
        <v>164</v>
      </c>
    </row>
    <row r="1486" spans="1:34" ht="14.4" x14ac:dyDescent="0.3">
      <c r="A1486" s="66" t="s">
        <v>2464</v>
      </c>
      <c r="B1486" s="66" t="s">
        <v>4581</v>
      </c>
      <c r="C1486" s="33">
        <v>1485</v>
      </c>
      <c r="D1486" s="33" t="s">
        <v>5403</v>
      </c>
      <c r="E1486" s="34" t="s">
        <v>5222</v>
      </c>
      <c r="F1486" s="34" t="s">
        <v>18</v>
      </c>
      <c r="G1486" s="57">
        <v>44977</v>
      </c>
      <c r="H1486" s="57">
        <v>45157</v>
      </c>
      <c r="I1486" s="34">
        <f t="shared" si="69"/>
        <v>5</v>
      </c>
      <c r="J1486" s="34">
        <v>35</v>
      </c>
      <c r="K1486" s="36">
        <v>825</v>
      </c>
      <c r="L1486" s="34" t="s">
        <v>29</v>
      </c>
      <c r="M1486" s="35">
        <v>35857</v>
      </c>
      <c r="N1486" s="37">
        <f>(YEAR(TablaMadre[[#This Row],[ALTA]])-YEAR(M1486))</f>
        <v>25</v>
      </c>
      <c r="O1486" s="34" t="s">
        <v>18</v>
      </c>
      <c r="P1486" s="34" t="s">
        <v>19</v>
      </c>
      <c r="Q1486" s="34" t="s">
        <v>549</v>
      </c>
      <c r="R1486" s="34" t="s">
        <v>21</v>
      </c>
      <c r="S1486" s="34" t="s">
        <v>297</v>
      </c>
      <c r="T1486" s="34"/>
      <c r="U1486" s="34"/>
      <c r="V1486" s="34" t="s">
        <v>158</v>
      </c>
      <c r="W1486" s="34" t="s">
        <v>28</v>
      </c>
      <c r="X1486" s="38" t="s">
        <v>173</v>
      </c>
      <c r="Y1486" s="62"/>
      <c r="Z1486" s="38" t="e">
        <f t="shared" si="70"/>
        <v>#NUM!</v>
      </c>
      <c r="AA1486" s="38"/>
      <c r="AB1486" s="34">
        <v>7</v>
      </c>
      <c r="AC1486" s="34">
        <v>10</v>
      </c>
      <c r="AD1486" s="38"/>
      <c r="AE1486" s="59" t="str">
        <f t="shared" si="71"/>
        <v>NO</v>
      </c>
      <c r="AF1486" s="38" t="e" cm="1">
        <f t="array" aca="1" ref="AF1486" ca="1">MIN(100, MAX(0, (IF(R1486="ESTUDIANTE", 31, 0)) + (IF(I1486&lt;=3, 30, IF(I1486&lt;=6, 20, 0))) +(IF(OR(E1486="413 - Control de Costes y Enlace Construcción", E1486="480 - Secretaría General del Consejo", E1486="132 - Civil y estructuras", E1486="136 - Mecánica", E1486="412 - Planificación", E1486="142 - Compras"), 25, 0)) +(IF(OR(S1486="GRADO ING. MECÁNICA", S1486="GRADO ING. ELÉCTRICA", S1486="GRADO DERECHO", S1486="GRADO ECONOMÍA", S1486="GRADO ING. TECNOLOGÍAS INDUSTRIALES"), 24, 0)) + (IF(AND(K1486&gt;=451, K1486&lt;=700), 23, 0)) + (IF(AND(AB1486&gt;=5, AB1486&lt;=8), 17, 0)) +(IF(_xludf.OR(_xludf.AND(AC1486&gt;=8, AC1486&lt;=10), _xludf.AND(AC1486&gt;=0, AC1486&lt;=5)), 16, 0)) + (IF(F1486="Madrid", 11, 0))))</f>
        <v>#NAME?</v>
      </c>
      <c r="AG1486" s="68"/>
      <c r="AH1486" s="71" t="s">
        <v>164</v>
      </c>
    </row>
    <row r="1487" spans="1:34" ht="14.4" x14ac:dyDescent="0.3">
      <c r="A1487" s="66" t="s">
        <v>2465</v>
      </c>
      <c r="B1487" s="66" t="s">
        <v>4582</v>
      </c>
      <c r="C1487" s="33">
        <v>1486</v>
      </c>
      <c r="D1487" s="33" t="s">
        <v>5404</v>
      </c>
      <c r="E1487" s="34" t="s">
        <v>5309</v>
      </c>
      <c r="F1487" s="34" t="s">
        <v>18</v>
      </c>
      <c r="G1487" s="57">
        <v>44977</v>
      </c>
      <c r="H1487" s="57">
        <v>45157</v>
      </c>
      <c r="I1487" s="34">
        <f t="shared" si="69"/>
        <v>5</v>
      </c>
      <c r="J1487" s="34">
        <v>35</v>
      </c>
      <c r="K1487" s="36">
        <v>800</v>
      </c>
      <c r="L1487" s="34" t="s">
        <v>29</v>
      </c>
      <c r="M1487" s="35">
        <v>35451</v>
      </c>
      <c r="N1487" s="37">
        <f>(YEAR(TablaMadre[[#This Row],[ALTA]])-YEAR(M1487))</f>
        <v>26</v>
      </c>
      <c r="O1487" s="34" t="s">
        <v>146</v>
      </c>
      <c r="P1487" s="34" t="s">
        <v>19</v>
      </c>
      <c r="Q1487" s="34" t="s">
        <v>657</v>
      </c>
      <c r="R1487" s="34" t="s">
        <v>21</v>
      </c>
      <c r="S1487" s="34" t="s">
        <v>929</v>
      </c>
      <c r="T1487" s="34"/>
      <c r="U1487" s="34"/>
      <c r="V1487" s="34" t="s">
        <v>56</v>
      </c>
      <c r="W1487" s="34" t="s">
        <v>28</v>
      </c>
      <c r="X1487" s="38" t="s">
        <v>164</v>
      </c>
      <c r="Y1487" s="62">
        <v>45875</v>
      </c>
      <c r="Z1487" s="38">
        <f t="shared" si="70"/>
        <v>1</v>
      </c>
      <c r="AA1487" s="38"/>
      <c r="AB1487" s="34">
        <v>8</v>
      </c>
      <c r="AC1487" s="34" t="s">
        <v>658</v>
      </c>
      <c r="AD1487" s="38"/>
      <c r="AE1487" s="59" t="str">
        <f t="shared" si="71"/>
        <v>SÍ</v>
      </c>
      <c r="AF1487" s="38" t="e" cm="1">
        <f t="array" aca="1" ref="AF1487" ca="1">MIN(100, MAX(0, (IF(R1487="ESTUDIANTE", 31, 0)) + (IF(I1487&lt;=3, 30, IF(I1487&lt;=6, 20, 0))) +(IF(OR(E1487="413 - Control de Costes y Enlace Construcción", E1487="480 - Secretaría General del Consejo", E1487="132 - Civil y estructuras", E1487="136 - Mecánica", E1487="412 - Planificación", E1487="142 - Compras"), 25, 0)) +(IF(OR(S1487="GRADO ING. MECÁNICA", S1487="GRADO ING. ELÉCTRICA", S1487="GRADO DERECHO", S1487="GRADO ECONOMÍA", S1487="GRADO ING. TECNOLOGÍAS INDUSTRIALES"), 24, 0)) + (IF(AND(K1487&gt;=451, K1487&lt;=700), 23, 0)) + (IF(AND(AB1487&gt;=5, AB1487&lt;=8), 17, 0)) +(IF(_xludf.OR(_xludf.AND(AC1487&gt;=8, AC1487&lt;=10), _xludf.AND(AC1487&gt;=0, AC1487&lt;=5)), 16, 0)) + (IF(F1487="Madrid", 11, 0))))</f>
        <v>#NAME?</v>
      </c>
      <c r="AG1487" s="68"/>
      <c r="AH1487" s="71" t="s">
        <v>164</v>
      </c>
    </row>
    <row r="1488" spans="1:34" ht="14.4" x14ac:dyDescent="0.3">
      <c r="A1488" s="66" t="s">
        <v>2396</v>
      </c>
      <c r="B1488" s="66" t="s">
        <v>4513</v>
      </c>
      <c r="C1488" s="33">
        <v>1487</v>
      </c>
      <c r="D1488" s="33" t="s">
        <v>5405</v>
      </c>
      <c r="E1488" s="34" t="s">
        <v>5345</v>
      </c>
      <c r="F1488" s="34" t="s">
        <v>18</v>
      </c>
      <c r="G1488" s="57">
        <v>44979</v>
      </c>
      <c r="H1488" s="57">
        <v>45282</v>
      </c>
      <c r="I1488" s="34">
        <f t="shared" si="69"/>
        <v>10</v>
      </c>
      <c r="J1488" s="34">
        <v>25</v>
      </c>
      <c r="K1488" s="36">
        <v>475</v>
      </c>
      <c r="L1488" s="34" t="s">
        <v>17</v>
      </c>
      <c r="M1488" s="35">
        <v>37015</v>
      </c>
      <c r="N1488" s="37">
        <f>(YEAR(TablaMadre[[#This Row],[ALTA]])-YEAR(M1488))</f>
        <v>22</v>
      </c>
      <c r="O1488" s="34" t="s">
        <v>118</v>
      </c>
      <c r="P1488" s="34" t="s">
        <v>19</v>
      </c>
      <c r="Q1488" s="34" t="s">
        <v>277</v>
      </c>
      <c r="R1488" s="58" t="s">
        <v>30</v>
      </c>
      <c r="S1488" s="34" t="s">
        <v>277</v>
      </c>
      <c r="T1488" s="34"/>
      <c r="U1488" s="34"/>
      <c r="V1488" s="34" t="s">
        <v>22</v>
      </c>
      <c r="W1488" s="34" t="s">
        <v>91</v>
      </c>
      <c r="X1488" s="38" t="s">
        <v>164</v>
      </c>
      <c r="Y1488" s="62"/>
      <c r="Z1488" s="38" t="e">
        <f t="shared" si="70"/>
        <v>#NUM!</v>
      </c>
      <c r="AA1488" s="38"/>
      <c r="AB1488" s="34">
        <v>10</v>
      </c>
      <c r="AC1488" s="34">
        <v>9</v>
      </c>
      <c r="AD1488" s="38"/>
      <c r="AE1488" s="59" t="str">
        <f t="shared" si="71"/>
        <v>SÍ</v>
      </c>
      <c r="AF1488" s="38" t="e" cm="1">
        <f t="array" aca="1" ref="AF1488" ca="1">MIN(100, MAX(0, (IF(R1488="ESTUDIANTE", 31, 0)) + (IF(I1488&lt;=3, 30, IF(I1488&lt;=6, 20, 0))) +(IF(OR(E1488="413 - Control de Costes y Enlace Construcción", E1488="480 - Secretaría General del Consejo", E1488="132 - Civil y estructuras", E1488="136 - Mecánica", E1488="412 - Planificación", E1488="142 - Compras"), 25, 0)) +(IF(OR(S1488="GRADO ING. MECÁNICA", S1488="GRADO ING. ELÉCTRICA", S1488="GRADO DERECHO", S1488="GRADO ECONOMÍA", S1488="GRADO ING. TECNOLOGÍAS INDUSTRIALES"), 24, 0)) + (IF(AND(K1488&gt;=451, K1488&lt;=700), 23, 0)) + (IF(AND(AB1488&gt;=5, AB1488&lt;=8), 17, 0)) +(IF(_xludf.OR(_xludf.AND(AC1488&gt;=8, AC1488&lt;=10), _xludf.AND(AC1488&gt;=0, AC1488&lt;=5)), 16, 0)) + (IF(F1488="Madrid", 11, 0))))</f>
        <v>#NAME?</v>
      </c>
      <c r="AG1488" s="68"/>
      <c r="AH1488" s="71" t="s">
        <v>164</v>
      </c>
    </row>
    <row r="1489" spans="1:34" s="4" customFormat="1" ht="14.4" x14ac:dyDescent="0.3">
      <c r="A1489" s="66" t="s">
        <v>2467</v>
      </c>
      <c r="B1489" s="66" t="s">
        <v>4584</v>
      </c>
      <c r="C1489" s="33">
        <v>1488</v>
      </c>
      <c r="D1489" s="33" t="s">
        <v>5396</v>
      </c>
      <c r="E1489" s="34" t="s">
        <v>5246</v>
      </c>
      <c r="F1489" s="34" t="s">
        <v>18</v>
      </c>
      <c r="G1489" s="57">
        <v>44980</v>
      </c>
      <c r="H1489" s="57">
        <v>45338</v>
      </c>
      <c r="I1489" s="34">
        <f t="shared" si="69"/>
        <v>11</v>
      </c>
      <c r="J1489" s="34">
        <v>35</v>
      </c>
      <c r="K1489" s="36">
        <v>700</v>
      </c>
      <c r="L1489" s="34" t="s">
        <v>17</v>
      </c>
      <c r="M1489" s="35">
        <v>36749</v>
      </c>
      <c r="N1489" s="37">
        <f>(YEAR(TablaMadre[[#This Row],[ALTA]])-YEAR(M1489))</f>
        <v>23</v>
      </c>
      <c r="O1489" s="34" t="s">
        <v>18</v>
      </c>
      <c r="P1489" s="34" t="s">
        <v>19</v>
      </c>
      <c r="Q1489" s="34" t="s">
        <v>574</v>
      </c>
      <c r="R1489" s="58" t="s">
        <v>30</v>
      </c>
      <c r="S1489" s="34" t="s">
        <v>277</v>
      </c>
      <c r="T1489" s="34"/>
      <c r="U1489" s="34"/>
      <c r="V1489" s="34" t="s">
        <v>22</v>
      </c>
      <c r="W1489" s="34" t="s">
        <v>127</v>
      </c>
      <c r="X1489" s="34" t="s">
        <v>173</v>
      </c>
      <c r="Y1489" s="57"/>
      <c r="Z1489" s="34" t="e">
        <f t="shared" si="70"/>
        <v>#NUM!</v>
      </c>
      <c r="AA1489" s="34"/>
      <c r="AB1489" s="34">
        <v>2</v>
      </c>
      <c r="AC1489" s="34">
        <v>6</v>
      </c>
      <c r="AD1489" s="34"/>
      <c r="AE1489" s="59" t="str">
        <f t="shared" si="71"/>
        <v>NO</v>
      </c>
      <c r="AF1489" s="34" t="e" cm="1">
        <f t="array" aca="1" ref="AF1489" ca="1">MIN(100, MAX(0, (IF(R1489="ESTUDIANTE", 31, 0)) + (IF(I1489&lt;=3, 30, IF(I1489&lt;=6, 20, 0))) +(IF(OR(E1489="413 - Control de Costes y Enlace Construcción", E1489="480 - Secretaría General del Consejo", E1489="132 - Civil y estructuras", E1489="136 - Mecánica", E1489="412 - Planificación", E1489="142 - Compras"), 25, 0)) +(IF(OR(S1489="GRADO ING. MECÁNICA", S1489="GRADO ING. ELÉCTRICA", S1489="GRADO DERECHO", S1489="GRADO ECONOMÍA", S1489="GRADO ING. TECNOLOGÍAS INDUSTRIALES"), 24, 0)) + (IF(AND(K1489&gt;=451, K1489&lt;=700), 23, 0)) + (IF(AND(AB1489&gt;=5, AB1489&lt;=8), 17, 0)) +(IF(_xludf.OR(_xludf.AND(AC1489&gt;=8, AC1489&lt;=10), _xludf.AND(AC1489&gt;=0, AC1489&lt;=5)), 16, 0)) + (IF(F1489="Madrid", 11, 0))))</f>
        <v>#NAME?</v>
      </c>
      <c r="AG1489" s="69"/>
      <c r="AH1489" s="71" t="s">
        <v>164</v>
      </c>
    </row>
    <row r="1490" spans="1:34" s="4" customFormat="1" ht="14.4" x14ac:dyDescent="0.3">
      <c r="A1490" s="66" t="s">
        <v>2397</v>
      </c>
      <c r="B1490" s="66" t="s">
        <v>4514</v>
      </c>
      <c r="C1490" s="33">
        <v>1490</v>
      </c>
      <c r="D1490" s="33" t="s">
        <v>5397</v>
      </c>
      <c r="E1490" s="34" t="s">
        <v>5235</v>
      </c>
      <c r="F1490" s="34" t="s">
        <v>95</v>
      </c>
      <c r="G1490" s="57">
        <v>44986</v>
      </c>
      <c r="H1490" s="57">
        <v>45291</v>
      </c>
      <c r="I1490" s="34">
        <f t="shared" si="69"/>
        <v>9</v>
      </c>
      <c r="J1490" s="34">
        <v>35</v>
      </c>
      <c r="K1490" s="36">
        <v>0</v>
      </c>
      <c r="L1490" s="34" t="s">
        <v>17</v>
      </c>
      <c r="M1490" s="35">
        <v>35464</v>
      </c>
      <c r="N1490" s="37">
        <f>(YEAR(TablaMadre[[#This Row],[ALTA]])-YEAR(M1490))</f>
        <v>26</v>
      </c>
      <c r="O1490" s="34" t="s">
        <v>211</v>
      </c>
      <c r="P1490" s="34" t="s">
        <v>19</v>
      </c>
      <c r="Q1490" s="34" t="s">
        <v>297</v>
      </c>
      <c r="R1490" s="34" t="s">
        <v>30</v>
      </c>
      <c r="S1490" s="34" t="s">
        <v>297</v>
      </c>
      <c r="T1490" s="34"/>
      <c r="U1490" s="34"/>
      <c r="V1490" s="34" t="s">
        <v>50</v>
      </c>
      <c r="W1490" s="34" t="s">
        <v>181</v>
      </c>
      <c r="X1490" s="38" t="s">
        <v>164</v>
      </c>
      <c r="Y1490" s="62"/>
      <c r="Z1490" s="38" t="e">
        <f t="shared" si="70"/>
        <v>#NUM!</v>
      </c>
      <c r="AA1490" s="38"/>
      <c r="AB1490" s="34" t="s">
        <v>680</v>
      </c>
      <c r="AC1490" s="34" t="s">
        <v>680</v>
      </c>
      <c r="AD1490" s="38"/>
      <c r="AE1490" s="59" t="str">
        <f t="shared" si="71"/>
        <v>SÍ</v>
      </c>
      <c r="AF1490" s="34" t="e" cm="1">
        <f t="array" aca="1" ref="AF1490" ca="1">MIN(100, MAX(0, (IF(R1490="ESTUDIANTE", 31, 0)) + (IF(I1490&lt;=3, 30, IF(I1490&lt;=6, 20, 0))) +(IF(OR(E1490="413 - Control de Costes y Enlace Construcción", E1490="480 - Secretaría General del Consejo", E1490="132 - Civil y estructuras", E1490="136 - Mecánica", E1490="412 - Planificación", E1490="142 - Compras"), 25, 0)) +(IF(OR(S1490="GRADO ING. MECÁNICA", S1490="GRADO ING. ELÉCTRICA", S1490="GRADO DERECHO", S1490="GRADO ECONOMÍA", S1490="GRADO ING. TECNOLOGÍAS INDUSTRIALES"), 24, 0)) + (IF(AND(K1490&gt;=451, K1490&lt;=700), 23, 0)) + (IF(AND(AB1490&gt;=5, AB1490&lt;=8), 17, 0)) +(IF(_xludf.OR(_xludf.AND(AC1490&gt;=8, AC1490&lt;=10), _xludf.AND(AC1490&gt;=0, AC1490&lt;=5)), 16, 0)) + (IF(F1490="Madrid", 11, 0))))</f>
        <v>#NAME?</v>
      </c>
      <c r="AG1490" s="69"/>
      <c r="AH1490" s="71" t="s">
        <v>164</v>
      </c>
    </row>
    <row r="1491" spans="1:34" ht="14.4" x14ac:dyDescent="0.3">
      <c r="A1491" s="66" t="s">
        <v>2470</v>
      </c>
      <c r="B1491" s="66" t="s">
        <v>4587</v>
      </c>
      <c r="C1491" s="33">
        <v>1491</v>
      </c>
      <c r="D1491" s="33" t="s">
        <v>5393</v>
      </c>
      <c r="E1491" s="34" t="s">
        <v>5246</v>
      </c>
      <c r="F1491" s="34" t="s">
        <v>18</v>
      </c>
      <c r="G1491" s="57">
        <v>44986</v>
      </c>
      <c r="H1491" s="57">
        <v>45350</v>
      </c>
      <c r="I1491" s="34">
        <f t="shared" si="69"/>
        <v>11</v>
      </c>
      <c r="J1491" s="34">
        <v>40</v>
      </c>
      <c r="K1491" s="36">
        <v>0</v>
      </c>
      <c r="L1491" s="34" t="s">
        <v>29</v>
      </c>
      <c r="M1491" s="35">
        <v>35451</v>
      </c>
      <c r="N1491" s="37">
        <f>(YEAR(TablaMadre[[#This Row],[ALTA]])-YEAR(M1491))</f>
        <v>26</v>
      </c>
      <c r="O1491" s="34" t="s">
        <v>233</v>
      </c>
      <c r="P1491" s="34" t="s">
        <v>19</v>
      </c>
      <c r="Q1491" s="34" t="s">
        <v>431</v>
      </c>
      <c r="R1491" s="34" t="s">
        <v>30</v>
      </c>
      <c r="S1491" s="34" t="s">
        <v>321</v>
      </c>
      <c r="T1491" s="34"/>
      <c r="U1491" s="34"/>
      <c r="V1491" s="34" t="s">
        <v>163</v>
      </c>
      <c r="W1491" s="34" t="s">
        <v>97</v>
      </c>
      <c r="X1491" s="34" t="s">
        <v>173</v>
      </c>
      <c r="Y1491" s="57"/>
      <c r="Z1491" s="34" t="e">
        <f t="shared" si="70"/>
        <v>#NUM!</v>
      </c>
      <c r="AA1491" s="34"/>
      <c r="AB1491" s="34">
        <v>9</v>
      </c>
      <c r="AC1491" s="34">
        <v>9</v>
      </c>
      <c r="AD1491" s="34"/>
      <c r="AE1491" s="59" t="str">
        <f t="shared" si="71"/>
        <v>SÍ</v>
      </c>
      <c r="AF1491" s="38" t="e" cm="1">
        <f t="array" aca="1" ref="AF1491" ca="1">MIN(100, MAX(0, (IF(R1491="ESTUDIANTE", 31, 0)) + (IF(I1491&lt;=3, 30, IF(I1491&lt;=6, 20, 0))) +(IF(OR(E1491="413 - Control de Costes y Enlace Construcción", E1491="480 - Secretaría General del Consejo", E1491="132 - Civil y estructuras", E1491="136 - Mecánica", E1491="412 - Planificación", E1491="142 - Compras"), 25, 0)) +(IF(OR(S1491="GRADO ING. MECÁNICA", S1491="GRADO ING. ELÉCTRICA", S1491="GRADO DERECHO", S1491="GRADO ECONOMÍA", S1491="GRADO ING. TECNOLOGÍAS INDUSTRIALES"), 24, 0)) + (IF(AND(K1491&gt;=451, K1491&lt;=700), 23, 0)) + (IF(AND(AB1491&gt;=5, AB1491&lt;=8), 17, 0)) +(IF(_xludf.OR(_xludf.AND(AC1491&gt;=8, AC1491&lt;=10), _xludf.AND(AC1491&gt;=0, AC1491&lt;=5)), 16, 0)) + (IF(F1491="Madrid", 11, 0))))</f>
        <v>#NAME?</v>
      </c>
      <c r="AG1491" s="68"/>
      <c r="AH1491" s="71" t="s">
        <v>164</v>
      </c>
    </row>
    <row r="1492" spans="1:34" s="4" customFormat="1" ht="14.4" x14ac:dyDescent="0.3">
      <c r="A1492" s="66" t="s">
        <v>2471</v>
      </c>
      <c r="B1492" s="66" t="s">
        <v>4588</v>
      </c>
      <c r="C1492" s="33">
        <v>1492</v>
      </c>
      <c r="D1492" s="33" t="s">
        <v>5394</v>
      </c>
      <c r="E1492" s="34" t="s">
        <v>5339</v>
      </c>
      <c r="F1492" s="34" t="s">
        <v>977</v>
      </c>
      <c r="G1492" s="57">
        <v>44986</v>
      </c>
      <c r="H1492" s="57">
        <v>45350</v>
      </c>
      <c r="I1492" s="34">
        <f t="shared" si="69"/>
        <v>11</v>
      </c>
      <c r="J1492" s="34">
        <v>40</v>
      </c>
      <c r="K1492" s="36">
        <v>0</v>
      </c>
      <c r="L1492" s="34" t="s">
        <v>29</v>
      </c>
      <c r="M1492" s="35">
        <v>36121</v>
      </c>
      <c r="N1492" s="37">
        <f>(YEAR(TablaMadre[[#This Row],[ALTA]])-YEAR(M1492))</f>
        <v>25</v>
      </c>
      <c r="O1492" s="34" t="s">
        <v>18</v>
      </c>
      <c r="P1492" s="34" t="s">
        <v>19</v>
      </c>
      <c r="Q1492" s="34" t="s">
        <v>692</v>
      </c>
      <c r="R1492" s="34" t="s">
        <v>30</v>
      </c>
      <c r="S1492" s="34" t="s">
        <v>297</v>
      </c>
      <c r="T1492" s="34"/>
      <c r="U1492" s="34"/>
      <c r="V1492" s="34" t="s">
        <v>56</v>
      </c>
      <c r="W1492" s="34" t="s">
        <v>97</v>
      </c>
      <c r="X1492" s="38" t="s">
        <v>173</v>
      </c>
      <c r="Y1492" s="62"/>
      <c r="Z1492" s="38" t="e">
        <f t="shared" si="70"/>
        <v>#NUM!</v>
      </c>
      <c r="AA1492" s="38"/>
      <c r="AB1492" s="34">
        <v>8</v>
      </c>
      <c r="AC1492" s="34">
        <v>9</v>
      </c>
      <c r="AD1492" s="38"/>
      <c r="AE1492" s="59" t="str">
        <f t="shared" si="71"/>
        <v>SÍ</v>
      </c>
      <c r="AF1492" s="34" t="e" cm="1">
        <f t="array" aca="1" ref="AF1492" ca="1">MIN(100, MAX(0, (IF(R1492="ESTUDIANTE", 31, 0)) + (IF(I1492&lt;=3, 30, IF(I1492&lt;=6, 20, 0))) +(IF(OR(E1492="413 - Control de Costes y Enlace Construcción", E1492="480 - Secretaría General del Consejo", E1492="132 - Civil y estructuras", E1492="136 - Mecánica", E1492="412 - Planificación", E1492="142 - Compras"), 25, 0)) +(IF(OR(S1492="GRADO ING. MECÁNICA", S1492="GRADO ING. ELÉCTRICA", S1492="GRADO DERECHO", S1492="GRADO ECONOMÍA", S1492="GRADO ING. TECNOLOGÍAS INDUSTRIALES"), 24, 0)) + (IF(AND(K1492&gt;=451, K1492&lt;=700), 23, 0)) + (IF(AND(AB1492&gt;=5, AB1492&lt;=8), 17, 0)) +(IF(_xludf.OR(_xludf.AND(AC1492&gt;=8, AC1492&lt;=10), _xludf.AND(AC1492&gt;=0, AC1492&lt;=5)), 16, 0)) + (IF(F1492="Madrid", 11, 0))))</f>
        <v>#NAME?</v>
      </c>
      <c r="AG1492" s="69"/>
      <c r="AH1492" s="71" t="s">
        <v>164</v>
      </c>
    </row>
    <row r="1493" spans="1:34" ht="14.4" x14ac:dyDescent="0.3">
      <c r="A1493" s="66" t="s">
        <v>2472</v>
      </c>
      <c r="B1493" s="66" t="s">
        <v>4589</v>
      </c>
      <c r="C1493" s="33">
        <v>1493</v>
      </c>
      <c r="D1493" s="33" t="s">
        <v>5395</v>
      </c>
      <c r="E1493" s="34" t="s">
        <v>5346</v>
      </c>
      <c r="F1493" s="34" t="s">
        <v>273</v>
      </c>
      <c r="G1493" s="57">
        <v>44986</v>
      </c>
      <c r="H1493" s="57">
        <v>45350</v>
      </c>
      <c r="I1493" s="34">
        <f t="shared" si="69"/>
        <v>11</v>
      </c>
      <c r="J1493" s="34">
        <v>40</v>
      </c>
      <c r="K1493" s="36">
        <v>0</v>
      </c>
      <c r="L1493" s="34" t="s">
        <v>17</v>
      </c>
      <c r="M1493" s="35">
        <v>35454</v>
      </c>
      <c r="N1493" s="37">
        <f>(YEAR(TablaMadre[[#This Row],[ALTA]])-YEAR(M1493))</f>
        <v>26</v>
      </c>
      <c r="O1493" s="34" t="s">
        <v>273</v>
      </c>
      <c r="P1493" s="34" t="s">
        <v>273</v>
      </c>
      <c r="Q1493" s="34" t="s">
        <v>297</v>
      </c>
      <c r="R1493" s="34" t="s">
        <v>30</v>
      </c>
      <c r="S1493" s="34" t="s">
        <v>297</v>
      </c>
      <c r="T1493" s="34"/>
      <c r="U1493" s="34"/>
      <c r="V1493" s="34" t="s">
        <v>40</v>
      </c>
      <c r="W1493" s="34" t="s">
        <v>97</v>
      </c>
      <c r="X1493" s="34" t="s">
        <v>173</v>
      </c>
      <c r="Y1493" s="57"/>
      <c r="Z1493" s="34" t="e">
        <f t="shared" si="70"/>
        <v>#NUM!</v>
      </c>
      <c r="AA1493" s="34"/>
      <c r="AB1493" s="34" t="s">
        <v>693</v>
      </c>
      <c r="AC1493" s="34">
        <v>7</v>
      </c>
      <c r="AD1493" s="34"/>
      <c r="AE1493" s="59" t="str">
        <f t="shared" si="71"/>
        <v>NO</v>
      </c>
      <c r="AF1493" s="38" t="e" cm="1">
        <f t="array" aca="1" ref="AF1493" ca="1">MIN(100, MAX(0, (IF(R1493="ESTUDIANTE", 31, 0)) + (IF(I1493&lt;=3, 30, IF(I1493&lt;=6, 20, 0))) +(IF(OR(E1493="413 - Control de Costes y Enlace Construcción", E1493="480 - Secretaría General del Consejo", E1493="132 - Civil y estructuras", E1493="136 - Mecánica", E1493="412 - Planificación", E1493="142 - Compras"), 25, 0)) +(IF(OR(S1493="GRADO ING. MECÁNICA", S1493="GRADO ING. ELÉCTRICA", S1493="GRADO DERECHO", S1493="GRADO ECONOMÍA", S1493="GRADO ING. TECNOLOGÍAS INDUSTRIALES"), 24, 0)) + (IF(AND(K1493&gt;=451, K1493&lt;=700), 23, 0)) + (IF(AND(AB1493&gt;=5, AB1493&lt;=8), 17, 0)) +(IF(_xludf.OR(_xludf.AND(AC1493&gt;=8, AC1493&lt;=10), _xludf.AND(AC1493&gt;=0, AC1493&lt;=5)), 16, 0)) + (IF(F1493="Madrid", 11, 0))))</f>
        <v>#NAME?</v>
      </c>
      <c r="AG1493" s="68"/>
      <c r="AH1493" s="71" t="s">
        <v>164</v>
      </c>
    </row>
    <row r="1494" spans="1:34" s="4" customFormat="1" ht="14.4" x14ac:dyDescent="0.3">
      <c r="A1494" s="66" t="s">
        <v>2474</v>
      </c>
      <c r="B1494" s="66" t="s">
        <v>4591</v>
      </c>
      <c r="C1494" s="33">
        <v>1495</v>
      </c>
      <c r="D1494" s="33" t="s">
        <v>5396</v>
      </c>
      <c r="E1494" s="34" t="s">
        <v>5248</v>
      </c>
      <c r="F1494" s="34" t="s">
        <v>95</v>
      </c>
      <c r="G1494" s="57">
        <v>44986</v>
      </c>
      <c r="H1494" s="57">
        <v>45382</v>
      </c>
      <c r="I1494" s="34">
        <f t="shared" si="69"/>
        <v>12</v>
      </c>
      <c r="J1494" s="34">
        <v>35</v>
      </c>
      <c r="K1494" s="36">
        <v>0</v>
      </c>
      <c r="L1494" s="34" t="s">
        <v>17</v>
      </c>
      <c r="M1494" s="35">
        <v>35514</v>
      </c>
      <c r="N1494" s="37">
        <f>(YEAR(TablaMadre[[#This Row],[ALTA]])-YEAR(M1494))</f>
        <v>26</v>
      </c>
      <c r="O1494" s="34" t="s">
        <v>558</v>
      </c>
      <c r="P1494" s="34" t="s">
        <v>19</v>
      </c>
      <c r="Q1494" s="34" t="s">
        <v>630</v>
      </c>
      <c r="R1494" s="34" t="s">
        <v>30</v>
      </c>
      <c r="S1494" s="34" t="s">
        <v>136</v>
      </c>
      <c r="T1494" s="34"/>
      <c r="U1494" s="34"/>
      <c r="V1494" s="34" t="s">
        <v>310</v>
      </c>
      <c r="W1494" s="34" t="s">
        <v>97</v>
      </c>
      <c r="X1494" s="34" t="s">
        <v>173</v>
      </c>
      <c r="Y1494" s="57"/>
      <c r="Z1494" s="34" t="e">
        <f t="shared" si="70"/>
        <v>#NUM!</v>
      </c>
      <c r="AA1494" s="34"/>
      <c r="AB1494" s="34" t="s">
        <v>693</v>
      </c>
      <c r="AC1494" s="34">
        <v>7</v>
      </c>
      <c r="AD1494" s="34"/>
      <c r="AE1494" s="59" t="str">
        <f t="shared" si="71"/>
        <v>SÍ</v>
      </c>
      <c r="AF1494" s="34" t="e" cm="1">
        <f t="array" aca="1" ref="AF1494" ca="1">MIN(100, MAX(0, (IF(R1494="ESTUDIANTE", 31, 0)) + (IF(I1494&lt;=3, 30, IF(I1494&lt;=6, 20, 0))) +(IF(OR(E1494="413 - Control de Costes y Enlace Construcción", E1494="480 - Secretaría General del Consejo", E1494="132 - Civil y estructuras", E1494="136 - Mecánica", E1494="412 - Planificación", E1494="142 - Compras"), 25, 0)) +(IF(OR(S1494="GRADO ING. MECÁNICA", S1494="GRADO ING. ELÉCTRICA", S1494="GRADO DERECHO", S1494="GRADO ECONOMÍA", S1494="GRADO ING. TECNOLOGÍAS INDUSTRIALES"), 24, 0)) + (IF(AND(K1494&gt;=451, K1494&lt;=700), 23, 0)) + (IF(AND(AB1494&gt;=5, AB1494&lt;=8), 17, 0)) +(IF(_xludf.OR(_xludf.AND(AC1494&gt;=8, AC1494&lt;=10), _xludf.AND(AC1494&gt;=0, AC1494&lt;=5)), 16, 0)) + (IF(F1494="Madrid", 11, 0))))</f>
        <v>#NAME?</v>
      </c>
      <c r="AG1494" s="69"/>
      <c r="AH1494" s="71" t="s">
        <v>164</v>
      </c>
    </row>
    <row r="1495" spans="1:34" ht="14.4" x14ac:dyDescent="0.3">
      <c r="A1495" s="66" t="s">
        <v>2475</v>
      </c>
      <c r="B1495" s="66" t="s">
        <v>4592</v>
      </c>
      <c r="C1495" s="33">
        <v>1496</v>
      </c>
      <c r="D1495" s="33" t="s">
        <v>5397</v>
      </c>
      <c r="E1495" s="34" t="s">
        <v>5273</v>
      </c>
      <c r="F1495" s="34" t="s">
        <v>95</v>
      </c>
      <c r="G1495" s="57">
        <v>44986</v>
      </c>
      <c r="H1495" s="57">
        <v>45382</v>
      </c>
      <c r="I1495" s="34">
        <f t="shared" si="69"/>
        <v>12</v>
      </c>
      <c r="J1495" s="34">
        <v>35</v>
      </c>
      <c r="K1495" s="36">
        <v>0</v>
      </c>
      <c r="L1495" s="34" t="s">
        <v>17</v>
      </c>
      <c r="M1495" s="35">
        <v>35278</v>
      </c>
      <c r="N1495" s="37">
        <f>(YEAR(TablaMadre[[#This Row],[ALTA]])-YEAR(M1495))</f>
        <v>27</v>
      </c>
      <c r="O1495" s="34" t="s">
        <v>959</v>
      </c>
      <c r="P1495" s="34" t="s">
        <v>19</v>
      </c>
      <c r="Q1495" s="34" t="s">
        <v>705</v>
      </c>
      <c r="R1495" s="34" t="s">
        <v>30</v>
      </c>
      <c r="S1495" s="34" t="s">
        <v>322</v>
      </c>
      <c r="T1495" s="34"/>
      <c r="U1495" s="34"/>
      <c r="V1495" s="34" t="s">
        <v>163</v>
      </c>
      <c r="W1495" s="34" t="s">
        <v>97</v>
      </c>
      <c r="X1495" s="34" t="s">
        <v>164</v>
      </c>
      <c r="Y1495" s="57">
        <v>45595</v>
      </c>
      <c r="Z1495" s="34">
        <f t="shared" si="70"/>
        <v>0</v>
      </c>
      <c r="AA1495" s="34"/>
      <c r="AB1495" s="34" t="s">
        <v>693</v>
      </c>
      <c r="AC1495" s="34">
        <v>10</v>
      </c>
      <c r="AD1495" s="34"/>
      <c r="AE1495" s="59" t="str">
        <f t="shared" si="71"/>
        <v>SÍ</v>
      </c>
      <c r="AF1495" s="38" t="e" cm="1">
        <f t="array" aca="1" ref="AF1495" ca="1">MIN(100, MAX(0, (IF(R1495="ESTUDIANTE", 31, 0)) + (IF(I1495&lt;=3, 30, IF(I1495&lt;=6, 20, 0))) +(IF(OR(E1495="413 - Control de Costes y Enlace Construcción", E1495="480 - Secretaría General del Consejo", E1495="132 - Civil y estructuras", E1495="136 - Mecánica", E1495="412 - Planificación", E1495="142 - Compras"), 25, 0)) +(IF(OR(S1495="GRADO ING. MECÁNICA", S1495="GRADO ING. ELÉCTRICA", S1495="GRADO DERECHO", S1495="GRADO ECONOMÍA", S1495="GRADO ING. TECNOLOGÍAS INDUSTRIALES"), 24, 0)) + (IF(AND(K1495&gt;=451, K1495&lt;=700), 23, 0)) + (IF(AND(AB1495&gt;=5, AB1495&lt;=8), 17, 0)) +(IF(_xludf.OR(_xludf.AND(AC1495&gt;=8, AC1495&lt;=10), _xludf.AND(AC1495&gt;=0, AC1495&lt;=5)), 16, 0)) + (IF(F1495="Madrid", 11, 0))))</f>
        <v>#NAME?</v>
      </c>
      <c r="AG1495" s="68"/>
      <c r="AH1495" s="71" t="s">
        <v>164</v>
      </c>
    </row>
    <row r="1496" spans="1:34" s="4" customFormat="1" ht="14.4" x14ac:dyDescent="0.3">
      <c r="A1496" s="66" t="s">
        <v>2975</v>
      </c>
      <c r="B1496" s="66" t="s">
        <v>5092</v>
      </c>
      <c r="C1496" s="33">
        <v>1489</v>
      </c>
      <c r="D1496" s="33" t="s">
        <v>5398</v>
      </c>
      <c r="E1496" s="34" t="s">
        <v>5241</v>
      </c>
      <c r="F1496" s="34" t="s">
        <v>18</v>
      </c>
      <c r="G1496" s="57">
        <v>44986</v>
      </c>
      <c r="H1496" s="57">
        <v>45284</v>
      </c>
      <c r="I1496" s="34">
        <f t="shared" si="69"/>
        <v>9</v>
      </c>
      <c r="J1496" s="34">
        <v>40</v>
      </c>
      <c r="K1496" s="36">
        <v>0</v>
      </c>
      <c r="L1496" s="34" t="s">
        <v>17</v>
      </c>
      <c r="M1496" s="35">
        <v>35796</v>
      </c>
      <c r="N1496" s="37">
        <f>(YEAR(TablaMadre[[#This Row],[ALTA]])-YEAR(M1496))</f>
        <v>25</v>
      </c>
      <c r="O1496" s="34" t="s">
        <v>944</v>
      </c>
      <c r="P1496" s="34" t="s">
        <v>19</v>
      </c>
      <c r="Q1496" s="34" t="s">
        <v>428</v>
      </c>
      <c r="R1496" s="34" t="s">
        <v>30</v>
      </c>
      <c r="S1496" s="34" t="s">
        <v>297</v>
      </c>
      <c r="T1496" s="34"/>
      <c r="U1496" s="34"/>
      <c r="V1496" s="34" t="s">
        <v>679</v>
      </c>
      <c r="W1496" s="34" t="s">
        <v>47</v>
      </c>
      <c r="X1496" s="34" t="s">
        <v>164</v>
      </c>
      <c r="Y1496" s="57"/>
      <c r="Z1496" s="34" t="e">
        <f t="shared" si="70"/>
        <v>#NUM!</v>
      </c>
      <c r="AA1496" s="34"/>
      <c r="AB1496" s="34">
        <v>6</v>
      </c>
      <c r="AC1496" s="34">
        <v>10</v>
      </c>
      <c r="AD1496" s="34"/>
      <c r="AE1496" s="59" t="str">
        <f t="shared" si="71"/>
        <v>SÍ</v>
      </c>
      <c r="AF1496" s="34" t="e" cm="1">
        <f t="array" aca="1" ref="AF1496" ca="1">MIN(100, MAX(0, (IF(R1496="ESTUDIANTE", 31, 0)) + (IF(I1496&lt;=3, 30, IF(I1496&lt;=6, 20, 0))) +(IF(OR(E1496="413 - Control de Costes y Enlace Construcción", E1496="480 - Secretaría General del Consejo", E1496="132 - Civil y estructuras", E1496="136 - Mecánica", E1496="412 - Planificación", E1496="142 - Compras"), 25, 0)) +(IF(OR(S1496="GRADO ING. MECÁNICA", S1496="GRADO ING. ELÉCTRICA", S1496="GRADO DERECHO", S1496="GRADO ECONOMÍA", S1496="GRADO ING. TECNOLOGÍAS INDUSTRIALES"), 24, 0)) + (IF(AND(K1496&gt;=451, K1496&lt;=700), 23, 0)) + (IF(AND(AB1496&gt;=5, AB1496&lt;=8), 17, 0)) +(IF(_xludf.OR(_xludf.AND(AC1496&gt;=8, AC1496&lt;=10), _xludf.AND(AC1496&gt;=0, AC1496&lt;=5)), 16, 0)) + (IF(F1496="Madrid", 11, 0))))</f>
        <v>#NAME?</v>
      </c>
      <c r="AG1496" s="69"/>
      <c r="AH1496" s="71" t="s">
        <v>164</v>
      </c>
    </row>
    <row r="1497" spans="1:34" s="4" customFormat="1" ht="14.4" x14ac:dyDescent="0.3">
      <c r="A1497" s="66" t="s">
        <v>2976</v>
      </c>
      <c r="B1497" s="66" t="s">
        <v>5093</v>
      </c>
      <c r="C1497" s="33">
        <v>1494</v>
      </c>
      <c r="D1497" s="33" t="s">
        <v>5399</v>
      </c>
      <c r="E1497" s="34" t="s">
        <v>5347</v>
      </c>
      <c r="F1497" s="34" t="s">
        <v>18</v>
      </c>
      <c r="G1497" s="57">
        <v>44986</v>
      </c>
      <c r="H1497" s="57">
        <v>45350</v>
      </c>
      <c r="I1497" s="34">
        <f t="shared" si="69"/>
        <v>11</v>
      </c>
      <c r="J1497" s="34">
        <v>40</v>
      </c>
      <c r="K1497" s="36">
        <v>0</v>
      </c>
      <c r="L1497" s="34" t="s">
        <v>17</v>
      </c>
      <c r="M1497" s="35">
        <v>35530</v>
      </c>
      <c r="N1497" s="37">
        <f>(YEAR(TablaMadre[[#This Row],[ALTA]])-YEAR(M1497))</f>
        <v>26</v>
      </c>
      <c r="O1497" s="34" t="s">
        <v>247</v>
      </c>
      <c r="P1497" s="34" t="s">
        <v>19</v>
      </c>
      <c r="Q1497" s="34" t="s">
        <v>368</v>
      </c>
      <c r="R1497" s="34" t="s">
        <v>30</v>
      </c>
      <c r="S1497" s="34" t="s">
        <v>690</v>
      </c>
      <c r="T1497" s="34"/>
      <c r="U1497" s="34"/>
      <c r="V1497" s="34" t="s">
        <v>163</v>
      </c>
      <c r="W1497" s="34" t="s">
        <v>23</v>
      </c>
      <c r="X1497" s="38" t="s">
        <v>164</v>
      </c>
      <c r="Y1497" s="62"/>
      <c r="Z1497" s="38" t="e">
        <f t="shared" si="70"/>
        <v>#NUM!</v>
      </c>
      <c r="AA1497" s="38"/>
      <c r="AB1497" s="34" t="s">
        <v>694</v>
      </c>
      <c r="AC1497" s="34">
        <v>8</v>
      </c>
      <c r="AD1497" s="38"/>
      <c r="AE1497" s="59" t="str">
        <f t="shared" si="71"/>
        <v>SÍ</v>
      </c>
      <c r="AF1497" s="34" t="e" cm="1">
        <f t="array" aca="1" ref="AF1497" ca="1">MIN(100, MAX(0, (IF(R1497="ESTUDIANTE", 31, 0)) + (IF(I1497&lt;=3, 30, IF(I1497&lt;=6, 20, 0))) +(IF(OR(E1497="413 - Control de Costes y Enlace Construcción", E1497="480 - Secretaría General del Consejo", E1497="132 - Civil y estructuras", E1497="136 - Mecánica", E1497="412 - Planificación", E1497="142 - Compras"), 25, 0)) +(IF(OR(S1497="GRADO ING. MECÁNICA", S1497="GRADO ING. ELÉCTRICA", S1497="GRADO DERECHO", S1497="GRADO ECONOMÍA", S1497="GRADO ING. TECNOLOGÍAS INDUSTRIALES"), 24, 0)) + (IF(AND(K1497&gt;=451, K1497&lt;=700), 23, 0)) + (IF(AND(AB1497&gt;=5, AB1497&lt;=8), 17, 0)) +(IF(_xludf.OR(_xludf.AND(AC1497&gt;=8, AC1497&lt;=10), _xludf.AND(AC1497&gt;=0, AC1497&lt;=5)), 16, 0)) + (IF(F1497="Madrid", 11, 0))))</f>
        <v>#NAME?</v>
      </c>
      <c r="AG1497" s="69"/>
      <c r="AH1497" s="71" t="s">
        <v>164</v>
      </c>
    </row>
    <row r="1498" spans="1:34" s="4" customFormat="1" ht="14.4" x14ac:dyDescent="0.3">
      <c r="A1498" s="66" t="s">
        <v>2398</v>
      </c>
      <c r="B1498" s="66" t="s">
        <v>4515</v>
      </c>
      <c r="C1498" s="33">
        <v>1497</v>
      </c>
      <c r="D1498" s="33" t="s">
        <v>5400</v>
      </c>
      <c r="E1498" s="34" t="s">
        <v>5335</v>
      </c>
      <c r="F1498" s="34" t="s">
        <v>18</v>
      </c>
      <c r="G1498" s="57">
        <v>44991</v>
      </c>
      <c r="H1498" s="57">
        <v>45051</v>
      </c>
      <c r="I1498" s="34">
        <f t="shared" si="69"/>
        <v>1</v>
      </c>
      <c r="J1498" s="34">
        <v>35</v>
      </c>
      <c r="K1498" s="36">
        <v>825</v>
      </c>
      <c r="L1498" s="34" t="s">
        <v>17</v>
      </c>
      <c r="M1498" s="35">
        <v>35905</v>
      </c>
      <c r="N1498" s="37">
        <f>(YEAR(TablaMadre[[#This Row],[ALTA]])-YEAR(M1498))</f>
        <v>25</v>
      </c>
      <c r="O1498" s="34" t="s">
        <v>176</v>
      </c>
      <c r="P1498" s="34" t="s">
        <v>19</v>
      </c>
      <c r="Q1498" s="34" t="s">
        <v>215</v>
      </c>
      <c r="R1498" s="34" t="s">
        <v>21</v>
      </c>
      <c r="S1498" s="34" t="s">
        <v>322</v>
      </c>
      <c r="T1498" s="34"/>
      <c r="U1498" s="34"/>
      <c r="V1498" s="34" t="s">
        <v>22</v>
      </c>
      <c r="W1498" s="34" t="s">
        <v>181</v>
      </c>
      <c r="X1498" s="34" t="s">
        <v>164</v>
      </c>
      <c r="Y1498" s="57"/>
      <c r="Z1498" s="34" t="e">
        <f t="shared" si="70"/>
        <v>#NUM!</v>
      </c>
      <c r="AA1498" s="34"/>
      <c r="AB1498" s="34"/>
      <c r="AC1498" s="34"/>
      <c r="AD1498" s="34"/>
      <c r="AE1498" s="59" t="str">
        <f t="shared" si="71"/>
        <v>SÍ</v>
      </c>
      <c r="AF1498" s="34" t="e" cm="1">
        <f t="array" aca="1" ref="AF1498" ca="1">MIN(100, MAX(0, (IF(R1498="ESTUDIANTE", 31, 0)) + (IF(I1498&lt;=3, 30, IF(I1498&lt;=6, 20, 0))) +(IF(OR(E1498="413 - Control de Costes y Enlace Construcción", E1498="480 - Secretaría General del Consejo", E1498="132 - Civil y estructuras", E1498="136 - Mecánica", E1498="412 - Planificación", E1498="142 - Compras"), 25, 0)) +(IF(OR(S1498="GRADO ING. MECÁNICA", S1498="GRADO ING. ELÉCTRICA", S1498="GRADO DERECHO", S1498="GRADO ECONOMÍA", S1498="GRADO ING. TECNOLOGÍAS INDUSTRIALES"), 24, 0)) + (IF(AND(K1498&gt;=451, K1498&lt;=700), 23, 0)) + (IF(AND(AB1498&gt;=5, AB1498&lt;=8), 17, 0)) +(IF(_xludf.OR(_xludf.AND(AC1498&gt;=8, AC1498&lt;=10), _xludf.AND(AC1498&gt;=0, AC1498&lt;=5)), 16, 0)) + (IF(F1498="Madrid", 11, 0))))</f>
        <v>#NAME?</v>
      </c>
      <c r="AG1498" s="69"/>
      <c r="AH1498" s="71" t="s">
        <v>164</v>
      </c>
    </row>
    <row r="1499" spans="1:34" ht="14.4" x14ac:dyDescent="0.3">
      <c r="A1499" s="66" t="s">
        <v>2477</v>
      </c>
      <c r="B1499" s="66" t="s">
        <v>4594</v>
      </c>
      <c r="C1499" s="33">
        <v>1498</v>
      </c>
      <c r="D1499" s="33" t="s">
        <v>5401</v>
      </c>
      <c r="E1499" s="34" t="s">
        <v>5219</v>
      </c>
      <c r="F1499" s="34" t="s">
        <v>18</v>
      </c>
      <c r="G1499" s="57">
        <v>44991</v>
      </c>
      <c r="H1499" s="57">
        <v>45121</v>
      </c>
      <c r="I1499" s="34">
        <f t="shared" si="69"/>
        <v>4</v>
      </c>
      <c r="J1499" s="34">
        <v>35</v>
      </c>
      <c r="K1499" s="36">
        <v>825</v>
      </c>
      <c r="L1499" s="34" t="s">
        <v>17</v>
      </c>
      <c r="M1499" s="35">
        <v>34387</v>
      </c>
      <c r="N1499" s="37">
        <f>(YEAR(TablaMadre[[#This Row],[ALTA]])-YEAR(M1499))</f>
        <v>29</v>
      </c>
      <c r="O1499" s="34" t="s">
        <v>18</v>
      </c>
      <c r="P1499" s="34" t="s">
        <v>19</v>
      </c>
      <c r="Q1499" s="34" t="s">
        <v>645</v>
      </c>
      <c r="R1499" s="34" t="s">
        <v>21</v>
      </c>
      <c r="S1499" s="34" t="s">
        <v>307</v>
      </c>
      <c r="T1499" s="34"/>
      <c r="U1499" s="34"/>
      <c r="V1499" s="34" t="s">
        <v>22</v>
      </c>
      <c r="W1499" s="34" t="s">
        <v>28</v>
      </c>
      <c r="X1499" s="38" t="s">
        <v>173</v>
      </c>
      <c r="Y1499" s="62"/>
      <c r="Z1499" s="38" t="e">
        <f t="shared" si="70"/>
        <v>#NUM!</v>
      </c>
      <c r="AA1499" s="38"/>
      <c r="AB1499" s="34"/>
      <c r="AC1499" s="34">
        <v>7</v>
      </c>
      <c r="AD1499" s="38"/>
      <c r="AE1499" s="59" t="str">
        <f t="shared" si="71"/>
        <v>NO</v>
      </c>
      <c r="AF1499" s="38" t="e" cm="1">
        <f t="array" aca="1" ref="AF1499" ca="1">MIN(100, MAX(0, (IF(R1499="ESTUDIANTE", 31, 0)) + (IF(I1499&lt;=3, 30, IF(I1499&lt;=6, 20, 0))) +(IF(OR(E1499="413 - Control de Costes y Enlace Construcción", E1499="480 - Secretaría General del Consejo", E1499="132 - Civil y estructuras", E1499="136 - Mecánica", E1499="412 - Planificación", E1499="142 - Compras"), 25, 0)) +(IF(OR(S1499="GRADO ING. MECÁNICA", S1499="GRADO ING. ELÉCTRICA", S1499="GRADO DERECHO", S1499="GRADO ECONOMÍA", S1499="GRADO ING. TECNOLOGÍAS INDUSTRIALES"), 24, 0)) + (IF(AND(K1499&gt;=451, K1499&lt;=700), 23, 0)) + (IF(AND(AB1499&gt;=5, AB1499&lt;=8), 17, 0)) +(IF(_xludf.OR(_xludf.AND(AC1499&gt;=8, AC1499&lt;=10), _xludf.AND(AC1499&gt;=0, AC1499&lt;=5)), 16, 0)) + (IF(F1499="Madrid", 11, 0))))</f>
        <v>#NAME?</v>
      </c>
      <c r="AG1499" s="68"/>
      <c r="AH1499" s="71" t="s">
        <v>164</v>
      </c>
    </row>
    <row r="1500" spans="1:34" s="4" customFormat="1" ht="14.4" x14ac:dyDescent="0.3">
      <c r="A1500" s="66" t="s">
        <v>2478</v>
      </c>
      <c r="B1500" s="66" t="s">
        <v>4595</v>
      </c>
      <c r="C1500" s="33">
        <v>1499</v>
      </c>
      <c r="D1500" s="33" t="s">
        <v>5402</v>
      </c>
      <c r="E1500" s="34" t="s">
        <v>5297</v>
      </c>
      <c r="F1500" s="34" t="s">
        <v>18</v>
      </c>
      <c r="G1500" s="57">
        <v>44991</v>
      </c>
      <c r="H1500" s="57">
        <v>45174</v>
      </c>
      <c r="I1500" s="34">
        <f t="shared" si="69"/>
        <v>5</v>
      </c>
      <c r="J1500" s="34">
        <v>35</v>
      </c>
      <c r="K1500" s="36">
        <v>650</v>
      </c>
      <c r="L1500" s="34" t="s">
        <v>17</v>
      </c>
      <c r="M1500" s="35">
        <v>35161</v>
      </c>
      <c r="N1500" s="37">
        <f>(YEAR(TablaMadre[[#This Row],[ALTA]])-YEAR(M1500))</f>
        <v>27</v>
      </c>
      <c r="O1500" s="34" t="s">
        <v>255</v>
      </c>
      <c r="P1500" s="34" t="s">
        <v>19</v>
      </c>
      <c r="Q1500" s="34" t="s">
        <v>662</v>
      </c>
      <c r="R1500" s="58" t="s">
        <v>30</v>
      </c>
      <c r="S1500" s="34" t="s">
        <v>280</v>
      </c>
      <c r="T1500" s="34"/>
      <c r="U1500" s="34"/>
      <c r="V1500" s="34" t="s">
        <v>50</v>
      </c>
      <c r="W1500" s="34" t="s">
        <v>28</v>
      </c>
      <c r="X1500" s="34" t="s">
        <v>173</v>
      </c>
      <c r="Y1500" s="57"/>
      <c r="Z1500" s="34" t="e">
        <f t="shared" si="70"/>
        <v>#NUM!</v>
      </c>
      <c r="AA1500" s="34"/>
      <c r="AB1500" s="34">
        <v>9</v>
      </c>
      <c r="AC1500" s="34"/>
      <c r="AD1500" s="34"/>
      <c r="AE1500" s="59" t="str">
        <f t="shared" si="71"/>
        <v>SÍ</v>
      </c>
      <c r="AF1500" s="34" t="e" cm="1">
        <f t="array" aca="1" ref="AF1500" ca="1">MIN(100, MAX(0, (IF(R1500="ESTUDIANTE", 31, 0)) + (IF(I1500&lt;=3, 30, IF(I1500&lt;=6, 20, 0))) +(IF(OR(E1500="413 - Control de Costes y Enlace Construcción", E1500="480 - Secretaría General del Consejo", E1500="132 - Civil y estructuras", E1500="136 - Mecánica", E1500="412 - Planificación", E1500="142 - Compras"), 25, 0)) +(IF(OR(S1500="GRADO ING. MECÁNICA", S1500="GRADO ING. ELÉCTRICA", S1500="GRADO DERECHO", S1500="GRADO ECONOMÍA", S1500="GRADO ING. TECNOLOGÍAS INDUSTRIALES"), 24, 0)) + (IF(AND(K1500&gt;=451, K1500&lt;=700), 23, 0)) + (IF(AND(AB1500&gt;=5, AB1500&lt;=8), 17, 0)) +(IF(_xludf.OR(_xludf.AND(AC1500&gt;=8, AC1500&lt;=10), _xludf.AND(AC1500&gt;=0, AC1500&lt;=5)), 16, 0)) + (IF(F1500="Madrid", 11, 0))))</f>
        <v>#NAME?</v>
      </c>
      <c r="AG1500" s="69"/>
      <c r="AH1500" s="71" t="s">
        <v>164</v>
      </c>
    </row>
    <row r="1501" spans="1:34" ht="14.4" x14ac:dyDescent="0.3">
      <c r="A1501" s="66" t="s">
        <v>2479</v>
      </c>
      <c r="B1501" s="66" t="s">
        <v>4596</v>
      </c>
      <c r="C1501" s="33">
        <v>1500</v>
      </c>
      <c r="D1501" s="33" t="s">
        <v>5393</v>
      </c>
      <c r="E1501" s="34" t="s">
        <v>5236</v>
      </c>
      <c r="F1501" s="34" t="s">
        <v>18</v>
      </c>
      <c r="G1501" s="57">
        <v>44991</v>
      </c>
      <c r="H1501" s="57">
        <v>45174</v>
      </c>
      <c r="I1501" s="34">
        <f t="shared" si="69"/>
        <v>5</v>
      </c>
      <c r="J1501" s="34">
        <v>35</v>
      </c>
      <c r="K1501" s="36">
        <v>900</v>
      </c>
      <c r="L1501" s="34" t="s">
        <v>17</v>
      </c>
      <c r="M1501" s="35">
        <v>36453</v>
      </c>
      <c r="N1501" s="37">
        <f>(YEAR(TablaMadre[[#This Row],[ALTA]])-YEAR(M1501))</f>
        <v>24</v>
      </c>
      <c r="O1501" s="34" t="s">
        <v>663</v>
      </c>
      <c r="P1501" s="34" t="s">
        <v>663</v>
      </c>
      <c r="Q1501" s="34" t="s">
        <v>664</v>
      </c>
      <c r="R1501" s="34" t="s">
        <v>21</v>
      </c>
      <c r="S1501" s="34" t="s">
        <v>389</v>
      </c>
      <c r="T1501" s="34"/>
      <c r="U1501" s="34"/>
      <c r="V1501" s="34" t="s">
        <v>193</v>
      </c>
      <c r="W1501" s="34" t="s">
        <v>28</v>
      </c>
      <c r="X1501" s="38" t="s">
        <v>173</v>
      </c>
      <c r="Y1501" s="62"/>
      <c r="Z1501" s="38" t="e">
        <f t="shared" si="70"/>
        <v>#NUM!</v>
      </c>
      <c r="AA1501" s="38"/>
      <c r="AB1501" s="34">
        <v>9</v>
      </c>
      <c r="AC1501" s="34">
        <v>7</v>
      </c>
      <c r="AD1501" s="38"/>
      <c r="AE1501" s="59" t="str">
        <f t="shared" si="71"/>
        <v>SÍ</v>
      </c>
      <c r="AF1501" s="38" t="e" cm="1">
        <f t="array" aca="1" ref="AF1501" ca="1">MIN(100, MAX(0, (IF(R1501="ESTUDIANTE", 31, 0)) + (IF(I1501&lt;=3, 30, IF(I1501&lt;=6, 20, 0))) +(IF(OR(E1501="413 - Control de Costes y Enlace Construcción", E1501="480 - Secretaría General del Consejo", E1501="132 - Civil y estructuras", E1501="136 - Mecánica", E1501="412 - Planificación", E1501="142 - Compras"), 25, 0)) +(IF(OR(S1501="GRADO ING. MECÁNICA", S1501="GRADO ING. ELÉCTRICA", S1501="GRADO DERECHO", S1501="GRADO ECONOMÍA", S1501="GRADO ING. TECNOLOGÍAS INDUSTRIALES"), 24, 0)) + (IF(AND(K1501&gt;=451, K1501&lt;=700), 23, 0)) + (IF(AND(AB1501&gt;=5, AB1501&lt;=8), 17, 0)) +(IF(_xludf.OR(_xludf.AND(AC1501&gt;=8, AC1501&lt;=10), _xludf.AND(AC1501&gt;=0, AC1501&lt;=5)), 16, 0)) + (IF(F1501="Madrid", 11, 0))))</f>
        <v>#NAME?</v>
      </c>
      <c r="AG1501" s="68"/>
      <c r="AH1501" s="71" t="s">
        <v>164</v>
      </c>
    </row>
    <row r="1502" spans="1:34" s="4" customFormat="1" ht="14.4" x14ac:dyDescent="0.3">
      <c r="A1502" s="66" t="s">
        <v>2480</v>
      </c>
      <c r="B1502" s="66" t="s">
        <v>4597</v>
      </c>
      <c r="C1502" s="33">
        <v>1501</v>
      </c>
      <c r="D1502" s="33" t="s">
        <v>5394</v>
      </c>
      <c r="E1502" s="34" t="s">
        <v>5348</v>
      </c>
      <c r="F1502" s="34" t="s">
        <v>18</v>
      </c>
      <c r="G1502" s="57">
        <v>44991</v>
      </c>
      <c r="H1502" s="57">
        <v>45260</v>
      </c>
      <c r="I1502" s="34">
        <f t="shared" si="69"/>
        <v>8</v>
      </c>
      <c r="J1502" s="34">
        <v>35</v>
      </c>
      <c r="K1502" s="36">
        <v>875</v>
      </c>
      <c r="L1502" s="34" t="s">
        <v>17</v>
      </c>
      <c r="M1502" s="35">
        <v>35110</v>
      </c>
      <c r="N1502" s="37">
        <f>(YEAR(TablaMadre[[#This Row],[ALTA]])-YEAR(M1502))</f>
        <v>27</v>
      </c>
      <c r="O1502" s="34" t="s">
        <v>18</v>
      </c>
      <c r="P1502" s="34" t="s">
        <v>19</v>
      </c>
      <c r="Q1502" s="34" t="s">
        <v>297</v>
      </c>
      <c r="R1502" s="34" t="s">
        <v>21</v>
      </c>
      <c r="S1502" s="34" t="s">
        <v>297</v>
      </c>
      <c r="T1502" s="34"/>
      <c r="U1502" s="34"/>
      <c r="V1502" s="34" t="s">
        <v>56</v>
      </c>
      <c r="W1502" s="34" t="s">
        <v>28</v>
      </c>
      <c r="X1502" s="34" t="s">
        <v>173</v>
      </c>
      <c r="Y1502" s="57"/>
      <c r="Z1502" s="34" t="e">
        <f t="shared" si="70"/>
        <v>#NUM!</v>
      </c>
      <c r="AA1502" s="34"/>
      <c r="AB1502" s="34">
        <v>9</v>
      </c>
      <c r="AC1502" s="34">
        <v>9</v>
      </c>
      <c r="AD1502" s="34"/>
      <c r="AE1502" s="59" t="str">
        <f t="shared" si="71"/>
        <v>NO</v>
      </c>
      <c r="AF1502" s="34" t="e" cm="1">
        <f t="array" aca="1" ref="AF1502" ca="1">MIN(100, MAX(0, (IF(R1502="ESTUDIANTE", 31, 0)) + (IF(I1502&lt;=3, 30, IF(I1502&lt;=6, 20, 0))) +(IF(OR(E1502="413 - Control de Costes y Enlace Construcción", E1502="480 - Secretaría General del Consejo", E1502="132 - Civil y estructuras", E1502="136 - Mecánica", E1502="412 - Planificación", E1502="142 - Compras"), 25, 0)) +(IF(OR(S1502="GRADO ING. MECÁNICA", S1502="GRADO ING. ELÉCTRICA", S1502="GRADO DERECHO", S1502="GRADO ECONOMÍA", S1502="GRADO ING. TECNOLOGÍAS INDUSTRIALES"), 24, 0)) + (IF(AND(K1502&gt;=451, K1502&lt;=700), 23, 0)) + (IF(AND(AB1502&gt;=5, AB1502&lt;=8), 17, 0)) +(IF(_xludf.OR(_xludf.AND(AC1502&gt;=8, AC1502&lt;=10), _xludf.AND(AC1502&gt;=0, AC1502&lt;=5)), 16, 0)) + (IF(F1502="Madrid", 11, 0))))</f>
        <v>#NAME?</v>
      </c>
      <c r="AG1502" s="69"/>
      <c r="AH1502" s="71" t="s">
        <v>164</v>
      </c>
    </row>
    <row r="1503" spans="1:34" ht="14.4" x14ac:dyDescent="0.3">
      <c r="A1503" s="66" t="s">
        <v>2481</v>
      </c>
      <c r="B1503" s="66" t="s">
        <v>4598</v>
      </c>
      <c r="C1503" s="33">
        <v>1502</v>
      </c>
      <c r="D1503" s="33" t="s">
        <v>5403</v>
      </c>
      <c r="E1503" s="34" t="s">
        <v>5222</v>
      </c>
      <c r="F1503" s="34" t="s">
        <v>18</v>
      </c>
      <c r="G1503" s="57">
        <v>44991</v>
      </c>
      <c r="H1503" s="57">
        <v>45351</v>
      </c>
      <c r="I1503" s="34">
        <f t="shared" si="69"/>
        <v>11</v>
      </c>
      <c r="J1503" s="34">
        <v>35</v>
      </c>
      <c r="K1503" s="36">
        <v>875</v>
      </c>
      <c r="L1503" s="34" t="s">
        <v>29</v>
      </c>
      <c r="M1503" s="35">
        <v>37207</v>
      </c>
      <c r="N1503" s="37">
        <f>(YEAR(TablaMadre[[#This Row],[ALTA]])-YEAR(M1503))</f>
        <v>22</v>
      </c>
      <c r="O1503" s="34" t="s">
        <v>18</v>
      </c>
      <c r="P1503" s="34" t="s">
        <v>19</v>
      </c>
      <c r="Q1503" s="34" t="s">
        <v>297</v>
      </c>
      <c r="R1503" s="34" t="s">
        <v>21</v>
      </c>
      <c r="S1503" s="34" t="s">
        <v>297</v>
      </c>
      <c r="T1503" s="34"/>
      <c r="U1503" s="34"/>
      <c r="V1503" s="34" t="s">
        <v>22</v>
      </c>
      <c r="W1503" s="34" t="s">
        <v>28</v>
      </c>
      <c r="X1503" s="38" t="s">
        <v>173</v>
      </c>
      <c r="Y1503" s="62"/>
      <c r="Z1503" s="38" t="e">
        <f t="shared" si="70"/>
        <v>#NUM!</v>
      </c>
      <c r="AA1503" s="38"/>
      <c r="AB1503" s="34">
        <v>9</v>
      </c>
      <c r="AC1503" s="34">
        <v>8</v>
      </c>
      <c r="AD1503" s="38"/>
      <c r="AE1503" s="59" t="str">
        <f t="shared" si="71"/>
        <v>NO</v>
      </c>
      <c r="AF1503" s="38" t="e" cm="1">
        <f t="array" aca="1" ref="AF1503" ca="1">MIN(100, MAX(0, (IF(R1503="ESTUDIANTE", 31, 0)) + (IF(I1503&lt;=3, 30, IF(I1503&lt;=6, 20, 0))) +(IF(OR(E1503="413 - Control de Costes y Enlace Construcción", E1503="480 - Secretaría General del Consejo", E1503="132 - Civil y estructuras", E1503="136 - Mecánica", E1503="412 - Planificación", E1503="142 - Compras"), 25, 0)) +(IF(OR(S1503="GRADO ING. MECÁNICA", S1503="GRADO ING. ELÉCTRICA", S1503="GRADO DERECHO", S1503="GRADO ECONOMÍA", S1503="GRADO ING. TECNOLOGÍAS INDUSTRIALES"), 24, 0)) + (IF(AND(K1503&gt;=451, K1503&lt;=700), 23, 0)) + (IF(AND(AB1503&gt;=5, AB1503&lt;=8), 17, 0)) +(IF(_xludf.OR(_xludf.AND(AC1503&gt;=8, AC1503&lt;=10), _xludf.AND(AC1503&gt;=0, AC1503&lt;=5)), 16, 0)) + (IF(F1503="Madrid", 11, 0))))</f>
        <v>#NAME?</v>
      </c>
      <c r="AG1503" s="68"/>
      <c r="AH1503" s="71" t="s">
        <v>164</v>
      </c>
    </row>
    <row r="1504" spans="1:34" ht="14.4" x14ac:dyDescent="0.3">
      <c r="A1504" s="66" t="s">
        <v>2482</v>
      </c>
      <c r="B1504" s="66" t="s">
        <v>4599</v>
      </c>
      <c r="C1504" s="33">
        <v>1503</v>
      </c>
      <c r="D1504" s="33" t="s">
        <v>5404</v>
      </c>
      <c r="E1504" s="34" t="s">
        <v>5329</v>
      </c>
      <c r="F1504" s="34" t="s">
        <v>18</v>
      </c>
      <c r="G1504" s="57">
        <v>44991</v>
      </c>
      <c r="H1504" s="57">
        <v>45356</v>
      </c>
      <c r="I1504" s="34">
        <f t="shared" si="69"/>
        <v>11</v>
      </c>
      <c r="J1504" s="34">
        <v>35</v>
      </c>
      <c r="K1504" s="36">
        <v>800</v>
      </c>
      <c r="L1504" s="34" t="s">
        <v>29</v>
      </c>
      <c r="M1504" s="35">
        <v>36354</v>
      </c>
      <c r="N1504" s="37">
        <f>(YEAR(TablaMadre[[#This Row],[ALTA]])-YEAR(M1504))</f>
        <v>24</v>
      </c>
      <c r="O1504" s="34" t="s">
        <v>522</v>
      </c>
      <c r="P1504" s="34" t="s">
        <v>522</v>
      </c>
      <c r="Q1504" s="34" t="s">
        <v>696</v>
      </c>
      <c r="R1504" s="34" t="s">
        <v>21</v>
      </c>
      <c r="S1504" s="34" t="s">
        <v>291</v>
      </c>
      <c r="T1504" s="34"/>
      <c r="U1504" s="34"/>
      <c r="V1504" s="34" t="s">
        <v>84</v>
      </c>
      <c r="W1504" s="34" t="s">
        <v>28</v>
      </c>
      <c r="X1504" s="38" t="s">
        <v>173</v>
      </c>
      <c r="Y1504" s="62"/>
      <c r="Z1504" s="38" t="e">
        <f t="shared" si="70"/>
        <v>#NUM!</v>
      </c>
      <c r="AA1504" s="38"/>
      <c r="AB1504" s="34">
        <v>9</v>
      </c>
      <c r="AC1504" s="34">
        <v>8</v>
      </c>
      <c r="AD1504" s="38"/>
      <c r="AE1504" s="59" t="str">
        <f t="shared" si="71"/>
        <v>SÍ</v>
      </c>
      <c r="AF1504" s="38" t="e" cm="1">
        <f t="array" aca="1" ref="AF1504" ca="1">MIN(100, MAX(0, (IF(R1504="ESTUDIANTE", 31, 0)) + (IF(I1504&lt;=3, 30, IF(I1504&lt;=6, 20, 0))) +(IF(OR(E1504="413 - Control de Costes y Enlace Construcción", E1504="480 - Secretaría General del Consejo", E1504="132 - Civil y estructuras", E1504="136 - Mecánica", E1504="412 - Planificación", E1504="142 - Compras"), 25, 0)) +(IF(OR(S1504="GRADO ING. MECÁNICA", S1504="GRADO ING. ELÉCTRICA", S1504="GRADO DERECHO", S1504="GRADO ECONOMÍA", S1504="GRADO ING. TECNOLOGÍAS INDUSTRIALES"), 24, 0)) + (IF(AND(K1504&gt;=451, K1504&lt;=700), 23, 0)) + (IF(AND(AB1504&gt;=5, AB1504&lt;=8), 17, 0)) +(IF(_xludf.OR(_xludf.AND(AC1504&gt;=8, AC1504&lt;=10), _xludf.AND(AC1504&gt;=0, AC1504&lt;=5)), 16, 0)) + (IF(F1504="Madrid", 11, 0))))</f>
        <v>#NAME?</v>
      </c>
      <c r="AG1504" s="68"/>
      <c r="AH1504" s="71" t="s">
        <v>164</v>
      </c>
    </row>
    <row r="1505" spans="1:34" ht="14.4" x14ac:dyDescent="0.3">
      <c r="A1505" s="66" t="s">
        <v>2400</v>
      </c>
      <c r="B1505" s="66" t="s">
        <v>4517</v>
      </c>
      <c r="C1505" s="33">
        <v>1504</v>
      </c>
      <c r="D1505" s="33" t="s">
        <v>5405</v>
      </c>
      <c r="E1505" s="34" t="s">
        <v>5349</v>
      </c>
      <c r="F1505" s="34" t="s">
        <v>18</v>
      </c>
      <c r="G1505" s="57">
        <v>44993</v>
      </c>
      <c r="H1505" s="57">
        <v>45169</v>
      </c>
      <c r="I1505" s="34">
        <f t="shared" si="69"/>
        <v>5</v>
      </c>
      <c r="J1505" s="34">
        <v>25</v>
      </c>
      <c r="K1505" s="36">
        <v>600</v>
      </c>
      <c r="L1505" s="34" t="s">
        <v>29</v>
      </c>
      <c r="M1505" s="35">
        <v>36606</v>
      </c>
      <c r="N1505" s="37">
        <f>(YEAR(TablaMadre[[#This Row],[ALTA]])-YEAR(M1505))</f>
        <v>23</v>
      </c>
      <c r="O1505" s="34" t="s">
        <v>70</v>
      </c>
      <c r="P1505" s="34" t="s">
        <v>19</v>
      </c>
      <c r="Q1505" s="34" t="s">
        <v>660</v>
      </c>
      <c r="R1505" s="58" t="s">
        <v>30</v>
      </c>
      <c r="S1505" s="34" t="s">
        <v>321</v>
      </c>
      <c r="T1505" s="34"/>
      <c r="U1505" s="34"/>
      <c r="V1505" s="34" t="s">
        <v>86</v>
      </c>
      <c r="W1505" s="34" t="s">
        <v>47</v>
      </c>
      <c r="X1505" s="38" t="s">
        <v>164</v>
      </c>
      <c r="Y1505" s="62"/>
      <c r="Z1505" s="38" t="e">
        <f t="shared" si="70"/>
        <v>#NUM!</v>
      </c>
      <c r="AA1505" s="38"/>
      <c r="AB1505" s="34">
        <v>7</v>
      </c>
      <c r="AC1505" s="34">
        <v>9</v>
      </c>
      <c r="AD1505" s="38"/>
      <c r="AE1505" s="59" t="str">
        <f t="shared" si="71"/>
        <v>SÍ</v>
      </c>
      <c r="AF1505" s="38" t="e" cm="1">
        <f t="array" aca="1" ref="AF1505" ca="1">MIN(100, MAX(0, (IF(R1505="ESTUDIANTE", 31, 0)) + (IF(I1505&lt;=3, 30, IF(I1505&lt;=6, 20, 0))) +(IF(OR(E1505="413 - Control de Costes y Enlace Construcción", E1505="480 - Secretaría General del Consejo", E1505="132 - Civil y estructuras", E1505="136 - Mecánica", E1505="412 - Planificación", E1505="142 - Compras"), 25, 0)) +(IF(OR(S1505="GRADO ING. MECÁNICA", S1505="GRADO ING. ELÉCTRICA", S1505="GRADO DERECHO", S1505="GRADO ECONOMÍA", S1505="GRADO ING. TECNOLOGÍAS INDUSTRIALES"), 24, 0)) + (IF(AND(K1505&gt;=451, K1505&lt;=700), 23, 0)) + (IF(AND(AB1505&gt;=5, AB1505&lt;=8), 17, 0)) +(IF(_xludf.OR(_xludf.AND(AC1505&gt;=8, AC1505&lt;=10), _xludf.AND(AC1505&gt;=0, AC1505&lt;=5)), 16, 0)) + (IF(F1505="Madrid", 11, 0))))</f>
        <v>#NAME?</v>
      </c>
      <c r="AG1505" s="68"/>
      <c r="AH1505" s="71" t="s">
        <v>164</v>
      </c>
    </row>
    <row r="1506" spans="1:34" s="4" customFormat="1" ht="14.4" x14ac:dyDescent="0.3">
      <c r="A1506" s="66" t="s">
        <v>2484</v>
      </c>
      <c r="B1506" s="66" t="s">
        <v>4601</v>
      </c>
      <c r="C1506" s="33">
        <v>1505</v>
      </c>
      <c r="D1506" s="33" t="s">
        <v>5396</v>
      </c>
      <c r="E1506" s="34" t="s">
        <v>5306</v>
      </c>
      <c r="F1506" s="34" t="s">
        <v>118</v>
      </c>
      <c r="G1506" s="57">
        <v>45005</v>
      </c>
      <c r="H1506" s="57">
        <v>45370</v>
      </c>
      <c r="I1506" s="34">
        <f t="shared" si="69"/>
        <v>11</v>
      </c>
      <c r="J1506" s="34">
        <v>35</v>
      </c>
      <c r="K1506" s="36">
        <v>955</v>
      </c>
      <c r="L1506" s="34" t="s">
        <v>29</v>
      </c>
      <c r="M1506" s="35">
        <v>35518</v>
      </c>
      <c r="N1506" s="37">
        <f>(YEAR(TablaMadre[[#This Row],[ALTA]])-YEAR(M1506))</f>
        <v>26</v>
      </c>
      <c r="O1506" s="34" t="s">
        <v>118</v>
      </c>
      <c r="P1506" s="34" t="s">
        <v>19</v>
      </c>
      <c r="Q1506" s="34" t="s">
        <v>701</v>
      </c>
      <c r="R1506" s="34" t="s">
        <v>21</v>
      </c>
      <c r="S1506" s="34" t="s">
        <v>297</v>
      </c>
      <c r="T1506" s="34"/>
      <c r="U1506" s="34"/>
      <c r="V1506" s="34" t="s">
        <v>37</v>
      </c>
      <c r="W1506" s="34" t="s">
        <v>28</v>
      </c>
      <c r="X1506" s="34" t="s">
        <v>173</v>
      </c>
      <c r="Y1506" s="57"/>
      <c r="Z1506" s="34" t="e">
        <f t="shared" si="70"/>
        <v>#NUM!</v>
      </c>
      <c r="AA1506" s="34"/>
      <c r="AB1506" s="34">
        <v>10</v>
      </c>
      <c r="AC1506" s="34">
        <v>8</v>
      </c>
      <c r="AD1506" s="34"/>
      <c r="AE1506" s="59" t="str">
        <f t="shared" si="71"/>
        <v>NO</v>
      </c>
      <c r="AF1506" s="34" t="e" cm="1">
        <f t="array" aca="1" ref="AF1506" ca="1">MIN(100, MAX(0, (IF(R1506="ESTUDIANTE", 31, 0)) + (IF(I1506&lt;=3, 30, IF(I1506&lt;=6, 20, 0))) +(IF(OR(E1506="413 - Control de Costes y Enlace Construcción", E1506="480 - Secretaría General del Consejo", E1506="132 - Civil y estructuras", E1506="136 - Mecánica", E1506="412 - Planificación", E1506="142 - Compras"), 25, 0)) +(IF(OR(S1506="GRADO ING. MECÁNICA", S1506="GRADO ING. ELÉCTRICA", S1506="GRADO DERECHO", S1506="GRADO ECONOMÍA", S1506="GRADO ING. TECNOLOGÍAS INDUSTRIALES"), 24, 0)) + (IF(AND(K1506&gt;=451, K1506&lt;=700), 23, 0)) + (IF(AND(AB1506&gt;=5, AB1506&lt;=8), 17, 0)) +(IF(_xludf.OR(_xludf.AND(AC1506&gt;=8, AC1506&lt;=10), _xludf.AND(AC1506&gt;=0, AC1506&lt;=5)), 16, 0)) + (IF(F1506="Madrid", 11, 0))))</f>
        <v>#NAME?</v>
      </c>
      <c r="AG1506" s="69"/>
      <c r="AH1506" s="71" t="s">
        <v>164</v>
      </c>
    </row>
    <row r="1507" spans="1:34" ht="14.4" x14ac:dyDescent="0.3">
      <c r="A1507" s="66" t="s">
        <v>2404</v>
      </c>
      <c r="B1507" s="66" t="s">
        <v>4521</v>
      </c>
      <c r="C1507" s="33">
        <v>1507</v>
      </c>
      <c r="D1507" s="33" t="s">
        <v>5397</v>
      </c>
      <c r="E1507" s="34" t="s">
        <v>5222</v>
      </c>
      <c r="F1507" s="34" t="s">
        <v>18</v>
      </c>
      <c r="G1507" s="57">
        <v>45006</v>
      </c>
      <c r="H1507" s="57">
        <v>45084</v>
      </c>
      <c r="I1507" s="34">
        <f t="shared" si="69"/>
        <v>2</v>
      </c>
      <c r="J1507" s="34">
        <v>40</v>
      </c>
      <c r="K1507" s="36">
        <v>450</v>
      </c>
      <c r="L1507" s="34" t="s">
        <v>17</v>
      </c>
      <c r="M1507" s="35">
        <v>37952</v>
      </c>
      <c r="N1507" s="37">
        <f>(YEAR(TablaMadre[[#This Row],[ALTA]])-YEAR(M1507))</f>
        <v>20</v>
      </c>
      <c r="O1507" s="34" t="s">
        <v>18</v>
      </c>
      <c r="P1507" s="34" t="s">
        <v>19</v>
      </c>
      <c r="Q1507" s="34" t="s">
        <v>437</v>
      </c>
      <c r="R1507" s="58" t="s">
        <v>30</v>
      </c>
      <c r="S1507" s="34" t="s">
        <v>26</v>
      </c>
      <c r="T1507" s="34"/>
      <c r="U1507" s="34"/>
      <c r="V1507" s="34" t="s">
        <v>27</v>
      </c>
      <c r="W1507" s="34" t="s">
        <v>23</v>
      </c>
      <c r="X1507" s="38" t="s">
        <v>164</v>
      </c>
      <c r="Y1507" s="62"/>
      <c r="Z1507" s="38" t="e">
        <f t="shared" si="70"/>
        <v>#NUM!</v>
      </c>
      <c r="AA1507" s="38"/>
      <c r="AB1507" s="34"/>
      <c r="AC1507" s="34"/>
      <c r="AD1507" s="38"/>
      <c r="AE1507" s="59" t="str">
        <f t="shared" si="71"/>
        <v>NO</v>
      </c>
      <c r="AF1507" s="38" t="e" cm="1">
        <f t="array" aca="1" ref="AF1507" ca="1">MIN(100, MAX(0, (IF(R1507="ESTUDIANTE", 31, 0)) + (IF(I1507&lt;=3, 30, IF(I1507&lt;=6, 20, 0))) +(IF(OR(E1507="413 - Control de Costes y Enlace Construcción", E1507="480 - Secretaría General del Consejo", E1507="132 - Civil y estructuras", E1507="136 - Mecánica", E1507="412 - Planificación", E1507="142 - Compras"), 25, 0)) +(IF(OR(S1507="GRADO ING. MECÁNICA", S1507="GRADO ING. ELÉCTRICA", S1507="GRADO DERECHO", S1507="GRADO ECONOMÍA", S1507="GRADO ING. TECNOLOGÍAS INDUSTRIALES"), 24, 0)) + (IF(AND(K1507&gt;=451, K1507&lt;=700), 23, 0)) + (IF(AND(AB1507&gt;=5, AB1507&lt;=8), 17, 0)) +(IF(_xludf.OR(_xludf.AND(AC1507&gt;=8, AC1507&lt;=10), _xludf.AND(AC1507&gt;=0, AC1507&lt;=5)), 16, 0)) + (IF(F1507="Madrid", 11, 0))))</f>
        <v>#NAME?</v>
      </c>
      <c r="AG1507" s="68"/>
      <c r="AH1507" s="71" t="s">
        <v>164</v>
      </c>
    </row>
    <row r="1508" spans="1:34" ht="14.4" x14ac:dyDescent="0.3">
      <c r="A1508" s="66" t="s">
        <v>2414</v>
      </c>
      <c r="B1508" s="66" t="s">
        <v>4531</v>
      </c>
      <c r="C1508" s="33">
        <v>1508</v>
      </c>
      <c r="D1508" s="33" t="s">
        <v>5393</v>
      </c>
      <c r="E1508" s="34" t="s">
        <v>5252</v>
      </c>
      <c r="F1508" s="34" t="s">
        <v>18</v>
      </c>
      <c r="G1508" s="57">
        <v>45006</v>
      </c>
      <c r="H1508" s="57">
        <v>45084</v>
      </c>
      <c r="I1508" s="34">
        <f t="shared" si="69"/>
        <v>2</v>
      </c>
      <c r="J1508" s="34">
        <v>40</v>
      </c>
      <c r="K1508" s="36">
        <v>450</v>
      </c>
      <c r="L1508" s="34" t="s">
        <v>17</v>
      </c>
      <c r="M1508" s="35">
        <v>37266</v>
      </c>
      <c r="N1508" s="37">
        <f>(YEAR(TablaMadre[[#This Row],[ALTA]])-YEAR(M1508))</f>
        <v>21</v>
      </c>
      <c r="O1508" s="34" t="s">
        <v>18</v>
      </c>
      <c r="P1508" s="34" t="s">
        <v>19</v>
      </c>
      <c r="Q1508" s="34" t="s">
        <v>359</v>
      </c>
      <c r="R1508" s="58" t="s">
        <v>30</v>
      </c>
      <c r="S1508" s="34" t="s">
        <v>26</v>
      </c>
      <c r="T1508" s="34"/>
      <c r="U1508" s="34"/>
      <c r="V1508" s="34" t="s">
        <v>27</v>
      </c>
      <c r="W1508" s="34" t="s">
        <v>23</v>
      </c>
      <c r="X1508" s="38" t="s">
        <v>164</v>
      </c>
      <c r="Y1508" s="62"/>
      <c r="Z1508" s="38" t="e">
        <f t="shared" si="70"/>
        <v>#NUM!</v>
      </c>
      <c r="AA1508" s="38"/>
      <c r="AB1508" s="34"/>
      <c r="AC1508" s="34"/>
      <c r="AD1508" s="38"/>
      <c r="AE1508" s="59" t="str">
        <f t="shared" si="71"/>
        <v>NO</v>
      </c>
      <c r="AF1508" s="38" t="e" cm="1">
        <f t="array" aca="1" ref="AF1508" ca="1">MIN(100, MAX(0, (IF(R1508="ESTUDIANTE", 31, 0)) + (IF(I1508&lt;=3, 30, IF(I1508&lt;=6, 20, 0))) +(IF(OR(E1508="413 - Control de Costes y Enlace Construcción", E1508="480 - Secretaría General del Consejo", E1508="132 - Civil y estructuras", E1508="136 - Mecánica", E1508="412 - Planificación", E1508="142 - Compras"), 25, 0)) +(IF(OR(S1508="GRADO ING. MECÁNICA", S1508="GRADO ING. ELÉCTRICA", S1508="GRADO DERECHO", S1508="GRADO ECONOMÍA", S1508="GRADO ING. TECNOLOGÍAS INDUSTRIALES"), 24, 0)) + (IF(AND(K1508&gt;=451, K1508&lt;=700), 23, 0)) + (IF(AND(AB1508&gt;=5, AB1508&lt;=8), 17, 0)) +(IF(_xludf.OR(_xludf.AND(AC1508&gt;=8, AC1508&lt;=10), _xludf.AND(AC1508&gt;=0, AC1508&lt;=5)), 16, 0)) + (IF(F1508="Madrid", 11, 0))))</f>
        <v>#NAME?</v>
      </c>
      <c r="AG1508" s="68"/>
      <c r="AH1508" s="71" t="s">
        <v>164</v>
      </c>
    </row>
    <row r="1509" spans="1:34" ht="14.4" x14ac:dyDescent="0.3">
      <c r="A1509" s="66" t="s">
        <v>2418</v>
      </c>
      <c r="B1509" s="66" t="s">
        <v>4535</v>
      </c>
      <c r="C1509" s="33">
        <v>1506</v>
      </c>
      <c r="D1509" s="33" t="s">
        <v>5394</v>
      </c>
      <c r="E1509" s="34" t="s">
        <v>5222</v>
      </c>
      <c r="F1509" s="34" t="s">
        <v>18</v>
      </c>
      <c r="G1509" s="57">
        <v>45006</v>
      </c>
      <c r="H1509" s="57">
        <v>45084</v>
      </c>
      <c r="I1509" s="34">
        <f t="shared" si="69"/>
        <v>2</v>
      </c>
      <c r="J1509" s="34">
        <v>40</v>
      </c>
      <c r="K1509" s="36">
        <v>450</v>
      </c>
      <c r="L1509" s="34" t="s">
        <v>17</v>
      </c>
      <c r="M1509" s="35">
        <v>37822</v>
      </c>
      <c r="N1509" s="37">
        <f>(YEAR(TablaMadre[[#This Row],[ALTA]])-YEAR(M1509))</f>
        <v>20</v>
      </c>
      <c r="O1509" s="34" t="s">
        <v>18</v>
      </c>
      <c r="P1509" s="34" t="s">
        <v>19</v>
      </c>
      <c r="Q1509" s="34" t="s">
        <v>437</v>
      </c>
      <c r="R1509" s="58" t="s">
        <v>30</v>
      </c>
      <c r="S1509" s="34" t="s">
        <v>26</v>
      </c>
      <c r="T1509" s="34"/>
      <c r="U1509" s="34"/>
      <c r="V1509" s="34" t="s">
        <v>27</v>
      </c>
      <c r="W1509" s="34" t="s">
        <v>23</v>
      </c>
      <c r="X1509" s="38" t="s">
        <v>164</v>
      </c>
      <c r="Y1509" s="62"/>
      <c r="Z1509" s="38" t="e">
        <f t="shared" si="70"/>
        <v>#NUM!</v>
      </c>
      <c r="AA1509" s="38"/>
      <c r="AB1509" s="34"/>
      <c r="AC1509" s="34"/>
      <c r="AD1509" s="38"/>
      <c r="AE1509" s="59" t="str">
        <f t="shared" si="71"/>
        <v>NO</v>
      </c>
      <c r="AF1509" s="38" t="e" cm="1">
        <f t="array" aca="1" ref="AF1509" ca="1">MIN(100, MAX(0, (IF(R1509="ESTUDIANTE", 31, 0)) + (IF(I1509&lt;=3, 30, IF(I1509&lt;=6, 20, 0))) +(IF(OR(E1509="413 - Control de Costes y Enlace Construcción", E1509="480 - Secretaría General del Consejo", E1509="132 - Civil y estructuras", E1509="136 - Mecánica", E1509="412 - Planificación", E1509="142 - Compras"), 25, 0)) +(IF(OR(S1509="GRADO ING. MECÁNICA", S1509="GRADO ING. ELÉCTRICA", S1509="GRADO DERECHO", S1509="GRADO ECONOMÍA", S1509="GRADO ING. TECNOLOGÍAS INDUSTRIALES"), 24, 0)) + (IF(AND(K1509&gt;=451, K1509&lt;=700), 23, 0)) + (IF(AND(AB1509&gt;=5, AB1509&lt;=8), 17, 0)) +(IF(_xludf.OR(_xludf.AND(AC1509&gt;=8, AC1509&lt;=10), _xludf.AND(AC1509&gt;=0, AC1509&lt;=5)), 16, 0)) + (IF(F1509="Madrid", 11, 0))))</f>
        <v>#NAME?</v>
      </c>
      <c r="AG1509" s="68"/>
      <c r="AH1509" s="71" t="s">
        <v>164</v>
      </c>
    </row>
    <row r="1510" spans="1:34" ht="14.4" x14ac:dyDescent="0.3">
      <c r="A1510" s="66" t="s">
        <v>2419</v>
      </c>
      <c r="B1510" s="66" t="s">
        <v>4536</v>
      </c>
      <c r="C1510" s="33">
        <v>1509</v>
      </c>
      <c r="D1510" s="33" t="s">
        <v>5395</v>
      </c>
      <c r="E1510" s="34" t="s">
        <v>5252</v>
      </c>
      <c r="F1510" s="34" t="s">
        <v>18</v>
      </c>
      <c r="G1510" s="57">
        <v>45006</v>
      </c>
      <c r="H1510" s="57">
        <v>45084</v>
      </c>
      <c r="I1510" s="34">
        <f t="shared" si="69"/>
        <v>2</v>
      </c>
      <c r="J1510" s="34">
        <v>40</v>
      </c>
      <c r="K1510" s="36">
        <v>450</v>
      </c>
      <c r="L1510" s="34" t="s">
        <v>17</v>
      </c>
      <c r="M1510" s="35">
        <v>36550</v>
      </c>
      <c r="N1510" s="37">
        <f>(YEAR(TablaMadre[[#This Row],[ALTA]])-YEAR(M1510))</f>
        <v>23</v>
      </c>
      <c r="O1510" s="34" t="s">
        <v>18</v>
      </c>
      <c r="P1510" s="34" t="s">
        <v>19</v>
      </c>
      <c r="Q1510" s="34" t="s">
        <v>359</v>
      </c>
      <c r="R1510" s="58" t="s">
        <v>30</v>
      </c>
      <c r="S1510" s="34" t="s">
        <v>26</v>
      </c>
      <c r="T1510" s="34"/>
      <c r="U1510" s="34"/>
      <c r="V1510" s="34" t="s">
        <v>27</v>
      </c>
      <c r="W1510" s="34" t="s">
        <v>23</v>
      </c>
      <c r="X1510" s="38" t="s">
        <v>173</v>
      </c>
      <c r="Y1510" s="62"/>
      <c r="Z1510" s="38" t="e">
        <f t="shared" si="70"/>
        <v>#NUM!</v>
      </c>
      <c r="AA1510" s="38"/>
      <c r="AB1510" s="34"/>
      <c r="AC1510" s="34"/>
      <c r="AD1510" s="38"/>
      <c r="AE1510" s="59" t="str">
        <f t="shared" si="71"/>
        <v>NO</v>
      </c>
      <c r="AF1510" s="38" t="e" cm="1">
        <f t="array" aca="1" ref="AF1510" ca="1">MIN(100, MAX(0, (IF(R1510="ESTUDIANTE", 31, 0)) + (IF(I1510&lt;=3, 30, IF(I1510&lt;=6, 20, 0))) +(IF(OR(E1510="413 - Control de Costes y Enlace Construcción", E1510="480 - Secretaría General del Consejo", E1510="132 - Civil y estructuras", E1510="136 - Mecánica", E1510="412 - Planificación", E1510="142 - Compras"), 25, 0)) +(IF(OR(S1510="GRADO ING. MECÁNICA", S1510="GRADO ING. ELÉCTRICA", S1510="GRADO DERECHO", S1510="GRADO ECONOMÍA", S1510="GRADO ING. TECNOLOGÍAS INDUSTRIALES"), 24, 0)) + (IF(AND(K1510&gt;=451, K1510&lt;=700), 23, 0)) + (IF(AND(AB1510&gt;=5, AB1510&lt;=8), 17, 0)) +(IF(_xludf.OR(_xludf.AND(AC1510&gt;=8, AC1510&lt;=10), _xludf.AND(AC1510&gt;=0, AC1510&lt;=5)), 16, 0)) + (IF(F1510="Madrid", 11, 0))))</f>
        <v>#NAME?</v>
      </c>
      <c r="AG1510" s="68"/>
      <c r="AH1510" s="71" t="s">
        <v>164</v>
      </c>
    </row>
    <row r="1511" spans="1:34" ht="14.4" x14ac:dyDescent="0.3">
      <c r="A1511" s="66" t="s">
        <v>2489</v>
      </c>
      <c r="B1511" s="66" t="s">
        <v>4606</v>
      </c>
      <c r="C1511" s="33">
        <v>1510</v>
      </c>
      <c r="D1511" s="33" t="s">
        <v>5396</v>
      </c>
      <c r="E1511" s="34" t="s">
        <v>5350</v>
      </c>
      <c r="F1511" s="34" t="s">
        <v>18</v>
      </c>
      <c r="G1511" s="57">
        <v>45006</v>
      </c>
      <c r="H1511" s="57">
        <v>45099</v>
      </c>
      <c r="I1511" s="34">
        <f t="shared" si="69"/>
        <v>3</v>
      </c>
      <c r="J1511" s="34">
        <v>35</v>
      </c>
      <c r="K1511" s="36">
        <v>650</v>
      </c>
      <c r="L1511" s="34" t="s">
        <v>17</v>
      </c>
      <c r="M1511" s="35">
        <v>36693</v>
      </c>
      <c r="N1511" s="37">
        <f>(YEAR(TablaMadre[[#This Row],[ALTA]])-YEAR(M1511))</f>
        <v>23</v>
      </c>
      <c r="O1511" s="34" t="s">
        <v>146</v>
      </c>
      <c r="P1511" s="34" t="s">
        <v>19</v>
      </c>
      <c r="Q1511" s="34" t="s">
        <v>297</v>
      </c>
      <c r="R1511" s="58" t="s">
        <v>30</v>
      </c>
      <c r="S1511" s="34" t="s">
        <v>297</v>
      </c>
      <c r="T1511" s="34"/>
      <c r="U1511" s="34"/>
      <c r="V1511" s="34" t="s">
        <v>84</v>
      </c>
      <c r="W1511" s="34" t="s">
        <v>28</v>
      </c>
      <c r="X1511" s="38" t="s">
        <v>173</v>
      </c>
      <c r="Y1511" s="62"/>
      <c r="Z1511" s="38" t="e">
        <f t="shared" si="70"/>
        <v>#NUM!</v>
      </c>
      <c r="AA1511" s="38"/>
      <c r="AB1511" s="34" t="s">
        <v>602</v>
      </c>
      <c r="AC1511" s="34" t="s">
        <v>602</v>
      </c>
      <c r="AD1511" s="38"/>
      <c r="AE1511" s="59" t="str">
        <f t="shared" si="71"/>
        <v>SÍ</v>
      </c>
      <c r="AF1511" s="38" t="e" cm="1">
        <f t="array" aca="1" ref="AF1511" ca="1">MIN(100, MAX(0, (IF(R1511="ESTUDIANTE", 31, 0)) + (IF(I1511&lt;=3, 30, IF(I1511&lt;=6, 20, 0))) +(IF(OR(E1511="413 - Control de Costes y Enlace Construcción", E1511="480 - Secretaría General del Consejo", E1511="132 - Civil y estructuras", E1511="136 - Mecánica", E1511="412 - Planificación", E1511="142 - Compras"), 25, 0)) +(IF(OR(S1511="GRADO ING. MECÁNICA", S1511="GRADO ING. ELÉCTRICA", S1511="GRADO DERECHO", S1511="GRADO ECONOMÍA", S1511="GRADO ING. TECNOLOGÍAS INDUSTRIALES"), 24, 0)) + (IF(AND(K1511&gt;=451, K1511&lt;=700), 23, 0)) + (IF(AND(AB1511&gt;=5, AB1511&lt;=8), 17, 0)) +(IF(_xludf.OR(_xludf.AND(AC1511&gt;=8, AC1511&lt;=10), _xludf.AND(AC1511&gt;=0, AC1511&lt;=5)), 16, 0)) + (IF(F1511="Madrid", 11, 0))))</f>
        <v>#NAME?</v>
      </c>
      <c r="AG1511" s="68"/>
      <c r="AH1511" s="71" t="s">
        <v>164</v>
      </c>
    </row>
    <row r="1512" spans="1:34" ht="14.4" x14ac:dyDescent="0.3">
      <c r="A1512" s="66" t="s">
        <v>2490</v>
      </c>
      <c r="B1512" s="66" t="s">
        <v>4607</v>
      </c>
      <c r="C1512" s="33">
        <v>1511</v>
      </c>
      <c r="D1512" s="33" t="s">
        <v>5397</v>
      </c>
      <c r="E1512" s="34" t="s">
        <v>5324</v>
      </c>
      <c r="F1512" s="34" t="s">
        <v>18</v>
      </c>
      <c r="G1512" s="57">
        <v>45006</v>
      </c>
      <c r="H1512" s="57">
        <v>45169</v>
      </c>
      <c r="I1512" s="34">
        <f t="shared" si="69"/>
        <v>5</v>
      </c>
      <c r="J1512" s="34">
        <v>35</v>
      </c>
      <c r="K1512" s="36">
        <v>825</v>
      </c>
      <c r="L1512" s="34" t="s">
        <v>17</v>
      </c>
      <c r="M1512" s="35">
        <v>36239</v>
      </c>
      <c r="N1512" s="37">
        <f>(YEAR(TablaMadre[[#This Row],[ALTA]])-YEAR(M1512))</f>
        <v>24</v>
      </c>
      <c r="O1512" s="34" t="s">
        <v>18</v>
      </c>
      <c r="P1512" s="34" t="s">
        <v>19</v>
      </c>
      <c r="Q1512" s="34" t="s">
        <v>533</v>
      </c>
      <c r="R1512" s="34" t="s">
        <v>21</v>
      </c>
      <c r="S1512" s="34" t="s">
        <v>297</v>
      </c>
      <c r="T1512" s="34"/>
      <c r="U1512" s="34"/>
      <c r="V1512" s="34" t="s">
        <v>56</v>
      </c>
      <c r="W1512" s="34" t="s">
        <v>28</v>
      </c>
      <c r="X1512" s="38" t="s">
        <v>173</v>
      </c>
      <c r="Y1512" s="62"/>
      <c r="Z1512" s="38" t="e">
        <f t="shared" si="70"/>
        <v>#NUM!</v>
      </c>
      <c r="AA1512" s="38"/>
      <c r="AB1512" s="34" t="s">
        <v>639</v>
      </c>
      <c r="AC1512" s="34"/>
      <c r="AD1512" s="38"/>
      <c r="AE1512" s="59" t="str">
        <f t="shared" si="71"/>
        <v>NO</v>
      </c>
      <c r="AF1512" s="38" t="e" cm="1">
        <f t="array" aca="1" ref="AF1512" ca="1">MIN(100, MAX(0, (IF(R1512="ESTUDIANTE", 31, 0)) + (IF(I1512&lt;=3, 30, IF(I1512&lt;=6, 20, 0))) +(IF(OR(E1512="413 - Control de Costes y Enlace Construcción", E1512="480 - Secretaría General del Consejo", E1512="132 - Civil y estructuras", E1512="136 - Mecánica", E1512="412 - Planificación", E1512="142 - Compras"), 25, 0)) +(IF(OR(S1512="GRADO ING. MECÁNICA", S1512="GRADO ING. ELÉCTRICA", S1512="GRADO DERECHO", S1512="GRADO ECONOMÍA", S1512="GRADO ING. TECNOLOGÍAS INDUSTRIALES"), 24, 0)) + (IF(AND(K1512&gt;=451, K1512&lt;=700), 23, 0)) + (IF(AND(AB1512&gt;=5, AB1512&lt;=8), 17, 0)) +(IF(_xludf.OR(_xludf.AND(AC1512&gt;=8, AC1512&lt;=10), _xludf.AND(AC1512&gt;=0, AC1512&lt;=5)), 16, 0)) + (IF(F1512="Madrid", 11, 0))))</f>
        <v>#NAME?</v>
      </c>
      <c r="AG1512" s="68"/>
      <c r="AH1512" s="71" t="s">
        <v>164</v>
      </c>
    </row>
    <row r="1513" spans="1:34" s="4" customFormat="1" ht="14.4" x14ac:dyDescent="0.3">
      <c r="A1513" s="66" t="s">
        <v>2491</v>
      </c>
      <c r="B1513" s="66" t="s">
        <v>4608</v>
      </c>
      <c r="C1513" s="33">
        <v>1512</v>
      </c>
      <c r="D1513" s="33" t="s">
        <v>5398</v>
      </c>
      <c r="E1513" s="34" t="s">
        <v>5216</v>
      </c>
      <c r="F1513" s="34" t="s">
        <v>18</v>
      </c>
      <c r="G1513" s="57">
        <v>45006</v>
      </c>
      <c r="H1513" s="57">
        <v>45271</v>
      </c>
      <c r="I1513" s="34">
        <f t="shared" si="69"/>
        <v>8</v>
      </c>
      <c r="J1513" s="34">
        <v>35</v>
      </c>
      <c r="K1513" s="36">
        <v>725</v>
      </c>
      <c r="L1513" s="34" t="s">
        <v>17</v>
      </c>
      <c r="M1513" s="35">
        <v>36440</v>
      </c>
      <c r="N1513" s="37">
        <f>(YEAR(TablaMadre[[#This Row],[ALTA]])-YEAR(M1513))</f>
        <v>24</v>
      </c>
      <c r="O1513" s="34" t="s">
        <v>191</v>
      </c>
      <c r="P1513" s="34" t="s">
        <v>19</v>
      </c>
      <c r="Q1513" s="34" t="s">
        <v>675</v>
      </c>
      <c r="R1513" s="34" t="s">
        <v>21</v>
      </c>
      <c r="S1513" s="34" t="s">
        <v>26</v>
      </c>
      <c r="T1513" s="34"/>
      <c r="U1513" s="34"/>
      <c r="V1513" s="34" t="s">
        <v>27</v>
      </c>
      <c r="W1513" s="34" t="s">
        <v>28</v>
      </c>
      <c r="X1513" s="34" t="s">
        <v>173</v>
      </c>
      <c r="Y1513" s="57"/>
      <c r="Z1513" s="34" t="e">
        <f t="shared" si="70"/>
        <v>#NUM!</v>
      </c>
      <c r="AA1513" s="34"/>
      <c r="AB1513" s="34">
        <v>10</v>
      </c>
      <c r="AC1513" s="34"/>
      <c r="AD1513" s="34"/>
      <c r="AE1513" s="59" t="str">
        <f t="shared" si="71"/>
        <v>SÍ</v>
      </c>
      <c r="AF1513" s="34" t="e" cm="1">
        <f t="array" aca="1" ref="AF1513" ca="1">MIN(100, MAX(0, (IF(R1513="ESTUDIANTE", 31, 0)) + (IF(I1513&lt;=3, 30, IF(I1513&lt;=6, 20, 0))) +(IF(OR(E1513="413 - Control de Costes y Enlace Construcción", E1513="480 - Secretaría General del Consejo", E1513="132 - Civil y estructuras", E1513="136 - Mecánica", E1513="412 - Planificación", E1513="142 - Compras"), 25, 0)) +(IF(OR(S1513="GRADO ING. MECÁNICA", S1513="GRADO ING. ELÉCTRICA", S1513="GRADO DERECHO", S1513="GRADO ECONOMÍA", S1513="GRADO ING. TECNOLOGÍAS INDUSTRIALES"), 24, 0)) + (IF(AND(K1513&gt;=451, K1513&lt;=700), 23, 0)) + (IF(AND(AB1513&gt;=5, AB1513&lt;=8), 17, 0)) +(IF(_xludf.OR(_xludf.AND(AC1513&gt;=8, AC1513&lt;=10), _xludf.AND(AC1513&gt;=0, AC1513&lt;=5)), 16, 0)) + (IF(F1513="Madrid", 11, 0))))</f>
        <v>#NAME?</v>
      </c>
      <c r="AG1513" s="69"/>
      <c r="AH1513" s="71" t="s">
        <v>164</v>
      </c>
    </row>
    <row r="1514" spans="1:34" ht="14.4" x14ac:dyDescent="0.3">
      <c r="A1514" s="66" t="s">
        <v>2492</v>
      </c>
      <c r="B1514" s="66" t="s">
        <v>4609</v>
      </c>
      <c r="C1514" s="33">
        <v>1513</v>
      </c>
      <c r="D1514" s="33" t="s">
        <v>5399</v>
      </c>
      <c r="E1514" s="34" t="s">
        <v>5216</v>
      </c>
      <c r="F1514" s="34" t="s">
        <v>18</v>
      </c>
      <c r="G1514" s="57">
        <v>45006</v>
      </c>
      <c r="H1514" s="57">
        <v>45271</v>
      </c>
      <c r="I1514" s="34">
        <f t="shared" si="69"/>
        <v>8</v>
      </c>
      <c r="J1514" s="34">
        <v>35</v>
      </c>
      <c r="K1514" s="36">
        <v>725</v>
      </c>
      <c r="L1514" s="34" t="s">
        <v>17</v>
      </c>
      <c r="M1514" s="35">
        <v>36023</v>
      </c>
      <c r="N1514" s="37">
        <f>(YEAR(TablaMadre[[#This Row],[ALTA]])-YEAR(M1514))</f>
        <v>25</v>
      </c>
      <c r="O1514" s="34" t="s">
        <v>105</v>
      </c>
      <c r="P1514" s="34" t="s">
        <v>19</v>
      </c>
      <c r="Q1514" s="34" t="s">
        <v>675</v>
      </c>
      <c r="R1514" s="34" t="s">
        <v>21</v>
      </c>
      <c r="S1514" s="34" t="s">
        <v>26</v>
      </c>
      <c r="T1514" s="34"/>
      <c r="U1514" s="34"/>
      <c r="V1514" s="34" t="s">
        <v>27</v>
      </c>
      <c r="W1514" s="34" t="s">
        <v>28</v>
      </c>
      <c r="X1514" s="38" t="s">
        <v>173</v>
      </c>
      <c r="Y1514" s="62"/>
      <c r="Z1514" s="38" t="e">
        <f t="shared" si="70"/>
        <v>#NUM!</v>
      </c>
      <c r="AA1514" s="38"/>
      <c r="AB1514" s="34">
        <v>9</v>
      </c>
      <c r="AC1514" s="34"/>
      <c r="AD1514" s="38"/>
      <c r="AE1514" s="59" t="str">
        <f t="shared" si="71"/>
        <v>SÍ</v>
      </c>
      <c r="AF1514" s="38" t="e" cm="1">
        <f t="array" aca="1" ref="AF1514" ca="1">MIN(100, MAX(0, (IF(R1514="ESTUDIANTE", 31, 0)) + (IF(I1514&lt;=3, 30, IF(I1514&lt;=6, 20, 0))) +(IF(OR(E1514="413 - Control de Costes y Enlace Construcción", E1514="480 - Secretaría General del Consejo", E1514="132 - Civil y estructuras", E1514="136 - Mecánica", E1514="412 - Planificación", E1514="142 - Compras"), 25, 0)) +(IF(OR(S1514="GRADO ING. MECÁNICA", S1514="GRADO ING. ELÉCTRICA", S1514="GRADO DERECHO", S1514="GRADO ECONOMÍA", S1514="GRADO ING. TECNOLOGÍAS INDUSTRIALES"), 24, 0)) + (IF(AND(K1514&gt;=451, K1514&lt;=700), 23, 0)) + (IF(AND(AB1514&gt;=5, AB1514&lt;=8), 17, 0)) +(IF(_xludf.OR(_xludf.AND(AC1514&gt;=8, AC1514&lt;=10), _xludf.AND(AC1514&gt;=0, AC1514&lt;=5)), 16, 0)) + (IF(F1514="Madrid", 11, 0))))</f>
        <v>#NAME?</v>
      </c>
      <c r="AG1514" s="68"/>
      <c r="AH1514" s="71" t="s">
        <v>164</v>
      </c>
    </row>
    <row r="1515" spans="1:34" ht="14.4" x14ac:dyDescent="0.3">
      <c r="A1515" s="66" t="s">
        <v>2493</v>
      </c>
      <c r="B1515" s="66" t="s">
        <v>4610</v>
      </c>
      <c r="C1515" s="33">
        <v>1514</v>
      </c>
      <c r="D1515" s="33" t="s">
        <v>5400</v>
      </c>
      <c r="E1515" s="34" t="s">
        <v>5273</v>
      </c>
      <c r="F1515" s="34" t="s">
        <v>18</v>
      </c>
      <c r="G1515" s="57">
        <v>45006</v>
      </c>
      <c r="H1515" s="57">
        <v>45351</v>
      </c>
      <c r="I1515" s="34">
        <f t="shared" si="69"/>
        <v>11</v>
      </c>
      <c r="J1515" s="34">
        <v>35</v>
      </c>
      <c r="K1515" s="36">
        <v>875</v>
      </c>
      <c r="L1515" s="34" t="s">
        <v>29</v>
      </c>
      <c r="M1515" s="35">
        <v>33686</v>
      </c>
      <c r="N1515" s="37">
        <f>(YEAR(TablaMadre[[#This Row],[ALTA]])-YEAR(M1515))</f>
        <v>31</v>
      </c>
      <c r="O1515" s="34" t="s">
        <v>197</v>
      </c>
      <c r="P1515" s="34" t="s">
        <v>19</v>
      </c>
      <c r="Q1515" s="34" t="s">
        <v>515</v>
      </c>
      <c r="R1515" s="34" t="s">
        <v>21</v>
      </c>
      <c r="S1515" s="34" t="s">
        <v>297</v>
      </c>
      <c r="T1515" s="34"/>
      <c r="U1515" s="34"/>
      <c r="V1515" s="34" t="s">
        <v>22</v>
      </c>
      <c r="W1515" s="34" t="s">
        <v>28</v>
      </c>
      <c r="X1515" s="38" t="s">
        <v>173</v>
      </c>
      <c r="Y1515" s="62"/>
      <c r="Z1515" s="38" t="e">
        <f t="shared" si="70"/>
        <v>#NUM!</v>
      </c>
      <c r="AA1515" s="38"/>
      <c r="AB1515" s="34">
        <v>7</v>
      </c>
      <c r="AC1515" s="34">
        <v>7</v>
      </c>
      <c r="AD1515" s="38"/>
      <c r="AE1515" s="59" t="str">
        <f t="shared" si="71"/>
        <v>SÍ</v>
      </c>
      <c r="AF1515" s="38" t="e" cm="1">
        <f t="array" aca="1" ref="AF1515" ca="1">MIN(100, MAX(0, (IF(R1515="ESTUDIANTE", 31, 0)) + (IF(I1515&lt;=3, 30, IF(I1515&lt;=6, 20, 0))) +(IF(OR(E1515="413 - Control de Costes y Enlace Construcción", E1515="480 - Secretaría General del Consejo", E1515="132 - Civil y estructuras", E1515="136 - Mecánica", E1515="412 - Planificación", E1515="142 - Compras"), 25, 0)) +(IF(OR(S1515="GRADO ING. MECÁNICA", S1515="GRADO ING. ELÉCTRICA", S1515="GRADO DERECHO", S1515="GRADO ECONOMÍA", S1515="GRADO ING. TECNOLOGÍAS INDUSTRIALES"), 24, 0)) + (IF(AND(K1515&gt;=451, K1515&lt;=700), 23, 0)) + (IF(AND(AB1515&gt;=5, AB1515&lt;=8), 17, 0)) +(IF(_xludf.OR(_xludf.AND(AC1515&gt;=8, AC1515&lt;=10), _xludf.AND(AC1515&gt;=0, AC1515&lt;=5)), 16, 0)) + (IF(F1515="Madrid", 11, 0))))</f>
        <v>#NAME?</v>
      </c>
      <c r="AG1515" s="68"/>
      <c r="AH1515" s="71" t="s">
        <v>164</v>
      </c>
    </row>
    <row r="1516" spans="1:34" ht="14.4" x14ac:dyDescent="0.3">
      <c r="A1516" s="66" t="s">
        <v>2402</v>
      </c>
      <c r="B1516" s="66" t="s">
        <v>4519</v>
      </c>
      <c r="C1516" s="33">
        <v>1515</v>
      </c>
      <c r="D1516" s="33" t="s">
        <v>5401</v>
      </c>
      <c r="E1516" s="34" t="s">
        <v>5233</v>
      </c>
      <c r="F1516" s="34" t="s">
        <v>18</v>
      </c>
      <c r="G1516" s="57">
        <v>45008</v>
      </c>
      <c r="H1516" s="57">
        <v>45169</v>
      </c>
      <c r="I1516" s="34">
        <f t="shared" si="69"/>
        <v>5</v>
      </c>
      <c r="J1516" s="34">
        <v>35</v>
      </c>
      <c r="K1516" s="36">
        <v>700</v>
      </c>
      <c r="L1516" s="34" t="s">
        <v>17</v>
      </c>
      <c r="M1516" s="35">
        <v>36758</v>
      </c>
      <c r="N1516" s="37">
        <f>(YEAR(TablaMadre[[#This Row],[ALTA]])-YEAR(M1516))</f>
        <v>23</v>
      </c>
      <c r="O1516" s="34" t="s">
        <v>945</v>
      </c>
      <c r="P1516" s="34" t="s">
        <v>19</v>
      </c>
      <c r="Q1516" s="34" t="s">
        <v>533</v>
      </c>
      <c r="R1516" s="58" t="s">
        <v>30</v>
      </c>
      <c r="S1516" s="34" t="s">
        <v>297</v>
      </c>
      <c r="T1516" s="34"/>
      <c r="U1516" s="34"/>
      <c r="V1516" s="34" t="s">
        <v>22</v>
      </c>
      <c r="W1516" s="34" t="s">
        <v>181</v>
      </c>
      <c r="X1516" s="38" t="s">
        <v>164</v>
      </c>
      <c r="Y1516" s="62"/>
      <c r="Z1516" s="38" t="e">
        <f t="shared" si="70"/>
        <v>#NUM!</v>
      </c>
      <c r="AA1516" s="38"/>
      <c r="AB1516" s="34" t="s">
        <v>661</v>
      </c>
      <c r="AC1516" s="34"/>
      <c r="AD1516" s="38"/>
      <c r="AE1516" s="59" t="str">
        <f t="shared" si="71"/>
        <v>SÍ</v>
      </c>
      <c r="AF1516" s="38" t="e" cm="1">
        <f t="array" aca="1" ref="AF1516" ca="1">MIN(100, MAX(0, (IF(R1516="ESTUDIANTE", 31, 0)) + (IF(I1516&lt;=3, 30, IF(I1516&lt;=6, 20, 0))) +(IF(OR(E1516="413 - Control de Costes y Enlace Construcción", E1516="480 - Secretaría General del Consejo", E1516="132 - Civil y estructuras", E1516="136 - Mecánica", E1516="412 - Planificación", E1516="142 - Compras"), 25, 0)) +(IF(OR(S1516="GRADO ING. MECÁNICA", S1516="GRADO ING. ELÉCTRICA", S1516="GRADO DERECHO", S1516="GRADO ECONOMÍA", S1516="GRADO ING. TECNOLOGÍAS INDUSTRIALES"), 24, 0)) + (IF(AND(K1516&gt;=451, K1516&lt;=700), 23, 0)) + (IF(AND(AB1516&gt;=5, AB1516&lt;=8), 17, 0)) +(IF(_xludf.OR(_xludf.AND(AC1516&gt;=8, AC1516&lt;=10), _xludf.AND(AC1516&gt;=0, AC1516&lt;=5)), 16, 0)) + (IF(F1516="Madrid", 11, 0))))</f>
        <v>#NAME?</v>
      </c>
      <c r="AG1516" s="68"/>
      <c r="AH1516" s="71" t="s">
        <v>164</v>
      </c>
    </row>
    <row r="1517" spans="1:34" s="4" customFormat="1" ht="14.4" x14ac:dyDescent="0.3">
      <c r="A1517" s="66" t="s">
        <v>2495</v>
      </c>
      <c r="B1517" s="66" t="s">
        <v>4612</v>
      </c>
      <c r="C1517" s="33">
        <v>1516</v>
      </c>
      <c r="D1517" s="33" t="s">
        <v>5402</v>
      </c>
      <c r="E1517" s="34" t="s">
        <v>5306</v>
      </c>
      <c r="F1517" s="34" t="s">
        <v>18</v>
      </c>
      <c r="G1517" s="57">
        <v>45012</v>
      </c>
      <c r="H1517" s="57">
        <v>45377</v>
      </c>
      <c r="I1517" s="34">
        <f t="shared" si="69"/>
        <v>11</v>
      </c>
      <c r="J1517" s="34">
        <v>35</v>
      </c>
      <c r="K1517" s="36">
        <v>900</v>
      </c>
      <c r="L1517" s="34" t="s">
        <v>17</v>
      </c>
      <c r="M1517" s="35">
        <v>35888</v>
      </c>
      <c r="N1517" s="37">
        <f>(YEAR(TablaMadre[[#This Row],[ALTA]])-YEAR(M1517))</f>
        <v>25</v>
      </c>
      <c r="O1517" s="34" t="s">
        <v>205</v>
      </c>
      <c r="P1517" s="34" t="s">
        <v>19</v>
      </c>
      <c r="Q1517" s="34" t="s">
        <v>703</v>
      </c>
      <c r="R1517" s="34" t="s">
        <v>21</v>
      </c>
      <c r="S1517" s="34" t="s">
        <v>384</v>
      </c>
      <c r="T1517" s="34"/>
      <c r="U1517" s="34"/>
      <c r="V1517" s="34" t="s">
        <v>22</v>
      </c>
      <c r="W1517" s="34" t="s">
        <v>28</v>
      </c>
      <c r="X1517" s="34" t="s">
        <v>173</v>
      </c>
      <c r="Y1517" s="57"/>
      <c r="Z1517" s="34" t="e">
        <f t="shared" si="70"/>
        <v>#NUM!</v>
      </c>
      <c r="AA1517" s="34"/>
      <c r="AB1517" s="34">
        <v>8</v>
      </c>
      <c r="AC1517" s="34">
        <v>8</v>
      </c>
      <c r="AD1517" s="34"/>
      <c r="AE1517" s="59" t="str">
        <f t="shared" si="71"/>
        <v>SÍ</v>
      </c>
      <c r="AF1517" s="34" t="e" cm="1">
        <f t="array" aca="1" ref="AF1517" ca="1">MIN(100, MAX(0, (IF(R1517="ESTUDIANTE", 31, 0)) + (IF(I1517&lt;=3, 30, IF(I1517&lt;=6, 20, 0))) +(IF(OR(E1517="413 - Control de Costes y Enlace Construcción", E1517="480 - Secretaría General del Consejo", E1517="132 - Civil y estructuras", E1517="136 - Mecánica", E1517="412 - Planificación", E1517="142 - Compras"), 25, 0)) +(IF(OR(S1517="GRADO ING. MECÁNICA", S1517="GRADO ING. ELÉCTRICA", S1517="GRADO DERECHO", S1517="GRADO ECONOMÍA", S1517="GRADO ING. TECNOLOGÍAS INDUSTRIALES"), 24, 0)) + (IF(AND(K1517&gt;=451, K1517&lt;=700), 23, 0)) + (IF(AND(AB1517&gt;=5, AB1517&lt;=8), 17, 0)) +(IF(_xludf.OR(_xludf.AND(AC1517&gt;=8, AC1517&lt;=10), _xludf.AND(AC1517&gt;=0, AC1517&lt;=5)), 16, 0)) + (IF(F1517="Madrid", 11, 0))))</f>
        <v>#NAME?</v>
      </c>
      <c r="AG1517" s="69"/>
      <c r="AH1517" s="71" t="s">
        <v>164</v>
      </c>
    </row>
    <row r="1518" spans="1:34" s="4" customFormat="1" ht="14.4" x14ac:dyDescent="0.3">
      <c r="A1518" s="66" t="s">
        <v>2496</v>
      </c>
      <c r="B1518" s="66" t="s">
        <v>4613</v>
      </c>
      <c r="C1518" s="33">
        <v>1517</v>
      </c>
      <c r="D1518" s="33" t="s">
        <v>5393</v>
      </c>
      <c r="E1518" s="34" t="s">
        <v>5235</v>
      </c>
      <c r="F1518" s="34" t="s">
        <v>18</v>
      </c>
      <c r="G1518" s="57">
        <v>45017</v>
      </c>
      <c r="H1518" s="57">
        <v>45382</v>
      </c>
      <c r="I1518" s="34">
        <f t="shared" si="69"/>
        <v>11</v>
      </c>
      <c r="J1518" s="34">
        <v>40</v>
      </c>
      <c r="K1518" s="36">
        <v>0</v>
      </c>
      <c r="L1518" s="34" t="s">
        <v>17</v>
      </c>
      <c r="M1518" s="35">
        <v>36229</v>
      </c>
      <c r="N1518" s="37">
        <f>(YEAR(TablaMadre[[#This Row],[ALTA]])-YEAR(M1518))</f>
        <v>24</v>
      </c>
      <c r="O1518" s="34" t="s">
        <v>18</v>
      </c>
      <c r="P1518" s="34" t="s">
        <v>19</v>
      </c>
      <c r="Q1518" s="34" t="s">
        <v>322</v>
      </c>
      <c r="R1518" s="34" t="s">
        <v>30</v>
      </c>
      <c r="S1518" s="34" t="s">
        <v>322</v>
      </c>
      <c r="T1518" s="34"/>
      <c r="U1518" s="34"/>
      <c r="V1518" s="34" t="s">
        <v>67</v>
      </c>
      <c r="W1518" s="34" t="s">
        <v>97</v>
      </c>
      <c r="X1518" s="34" t="s">
        <v>173</v>
      </c>
      <c r="Y1518" s="57"/>
      <c r="Z1518" s="34" t="e">
        <f t="shared" si="70"/>
        <v>#NUM!</v>
      </c>
      <c r="AA1518" s="34"/>
      <c r="AB1518" s="34">
        <v>8</v>
      </c>
      <c r="AC1518" s="34">
        <v>9</v>
      </c>
      <c r="AD1518" s="34"/>
      <c r="AE1518" s="59" t="str">
        <f t="shared" si="71"/>
        <v>NO</v>
      </c>
      <c r="AF1518" s="34" t="e" cm="1">
        <f t="array" aca="1" ref="AF1518" ca="1">MIN(100, MAX(0, (IF(R1518="ESTUDIANTE", 31, 0)) + (IF(I1518&lt;=3, 30, IF(I1518&lt;=6, 20, 0))) +(IF(OR(E1518="413 - Control de Costes y Enlace Construcción", E1518="480 - Secretaría General del Consejo", E1518="132 - Civil y estructuras", E1518="136 - Mecánica", E1518="412 - Planificación", E1518="142 - Compras"), 25, 0)) +(IF(OR(S1518="GRADO ING. MECÁNICA", S1518="GRADO ING. ELÉCTRICA", S1518="GRADO DERECHO", S1518="GRADO ECONOMÍA", S1518="GRADO ING. TECNOLOGÍAS INDUSTRIALES"), 24, 0)) + (IF(AND(K1518&gt;=451, K1518&lt;=700), 23, 0)) + (IF(AND(AB1518&gt;=5, AB1518&lt;=8), 17, 0)) +(IF(_xludf.OR(_xludf.AND(AC1518&gt;=8, AC1518&lt;=10), _xludf.AND(AC1518&gt;=0, AC1518&lt;=5)), 16, 0)) + (IF(F1518="Madrid", 11, 0))))</f>
        <v>#NAME?</v>
      </c>
      <c r="AG1518" s="69"/>
      <c r="AH1518" s="71" t="s">
        <v>164</v>
      </c>
    </row>
    <row r="1519" spans="1:34" s="4" customFormat="1" ht="14.4" x14ac:dyDescent="0.3">
      <c r="A1519" s="66" t="s">
        <v>2497</v>
      </c>
      <c r="B1519" s="66" t="s">
        <v>4614</v>
      </c>
      <c r="C1519" s="33">
        <v>1518</v>
      </c>
      <c r="D1519" s="33" t="s">
        <v>5394</v>
      </c>
      <c r="E1519" s="34" t="s">
        <v>5235</v>
      </c>
      <c r="F1519" s="34" t="s">
        <v>18</v>
      </c>
      <c r="G1519" s="57">
        <v>45017</v>
      </c>
      <c r="H1519" s="57">
        <v>45382</v>
      </c>
      <c r="I1519" s="34">
        <f t="shared" si="69"/>
        <v>11</v>
      </c>
      <c r="J1519" s="34">
        <v>40</v>
      </c>
      <c r="K1519" s="36">
        <v>0</v>
      </c>
      <c r="L1519" s="34" t="s">
        <v>17</v>
      </c>
      <c r="M1519" s="35">
        <v>36687</v>
      </c>
      <c r="N1519" s="37">
        <f>(YEAR(TablaMadre[[#This Row],[ALTA]])-YEAR(M1519))</f>
        <v>23</v>
      </c>
      <c r="O1519" s="34" t="s">
        <v>249</v>
      </c>
      <c r="P1519" s="34" t="s">
        <v>19</v>
      </c>
      <c r="Q1519" s="34" t="s">
        <v>297</v>
      </c>
      <c r="R1519" s="34" t="s">
        <v>30</v>
      </c>
      <c r="S1519" s="34" t="s">
        <v>297</v>
      </c>
      <c r="T1519" s="34"/>
      <c r="U1519" s="34"/>
      <c r="V1519" s="34" t="s">
        <v>56</v>
      </c>
      <c r="W1519" s="34" t="s">
        <v>97</v>
      </c>
      <c r="X1519" s="34" t="s">
        <v>164</v>
      </c>
      <c r="Y1519" s="57">
        <v>45991</v>
      </c>
      <c r="Z1519" s="34">
        <f t="shared" si="70"/>
        <v>1</v>
      </c>
      <c r="AA1519" s="34"/>
      <c r="AB1519" s="34">
        <v>7</v>
      </c>
      <c r="AC1519" s="34">
        <v>10</v>
      </c>
      <c r="AD1519" s="34"/>
      <c r="AE1519" s="59" t="str">
        <f t="shared" si="71"/>
        <v>SÍ</v>
      </c>
      <c r="AF1519" s="34" t="e" cm="1">
        <f t="array" aca="1" ref="AF1519" ca="1">MIN(100, MAX(0, (IF(R1519="ESTUDIANTE", 31, 0)) + (IF(I1519&lt;=3, 30, IF(I1519&lt;=6, 20, 0))) +(IF(OR(E1519="413 - Control de Costes y Enlace Construcción", E1519="480 - Secretaría General del Consejo", E1519="132 - Civil y estructuras", E1519="136 - Mecánica", E1519="412 - Planificación", E1519="142 - Compras"), 25, 0)) +(IF(OR(S1519="GRADO ING. MECÁNICA", S1519="GRADO ING. ELÉCTRICA", S1519="GRADO DERECHO", S1519="GRADO ECONOMÍA", S1519="GRADO ING. TECNOLOGÍAS INDUSTRIALES"), 24, 0)) + (IF(AND(K1519&gt;=451, K1519&lt;=700), 23, 0)) + (IF(AND(AB1519&gt;=5, AB1519&lt;=8), 17, 0)) +(IF(_xludf.OR(_xludf.AND(AC1519&gt;=8, AC1519&lt;=10), _xludf.AND(AC1519&gt;=0, AC1519&lt;=5)), 16, 0)) + (IF(F1519="Madrid", 11, 0))))</f>
        <v>#NAME?</v>
      </c>
      <c r="AG1519" s="69"/>
      <c r="AH1519" s="71" t="s">
        <v>164</v>
      </c>
    </row>
    <row r="1520" spans="1:34" s="4" customFormat="1" ht="14.4" x14ac:dyDescent="0.3">
      <c r="A1520" s="66" t="s">
        <v>2501</v>
      </c>
      <c r="B1520" s="66" t="s">
        <v>4618</v>
      </c>
      <c r="C1520" s="33">
        <v>1522</v>
      </c>
      <c r="D1520" s="33" t="s">
        <v>5403</v>
      </c>
      <c r="E1520" s="34" t="s">
        <v>5241</v>
      </c>
      <c r="F1520" s="34" t="s">
        <v>18</v>
      </c>
      <c r="G1520" s="57">
        <v>45017</v>
      </c>
      <c r="H1520" s="57">
        <v>45382</v>
      </c>
      <c r="I1520" s="34">
        <f t="shared" si="69"/>
        <v>11</v>
      </c>
      <c r="J1520" s="34">
        <v>40</v>
      </c>
      <c r="K1520" s="36">
        <v>0</v>
      </c>
      <c r="L1520" s="34" t="s">
        <v>29</v>
      </c>
      <c r="M1520" s="35">
        <v>35139</v>
      </c>
      <c r="N1520" s="37">
        <f>(YEAR(TablaMadre[[#This Row],[ALTA]])-YEAR(M1520))</f>
        <v>27</v>
      </c>
      <c r="O1520" s="38" t="s">
        <v>211</v>
      </c>
      <c r="P1520" s="34" t="s">
        <v>19</v>
      </c>
      <c r="Q1520" s="34" t="s">
        <v>297</v>
      </c>
      <c r="R1520" s="34" t="s">
        <v>30</v>
      </c>
      <c r="S1520" s="34" t="s">
        <v>297</v>
      </c>
      <c r="T1520" s="34"/>
      <c r="U1520" s="34"/>
      <c r="V1520" s="34" t="s">
        <v>163</v>
      </c>
      <c r="W1520" s="34" t="s">
        <v>97</v>
      </c>
      <c r="X1520" s="34" t="s">
        <v>173</v>
      </c>
      <c r="Y1520" s="57"/>
      <c r="Z1520" s="34" t="e">
        <f t="shared" si="70"/>
        <v>#NUM!</v>
      </c>
      <c r="AA1520" s="34"/>
      <c r="AB1520" s="34">
        <v>7</v>
      </c>
      <c r="AC1520" s="34">
        <v>10</v>
      </c>
      <c r="AD1520" s="34"/>
      <c r="AE1520" s="59" t="str">
        <f t="shared" si="71"/>
        <v>SÍ</v>
      </c>
      <c r="AF1520" s="34" t="e" cm="1">
        <f t="array" aca="1" ref="AF1520" ca="1">MIN(100, MAX(0, (IF(R1520="ESTUDIANTE", 31, 0)) + (IF(I1520&lt;=3, 30, IF(I1520&lt;=6, 20, 0))) +(IF(OR(E1520="413 - Control de Costes y Enlace Construcción", E1520="480 - Secretaría General del Consejo", E1520="132 - Civil y estructuras", E1520="136 - Mecánica", E1520="412 - Planificación", E1520="142 - Compras"), 25, 0)) +(IF(OR(S1520="GRADO ING. MECÁNICA", S1520="GRADO ING. ELÉCTRICA", S1520="GRADO DERECHO", S1520="GRADO ECONOMÍA", S1520="GRADO ING. TECNOLOGÍAS INDUSTRIALES"), 24, 0)) + (IF(AND(K1520&gt;=451, K1520&lt;=700), 23, 0)) + (IF(AND(AB1520&gt;=5, AB1520&lt;=8), 17, 0)) +(IF(_xludf.OR(_xludf.AND(AC1520&gt;=8, AC1520&lt;=10), _xludf.AND(AC1520&gt;=0, AC1520&lt;=5)), 16, 0)) + (IF(F1520="Madrid", 11, 0))))</f>
        <v>#NAME?</v>
      </c>
      <c r="AG1520" s="69"/>
      <c r="AH1520" s="71" t="s">
        <v>164</v>
      </c>
    </row>
    <row r="1521" spans="1:34" s="4" customFormat="1" ht="14.4" x14ac:dyDescent="0.3">
      <c r="A1521" s="66" t="s">
        <v>2502</v>
      </c>
      <c r="B1521" s="66" t="s">
        <v>4619</v>
      </c>
      <c r="C1521" s="33">
        <v>1523</v>
      </c>
      <c r="D1521" s="33" t="s">
        <v>5404</v>
      </c>
      <c r="E1521" s="34" t="s">
        <v>5252</v>
      </c>
      <c r="F1521" s="34" t="s">
        <v>18</v>
      </c>
      <c r="G1521" s="57">
        <v>45017</v>
      </c>
      <c r="H1521" s="57">
        <v>45382</v>
      </c>
      <c r="I1521" s="34">
        <f t="shared" si="69"/>
        <v>11</v>
      </c>
      <c r="J1521" s="34">
        <v>40</v>
      </c>
      <c r="K1521" s="36">
        <v>0</v>
      </c>
      <c r="L1521" s="34" t="s">
        <v>17</v>
      </c>
      <c r="M1521" s="35">
        <v>35900</v>
      </c>
      <c r="N1521" s="37">
        <f>(YEAR(TablaMadre[[#This Row],[ALTA]])-YEAR(M1521))</f>
        <v>25</v>
      </c>
      <c r="O1521" s="34" t="s">
        <v>18</v>
      </c>
      <c r="P1521" s="34" t="s">
        <v>19</v>
      </c>
      <c r="Q1521" s="34" t="s">
        <v>630</v>
      </c>
      <c r="R1521" s="34" t="s">
        <v>30</v>
      </c>
      <c r="S1521" s="34" t="s">
        <v>136</v>
      </c>
      <c r="T1521" s="34"/>
      <c r="U1521" s="34"/>
      <c r="V1521" s="34" t="s">
        <v>67</v>
      </c>
      <c r="W1521" s="34" t="s">
        <v>97</v>
      </c>
      <c r="X1521" s="34" t="s">
        <v>164</v>
      </c>
      <c r="Y1521" s="57">
        <v>45533</v>
      </c>
      <c r="Z1521" s="34">
        <f t="shared" si="70"/>
        <v>0</v>
      </c>
      <c r="AA1521" s="34"/>
      <c r="AB1521" s="34" t="s">
        <v>693</v>
      </c>
      <c r="AC1521" s="34">
        <v>9</v>
      </c>
      <c r="AD1521" s="34"/>
      <c r="AE1521" s="59" t="str">
        <f t="shared" si="71"/>
        <v>NO</v>
      </c>
      <c r="AF1521" s="34" t="e" cm="1">
        <f t="array" aca="1" ref="AF1521" ca="1">MIN(100, MAX(0, (IF(R1521="ESTUDIANTE", 31, 0)) + (IF(I1521&lt;=3, 30, IF(I1521&lt;=6, 20, 0))) +(IF(OR(E1521="413 - Control de Costes y Enlace Construcción", E1521="480 - Secretaría General del Consejo", E1521="132 - Civil y estructuras", E1521="136 - Mecánica", E1521="412 - Planificación", E1521="142 - Compras"), 25, 0)) +(IF(OR(S1521="GRADO ING. MECÁNICA", S1521="GRADO ING. ELÉCTRICA", S1521="GRADO DERECHO", S1521="GRADO ECONOMÍA", S1521="GRADO ING. TECNOLOGÍAS INDUSTRIALES"), 24, 0)) + (IF(AND(K1521&gt;=451, K1521&lt;=700), 23, 0)) + (IF(AND(AB1521&gt;=5, AB1521&lt;=8), 17, 0)) +(IF(_xludf.OR(_xludf.AND(AC1521&gt;=8, AC1521&lt;=10), _xludf.AND(AC1521&gt;=0, AC1521&lt;=5)), 16, 0)) + (IF(F1521="Madrid", 11, 0))))</f>
        <v>#NAME?</v>
      </c>
      <c r="AG1521" s="69"/>
      <c r="AH1521" s="71" t="s">
        <v>164</v>
      </c>
    </row>
    <row r="1522" spans="1:34" s="4" customFormat="1" ht="14.4" x14ac:dyDescent="0.3">
      <c r="A1522" s="66" t="s">
        <v>2503</v>
      </c>
      <c r="B1522" s="66" t="s">
        <v>4620</v>
      </c>
      <c r="C1522" s="33">
        <v>1524</v>
      </c>
      <c r="D1522" s="33" t="s">
        <v>5405</v>
      </c>
      <c r="E1522" s="34" t="s">
        <v>5313</v>
      </c>
      <c r="F1522" s="34" t="s">
        <v>18</v>
      </c>
      <c r="G1522" s="57">
        <v>45017</v>
      </c>
      <c r="H1522" s="57">
        <v>45382</v>
      </c>
      <c r="I1522" s="34">
        <f t="shared" si="69"/>
        <v>11</v>
      </c>
      <c r="J1522" s="34">
        <v>40</v>
      </c>
      <c r="K1522" s="36">
        <v>0</v>
      </c>
      <c r="L1522" s="34" t="s">
        <v>17</v>
      </c>
      <c r="M1522" s="35">
        <v>36213</v>
      </c>
      <c r="N1522" s="37">
        <f>(YEAR(TablaMadre[[#This Row],[ALTA]])-YEAR(M1522))</f>
        <v>24</v>
      </c>
      <c r="O1522" s="34" t="s">
        <v>18</v>
      </c>
      <c r="P1522" s="34" t="s">
        <v>19</v>
      </c>
      <c r="Q1522" s="34" t="s">
        <v>136</v>
      </c>
      <c r="R1522" s="34" t="s">
        <v>30</v>
      </c>
      <c r="S1522" s="34" t="s">
        <v>136</v>
      </c>
      <c r="T1522" s="34"/>
      <c r="U1522" s="34"/>
      <c r="V1522" s="34" t="s">
        <v>22</v>
      </c>
      <c r="W1522" s="34" t="s">
        <v>97</v>
      </c>
      <c r="X1522" s="34" t="s">
        <v>164</v>
      </c>
      <c r="Y1522" s="57">
        <v>45565</v>
      </c>
      <c r="Z1522" s="34">
        <f t="shared" si="70"/>
        <v>0</v>
      </c>
      <c r="AA1522" s="34"/>
      <c r="AB1522" s="34" t="s">
        <v>693</v>
      </c>
      <c r="AC1522" s="34">
        <v>9</v>
      </c>
      <c r="AD1522" s="34"/>
      <c r="AE1522" s="59" t="str">
        <f t="shared" si="71"/>
        <v>NO</v>
      </c>
      <c r="AF1522" s="34" t="e" cm="1">
        <f t="array" aca="1" ref="AF1522" ca="1">MIN(100, MAX(0, (IF(R1522="ESTUDIANTE", 31, 0)) + (IF(I1522&lt;=3, 30, IF(I1522&lt;=6, 20, 0))) +(IF(OR(E1522="413 - Control de Costes y Enlace Construcción", E1522="480 - Secretaría General del Consejo", E1522="132 - Civil y estructuras", E1522="136 - Mecánica", E1522="412 - Planificación", E1522="142 - Compras"), 25, 0)) +(IF(OR(S1522="GRADO ING. MECÁNICA", S1522="GRADO ING. ELÉCTRICA", S1522="GRADO DERECHO", S1522="GRADO ECONOMÍA", S1522="GRADO ING. TECNOLOGÍAS INDUSTRIALES"), 24, 0)) + (IF(AND(K1522&gt;=451, K1522&lt;=700), 23, 0)) + (IF(AND(AB1522&gt;=5, AB1522&lt;=8), 17, 0)) +(IF(_xludf.OR(_xludf.AND(AC1522&gt;=8, AC1522&lt;=10), _xludf.AND(AC1522&gt;=0, AC1522&lt;=5)), 16, 0)) + (IF(F1522="Madrid", 11, 0))))</f>
        <v>#NAME?</v>
      </c>
      <c r="AG1522" s="69"/>
      <c r="AH1522" s="71" t="s">
        <v>164</v>
      </c>
    </row>
    <row r="1523" spans="1:34" s="4" customFormat="1" ht="14.4" x14ac:dyDescent="0.3">
      <c r="A1523" s="66" t="s">
        <v>2504</v>
      </c>
      <c r="B1523" s="66" t="s">
        <v>4621</v>
      </c>
      <c r="C1523" s="33">
        <v>1525</v>
      </c>
      <c r="D1523" s="33" t="s">
        <v>5396</v>
      </c>
      <c r="E1523" s="34" t="s">
        <v>5339</v>
      </c>
      <c r="F1523" s="34" t="s">
        <v>18</v>
      </c>
      <c r="G1523" s="57">
        <v>45017</v>
      </c>
      <c r="H1523" s="57">
        <v>45382</v>
      </c>
      <c r="I1523" s="34">
        <f t="shared" si="69"/>
        <v>11</v>
      </c>
      <c r="J1523" s="34">
        <v>40</v>
      </c>
      <c r="K1523" s="36">
        <v>0</v>
      </c>
      <c r="L1523" s="34" t="s">
        <v>29</v>
      </c>
      <c r="M1523" s="35">
        <v>36230</v>
      </c>
      <c r="N1523" s="37">
        <f>(YEAR(TablaMadre[[#This Row],[ALTA]])-YEAR(M1523))</f>
        <v>24</v>
      </c>
      <c r="O1523" s="34" t="s">
        <v>18</v>
      </c>
      <c r="P1523" s="34" t="s">
        <v>19</v>
      </c>
      <c r="Q1523" s="34" t="s">
        <v>707</v>
      </c>
      <c r="R1523" s="34" t="s">
        <v>30</v>
      </c>
      <c r="S1523" s="34" t="s">
        <v>708</v>
      </c>
      <c r="T1523" s="34"/>
      <c r="U1523" s="34"/>
      <c r="V1523" s="34" t="s">
        <v>40</v>
      </c>
      <c r="W1523" s="34" t="s">
        <v>97</v>
      </c>
      <c r="X1523" s="34" t="s">
        <v>173</v>
      </c>
      <c r="Y1523" s="57"/>
      <c r="Z1523" s="34" t="e">
        <f t="shared" si="70"/>
        <v>#NUM!</v>
      </c>
      <c r="AA1523" s="34"/>
      <c r="AB1523" s="34" t="s">
        <v>693</v>
      </c>
      <c r="AC1523" s="34">
        <v>8</v>
      </c>
      <c r="AD1523" s="34"/>
      <c r="AE1523" s="59" t="str">
        <f t="shared" si="71"/>
        <v>NO</v>
      </c>
      <c r="AF1523" s="34" t="e" cm="1">
        <f t="array" aca="1" ref="AF1523" ca="1">MIN(100, MAX(0, (IF(R1523="ESTUDIANTE", 31, 0)) + (IF(I1523&lt;=3, 30, IF(I1523&lt;=6, 20, 0))) +(IF(OR(E1523="413 - Control de Costes y Enlace Construcción", E1523="480 - Secretaría General del Consejo", E1523="132 - Civil y estructuras", E1523="136 - Mecánica", E1523="412 - Planificación", E1523="142 - Compras"), 25, 0)) +(IF(OR(S1523="GRADO ING. MECÁNICA", S1523="GRADO ING. ELÉCTRICA", S1523="GRADO DERECHO", S1523="GRADO ECONOMÍA", S1523="GRADO ING. TECNOLOGÍAS INDUSTRIALES"), 24, 0)) + (IF(AND(K1523&gt;=451, K1523&lt;=700), 23, 0)) + (IF(AND(AB1523&gt;=5, AB1523&lt;=8), 17, 0)) +(IF(_xludf.OR(_xludf.AND(AC1523&gt;=8, AC1523&lt;=10), _xludf.AND(AC1523&gt;=0, AC1523&lt;=5)), 16, 0)) + (IF(F1523="Madrid", 11, 0))))</f>
        <v>#NAME?</v>
      </c>
      <c r="AG1523" s="69"/>
      <c r="AH1523" s="71" t="s">
        <v>164</v>
      </c>
    </row>
    <row r="1524" spans="1:34" s="4" customFormat="1" ht="14.4" x14ac:dyDescent="0.3">
      <c r="A1524" s="66" t="s">
        <v>2505</v>
      </c>
      <c r="B1524" s="66" t="s">
        <v>4622</v>
      </c>
      <c r="C1524" s="33">
        <v>1526</v>
      </c>
      <c r="D1524" s="33" t="s">
        <v>5397</v>
      </c>
      <c r="E1524" s="34" t="s">
        <v>5241</v>
      </c>
      <c r="F1524" s="34" t="s">
        <v>18</v>
      </c>
      <c r="G1524" s="57">
        <v>45017</v>
      </c>
      <c r="H1524" s="57">
        <v>45382</v>
      </c>
      <c r="I1524" s="34">
        <f t="shared" si="69"/>
        <v>11</v>
      </c>
      <c r="J1524" s="34">
        <v>40</v>
      </c>
      <c r="K1524" s="36">
        <v>0</v>
      </c>
      <c r="L1524" s="34" t="s">
        <v>17</v>
      </c>
      <c r="M1524" s="35">
        <v>35060</v>
      </c>
      <c r="N1524" s="37">
        <f>(YEAR(TablaMadre[[#This Row],[ALTA]])-YEAR(M1524))</f>
        <v>28</v>
      </c>
      <c r="O1524" s="34" t="s">
        <v>18</v>
      </c>
      <c r="P1524" s="34" t="s">
        <v>19</v>
      </c>
      <c r="Q1524" s="34" t="s">
        <v>215</v>
      </c>
      <c r="R1524" s="34" t="s">
        <v>30</v>
      </c>
      <c r="S1524" s="34" t="s">
        <v>322</v>
      </c>
      <c r="T1524" s="34"/>
      <c r="U1524" s="34"/>
      <c r="V1524" s="34" t="s">
        <v>22</v>
      </c>
      <c r="W1524" s="34" t="s">
        <v>97</v>
      </c>
      <c r="X1524" s="34" t="s">
        <v>173</v>
      </c>
      <c r="Y1524" s="57"/>
      <c r="Z1524" s="34" t="e">
        <f t="shared" si="70"/>
        <v>#NUM!</v>
      </c>
      <c r="AA1524" s="34"/>
      <c r="AB1524" s="34">
        <v>8</v>
      </c>
      <c r="AC1524" s="34">
        <v>10</v>
      </c>
      <c r="AD1524" s="34"/>
      <c r="AE1524" s="59" t="str">
        <f t="shared" si="71"/>
        <v>NO</v>
      </c>
      <c r="AF1524" s="34" t="e" cm="1">
        <f t="array" aca="1" ref="AF1524" ca="1">MIN(100, MAX(0, (IF(R1524="ESTUDIANTE", 31, 0)) + (IF(I1524&lt;=3, 30, IF(I1524&lt;=6, 20, 0))) +(IF(OR(E1524="413 - Control de Costes y Enlace Construcción", E1524="480 - Secretaría General del Consejo", E1524="132 - Civil y estructuras", E1524="136 - Mecánica", E1524="412 - Planificación", E1524="142 - Compras"), 25, 0)) +(IF(OR(S1524="GRADO ING. MECÁNICA", S1524="GRADO ING. ELÉCTRICA", S1524="GRADO DERECHO", S1524="GRADO ECONOMÍA", S1524="GRADO ING. TECNOLOGÍAS INDUSTRIALES"), 24, 0)) + (IF(AND(K1524&gt;=451, K1524&lt;=700), 23, 0)) + (IF(AND(AB1524&gt;=5, AB1524&lt;=8), 17, 0)) +(IF(_xludf.OR(_xludf.AND(AC1524&gt;=8, AC1524&lt;=10), _xludf.AND(AC1524&gt;=0, AC1524&lt;=5)), 16, 0)) + (IF(F1524="Madrid", 11, 0))))</f>
        <v>#NAME?</v>
      </c>
      <c r="AG1524" s="69"/>
      <c r="AH1524" s="71" t="s">
        <v>164</v>
      </c>
    </row>
    <row r="1525" spans="1:34" s="4" customFormat="1" ht="14.4" x14ac:dyDescent="0.3">
      <c r="A1525" s="66" t="s">
        <v>2506</v>
      </c>
      <c r="B1525" s="66" t="s">
        <v>4623</v>
      </c>
      <c r="C1525" s="33">
        <v>1527</v>
      </c>
      <c r="D1525" s="33" t="s">
        <v>5393</v>
      </c>
      <c r="E1525" s="34" t="s">
        <v>5273</v>
      </c>
      <c r="F1525" s="34" t="s">
        <v>18</v>
      </c>
      <c r="G1525" s="57">
        <v>45017</v>
      </c>
      <c r="H1525" s="57">
        <v>45382</v>
      </c>
      <c r="I1525" s="34">
        <f t="shared" si="69"/>
        <v>11</v>
      </c>
      <c r="J1525" s="34">
        <v>40</v>
      </c>
      <c r="K1525" s="36">
        <v>0</v>
      </c>
      <c r="L1525" s="34" t="s">
        <v>17</v>
      </c>
      <c r="M1525" s="35">
        <v>35523</v>
      </c>
      <c r="N1525" s="37">
        <f>(YEAR(TablaMadre[[#This Row],[ALTA]])-YEAR(M1525))</f>
        <v>26</v>
      </c>
      <c r="O1525" s="34" t="s">
        <v>18</v>
      </c>
      <c r="P1525" s="34" t="s">
        <v>19</v>
      </c>
      <c r="Q1525" s="34" t="s">
        <v>709</v>
      </c>
      <c r="R1525" s="34" t="s">
        <v>30</v>
      </c>
      <c r="S1525" s="34" t="s">
        <v>307</v>
      </c>
      <c r="T1525" s="34"/>
      <c r="U1525" s="34"/>
      <c r="V1525" s="34" t="s">
        <v>22</v>
      </c>
      <c r="W1525" s="34" t="s">
        <v>97</v>
      </c>
      <c r="X1525" s="38" t="s">
        <v>173</v>
      </c>
      <c r="Y1525" s="62"/>
      <c r="Z1525" s="38" t="e">
        <f t="shared" si="70"/>
        <v>#NUM!</v>
      </c>
      <c r="AA1525" s="38"/>
      <c r="AB1525" s="34" t="s">
        <v>693</v>
      </c>
      <c r="AC1525" s="34">
        <v>8</v>
      </c>
      <c r="AD1525" s="38"/>
      <c r="AE1525" s="59" t="str">
        <f t="shared" si="71"/>
        <v>NO</v>
      </c>
      <c r="AF1525" s="34" t="e" cm="1">
        <f t="array" aca="1" ref="AF1525" ca="1">MIN(100, MAX(0, (IF(R1525="ESTUDIANTE", 31, 0)) + (IF(I1525&lt;=3, 30, IF(I1525&lt;=6, 20, 0))) +(IF(OR(E1525="413 - Control de Costes y Enlace Construcción", E1525="480 - Secretaría General del Consejo", E1525="132 - Civil y estructuras", E1525="136 - Mecánica", E1525="412 - Planificación", E1525="142 - Compras"), 25, 0)) +(IF(OR(S1525="GRADO ING. MECÁNICA", S1525="GRADO ING. ELÉCTRICA", S1525="GRADO DERECHO", S1525="GRADO ECONOMÍA", S1525="GRADO ING. TECNOLOGÍAS INDUSTRIALES"), 24, 0)) + (IF(AND(K1525&gt;=451, K1525&lt;=700), 23, 0)) + (IF(AND(AB1525&gt;=5, AB1525&lt;=8), 17, 0)) +(IF(_xludf.OR(_xludf.AND(AC1525&gt;=8, AC1525&lt;=10), _xludf.AND(AC1525&gt;=0, AC1525&lt;=5)), 16, 0)) + (IF(F1525="Madrid", 11, 0))))</f>
        <v>#NAME?</v>
      </c>
      <c r="AG1525" s="69"/>
      <c r="AH1525" s="71" t="s">
        <v>164</v>
      </c>
    </row>
    <row r="1526" spans="1:34" s="4" customFormat="1" ht="14.4" x14ac:dyDescent="0.3">
      <c r="A1526" s="66" t="s">
        <v>2977</v>
      </c>
      <c r="B1526" s="66" t="s">
        <v>5094</v>
      </c>
      <c r="C1526" s="33">
        <v>1519</v>
      </c>
      <c r="D1526" s="33" t="s">
        <v>5394</v>
      </c>
      <c r="E1526" s="34" t="s">
        <v>5351</v>
      </c>
      <c r="F1526" s="34" t="s">
        <v>18</v>
      </c>
      <c r="G1526" s="57">
        <v>45017</v>
      </c>
      <c r="H1526" s="57">
        <v>45382</v>
      </c>
      <c r="I1526" s="34">
        <f t="shared" si="69"/>
        <v>11</v>
      </c>
      <c r="J1526" s="34">
        <v>40</v>
      </c>
      <c r="K1526" s="36">
        <v>0</v>
      </c>
      <c r="L1526" s="34" t="s">
        <v>29</v>
      </c>
      <c r="M1526" s="35">
        <v>34632</v>
      </c>
      <c r="N1526" s="37">
        <f>(YEAR(TablaMadre[[#This Row],[ALTA]])-YEAR(M1526))</f>
        <v>29</v>
      </c>
      <c r="O1526" s="34" t="s">
        <v>99</v>
      </c>
      <c r="P1526" s="34" t="s">
        <v>19</v>
      </c>
      <c r="Q1526" s="34" t="s">
        <v>229</v>
      </c>
      <c r="R1526" s="34" t="s">
        <v>30</v>
      </c>
      <c r="S1526" s="34" t="s">
        <v>229</v>
      </c>
      <c r="T1526" s="34"/>
      <c r="U1526" s="34"/>
      <c r="V1526" s="34" t="s">
        <v>40</v>
      </c>
      <c r="W1526" s="34" t="s">
        <v>23</v>
      </c>
      <c r="X1526" s="34" t="s">
        <v>164</v>
      </c>
      <c r="Y1526" s="57"/>
      <c r="Z1526" s="34" t="e">
        <f t="shared" si="70"/>
        <v>#NUM!</v>
      </c>
      <c r="AA1526" s="34"/>
      <c r="AB1526" s="34" t="s">
        <v>680</v>
      </c>
      <c r="AC1526" s="34">
        <v>9</v>
      </c>
      <c r="AD1526" s="34"/>
      <c r="AE1526" s="59" t="str">
        <f t="shared" si="71"/>
        <v>SÍ</v>
      </c>
      <c r="AF1526" s="34" t="e" cm="1">
        <f t="array" aca="1" ref="AF1526" ca="1">MIN(100, MAX(0, (IF(R1526="ESTUDIANTE", 31, 0)) + (IF(I1526&lt;=3, 30, IF(I1526&lt;=6, 20, 0))) +(IF(OR(E1526="413 - Control de Costes y Enlace Construcción", E1526="480 - Secretaría General del Consejo", E1526="132 - Civil y estructuras", E1526="136 - Mecánica", E1526="412 - Planificación", E1526="142 - Compras"), 25, 0)) +(IF(OR(S1526="GRADO ING. MECÁNICA", S1526="GRADO ING. ELÉCTRICA", S1526="GRADO DERECHO", S1526="GRADO ECONOMÍA", S1526="GRADO ING. TECNOLOGÍAS INDUSTRIALES"), 24, 0)) + (IF(AND(K1526&gt;=451, K1526&lt;=700), 23, 0)) + (IF(AND(AB1526&gt;=5, AB1526&lt;=8), 17, 0)) +(IF(_xludf.OR(_xludf.AND(AC1526&gt;=8, AC1526&lt;=10), _xludf.AND(AC1526&gt;=0, AC1526&lt;=5)), 16, 0)) + (IF(F1526="Madrid", 11, 0))))</f>
        <v>#NAME?</v>
      </c>
      <c r="AG1526" s="69"/>
      <c r="AH1526" s="71" t="s">
        <v>164</v>
      </c>
    </row>
    <row r="1527" spans="1:34" s="4" customFormat="1" ht="14.4" x14ac:dyDescent="0.3">
      <c r="A1527" s="66" t="s">
        <v>2978</v>
      </c>
      <c r="B1527" s="66" t="s">
        <v>5095</v>
      </c>
      <c r="C1527" s="33">
        <v>1520</v>
      </c>
      <c r="D1527" s="33" t="s">
        <v>5395</v>
      </c>
      <c r="E1527" s="34" t="s">
        <v>5346</v>
      </c>
      <c r="F1527" s="34" t="s">
        <v>273</v>
      </c>
      <c r="G1527" s="57">
        <v>45017</v>
      </c>
      <c r="H1527" s="57">
        <v>45382</v>
      </c>
      <c r="I1527" s="34">
        <f t="shared" si="69"/>
        <v>11</v>
      </c>
      <c r="J1527" s="34">
        <v>40</v>
      </c>
      <c r="K1527" s="36">
        <v>0</v>
      </c>
      <c r="L1527" s="34" t="s">
        <v>17</v>
      </c>
      <c r="M1527" s="35">
        <v>36761</v>
      </c>
      <c r="N1527" s="37">
        <f>(YEAR(TablaMadre[[#This Row],[ALTA]])-YEAR(M1527))</f>
        <v>23</v>
      </c>
      <c r="O1527" s="34" t="s">
        <v>18</v>
      </c>
      <c r="P1527" s="34" t="s">
        <v>19</v>
      </c>
      <c r="Q1527" s="34" t="s">
        <v>322</v>
      </c>
      <c r="R1527" s="34" t="s">
        <v>30</v>
      </c>
      <c r="S1527" s="34" t="s">
        <v>322</v>
      </c>
      <c r="T1527" s="34"/>
      <c r="U1527" s="34"/>
      <c r="V1527" s="34" t="s">
        <v>67</v>
      </c>
      <c r="W1527" s="34" t="s">
        <v>23</v>
      </c>
      <c r="X1527" s="34" t="s">
        <v>164</v>
      </c>
      <c r="Y1527" s="57"/>
      <c r="Z1527" s="34" t="e">
        <f t="shared" si="70"/>
        <v>#NUM!</v>
      </c>
      <c r="AA1527" s="34"/>
      <c r="AB1527" s="34" t="s">
        <v>706</v>
      </c>
      <c r="AC1527" s="34" t="s">
        <v>706</v>
      </c>
      <c r="AD1527" s="34"/>
      <c r="AE1527" s="59" t="str">
        <f t="shared" si="71"/>
        <v>SÍ</v>
      </c>
      <c r="AF1527" s="34" t="e" cm="1">
        <f t="array" aca="1" ref="AF1527" ca="1">MIN(100, MAX(0, (IF(R1527="ESTUDIANTE", 31, 0)) + (IF(I1527&lt;=3, 30, IF(I1527&lt;=6, 20, 0))) +(IF(OR(E1527="413 - Control de Costes y Enlace Construcción", E1527="480 - Secretaría General del Consejo", E1527="132 - Civil y estructuras", E1527="136 - Mecánica", E1527="412 - Planificación", E1527="142 - Compras"), 25, 0)) +(IF(OR(S1527="GRADO ING. MECÁNICA", S1527="GRADO ING. ELÉCTRICA", S1527="GRADO DERECHO", S1527="GRADO ECONOMÍA", S1527="GRADO ING. TECNOLOGÍAS INDUSTRIALES"), 24, 0)) + (IF(AND(K1527&gt;=451, K1527&lt;=700), 23, 0)) + (IF(AND(AB1527&gt;=5, AB1527&lt;=8), 17, 0)) +(IF(_xludf.OR(_xludf.AND(AC1527&gt;=8, AC1527&lt;=10), _xludf.AND(AC1527&gt;=0, AC1527&lt;=5)), 16, 0)) + (IF(F1527="Madrid", 11, 0))))</f>
        <v>#NAME?</v>
      </c>
      <c r="AG1527" s="69"/>
      <c r="AH1527" s="71" t="s">
        <v>164</v>
      </c>
    </row>
    <row r="1528" spans="1:34" ht="14.4" x14ac:dyDescent="0.3">
      <c r="A1528" s="66" t="s">
        <v>2979</v>
      </c>
      <c r="B1528" s="66" t="s">
        <v>5096</v>
      </c>
      <c r="C1528" s="33">
        <v>1521</v>
      </c>
      <c r="D1528" s="33" t="s">
        <v>5396</v>
      </c>
      <c r="E1528" s="34" t="s">
        <v>5339</v>
      </c>
      <c r="F1528" s="34" t="s">
        <v>18</v>
      </c>
      <c r="G1528" s="57">
        <v>45017</v>
      </c>
      <c r="H1528" s="57">
        <v>45382</v>
      </c>
      <c r="I1528" s="34">
        <f t="shared" si="69"/>
        <v>11</v>
      </c>
      <c r="J1528" s="34">
        <v>40</v>
      </c>
      <c r="K1528" s="36">
        <v>0</v>
      </c>
      <c r="L1528" s="34" t="s">
        <v>17</v>
      </c>
      <c r="M1528" s="35">
        <v>35640</v>
      </c>
      <c r="N1528" s="37">
        <f>(YEAR(TablaMadre[[#This Row],[ALTA]])-YEAR(M1528))</f>
        <v>26</v>
      </c>
      <c r="O1528" s="34" t="s">
        <v>18</v>
      </c>
      <c r="P1528" s="34" t="s">
        <v>19</v>
      </c>
      <c r="Q1528" s="34" t="s">
        <v>384</v>
      </c>
      <c r="R1528" s="34" t="s">
        <v>30</v>
      </c>
      <c r="S1528" s="34" t="s">
        <v>384</v>
      </c>
      <c r="T1528" s="34"/>
      <c r="U1528" s="34"/>
      <c r="V1528" s="34" t="s">
        <v>56</v>
      </c>
      <c r="W1528" s="34" t="s">
        <v>23</v>
      </c>
      <c r="X1528" s="34" t="s">
        <v>164</v>
      </c>
      <c r="Y1528" s="57"/>
      <c r="Z1528" s="34" t="e">
        <f t="shared" si="70"/>
        <v>#NUM!</v>
      </c>
      <c r="AA1528" s="34"/>
      <c r="AB1528" s="34">
        <v>8</v>
      </c>
      <c r="AC1528" s="34">
        <v>9</v>
      </c>
      <c r="AD1528" s="34"/>
      <c r="AE1528" s="59" t="str">
        <f t="shared" si="71"/>
        <v>NO</v>
      </c>
      <c r="AF1528" s="38" t="e" cm="1">
        <f t="array" aca="1" ref="AF1528" ca="1">MIN(100, MAX(0, (IF(R1528="ESTUDIANTE", 31, 0)) + (IF(I1528&lt;=3, 30, IF(I1528&lt;=6, 20, 0))) +(IF(OR(E1528="413 - Control de Costes y Enlace Construcción", E1528="480 - Secretaría General del Consejo", E1528="132 - Civil y estructuras", E1528="136 - Mecánica", E1528="412 - Planificación", E1528="142 - Compras"), 25, 0)) +(IF(OR(S1528="GRADO ING. MECÁNICA", S1528="GRADO ING. ELÉCTRICA", S1528="GRADO DERECHO", S1528="GRADO ECONOMÍA", S1528="GRADO ING. TECNOLOGÍAS INDUSTRIALES"), 24, 0)) + (IF(AND(K1528&gt;=451, K1528&lt;=700), 23, 0)) + (IF(AND(AB1528&gt;=5, AB1528&lt;=8), 17, 0)) +(IF(_xludf.OR(_xludf.AND(AC1528&gt;=8, AC1528&lt;=10), _xludf.AND(AC1528&gt;=0, AC1528&lt;=5)), 16, 0)) + (IF(F1528="Madrid", 11, 0))))</f>
        <v>#NAME?</v>
      </c>
      <c r="AG1528" s="68"/>
      <c r="AH1528" s="71" t="s">
        <v>164</v>
      </c>
    </row>
    <row r="1529" spans="1:34" ht="14.4" x14ac:dyDescent="0.3">
      <c r="A1529" s="66" t="s">
        <v>2434</v>
      </c>
      <c r="B1529" s="66" t="s">
        <v>4551</v>
      </c>
      <c r="C1529" s="33">
        <v>1528</v>
      </c>
      <c r="D1529" s="33" t="s">
        <v>5397</v>
      </c>
      <c r="E1529" s="34" t="s">
        <v>5291</v>
      </c>
      <c r="F1529" s="34" t="s">
        <v>118</v>
      </c>
      <c r="G1529" s="57">
        <v>45033</v>
      </c>
      <c r="H1529" s="57">
        <v>45107</v>
      </c>
      <c r="I1529" s="34">
        <f t="shared" si="69"/>
        <v>2</v>
      </c>
      <c r="J1529" s="34">
        <v>25</v>
      </c>
      <c r="K1529" s="36">
        <v>590</v>
      </c>
      <c r="L1529" s="34" t="s">
        <v>17</v>
      </c>
      <c r="M1529" s="35">
        <v>34325</v>
      </c>
      <c r="N1529" s="37">
        <f>(YEAR(TablaMadre[[#This Row],[ALTA]])-YEAR(M1529))</f>
        <v>30</v>
      </c>
      <c r="O1529" s="34" t="s">
        <v>118</v>
      </c>
      <c r="P1529" s="34" t="s">
        <v>19</v>
      </c>
      <c r="Q1529" s="34" t="s">
        <v>636</v>
      </c>
      <c r="R1529" s="58" t="s">
        <v>30</v>
      </c>
      <c r="S1529" s="34" t="s">
        <v>151</v>
      </c>
      <c r="T1529" s="34"/>
      <c r="U1529" s="34"/>
      <c r="V1529" s="34" t="s">
        <v>37</v>
      </c>
      <c r="W1529" s="34" t="s">
        <v>91</v>
      </c>
      <c r="X1529" s="38" t="s">
        <v>164</v>
      </c>
      <c r="Y1529" s="62"/>
      <c r="Z1529" s="38" t="e">
        <f t="shared" si="70"/>
        <v>#NUM!</v>
      </c>
      <c r="AA1529" s="38"/>
      <c r="AB1529" s="34"/>
      <c r="AC1529" s="34"/>
      <c r="AD1529" s="38"/>
      <c r="AE1529" s="59" t="str">
        <f t="shared" si="71"/>
        <v>NO</v>
      </c>
      <c r="AF1529" s="38" t="e" cm="1">
        <f t="array" aca="1" ref="AF1529" ca="1">MIN(100, MAX(0, (IF(R1529="ESTUDIANTE", 31, 0)) + (IF(I1529&lt;=3, 30, IF(I1529&lt;=6, 20, 0))) +(IF(OR(E1529="413 - Control de Costes y Enlace Construcción", E1529="480 - Secretaría General del Consejo", E1529="132 - Civil y estructuras", E1529="136 - Mecánica", E1529="412 - Planificación", E1529="142 - Compras"), 25, 0)) +(IF(OR(S1529="GRADO ING. MECÁNICA", S1529="GRADO ING. ELÉCTRICA", S1529="GRADO DERECHO", S1529="GRADO ECONOMÍA", S1529="GRADO ING. TECNOLOGÍAS INDUSTRIALES"), 24, 0)) + (IF(AND(K1529&gt;=451, K1529&lt;=700), 23, 0)) + (IF(AND(AB1529&gt;=5, AB1529&lt;=8), 17, 0)) +(IF(_xludf.OR(_xludf.AND(AC1529&gt;=8, AC1529&lt;=10), _xludf.AND(AC1529&gt;=0, AC1529&lt;=5)), 16, 0)) + (IF(F1529="Madrid", 11, 0))))</f>
        <v>#NAME?</v>
      </c>
      <c r="AG1529" s="68"/>
      <c r="AH1529" s="71" t="s">
        <v>164</v>
      </c>
    </row>
    <row r="1530" spans="1:34" s="4" customFormat="1" ht="14.4" x14ac:dyDescent="0.3">
      <c r="A1530" s="66" t="s">
        <v>2508</v>
      </c>
      <c r="B1530" s="66" t="s">
        <v>4625</v>
      </c>
      <c r="C1530" s="33">
        <v>1529</v>
      </c>
      <c r="D1530" s="33" t="s">
        <v>5398</v>
      </c>
      <c r="E1530" s="34" t="s">
        <v>5306</v>
      </c>
      <c r="F1530" s="34" t="s">
        <v>118</v>
      </c>
      <c r="G1530" s="57">
        <v>45033</v>
      </c>
      <c r="H1530" s="57">
        <v>45398</v>
      </c>
      <c r="I1530" s="34">
        <f t="shared" si="69"/>
        <v>11</v>
      </c>
      <c r="J1530" s="34">
        <v>35</v>
      </c>
      <c r="K1530" s="36">
        <v>875</v>
      </c>
      <c r="L1530" s="34" t="s">
        <v>29</v>
      </c>
      <c r="M1530" s="35">
        <v>36159</v>
      </c>
      <c r="N1530" s="37">
        <f>(YEAR(TablaMadre[[#This Row],[ALTA]])-YEAR(M1530))</f>
        <v>25</v>
      </c>
      <c r="O1530" s="34" t="s">
        <v>118</v>
      </c>
      <c r="P1530" s="34" t="s">
        <v>19</v>
      </c>
      <c r="Q1530" s="34" t="s">
        <v>668</v>
      </c>
      <c r="R1530" s="34" t="s">
        <v>21</v>
      </c>
      <c r="S1530" s="34" t="s">
        <v>297</v>
      </c>
      <c r="T1530" s="34"/>
      <c r="U1530" s="34"/>
      <c r="V1530" s="34" t="s">
        <v>37</v>
      </c>
      <c r="W1530" s="34" t="s">
        <v>28</v>
      </c>
      <c r="X1530" s="34" t="s">
        <v>173</v>
      </c>
      <c r="Y1530" s="57"/>
      <c r="Z1530" s="34" t="e">
        <f t="shared" si="70"/>
        <v>#NUM!</v>
      </c>
      <c r="AA1530" s="34"/>
      <c r="AB1530" s="34">
        <v>9</v>
      </c>
      <c r="AC1530" s="34">
        <v>8</v>
      </c>
      <c r="AD1530" s="34"/>
      <c r="AE1530" s="59" t="str">
        <f t="shared" si="71"/>
        <v>NO</v>
      </c>
      <c r="AF1530" s="34" t="e" cm="1">
        <f t="array" aca="1" ref="AF1530" ca="1">MIN(100, MAX(0, (IF(R1530="ESTUDIANTE", 31, 0)) + (IF(I1530&lt;=3, 30, IF(I1530&lt;=6, 20, 0))) +(IF(OR(E1530="413 - Control de Costes y Enlace Construcción", E1530="480 - Secretaría General del Consejo", E1530="132 - Civil y estructuras", E1530="136 - Mecánica", E1530="412 - Planificación", E1530="142 - Compras"), 25, 0)) +(IF(OR(S1530="GRADO ING. MECÁNICA", S1530="GRADO ING. ELÉCTRICA", S1530="GRADO DERECHO", S1530="GRADO ECONOMÍA", S1530="GRADO ING. TECNOLOGÍAS INDUSTRIALES"), 24, 0)) + (IF(AND(K1530&gt;=451, K1530&lt;=700), 23, 0)) + (IF(AND(AB1530&gt;=5, AB1530&lt;=8), 17, 0)) +(IF(_xludf.OR(_xludf.AND(AC1530&gt;=8, AC1530&lt;=10), _xludf.AND(AC1530&gt;=0, AC1530&lt;=5)), 16, 0)) + (IF(F1530="Madrid", 11, 0))))</f>
        <v>#NAME?</v>
      </c>
      <c r="AG1530" s="69"/>
      <c r="AH1530" s="71" t="s">
        <v>164</v>
      </c>
    </row>
    <row r="1531" spans="1:34" s="4" customFormat="1" ht="14.4" x14ac:dyDescent="0.3">
      <c r="A1531" s="66" t="s">
        <v>2117</v>
      </c>
      <c r="B1531" s="66" t="s">
        <v>4234</v>
      </c>
      <c r="C1531" s="33">
        <v>1530</v>
      </c>
      <c r="D1531" s="33" t="s">
        <v>5399</v>
      </c>
      <c r="E1531" s="34" t="s">
        <v>5241</v>
      </c>
      <c r="F1531" s="34" t="s">
        <v>18</v>
      </c>
      <c r="G1531" s="57">
        <v>45040</v>
      </c>
      <c r="H1531" s="57">
        <v>45114</v>
      </c>
      <c r="I1531" s="34">
        <f t="shared" si="69"/>
        <v>2</v>
      </c>
      <c r="J1531" s="34">
        <v>35</v>
      </c>
      <c r="K1531" s="36">
        <v>825</v>
      </c>
      <c r="L1531" s="34" t="s">
        <v>29</v>
      </c>
      <c r="M1531" s="35">
        <v>36027</v>
      </c>
      <c r="N1531" s="37">
        <f>(YEAR(TablaMadre[[#This Row],[ALTA]])-YEAR(M1531))</f>
        <v>25</v>
      </c>
      <c r="O1531" s="34" t="s">
        <v>153</v>
      </c>
      <c r="P1531" s="34" t="s">
        <v>273</v>
      </c>
      <c r="Q1531" s="34" t="s">
        <v>640</v>
      </c>
      <c r="R1531" s="34" t="s">
        <v>21</v>
      </c>
      <c r="S1531" s="34" t="s">
        <v>297</v>
      </c>
      <c r="T1531" s="34"/>
      <c r="U1531" s="34"/>
      <c r="V1531" s="34" t="s">
        <v>180</v>
      </c>
      <c r="W1531" s="34" t="s">
        <v>47</v>
      </c>
      <c r="X1531" s="34" t="s">
        <v>164</v>
      </c>
      <c r="Y1531" s="57"/>
      <c r="Z1531" s="34" t="e">
        <f t="shared" si="70"/>
        <v>#NUM!</v>
      </c>
      <c r="AA1531" s="34"/>
      <c r="AB1531" s="34"/>
      <c r="AC1531" s="34"/>
      <c r="AD1531" s="34"/>
      <c r="AE1531" s="59" t="str">
        <f t="shared" si="71"/>
        <v>SÍ</v>
      </c>
      <c r="AF1531" s="34" t="e" cm="1">
        <f t="array" aca="1" ref="AF1531" ca="1">MIN(100, MAX(0, (IF(R1531="ESTUDIANTE", 31, 0)) + (IF(I1531&lt;=3, 30, IF(I1531&lt;=6, 20, 0))) +(IF(OR(E1531="413 - Control de Costes y Enlace Construcción", E1531="480 - Secretaría General del Consejo", E1531="132 - Civil y estructuras", E1531="136 - Mecánica", E1531="412 - Planificación", E1531="142 - Compras"), 25, 0)) +(IF(OR(S1531="GRADO ING. MECÁNICA", S1531="GRADO ING. ELÉCTRICA", S1531="GRADO DERECHO", S1531="GRADO ECONOMÍA", S1531="GRADO ING. TECNOLOGÍAS INDUSTRIALES"), 24, 0)) + (IF(AND(K1531&gt;=451, K1531&lt;=700), 23, 0)) + (IF(AND(AB1531&gt;=5, AB1531&lt;=8), 17, 0)) +(IF(_xludf.OR(_xludf.AND(AC1531&gt;=8, AC1531&lt;=10), _xludf.AND(AC1531&gt;=0, AC1531&lt;=5)), 16, 0)) + (IF(F1531="Madrid", 11, 0))))</f>
        <v>#NAME?</v>
      </c>
      <c r="AG1531" s="69"/>
      <c r="AH1531" s="71" t="s">
        <v>164</v>
      </c>
    </row>
    <row r="1532" spans="1:34" ht="14.4" x14ac:dyDescent="0.3">
      <c r="A1532" s="66" t="s">
        <v>2510</v>
      </c>
      <c r="B1532" s="66" t="s">
        <v>4627</v>
      </c>
      <c r="C1532" s="33">
        <v>1531</v>
      </c>
      <c r="D1532" s="33" t="s">
        <v>5400</v>
      </c>
      <c r="E1532" s="34" t="s">
        <v>5331</v>
      </c>
      <c r="F1532" s="34" t="s">
        <v>18</v>
      </c>
      <c r="G1532" s="57">
        <v>45040</v>
      </c>
      <c r="H1532" s="57">
        <v>45405</v>
      </c>
      <c r="I1532" s="34">
        <f t="shared" si="69"/>
        <v>11</v>
      </c>
      <c r="J1532" s="34">
        <v>35</v>
      </c>
      <c r="K1532" s="36">
        <v>900</v>
      </c>
      <c r="L1532" s="34" t="s">
        <v>29</v>
      </c>
      <c r="M1532" s="35">
        <v>35137</v>
      </c>
      <c r="N1532" s="37">
        <f>(YEAR(TablaMadre[[#This Row],[ALTA]])-YEAR(M1532))</f>
        <v>27</v>
      </c>
      <c r="O1532" s="34" t="s">
        <v>153</v>
      </c>
      <c r="P1532" s="34" t="s">
        <v>153</v>
      </c>
      <c r="Q1532" s="34" t="s">
        <v>711</v>
      </c>
      <c r="R1532" s="34" t="s">
        <v>21</v>
      </c>
      <c r="S1532" s="34" t="s">
        <v>322</v>
      </c>
      <c r="T1532" s="34"/>
      <c r="U1532" s="34"/>
      <c r="V1532" s="34" t="s">
        <v>90</v>
      </c>
      <c r="W1532" s="34" t="s">
        <v>127</v>
      </c>
      <c r="X1532" s="38" t="s">
        <v>173</v>
      </c>
      <c r="Y1532" s="62"/>
      <c r="Z1532" s="38" t="e">
        <f t="shared" si="70"/>
        <v>#NUM!</v>
      </c>
      <c r="AA1532" s="38"/>
      <c r="AB1532" s="34">
        <v>10</v>
      </c>
      <c r="AC1532" s="34">
        <v>8</v>
      </c>
      <c r="AD1532" s="38"/>
      <c r="AE1532" s="59" t="str">
        <f t="shared" si="71"/>
        <v>SÍ</v>
      </c>
      <c r="AF1532" s="38" t="e" cm="1">
        <f t="array" aca="1" ref="AF1532" ca="1">MIN(100, MAX(0, (IF(R1532="ESTUDIANTE", 31, 0)) + (IF(I1532&lt;=3, 30, IF(I1532&lt;=6, 20, 0))) +(IF(OR(E1532="413 - Control de Costes y Enlace Construcción", E1532="480 - Secretaría General del Consejo", E1532="132 - Civil y estructuras", E1532="136 - Mecánica", E1532="412 - Planificación", E1532="142 - Compras"), 25, 0)) +(IF(OR(S1532="GRADO ING. MECÁNICA", S1532="GRADO ING. ELÉCTRICA", S1532="GRADO DERECHO", S1532="GRADO ECONOMÍA", S1532="GRADO ING. TECNOLOGÍAS INDUSTRIALES"), 24, 0)) + (IF(AND(K1532&gt;=451, K1532&lt;=700), 23, 0)) + (IF(AND(AB1532&gt;=5, AB1532&lt;=8), 17, 0)) +(IF(_xludf.OR(_xludf.AND(AC1532&gt;=8, AC1532&lt;=10), _xludf.AND(AC1532&gt;=0, AC1532&lt;=5)), 16, 0)) + (IF(F1532="Madrid", 11, 0))))</f>
        <v>#NAME?</v>
      </c>
      <c r="AG1532" s="68"/>
      <c r="AH1532" s="71" t="s">
        <v>164</v>
      </c>
    </row>
    <row r="1533" spans="1:34" s="4" customFormat="1" ht="14.4" x14ac:dyDescent="0.3">
      <c r="A1533" s="66" t="s">
        <v>2511</v>
      </c>
      <c r="B1533" s="66" t="s">
        <v>4628</v>
      </c>
      <c r="C1533" s="33">
        <v>1532</v>
      </c>
      <c r="D1533" s="33" t="s">
        <v>5401</v>
      </c>
      <c r="E1533" s="34" t="s">
        <v>5255</v>
      </c>
      <c r="F1533" s="34" t="s">
        <v>977</v>
      </c>
      <c r="G1533" s="57">
        <v>45047</v>
      </c>
      <c r="H1533" s="57">
        <v>45412</v>
      </c>
      <c r="I1533" s="34">
        <f t="shared" si="69"/>
        <v>11</v>
      </c>
      <c r="J1533" s="34">
        <v>40</v>
      </c>
      <c r="K1533" s="36">
        <v>0</v>
      </c>
      <c r="L1533" s="34" t="s">
        <v>17</v>
      </c>
      <c r="M1533" s="35">
        <v>35038</v>
      </c>
      <c r="N1533" s="37">
        <f>(YEAR(TablaMadre[[#This Row],[ALTA]])-YEAR(M1533))</f>
        <v>28</v>
      </c>
      <c r="O1533" s="34" t="s">
        <v>146</v>
      </c>
      <c r="P1533" s="34" t="s">
        <v>19</v>
      </c>
      <c r="Q1533" s="34" t="s">
        <v>713</v>
      </c>
      <c r="R1533" s="34" t="s">
        <v>30</v>
      </c>
      <c r="S1533" s="34" t="s">
        <v>714</v>
      </c>
      <c r="T1533" s="34"/>
      <c r="U1533" s="34"/>
      <c r="V1533" s="34" t="s">
        <v>163</v>
      </c>
      <c r="W1533" s="34" t="s">
        <v>97</v>
      </c>
      <c r="X1533" s="34" t="s">
        <v>173</v>
      </c>
      <c r="Y1533" s="57"/>
      <c r="Z1533" s="34" t="e">
        <f t="shared" si="70"/>
        <v>#NUM!</v>
      </c>
      <c r="AA1533" s="34"/>
      <c r="AB1533" s="34">
        <v>7</v>
      </c>
      <c r="AC1533" s="34" t="s">
        <v>715</v>
      </c>
      <c r="AD1533" s="34"/>
      <c r="AE1533" s="59" t="str">
        <f t="shared" si="71"/>
        <v>SÍ</v>
      </c>
      <c r="AF1533" s="34" t="e" cm="1">
        <f t="array" aca="1" ref="AF1533" ca="1">MIN(100, MAX(0, (IF(R1533="ESTUDIANTE", 31, 0)) + (IF(I1533&lt;=3, 30, IF(I1533&lt;=6, 20, 0))) +(IF(OR(E1533="413 - Control de Costes y Enlace Construcción", E1533="480 - Secretaría General del Consejo", E1533="132 - Civil y estructuras", E1533="136 - Mecánica", E1533="412 - Planificación", E1533="142 - Compras"), 25, 0)) +(IF(OR(S1533="GRADO ING. MECÁNICA", S1533="GRADO ING. ELÉCTRICA", S1533="GRADO DERECHO", S1533="GRADO ECONOMÍA", S1533="GRADO ING. TECNOLOGÍAS INDUSTRIALES"), 24, 0)) + (IF(AND(K1533&gt;=451, K1533&lt;=700), 23, 0)) + (IF(AND(AB1533&gt;=5, AB1533&lt;=8), 17, 0)) +(IF(_xludf.OR(_xludf.AND(AC1533&gt;=8, AC1533&lt;=10), _xludf.AND(AC1533&gt;=0, AC1533&lt;=5)), 16, 0)) + (IF(F1533="Madrid", 11, 0))))</f>
        <v>#NAME?</v>
      </c>
      <c r="AG1533" s="69"/>
      <c r="AH1533" s="71" t="s">
        <v>164</v>
      </c>
    </row>
    <row r="1534" spans="1:34" s="4" customFormat="1" ht="14.4" x14ac:dyDescent="0.3">
      <c r="A1534" s="66" t="s">
        <v>2513</v>
      </c>
      <c r="B1534" s="66" t="s">
        <v>4630</v>
      </c>
      <c r="C1534" s="33">
        <v>1534</v>
      </c>
      <c r="D1534" s="33" t="s">
        <v>5402</v>
      </c>
      <c r="E1534" s="34" t="s">
        <v>5312</v>
      </c>
      <c r="F1534" s="34" t="s">
        <v>18</v>
      </c>
      <c r="G1534" s="57">
        <v>45047</v>
      </c>
      <c r="H1534" s="57">
        <v>45412</v>
      </c>
      <c r="I1534" s="34">
        <f t="shared" si="69"/>
        <v>11</v>
      </c>
      <c r="J1534" s="34">
        <v>40</v>
      </c>
      <c r="K1534" s="36">
        <v>0</v>
      </c>
      <c r="L1534" s="34" t="s">
        <v>17</v>
      </c>
      <c r="M1534" s="35">
        <v>35534</v>
      </c>
      <c r="N1534" s="37">
        <f>(YEAR(TablaMadre[[#This Row],[ALTA]])-YEAR(M1534))</f>
        <v>26</v>
      </c>
      <c r="O1534" s="34" t="s">
        <v>511</v>
      </c>
      <c r="P1534" s="34" t="s">
        <v>19</v>
      </c>
      <c r="Q1534" s="34" t="s">
        <v>136</v>
      </c>
      <c r="R1534" s="34" t="s">
        <v>30</v>
      </c>
      <c r="S1534" s="34" t="s">
        <v>136</v>
      </c>
      <c r="T1534" s="34"/>
      <c r="U1534" s="34"/>
      <c r="V1534" s="34" t="s">
        <v>163</v>
      </c>
      <c r="W1534" s="34" t="s">
        <v>97</v>
      </c>
      <c r="X1534" s="34" t="s">
        <v>173</v>
      </c>
      <c r="Y1534" s="57"/>
      <c r="Z1534" s="34" t="e">
        <f t="shared" si="70"/>
        <v>#NUM!</v>
      </c>
      <c r="AA1534" s="34"/>
      <c r="AB1534" s="34" t="s">
        <v>693</v>
      </c>
      <c r="AC1534" s="34">
        <v>8</v>
      </c>
      <c r="AD1534" s="34"/>
      <c r="AE1534" s="59" t="str">
        <f t="shared" si="71"/>
        <v>SÍ</v>
      </c>
      <c r="AF1534" s="34" t="e" cm="1">
        <f t="array" aca="1" ref="AF1534" ca="1">MIN(100, MAX(0, (IF(R1534="ESTUDIANTE", 31, 0)) + (IF(I1534&lt;=3, 30, IF(I1534&lt;=6, 20, 0))) +(IF(OR(E1534="413 - Control de Costes y Enlace Construcción", E1534="480 - Secretaría General del Consejo", E1534="132 - Civil y estructuras", E1534="136 - Mecánica", E1534="412 - Planificación", E1534="142 - Compras"), 25, 0)) +(IF(OR(S1534="GRADO ING. MECÁNICA", S1534="GRADO ING. ELÉCTRICA", S1534="GRADO DERECHO", S1534="GRADO ECONOMÍA", S1534="GRADO ING. TECNOLOGÍAS INDUSTRIALES"), 24, 0)) + (IF(AND(K1534&gt;=451, K1534&lt;=700), 23, 0)) + (IF(AND(AB1534&gt;=5, AB1534&lt;=8), 17, 0)) +(IF(_xludf.OR(_xludf.AND(AC1534&gt;=8, AC1534&lt;=10), _xludf.AND(AC1534&gt;=0, AC1534&lt;=5)), 16, 0)) + (IF(F1534="Madrid", 11, 0))))</f>
        <v>#NAME?</v>
      </c>
      <c r="AG1534" s="69"/>
      <c r="AH1534" s="71" t="s">
        <v>164</v>
      </c>
    </row>
    <row r="1535" spans="1:34" s="4" customFormat="1" ht="14.4" x14ac:dyDescent="0.3">
      <c r="A1535" s="66" t="s">
        <v>2983</v>
      </c>
      <c r="B1535" s="66" t="s">
        <v>5100</v>
      </c>
      <c r="C1535" s="33">
        <v>1533</v>
      </c>
      <c r="D1535" s="33" t="s">
        <v>5393</v>
      </c>
      <c r="E1535" s="34" t="s">
        <v>5327</v>
      </c>
      <c r="F1535" s="34" t="s">
        <v>18</v>
      </c>
      <c r="G1535" s="57">
        <v>45047</v>
      </c>
      <c r="H1535" s="57">
        <v>45412</v>
      </c>
      <c r="I1535" s="34">
        <f t="shared" si="69"/>
        <v>11</v>
      </c>
      <c r="J1535" s="34">
        <v>40</v>
      </c>
      <c r="K1535" s="36">
        <v>0</v>
      </c>
      <c r="L1535" s="34" t="s">
        <v>17</v>
      </c>
      <c r="M1535" s="35">
        <v>34181</v>
      </c>
      <c r="N1535" s="37">
        <f>(YEAR(TablaMadre[[#This Row],[ALTA]])-YEAR(M1535))</f>
        <v>30</v>
      </c>
      <c r="O1535" s="34" t="s">
        <v>18</v>
      </c>
      <c r="P1535" s="34" t="s">
        <v>19</v>
      </c>
      <c r="Q1535" s="34" t="s">
        <v>716</v>
      </c>
      <c r="R1535" s="34" t="s">
        <v>30</v>
      </c>
      <c r="S1535" s="34" t="s">
        <v>307</v>
      </c>
      <c r="T1535" s="34"/>
      <c r="U1535" s="34"/>
      <c r="V1535" s="34" t="s">
        <v>22</v>
      </c>
      <c r="W1535" s="34" t="s">
        <v>23</v>
      </c>
      <c r="X1535" s="34" t="s">
        <v>173</v>
      </c>
      <c r="Y1535" s="57"/>
      <c r="Z1535" s="34" t="e">
        <f t="shared" si="70"/>
        <v>#NUM!</v>
      </c>
      <c r="AA1535" s="34"/>
      <c r="AB1535" s="34">
        <v>5</v>
      </c>
      <c r="AC1535" s="34">
        <v>9</v>
      </c>
      <c r="AD1535" s="34"/>
      <c r="AE1535" s="59" t="str">
        <f t="shared" si="71"/>
        <v>NO</v>
      </c>
      <c r="AF1535" s="34" t="e" cm="1">
        <f t="array" aca="1" ref="AF1535" ca="1">MIN(100, MAX(0, (IF(R1535="ESTUDIANTE", 31, 0)) + (IF(I1535&lt;=3, 30, IF(I1535&lt;=6, 20, 0))) +(IF(OR(E1535="413 - Control de Costes y Enlace Construcción", E1535="480 - Secretaría General del Consejo", E1535="132 - Civil y estructuras", E1535="136 - Mecánica", E1535="412 - Planificación", E1535="142 - Compras"), 25, 0)) +(IF(OR(S1535="GRADO ING. MECÁNICA", S1535="GRADO ING. ELÉCTRICA", S1535="GRADO DERECHO", S1535="GRADO ECONOMÍA", S1535="GRADO ING. TECNOLOGÍAS INDUSTRIALES"), 24, 0)) + (IF(AND(K1535&gt;=451, K1535&lt;=700), 23, 0)) + (IF(AND(AB1535&gt;=5, AB1535&lt;=8), 17, 0)) +(IF(_xludf.OR(_xludf.AND(AC1535&gt;=8, AC1535&lt;=10), _xludf.AND(AC1535&gt;=0, AC1535&lt;=5)), 16, 0)) + (IF(F1535="Madrid", 11, 0))))</f>
        <v>#NAME?</v>
      </c>
      <c r="AG1535" s="69"/>
      <c r="AH1535" s="71" t="s">
        <v>164</v>
      </c>
    </row>
    <row r="1536" spans="1:34" ht="14.4" x14ac:dyDescent="0.3">
      <c r="A1536" s="66" t="s">
        <v>2984</v>
      </c>
      <c r="B1536" s="66" t="s">
        <v>5101</v>
      </c>
      <c r="C1536" s="33">
        <v>1535</v>
      </c>
      <c r="D1536" s="33" t="s">
        <v>5394</v>
      </c>
      <c r="E1536" s="34" t="s">
        <v>5352</v>
      </c>
      <c r="F1536" s="34" t="s">
        <v>931</v>
      </c>
      <c r="G1536" s="57">
        <v>45049</v>
      </c>
      <c r="H1536" s="57">
        <v>45107</v>
      </c>
      <c r="I1536" s="34">
        <f t="shared" si="69"/>
        <v>1</v>
      </c>
      <c r="J1536" s="34">
        <v>35</v>
      </c>
      <c r="K1536" s="36">
        <v>0</v>
      </c>
      <c r="L1536" s="34" t="s">
        <v>29</v>
      </c>
      <c r="M1536" s="35">
        <v>37699</v>
      </c>
      <c r="N1536" s="37">
        <f>(YEAR(TablaMadre[[#This Row],[ALTA]])-YEAR(M1536))</f>
        <v>20</v>
      </c>
      <c r="O1536" s="34"/>
      <c r="P1536" s="34" t="s">
        <v>19</v>
      </c>
      <c r="Q1536" s="34" t="s">
        <v>637</v>
      </c>
      <c r="R1536" s="34" t="s">
        <v>30</v>
      </c>
      <c r="S1536" s="34" t="s">
        <v>229</v>
      </c>
      <c r="T1536" s="34"/>
      <c r="U1536" s="34"/>
      <c r="V1536" s="34" t="s">
        <v>90</v>
      </c>
      <c r="W1536" s="34" t="s">
        <v>23</v>
      </c>
      <c r="X1536" s="38" t="s">
        <v>164</v>
      </c>
      <c r="Y1536" s="62"/>
      <c r="Z1536" s="38" t="e">
        <f t="shared" si="70"/>
        <v>#NUM!</v>
      </c>
      <c r="AA1536" s="38"/>
      <c r="AB1536" s="34"/>
      <c r="AC1536" s="34"/>
      <c r="AD1536" s="38"/>
      <c r="AE1536" s="59" t="str">
        <f t="shared" si="71"/>
        <v>SÍ</v>
      </c>
      <c r="AF1536" s="38" t="e" cm="1">
        <f t="array" aca="1" ref="AF1536" ca="1">MIN(100, MAX(0, (IF(R1536="ESTUDIANTE", 31, 0)) + (IF(I1536&lt;=3, 30, IF(I1536&lt;=6, 20, 0))) +(IF(OR(E1536="413 - Control de Costes y Enlace Construcción", E1536="480 - Secretaría General del Consejo", E1536="132 - Civil y estructuras", E1536="136 - Mecánica", E1536="412 - Planificación", E1536="142 - Compras"), 25, 0)) +(IF(OR(S1536="GRADO ING. MECÁNICA", S1536="GRADO ING. ELÉCTRICA", S1536="GRADO DERECHO", S1536="GRADO ECONOMÍA", S1536="GRADO ING. TECNOLOGÍAS INDUSTRIALES"), 24, 0)) + (IF(AND(K1536&gt;=451, K1536&lt;=700), 23, 0)) + (IF(AND(AB1536&gt;=5, AB1536&lt;=8), 17, 0)) +(IF(_xludf.OR(_xludf.AND(AC1536&gt;=8, AC1536&lt;=10), _xludf.AND(AC1536&gt;=0, AC1536&lt;=5)), 16, 0)) + (IF(F1536="Madrid", 11, 0))))</f>
        <v>#NAME?</v>
      </c>
      <c r="AG1536" s="68"/>
      <c r="AH1536" s="71" t="s">
        <v>164</v>
      </c>
    </row>
    <row r="1537" spans="1:34" s="4" customFormat="1" ht="14.4" x14ac:dyDescent="0.3">
      <c r="A1537" s="66" t="s">
        <v>2515</v>
      </c>
      <c r="B1537" s="66" t="s">
        <v>4632</v>
      </c>
      <c r="C1537" s="33">
        <v>1536</v>
      </c>
      <c r="D1537" s="33" t="s">
        <v>5403</v>
      </c>
      <c r="E1537" s="34" t="s">
        <v>5235</v>
      </c>
      <c r="F1537" s="34" t="s">
        <v>18</v>
      </c>
      <c r="G1537" s="57">
        <v>45054</v>
      </c>
      <c r="H1537" s="57">
        <v>45419</v>
      </c>
      <c r="I1537" s="34">
        <f t="shared" si="69"/>
        <v>11</v>
      </c>
      <c r="J1537" s="34">
        <v>35</v>
      </c>
      <c r="K1537" s="36">
        <v>955</v>
      </c>
      <c r="L1537" s="34" t="s">
        <v>17</v>
      </c>
      <c r="M1537" s="35">
        <v>36126</v>
      </c>
      <c r="N1537" s="37">
        <f>(YEAR(TablaMadre[[#This Row],[ALTA]])-YEAR(M1537))</f>
        <v>25</v>
      </c>
      <c r="O1537" s="34" t="s">
        <v>463</v>
      </c>
      <c r="P1537" s="34" t="s">
        <v>463</v>
      </c>
      <c r="Q1537" s="34" t="s">
        <v>720</v>
      </c>
      <c r="R1537" s="34" t="s">
        <v>21</v>
      </c>
      <c r="S1537" s="34" t="s">
        <v>721</v>
      </c>
      <c r="T1537" s="34"/>
      <c r="U1537" s="34"/>
      <c r="V1537" s="34" t="s">
        <v>40</v>
      </c>
      <c r="W1537" s="34" t="s">
        <v>28</v>
      </c>
      <c r="X1537" s="34" t="s">
        <v>173</v>
      </c>
      <c r="Y1537" s="57"/>
      <c r="Z1537" s="34" t="e">
        <f t="shared" si="70"/>
        <v>#NUM!</v>
      </c>
      <c r="AA1537" s="34"/>
      <c r="AB1537" s="34">
        <v>9</v>
      </c>
      <c r="AC1537" s="34">
        <v>8</v>
      </c>
      <c r="AD1537" s="34"/>
      <c r="AE1537" s="59" t="str">
        <f t="shared" si="71"/>
        <v>SÍ</v>
      </c>
      <c r="AF1537" s="34" t="e" cm="1">
        <f t="array" aca="1" ref="AF1537" ca="1">MIN(100, MAX(0, (IF(R1537="ESTUDIANTE", 31, 0)) + (IF(I1537&lt;=3, 30, IF(I1537&lt;=6, 20, 0))) +(IF(OR(E1537="413 - Control de Costes y Enlace Construcción", E1537="480 - Secretaría General del Consejo", E1537="132 - Civil y estructuras", E1537="136 - Mecánica", E1537="412 - Planificación", E1537="142 - Compras"), 25, 0)) +(IF(OR(S1537="GRADO ING. MECÁNICA", S1537="GRADO ING. ELÉCTRICA", S1537="GRADO DERECHO", S1537="GRADO ECONOMÍA", S1537="GRADO ING. TECNOLOGÍAS INDUSTRIALES"), 24, 0)) + (IF(AND(K1537&gt;=451, K1537&lt;=700), 23, 0)) + (IF(AND(AB1537&gt;=5, AB1537&lt;=8), 17, 0)) +(IF(_xludf.OR(_xludf.AND(AC1537&gt;=8, AC1537&lt;=10), _xludf.AND(AC1537&gt;=0, AC1537&lt;=5)), 16, 0)) + (IF(F1537="Madrid", 11, 0))))</f>
        <v>#NAME?</v>
      </c>
      <c r="AG1537" s="69"/>
      <c r="AH1537" s="71" t="s">
        <v>164</v>
      </c>
    </row>
    <row r="1538" spans="1:34" s="4" customFormat="1" ht="14.4" x14ac:dyDescent="0.3">
      <c r="A1538" s="66" t="s">
        <v>2516</v>
      </c>
      <c r="B1538" s="66" t="s">
        <v>4633</v>
      </c>
      <c r="C1538" s="33">
        <v>1537</v>
      </c>
      <c r="D1538" s="33" t="s">
        <v>5404</v>
      </c>
      <c r="E1538" s="34" t="s">
        <v>5306</v>
      </c>
      <c r="F1538" s="34" t="s">
        <v>18</v>
      </c>
      <c r="G1538" s="57">
        <v>45062</v>
      </c>
      <c r="H1538" s="57">
        <v>45427</v>
      </c>
      <c r="I1538" s="34">
        <f t="shared" ref="I1538:I1601" si="72">DATEDIF(G1538, H1538, "M")</f>
        <v>11</v>
      </c>
      <c r="J1538" s="34">
        <v>35</v>
      </c>
      <c r="K1538" s="36">
        <v>875</v>
      </c>
      <c r="L1538" s="34" t="s">
        <v>29</v>
      </c>
      <c r="M1538" s="35">
        <v>36280</v>
      </c>
      <c r="N1538" s="37">
        <f>(YEAR(TablaMadre[[#This Row],[ALTA]])-YEAR(M1538))</f>
        <v>24</v>
      </c>
      <c r="O1538" s="34" t="s">
        <v>143</v>
      </c>
      <c r="P1538" s="34" t="s">
        <v>19</v>
      </c>
      <c r="Q1538" s="34" t="s">
        <v>621</v>
      </c>
      <c r="R1538" s="34" t="s">
        <v>21</v>
      </c>
      <c r="S1538" s="34" t="s">
        <v>384</v>
      </c>
      <c r="T1538" s="34"/>
      <c r="U1538" s="34"/>
      <c r="V1538" s="34" t="s">
        <v>56</v>
      </c>
      <c r="W1538" s="34" t="s">
        <v>28</v>
      </c>
      <c r="X1538" s="34" t="s">
        <v>173</v>
      </c>
      <c r="Y1538" s="57"/>
      <c r="Z1538" s="34" t="e">
        <f t="shared" ref="Z1538:Z1601" si="73">DATEDIF(H1538, Y1538, "y")</f>
        <v>#NUM!</v>
      </c>
      <c r="AA1538" s="34"/>
      <c r="AB1538" s="34">
        <v>10</v>
      </c>
      <c r="AC1538" s="34">
        <v>9</v>
      </c>
      <c r="AD1538" s="34"/>
      <c r="AE1538" s="59" t="str">
        <f t="shared" si="71"/>
        <v>SÍ</v>
      </c>
      <c r="AF1538" s="34" t="e" cm="1">
        <f t="array" aca="1" ref="AF1538" ca="1">MIN(100, MAX(0, (IF(R1538="ESTUDIANTE", 31, 0)) + (IF(I1538&lt;=3, 30, IF(I1538&lt;=6, 20, 0))) +(IF(OR(E1538="413 - Control de Costes y Enlace Construcción", E1538="480 - Secretaría General del Consejo", E1538="132 - Civil y estructuras", E1538="136 - Mecánica", E1538="412 - Planificación", E1538="142 - Compras"), 25, 0)) +(IF(OR(S1538="GRADO ING. MECÁNICA", S1538="GRADO ING. ELÉCTRICA", S1538="GRADO DERECHO", S1538="GRADO ECONOMÍA", S1538="GRADO ING. TECNOLOGÍAS INDUSTRIALES"), 24, 0)) + (IF(AND(K1538&gt;=451, K1538&lt;=700), 23, 0)) + (IF(AND(AB1538&gt;=5, AB1538&lt;=8), 17, 0)) +(IF(_xludf.OR(_xludf.AND(AC1538&gt;=8, AC1538&lt;=10), _xludf.AND(AC1538&gt;=0, AC1538&lt;=5)), 16, 0)) + (IF(F1538="Madrid", 11, 0))))</f>
        <v>#NAME?</v>
      </c>
      <c r="AG1538" s="69"/>
      <c r="AH1538" s="71" t="s">
        <v>164</v>
      </c>
    </row>
    <row r="1539" spans="1:34" s="4" customFormat="1" ht="14.4" x14ac:dyDescent="0.3">
      <c r="A1539" s="66" t="s">
        <v>2443</v>
      </c>
      <c r="B1539" s="66" t="s">
        <v>4560</v>
      </c>
      <c r="C1539" s="33">
        <v>1538</v>
      </c>
      <c r="D1539" s="33" t="s">
        <v>5405</v>
      </c>
      <c r="E1539" s="34" t="s">
        <v>5236</v>
      </c>
      <c r="F1539" s="34" t="s">
        <v>18</v>
      </c>
      <c r="G1539" s="57">
        <v>45063</v>
      </c>
      <c r="H1539" s="57">
        <v>45428</v>
      </c>
      <c r="I1539" s="34">
        <f t="shared" si="72"/>
        <v>11</v>
      </c>
      <c r="J1539" s="34">
        <v>35</v>
      </c>
      <c r="K1539" s="36">
        <v>825</v>
      </c>
      <c r="L1539" s="34" t="s">
        <v>17</v>
      </c>
      <c r="M1539" s="35">
        <v>35737</v>
      </c>
      <c r="N1539" s="37">
        <f>(YEAR(TablaMadre[[#This Row],[ALTA]])-YEAR(M1539))</f>
        <v>26</v>
      </c>
      <c r="O1539" s="34" t="s">
        <v>837</v>
      </c>
      <c r="P1539" s="34" t="s">
        <v>560</v>
      </c>
      <c r="Q1539" s="34" t="s">
        <v>724</v>
      </c>
      <c r="R1539" s="34" t="s">
        <v>21</v>
      </c>
      <c r="S1539" s="34" t="s">
        <v>725</v>
      </c>
      <c r="T1539" s="34"/>
      <c r="U1539" s="34"/>
      <c r="V1539" s="34" t="s">
        <v>67</v>
      </c>
      <c r="W1539" s="34" t="s">
        <v>23</v>
      </c>
      <c r="X1539" s="34" t="s">
        <v>164</v>
      </c>
      <c r="Y1539" s="57"/>
      <c r="Z1539" s="34" t="e">
        <f t="shared" si="73"/>
        <v>#NUM!</v>
      </c>
      <c r="AA1539" s="34"/>
      <c r="AB1539" s="34">
        <v>6</v>
      </c>
      <c r="AC1539" s="34">
        <v>4</v>
      </c>
      <c r="AD1539" s="34"/>
      <c r="AE1539" s="59" t="str">
        <f t="shared" ref="AE1539:AE1602" si="74">IF(F1539=O1539, "NO", "SÍ")</f>
        <v>SÍ</v>
      </c>
      <c r="AF1539" s="34" t="e" cm="1">
        <f t="array" aca="1" ref="AF1539" ca="1">MIN(100, MAX(0, (IF(R1539="ESTUDIANTE", 31, 0)) + (IF(I1539&lt;=3, 30, IF(I1539&lt;=6, 20, 0))) +(IF(OR(E1539="413 - Control de Costes y Enlace Construcción", E1539="480 - Secretaría General del Consejo", E1539="132 - Civil y estructuras", E1539="136 - Mecánica", E1539="412 - Planificación", E1539="142 - Compras"), 25, 0)) +(IF(OR(S1539="GRADO ING. MECÁNICA", S1539="GRADO ING. ELÉCTRICA", S1539="GRADO DERECHO", S1539="GRADO ECONOMÍA", S1539="GRADO ING. TECNOLOGÍAS INDUSTRIALES"), 24, 0)) + (IF(AND(K1539&gt;=451, K1539&lt;=700), 23, 0)) + (IF(AND(AB1539&gt;=5, AB1539&lt;=8), 17, 0)) +(IF(_xludf.OR(_xludf.AND(AC1539&gt;=8, AC1539&lt;=10), _xludf.AND(AC1539&gt;=0, AC1539&lt;=5)), 16, 0)) + (IF(F1539="Madrid", 11, 0))))</f>
        <v>#NAME?</v>
      </c>
      <c r="AG1539" s="69"/>
      <c r="AH1539" s="71" t="s">
        <v>164</v>
      </c>
    </row>
    <row r="1540" spans="1:34" s="4" customFormat="1" ht="14.4" x14ac:dyDescent="0.3">
      <c r="A1540" s="66" t="s">
        <v>2457</v>
      </c>
      <c r="B1540" s="66" t="s">
        <v>4574</v>
      </c>
      <c r="C1540" s="33">
        <v>1539</v>
      </c>
      <c r="D1540" s="33" t="s">
        <v>5396</v>
      </c>
      <c r="E1540" s="34" t="s">
        <v>5268</v>
      </c>
      <c r="F1540" s="34" t="s">
        <v>18</v>
      </c>
      <c r="G1540" s="57">
        <v>45068</v>
      </c>
      <c r="H1540" s="57">
        <v>45103</v>
      </c>
      <c r="I1540" s="34">
        <f t="shared" si="72"/>
        <v>1</v>
      </c>
      <c r="J1540" s="34">
        <v>35</v>
      </c>
      <c r="K1540" s="36">
        <v>800</v>
      </c>
      <c r="L1540" s="34" t="s">
        <v>29</v>
      </c>
      <c r="M1540" s="35">
        <v>35860</v>
      </c>
      <c r="N1540" s="37">
        <f>(YEAR(TablaMadre[[#This Row],[ALTA]])-YEAR(M1540))</f>
        <v>25</v>
      </c>
      <c r="O1540" s="34" t="s">
        <v>18</v>
      </c>
      <c r="P1540" s="34" t="s">
        <v>19</v>
      </c>
      <c r="Q1540" s="34" t="s">
        <v>634</v>
      </c>
      <c r="R1540" s="34" t="s">
        <v>21</v>
      </c>
      <c r="S1540" s="34" t="s">
        <v>316</v>
      </c>
      <c r="T1540" s="34"/>
      <c r="U1540" s="34"/>
      <c r="V1540" s="34" t="s">
        <v>90</v>
      </c>
      <c r="W1540" s="34" t="s">
        <v>47</v>
      </c>
      <c r="X1540" s="34" t="s">
        <v>164</v>
      </c>
      <c r="Y1540" s="57"/>
      <c r="Z1540" s="34" t="e">
        <f t="shared" si="73"/>
        <v>#NUM!</v>
      </c>
      <c r="AA1540" s="34"/>
      <c r="AB1540" s="34"/>
      <c r="AC1540" s="34"/>
      <c r="AD1540" s="34"/>
      <c r="AE1540" s="59" t="str">
        <f t="shared" si="74"/>
        <v>NO</v>
      </c>
      <c r="AF1540" s="34" t="e" cm="1">
        <f t="array" aca="1" ref="AF1540" ca="1">MIN(100, MAX(0, (IF(R1540="ESTUDIANTE", 31, 0)) + (IF(I1540&lt;=3, 30, IF(I1540&lt;=6, 20, 0))) +(IF(OR(E1540="413 - Control de Costes y Enlace Construcción", E1540="480 - Secretaría General del Consejo", E1540="132 - Civil y estructuras", E1540="136 - Mecánica", E1540="412 - Planificación", E1540="142 - Compras"), 25, 0)) +(IF(OR(S1540="GRADO ING. MECÁNICA", S1540="GRADO ING. ELÉCTRICA", S1540="GRADO DERECHO", S1540="GRADO ECONOMÍA", S1540="GRADO ING. TECNOLOGÍAS INDUSTRIALES"), 24, 0)) + (IF(AND(K1540&gt;=451, K1540&lt;=700), 23, 0)) + (IF(AND(AB1540&gt;=5, AB1540&lt;=8), 17, 0)) +(IF(_xludf.OR(_xludf.AND(AC1540&gt;=8, AC1540&lt;=10), _xludf.AND(AC1540&gt;=0, AC1540&lt;=5)), 16, 0)) + (IF(F1540="Madrid", 11, 0))))</f>
        <v>#NAME?</v>
      </c>
      <c r="AG1540" s="69"/>
      <c r="AH1540" s="71" t="s">
        <v>164</v>
      </c>
    </row>
    <row r="1541" spans="1:34" ht="14.4" x14ac:dyDescent="0.3">
      <c r="A1541" s="66" t="s">
        <v>2519</v>
      </c>
      <c r="B1541" s="66" t="s">
        <v>4636</v>
      </c>
      <c r="C1541" s="33">
        <v>1540</v>
      </c>
      <c r="D1541" s="33" t="s">
        <v>5397</v>
      </c>
      <c r="E1541" s="34" t="s">
        <v>5252</v>
      </c>
      <c r="F1541" s="34" t="s">
        <v>118</v>
      </c>
      <c r="G1541" s="57">
        <v>45068</v>
      </c>
      <c r="H1541" s="57">
        <v>45433</v>
      </c>
      <c r="I1541" s="34">
        <f t="shared" si="72"/>
        <v>11</v>
      </c>
      <c r="J1541" s="34">
        <v>35</v>
      </c>
      <c r="K1541" s="36">
        <v>875</v>
      </c>
      <c r="L1541" s="34" t="s">
        <v>17</v>
      </c>
      <c r="M1541" s="35">
        <v>36377</v>
      </c>
      <c r="N1541" s="37">
        <f>(YEAR(TablaMadre[[#This Row],[ALTA]])-YEAR(M1541))</f>
        <v>24</v>
      </c>
      <c r="O1541" s="34" t="s">
        <v>118</v>
      </c>
      <c r="P1541" s="34" t="s">
        <v>19</v>
      </c>
      <c r="Q1541" s="34" t="s">
        <v>136</v>
      </c>
      <c r="R1541" s="34" t="s">
        <v>21</v>
      </c>
      <c r="S1541" s="34" t="s">
        <v>136</v>
      </c>
      <c r="T1541" s="34"/>
      <c r="U1541" s="34"/>
      <c r="V1541" s="34" t="s">
        <v>37</v>
      </c>
      <c r="W1541" s="34" t="s">
        <v>28</v>
      </c>
      <c r="X1541" s="38" t="s">
        <v>173</v>
      </c>
      <c r="Y1541" s="62"/>
      <c r="Z1541" s="38" t="e">
        <f t="shared" si="73"/>
        <v>#NUM!</v>
      </c>
      <c r="AA1541" s="38"/>
      <c r="AB1541" s="34">
        <v>10</v>
      </c>
      <c r="AC1541" s="34">
        <v>9</v>
      </c>
      <c r="AD1541" s="38"/>
      <c r="AE1541" s="59" t="str">
        <f t="shared" si="74"/>
        <v>NO</v>
      </c>
      <c r="AF1541" s="38" t="e" cm="1">
        <f t="array" aca="1" ref="AF1541" ca="1">MIN(100, MAX(0, (IF(R1541="ESTUDIANTE", 31, 0)) + (IF(I1541&lt;=3, 30, IF(I1541&lt;=6, 20, 0))) +(IF(OR(E1541="413 - Control de Costes y Enlace Construcción", E1541="480 - Secretaría General del Consejo", E1541="132 - Civil y estructuras", E1541="136 - Mecánica", E1541="412 - Planificación", E1541="142 - Compras"), 25, 0)) +(IF(OR(S1541="GRADO ING. MECÁNICA", S1541="GRADO ING. ELÉCTRICA", S1541="GRADO DERECHO", S1541="GRADO ECONOMÍA", S1541="GRADO ING. TECNOLOGÍAS INDUSTRIALES"), 24, 0)) + (IF(AND(K1541&gt;=451, K1541&lt;=700), 23, 0)) + (IF(AND(AB1541&gt;=5, AB1541&lt;=8), 17, 0)) +(IF(_xludf.OR(_xludf.AND(AC1541&gt;=8, AC1541&lt;=10), _xludf.AND(AC1541&gt;=0, AC1541&lt;=5)), 16, 0)) + (IF(F1541="Madrid", 11, 0))))</f>
        <v>#NAME?</v>
      </c>
      <c r="AG1541" s="68"/>
      <c r="AH1541" s="71" t="s">
        <v>164</v>
      </c>
    </row>
    <row r="1542" spans="1:34" ht="14.4" x14ac:dyDescent="0.3">
      <c r="A1542" s="66" t="s">
        <v>2459</v>
      </c>
      <c r="B1542" s="66" t="s">
        <v>4576</v>
      </c>
      <c r="C1542" s="33">
        <v>1541</v>
      </c>
      <c r="D1542" s="33" t="s">
        <v>5393</v>
      </c>
      <c r="E1542" s="34" t="s">
        <v>5353</v>
      </c>
      <c r="F1542" s="34" t="s">
        <v>18</v>
      </c>
      <c r="G1542" s="57">
        <v>45070</v>
      </c>
      <c r="H1542" s="57">
        <v>45202</v>
      </c>
      <c r="I1542" s="34">
        <f t="shared" si="72"/>
        <v>4</v>
      </c>
      <c r="J1542" s="34">
        <v>35</v>
      </c>
      <c r="K1542" s="36">
        <v>700</v>
      </c>
      <c r="L1542" s="34" t="s">
        <v>17</v>
      </c>
      <c r="M1542" s="35">
        <v>35913</v>
      </c>
      <c r="N1542" s="37">
        <f>(YEAR(TablaMadre[[#This Row],[ALTA]])-YEAR(M1542))</f>
        <v>25</v>
      </c>
      <c r="O1542" s="34" t="s">
        <v>949</v>
      </c>
      <c r="P1542" s="34" t="s">
        <v>19</v>
      </c>
      <c r="Q1542" s="34" t="s">
        <v>670</v>
      </c>
      <c r="R1542" s="58" t="s">
        <v>30</v>
      </c>
      <c r="S1542" s="34" t="s">
        <v>338</v>
      </c>
      <c r="T1542" s="34"/>
      <c r="U1542" s="34"/>
      <c r="V1542" s="34" t="s">
        <v>67</v>
      </c>
      <c r="W1542" s="34" t="s">
        <v>181</v>
      </c>
      <c r="X1542" s="38" t="s">
        <v>164</v>
      </c>
      <c r="Y1542" s="62"/>
      <c r="Z1542" s="38" t="e">
        <f t="shared" si="73"/>
        <v>#NUM!</v>
      </c>
      <c r="AA1542" s="38"/>
      <c r="AB1542" s="34"/>
      <c r="AC1542" s="34"/>
      <c r="AD1542" s="38"/>
      <c r="AE1542" s="59" t="str">
        <f t="shared" si="74"/>
        <v>SÍ</v>
      </c>
      <c r="AF1542" s="38" t="e" cm="1">
        <f t="array" aca="1" ref="AF1542" ca="1">MIN(100, MAX(0, (IF(R1542="ESTUDIANTE", 31, 0)) + (IF(I1542&lt;=3, 30, IF(I1542&lt;=6, 20, 0))) +(IF(OR(E1542="413 - Control de Costes y Enlace Construcción", E1542="480 - Secretaría General del Consejo", E1542="132 - Civil y estructuras", E1542="136 - Mecánica", E1542="412 - Planificación", E1542="142 - Compras"), 25, 0)) +(IF(OR(S1542="GRADO ING. MECÁNICA", S1542="GRADO ING. ELÉCTRICA", S1542="GRADO DERECHO", S1542="GRADO ECONOMÍA", S1542="GRADO ING. TECNOLOGÍAS INDUSTRIALES"), 24, 0)) + (IF(AND(K1542&gt;=451, K1542&lt;=700), 23, 0)) + (IF(AND(AB1542&gt;=5, AB1542&lt;=8), 17, 0)) +(IF(_xludf.OR(_xludf.AND(AC1542&gt;=8, AC1542&lt;=10), _xludf.AND(AC1542&gt;=0, AC1542&lt;=5)), 16, 0)) + (IF(F1542="Madrid", 11, 0))))</f>
        <v>#NAME?</v>
      </c>
      <c r="AG1542" s="68"/>
      <c r="AH1542" s="71" t="s">
        <v>164</v>
      </c>
    </row>
    <row r="1543" spans="1:34" s="4" customFormat="1" ht="14.4" x14ac:dyDescent="0.3">
      <c r="A1543" s="66" t="s">
        <v>2521</v>
      </c>
      <c r="B1543" s="66" t="s">
        <v>4638</v>
      </c>
      <c r="C1543" s="33">
        <v>1542</v>
      </c>
      <c r="D1543" s="33" t="s">
        <v>5394</v>
      </c>
      <c r="E1543" s="34" t="s">
        <v>5344</v>
      </c>
      <c r="F1543" s="34" t="s">
        <v>18</v>
      </c>
      <c r="G1543" s="57">
        <v>45075</v>
      </c>
      <c r="H1543" s="57">
        <v>45440</v>
      </c>
      <c r="I1543" s="34">
        <f t="shared" si="72"/>
        <v>11</v>
      </c>
      <c r="J1543" s="34">
        <v>35</v>
      </c>
      <c r="K1543" s="36">
        <v>700</v>
      </c>
      <c r="L1543" s="34" t="s">
        <v>17</v>
      </c>
      <c r="M1543" s="35">
        <v>35933</v>
      </c>
      <c r="N1543" s="37">
        <f>(YEAR(TablaMadre[[#This Row],[ALTA]])-YEAR(M1543))</f>
        <v>25</v>
      </c>
      <c r="O1543" s="34" t="s">
        <v>18</v>
      </c>
      <c r="P1543" s="34" t="s">
        <v>19</v>
      </c>
      <c r="Q1543" s="34" t="s">
        <v>518</v>
      </c>
      <c r="R1543" s="58" t="s">
        <v>30</v>
      </c>
      <c r="S1543" s="34" t="s">
        <v>151</v>
      </c>
      <c r="T1543" s="34"/>
      <c r="U1543" s="34"/>
      <c r="V1543" s="34" t="s">
        <v>22</v>
      </c>
      <c r="W1543" s="34" t="s">
        <v>127</v>
      </c>
      <c r="X1543" s="34" t="s">
        <v>173</v>
      </c>
      <c r="Y1543" s="57"/>
      <c r="Z1543" s="34" t="e">
        <f t="shared" si="73"/>
        <v>#NUM!</v>
      </c>
      <c r="AA1543" s="34"/>
      <c r="AB1543" s="34" t="s">
        <v>693</v>
      </c>
      <c r="AC1543" s="34">
        <v>9</v>
      </c>
      <c r="AD1543" s="34"/>
      <c r="AE1543" s="59" t="str">
        <f t="shared" si="74"/>
        <v>NO</v>
      </c>
      <c r="AF1543" s="34" t="e" cm="1">
        <f t="array" aca="1" ref="AF1543" ca="1">MIN(100, MAX(0, (IF(R1543="ESTUDIANTE", 31, 0)) + (IF(I1543&lt;=3, 30, IF(I1543&lt;=6, 20, 0))) +(IF(OR(E1543="413 - Control de Costes y Enlace Construcción", E1543="480 - Secretaría General del Consejo", E1543="132 - Civil y estructuras", E1543="136 - Mecánica", E1543="412 - Planificación", E1543="142 - Compras"), 25, 0)) +(IF(OR(S1543="GRADO ING. MECÁNICA", S1543="GRADO ING. ELÉCTRICA", S1543="GRADO DERECHO", S1543="GRADO ECONOMÍA", S1543="GRADO ING. TECNOLOGÍAS INDUSTRIALES"), 24, 0)) + (IF(AND(K1543&gt;=451, K1543&lt;=700), 23, 0)) + (IF(AND(AB1543&gt;=5, AB1543&lt;=8), 17, 0)) +(IF(_xludf.OR(_xludf.AND(AC1543&gt;=8, AC1543&lt;=10), _xludf.AND(AC1543&gt;=0, AC1543&lt;=5)), 16, 0)) + (IF(F1543="Madrid", 11, 0))))</f>
        <v>#NAME?</v>
      </c>
      <c r="AG1543" s="69"/>
      <c r="AH1543" s="71" t="s">
        <v>164</v>
      </c>
    </row>
    <row r="1544" spans="1:34" s="4" customFormat="1" ht="14.4" x14ac:dyDescent="0.3">
      <c r="A1544" s="66" t="s">
        <v>2985</v>
      </c>
      <c r="B1544" s="66" t="s">
        <v>5102</v>
      </c>
      <c r="C1544" s="33">
        <v>1543</v>
      </c>
      <c r="D1544" s="33" t="s">
        <v>5395</v>
      </c>
      <c r="E1544" s="34" t="s">
        <v>5236</v>
      </c>
      <c r="F1544" s="34" t="s">
        <v>18</v>
      </c>
      <c r="G1544" s="57">
        <v>45078</v>
      </c>
      <c r="H1544" s="57">
        <v>45442</v>
      </c>
      <c r="I1544" s="34">
        <f t="shared" si="72"/>
        <v>11</v>
      </c>
      <c r="J1544" s="34">
        <v>40</v>
      </c>
      <c r="K1544" s="36">
        <v>0</v>
      </c>
      <c r="L1544" s="34" t="s">
        <v>17</v>
      </c>
      <c r="M1544" s="35">
        <v>35636</v>
      </c>
      <c r="N1544" s="37">
        <f>(YEAR(TablaMadre[[#This Row],[ALTA]])-YEAR(M1544))</f>
        <v>26</v>
      </c>
      <c r="O1544" s="34" t="s">
        <v>205</v>
      </c>
      <c r="P1544" s="34" t="s">
        <v>19</v>
      </c>
      <c r="Q1544" s="34" t="s">
        <v>732</v>
      </c>
      <c r="R1544" s="34" t="s">
        <v>30</v>
      </c>
      <c r="S1544" s="34" t="s">
        <v>354</v>
      </c>
      <c r="T1544" s="34"/>
      <c r="U1544" s="34"/>
      <c r="V1544" s="34" t="s">
        <v>207</v>
      </c>
      <c r="W1544" s="34" t="s">
        <v>23</v>
      </c>
      <c r="X1544" s="34" t="s">
        <v>164</v>
      </c>
      <c r="Y1544" s="57"/>
      <c r="Z1544" s="34" t="e">
        <f t="shared" si="73"/>
        <v>#NUM!</v>
      </c>
      <c r="AA1544" s="34"/>
      <c r="AB1544" s="34">
        <v>8</v>
      </c>
      <c r="AC1544" s="34">
        <v>8</v>
      </c>
      <c r="AD1544" s="34"/>
      <c r="AE1544" s="59" t="str">
        <f t="shared" si="74"/>
        <v>SÍ</v>
      </c>
      <c r="AF1544" s="34" t="e" cm="1">
        <f t="array" aca="1" ref="AF1544" ca="1">MIN(100, MAX(0, (IF(R1544="ESTUDIANTE", 31, 0)) + (IF(I1544&lt;=3, 30, IF(I1544&lt;=6, 20, 0))) +(IF(OR(E1544="413 - Control de Costes y Enlace Construcción", E1544="480 - Secretaría General del Consejo", E1544="132 - Civil y estructuras", E1544="136 - Mecánica", E1544="412 - Planificación", E1544="142 - Compras"), 25, 0)) +(IF(OR(S1544="GRADO ING. MECÁNICA", S1544="GRADO ING. ELÉCTRICA", S1544="GRADO DERECHO", S1544="GRADO ECONOMÍA", S1544="GRADO ING. TECNOLOGÍAS INDUSTRIALES"), 24, 0)) + (IF(AND(K1544&gt;=451, K1544&lt;=700), 23, 0)) + (IF(AND(AB1544&gt;=5, AB1544&lt;=8), 17, 0)) +(IF(_xludf.OR(_xludf.AND(AC1544&gt;=8, AC1544&lt;=10), _xludf.AND(AC1544&gt;=0, AC1544&lt;=5)), 16, 0)) + (IF(F1544="Madrid", 11, 0))))</f>
        <v>#NAME?</v>
      </c>
      <c r="AG1544" s="69"/>
      <c r="AH1544" s="71" t="s">
        <v>164</v>
      </c>
    </row>
    <row r="1545" spans="1:34" ht="14.4" x14ac:dyDescent="0.3">
      <c r="A1545" s="66" t="s">
        <v>2993</v>
      </c>
      <c r="B1545" s="66" t="s">
        <v>5110</v>
      </c>
      <c r="C1545" s="33">
        <v>1544</v>
      </c>
      <c r="D1545" s="33" t="s">
        <v>5396</v>
      </c>
      <c r="E1545" s="34" t="s">
        <v>5236</v>
      </c>
      <c r="F1545" s="34" t="s">
        <v>18</v>
      </c>
      <c r="G1545" s="57">
        <v>45082</v>
      </c>
      <c r="H1545" s="57">
        <v>45121</v>
      </c>
      <c r="I1545" s="34">
        <f t="shared" si="72"/>
        <v>1</v>
      </c>
      <c r="J1545" s="34">
        <v>35</v>
      </c>
      <c r="K1545" s="36">
        <v>0</v>
      </c>
      <c r="L1545" s="34" t="s">
        <v>29</v>
      </c>
      <c r="M1545" s="35">
        <v>37955</v>
      </c>
      <c r="N1545" s="37">
        <f>(YEAR(TablaMadre[[#This Row],[ALTA]])-YEAR(M1545))</f>
        <v>20</v>
      </c>
      <c r="O1545" s="34" t="s">
        <v>18</v>
      </c>
      <c r="P1545" s="34" t="s">
        <v>19</v>
      </c>
      <c r="Q1545" s="34" t="s">
        <v>646</v>
      </c>
      <c r="R1545" s="34" t="s">
        <v>30</v>
      </c>
      <c r="S1545" s="34" t="s">
        <v>647</v>
      </c>
      <c r="T1545" s="34"/>
      <c r="U1545" s="34"/>
      <c r="V1545" s="34" t="s">
        <v>137</v>
      </c>
      <c r="W1545" s="34" t="s">
        <v>23</v>
      </c>
      <c r="X1545" s="38" t="s">
        <v>164</v>
      </c>
      <c r="Y1545" s="62"/>
      <c r="Z1545" s="38" t="e">
        <f t="shared" si="73"/>
        <v>#NUM!</v>
      </c>
      <c r="AA1545" s="38"/>
      <c r="AB1545" s="34"/>
      <c r="AC1545" s="34"/>
      <c r="AD1545" s="38"/>
      <c r="AE1545" s="59" t="str">
        <f t="shared" si="74"/>
        <v>NO</v>
      </c>
      <c r="AF1545" s="38" t="e" cm="1">
        <f t="array" aca="1" ref="AF1545" ca="1">MIN(100, MAX(0, (IF(R1545="ESTUDIANTE", 31, 0)) + (IF(I1545&lt;=3, 30, IF(I1545&lt;=6, 20, 0))) +(IF(OR(E1545="413 - Control de Costes y Enlace Construcción", E1545="480 - Secretaría General del Consejo", E1545="132 - Civil y estructuras", E1545="136 - Mecánica", E1545="412 - Planificación", E1545="142 - Compras"), 25, 0)) +(IF(OR(S1545="GRADO ING. MECÁNICA", S1545="GRADO ING. ELÉCTRICA", S1545="GRADO DERECHO", S1545="GRADO ECONOMÍA", S1545="GRADO ING. TECNOLOGÍAS INDUSTRIALES"), 24, 0)) + (IF(AND(K1545&gt;=451, K1545&lt;=700), 23, 0)) + (IF(AND(AB1545&gt;=5, AB1545&lt;=8), 17, 0)) +(IF(_xludf.OR(_xludf.AND(AC1545&gt;=8, AC1545&lt;=10), _xludf.AND(AC1545&gt;=0, AC1545&lt;=5)), 16, 0)) + (IF(F1545="Madrid", 11, 0))))</f>
        <v>#NAME?</v>
      </c>
      <c r="AG1545" s="68"/>
      <c r="AH1545" s="71" t="s">
        <v>164</v>
      </c>
    </row>
    <row r="1546" spans="1:34" ht="14.4" x14ac:dyDescent="0.3">
      <c r="A1546" s="66" t="s">
        <v>2524</v>
      </c>
      <c r="B1546" s="66" t="s">
        <v>4641</v>
      </c>
      <c r="C1546" s="33">
        <v>1545</v>
      </c>
      <c r="D1546" s="33" t="s">
        <v>5397</v>
      </c>
      <c r="E1546" s="34" t="s">
        <v>5241</v>
      </c>
      <c r="F1546" s="34" t="s">
        <v>18</v>
      </c>
      <c r="G1546" s="57">
        <v>45096</v>
      </c>
      <c r="H1546" s="57">
        <v>45291</v>
      </c>
      <c r="I1546" s="34">
        <f t="shared" si="72"/>
        <v>6</v>
      </c>
      <c r="J1546" s="34">
        <v>35</v>
      </c>
      <c r="K1546" s="36">
        <v>700</v>
      </c>
      <c r="L1546" s="34" t="s">
        <v>17</v>
      </c>
      <c r="M1546" s="35">
        <v>36072</v>
      </c>
      <c r="N1546" s="37">
        <f>(YEAR(TablaMadre[[#This Row],[ALTA]])-YEAR(M1546))</f>
        <v>25</v>
      </c>
      <c r="O1546" s="34" t="s">
        <v>18</v>
      </c>
      <c r="P1546" s="34" t="s">
        <v>19</v>
      </c>
      <c r="Q1546" s="34" t="s">
        <v>681</v>
      </c>
      <c r="R1546" s="58" t="s">
        <v>30</v>
      </c>
      <c r="S1546" s="34" t="s">
        <v>307</v>
      </c>
      <c r="T1546" s="34"/>
      <c r="U1546" s="34"/>
      <c r="V1546" s="34" t="s">
        <v>22</v>
      </c>
      <c r="W1546" s="34" t="s">
        <v>127</v>
      </c>
      <c r="X1546" s="38" t="s">
        <v>173</v>
      </c>
      <c r="Y1546" s="62"/>
      <c r="Z1546" s="38" t="e">
        <f t="shared" si="73"/>
        <v>#NUM!</v>
      </c>
      <c r="AA1546" s="38"/>
      <c r="AB1546" s="34" t="s">
        <v>682</v>
      </c>
      <c r="AC1546" s="34">
        <v>9</v>
      </c>
      <c r="AD1546" s="38"/>
      <c r="AE1546" s="59" t="str">
        <f t="shared" si="74"/>
        <v>NO</v>
      </c>
      <c r="AF1546" s="38" t="e" cm="1">
        <f t="array" aca="1" ref="AF1546" ca="1">MIN(100, MAX(0, (IF(R1546="ESTUDIANTE", 31, 0)) + (IF(I1546&lt;=3, 30, IF(I1546&lt;=6, 20, 0))) +(IF(OR(E1546="413 - Control de Costes y Enlace Construcción", E1546="480 - Secretaría General del Consejo", E1546="132 - Civil y estructuras", E1546="136 - Mecánica", E1546="412 - Planificación", E1546="142 - Compras"), 25, 0)) +(IF(OR(S1546="GRADO ING. MECÁNICA", S1546="GRADO ING. ELÉCTRICA", S1546="GRADO DERECHO", S1546="GRADO ECONOMÍA", S1546="GRADO ING. TECNOLOGÍAS INDUSTRIALES"), 24, 0)) + (IF(AND(K1546&gt;=451, K1546&lt;=700), 23, 0)) + (IF(AND(AB1546&gt;=5, AB1546&lt;=8), 17, 0)) +(IF(_xludf.OR(_xludf.AND(AC1546&gt;=8, AC1546&lt;=10), _xludf.AND(AC1546&gt;=0, AC1546&lt;=5)), 16, 0)) + (IF(F1546="Madrid", 11, 0))))</f>
        <v>#NAME?</v>
      </c>
      <c r="AG1546" s="68"/>
      <c r="AH1546" s="71" t="s">
        <v>164</v>
      </c>
    </row>
    <row r="1547" spans="1:34" ht="14.4" x14ac:dyDescent="0.3">
      <c r="A1547" s="66" t="s">
        <v>2460</v>
      </c>
      <c r="B1547" s="66" t="s">
        <v>4577</v>
      </c>
      <c r="C1547" s="33">
        <v>1546</v>
      </c>
      <c r="D1547" s="33" t="s">
        <v>5398</v>
      </c>
      <c r="E1547" s="34" t="s">
        <v>5354</v>
      </c>
      <c r="F1547" s="34" t="s">
        <v>18</v>
      </c>
      <c r="G1547" s="57">
        <v>45097</v>
      </c>
      <c r="H1547" s="57">
        <v>45279</v>
      </c>
      <c r="I1547" s="34">
        <f t="shared" si="72"/>
        <v>5</v>
      </c>
      <c r="J1547" s="34">
        <v>30</v>
      </c>
      <c r="K1547" s="36">
        <v>750</v>
      </c>
      <c r="L1547" s="34" t="s">
        <v>29</v>
      </c>
      <c r="M1547" s="35">
        <v>35929</v>
      </c>
      <c r="N1547" s="37">
        <f>(YEAR(TablaMadre[[#This Row],[ALTA]])-YEAR(M1547))</f>
        <v>25</v>
      </c>
      <c r="O1547" s="34" t="s">
        <v>293</v>
      </c>
      <c r="P1547" s="34" t="s">
        <v>19</v>
      </c>
      <c r="Q1547" s="34" t="s">
        <v>678</v>
      </c>
      <c r="R1547" s="34" t="s">
        <v>21</v>
      </c>
      <c r="S1547" s="34" t="s">
        <v>322</v>
      </c>
      <c r="T1547" s="34"/>
      <c r="U1547" s="34"/>
      <c r="V1547" s="34" t="s">
        <v>137</v>
      </c>
      <c r="W1547" s="34" t="s">
        <v>380</v>
      </c>
      <c r="X1547" s="38" t="s">
        <v>173</v>
      </c>
      <c r="Y1547" s="62"/>
      <c r="Z1547" s="38" t="e">
        <f t="shared" si="73"/>
        <v>#NUM!</v>
      </c>
      <c r="AA1547" s="38"/>
      <c r="AB1547" s="34"/>
      <c r="AC1547" s="34"/>
      <c r="AD1547" s="38"/>
      <c r="AE1547" s="59" t="str">
        <f t="shared" si="74"/>
        <v>SÍ</v>
      </c>
      <c r="AF1547" s="38" t="e" cm="1">
        <f t="array" aca="1" ref="AF1547" ca="1">MIN(100, MAX(0, (IF(R1547="ESTUDIANTE", 31, 0)) + (IF(I1547&lt;=3, 30, IF(I1547&lt;=6, 20, 0))) +(IF(OR(E1547="413 - Control de Costes y Enlace Construcción", E1547="480 - Secretaría General del Consejo", E1547="132 - Civil y estructuras", E1547="136 - Mecánica", E1547="412 - Planificación", E1547="142 - Compras"), 25, 0)) +(IF(OR(S1547="GRADO ING. MECÁNICA", S1547="GRADO ING. ELÉCTRICA", S1547="GRADO DERECHO", S1547="GRADO ECONOMÍA", S1547="GRADO ING. TECNOLOGÍAS INDUSTRIALES"), 24, 0)) + (IF(AND(K1547&gt;=451, K1547&lt;=700), 23, 0)) + (IF(AND(AB1547&gt;=5, AB1547&lt;=8), 17, 0)) +(IF(_xludf.OR(_xludf.AND(AC1547&gt;=8, AC1547&lt;=10), _xludf.AND(AC1547&gt;=0, AC1547&lt;=5)), 16, 0)) + (IF(F1547="Madrid", 11, 0))))</f>
        <v>#NAME?</v>
      </c>
      <c r="AG1547" s="68"/>
      <c r="AH1547" s="71" t="s">
        <v>164</v>
      </c>
    </row>
    <row r="1548" spans="1:34" ht="14.4" x14ac:dyDescent="0.3">
      <c r="A1548" s="66" t="s">
        <v>2994</v>
      </c>
      <c r="B1548" s="66" t="s">
        <v>5111</v>
      </c>
      <c r="C1548" s="33">
        <v>1547</v>
      </c>
      <c r="D1548" s="33" t="s">
        <v>5399</v>
      </c>
      <c r="E1548" s="34" t="s">
        <v>5233</v>
      </c>
      <c r="F1548" s="34" t="s">
        <v>18</v>
      </c>
      <c r="G1548" s="57">
        <v>45103</v>
      </c>
      <c r="H1548" s="57">
        <v>45121</v>
      </c>
      <c r="I1548" s="34">
        <f t="shared" si="72"/>
        <v>0</v>
      </c>
      <c r="J1548" s="34">
        <v>35</v>
      </c>
      <c r="K1548" s="36">
        <v>0</v>
      </c>
      <c r="L1548" s="34" t="s">
        <v>17</v>
      </c>
      <c r="M1548" s="35">
        <v>38139</v>
      </c>
      <c r="N1548" s="37">
        <f>(YEAR(TablaMadre[[#This Row],[ALTA]])-YEAR(M1548))</f>
        <v>19</v>
      </c>
      <c r="O1548" s="34" t="s">
        <v>18</v>
      </c>
      <c r="P1548" s="34" t="s">
        <v>19</v>
      </c>
      <c r="Q1548" s="34" t="s">
        <v>648</v>
      </c>
      <c r="R1548" s="34" t="s">
        <v>30</v>
      </c>
      <c r="S1548" s="34" t="s">
        <v>322</v>
      </c>
      <c r="T1548" s="34"/>
      <c r="U1548" s="34"/>
      <c r="V1548" s="34" t="s">
        <v>90</v>
      </c>
      <c r="W1548" s="34" t="s">
        <v>23</v>
      </c>
      <c r="X1548" s="38" t="s">
        <v>164</v>
      </c>
      <c r="Y1548" s="62"/>
      <c r="Z1548" s="38" t="e">
        <f t="shared" si="73"/>
        <v>#NUM!</v>
      </c>
      <c r="AA1548" s="38"/>
      <c r="AB1548" s="34"/>
      <c r="AC1548" s="34"/>
      <c r="AD1548" s="38"/>
      <c r="AE1548" s="59" t="str">
        <f t="shared" si="74"/>
        <v>NO</v>
      </c>
      <c r="AF1548" s="38" t="e" cm="1">
        <f t="array" aca="1" ref="AF1548" ca="1">MIN(100, MAX(0, (IF(R1548="ESTUDIANTE", 31, 0)) + (IF(I1548&lt;=3, 30, IF(I1548&lt;=6, 20, 0))) +(IF(OR(E1548="413 - Control de Costes y Enlace Construcción", E1548="480 - Secretaría General del Consejo", E1548="132 - Civil y estructuras", E1548="136 - Mecánica", E1548="412 - Planificación", E1548="142 - Compras"), 25, 0)) +(IF(OR(S1548="GRADO ING. MECÁNICA", S1548="GRADO ING. ELÉCTRICA", S1548="GRADO DERECHO", S1548="GRADO ECONOMÍA", S1548="GRADO ING. TECNOLOGÍAS INDUSTRIALES"), 24, 0)) + (IF(AND(K1548&gt;=451, K1548&lt;=700), 23, 0)) + (IF(AND(AB1548&gt;=5, AB1548&lt;=8), 17, 0)) +(IF(_xludf.OR(_xludf.AND(AC1548&gt;=8, AC1548&lt;=10), _xludf.AND(AC1548&gt;=0, AC1548&lt;=5)), 16, 0)) + (IF(F1548="Madrid", 11, 0))))</f>
        <v>#NAME?</v>
      </c>
      <c r="AG1548" s="68"/>
      <c r="AH1548" s="71" t="s">
        <v>164</v>
      </c>
    </row>
    <row r="1549" spans="1:34" s="4" customFormat="1" ht="14.4" x14ac:dyDescent="0.3">
      <c r="A1549" s="66" t="s">
        <v>2527</v>
      </c>
      <c r="B1549" s="66" t="s">
        <v>4644</v>
      </c>
      <c r="C1549" s="33">
        <v>1548</v>
      </c>
      <c r="D1549" s="33" t="s">
        <v>5400</v>
      </c>
      <c r="E1549" s="34" t="s">
        <v>5241</v>
      </c>
      <c r="F1549" s="34" t="s">
        <v>977</v>
      </c>
      <c r="G1549" s="57">
        <v>45108</v>
      </c>
      <c r="H1549" s="57">
        <v>45473</v>
      </c>
      <c r="I1549" s="34">
        <f t="shared" si="72"/>
        <v>11</v>
      </c>
      <c r="J1549" s="34">
        <v>40</v>
      </c>
      <c r="K1549" s="36">
        <v>0</v>
      </c>
      <c r="L1549" s="34" t="s">
        <v>17</v>
      </c>
      <c r="M1549" s="35">
        <v>34997</v>
      </c>
      <c r="N1549" s="37">
        <f>(YEAR(TablaMadre[[#This Row],[ALTA]])-YEAR(M1549))</f>
        <v>28</v>
      </c>
      <c r="O1549" s="34" t="s">
        <v>70</v>
      </c>
      <c r="P1549" s="34" t="s">
        <v>19</v>
      </c>
      <c r="Q1549" s="34" t="s">
        <v>297</v>
      </c>
      <c r="R1549" s="34" t="s">
        <v>30</v>
      </c>
      <c r="S1549" s="34" t="s">
        <v>297</v>
      </c>
      <c r="T1549" s="34"/>
      <c r="U1549" s="34"/>
      <c r="V1549" s="34" t="s">
        <v>163</v>
      </c>
      <c r="W1549" s="34" t="s">
        <v>28</v>
      </c>
      <c r="X1549" s="34" t="s">
        <v>164</v>
      </c>
      <c r="Y1549" s="57">
        <v>45473</v>
      </c>
      <c r="Z1549" s="34">
        <f t="shared" si="73"/>
        <v>0</v>
      </c>
      <c r="AA1549" s="34"/>
      <c r="AB1549" s="34" t="s">
        <v>693</v>
      </c>
      <c r="AC1549" s="34">
        <v>7</v>
      </c>
      <c r="AD1549" s="34"/>
      <c r="AE1549" s="59" t="str">
        <f t="shared" si="74"/>
        <v>SÍ</v>
      </c>
      <c r="AF1549" s="34" t="e" cm="1">
        <f t="array" aca="1" ref="AF1549" ca="1">MIN(100, MAX(0, (IF(R1549="ESTUDIANTE", 31, 0)) + (IF(I1549&lt;=3, 30, IF(I1549&lt;=6, 20, 0))) +(IF(OR(E1549="413 - Control de Costes y Enlace Construcción", E1549="480 - Secretaría General del Consejo", E1549="132 - Civil y estructuras", E1549="136 - Mecánica", E1549="412 - Planificación", E1549="142 - Compras"), 25, 0)) +(IF(OR(S1549="GRADO ING. MECÁNICA", S1549="GRADO ING. ELÉCTRICA", S1549="GRADO DERECHO", S1549="GRADO ECONOMÍA", S1549="GRADO ING. TECNOLOGÍAS INDUSTRIALES"), 24, 0)) + (IF(AND(K1549&gt;=451, K1549&lt;=700), 23, 0)) + (IF(AND(AB1549&gt;=5, AB1549&lt;=8), 17, 0)) +(IF(_xludf.OR(_xludf.AND(AC1549&gt;=8, AC1549&lt;=10), _xludf.AND(AC1549&gt;=0, AC1549&lt;=5)), 16, 0)) + (IF(F1549="Madrid", 11, 0))))</f>
        <v>#NAME?</v>
      </c>
      <c r="AG1549" s="69"/>
      <c r="AH1549" s="71" t="s">
        <v>164</v>
      </c>
    </row>
    <row r="1550" spans="1:34" ht="14.4" x14ac:dyDescent="0.3">
      <c r="A1550" s="66" t="s">
        <v>2528</v>
      </c>
      <c r="B1550" s="66" t="s">
        <v>4645</v>
      </c>
      <c r="C1550" s="33">
        <v>1549</v>
      </c>
      <c r="D1550" s="33" t="s">
        <v>5401</v>
      </c>
      <c r="E1550" s="34" t="s">
        <v>5335</v>
      </c>
      <c r="F1550" s="34" t="s">
        <v>978</v>
      </c>
      <c r="G1550" s="57">
        <v>45108</v>
      </c>
      <c r="H1550" s="57">
        <v>45473</v>
      </c>
      <c r="I1550" s="34">
        <f t="shared" si="72"/>
        <v>11</v>
      </c>
      <c r="J1550" s="34">
        <v>40</v>
      </c>
      <c r="K1550" s="36">
        <v>0</v>
      </c>
      <c r="L1550" s="34" t="s">
        <v>17</v>
      </c>
      <c r="M1550" s="35">
        <v>34437</v>
      </c>
      <c r="N1550" s="37">
        <f>(YEAR(TablaMadre[[#This Row],[ALTA]])-YEAR(M1550))</f>
        <v>29</v>
      </c>
      <c r="O1550" s="34" t="s">
        <v>105</v>
      </c>
      <c r="P1550" s="34" t="s">
        <v>19</v>
      </c>
      <c r="Q1550" s="34" t="s">
        <v>739</v>
      </c>
      <c r="R1550" s="34" t="s">
        <v>30</v>
      </c>
      <c r="S1550" s="34" t="s">
        <v>151</v>
      </c>
      <c r="T1550" s="34"/>
      <c r="U1550" s="34"/>
      <c r="V1550" s="34" t="s">
        <v>163</v>
      </c>
      <c r="W1550" s="34" t="s">
        <v>97</v>
      </c>
      <c r="X1550" s="38" t="s">
        <v>173</v>
      </c>
      <c r="Y1550" s="62"/>
      <c r="Z1550" s="38" t="e">
        <f t="shared" si="73"/>
        <v>#NUM!</v>
      </c>
      <c r="AA1550" s="38"/>
      <c r="AB1550" s="34" t="s">
        <v>693</v>
      </c>
      <c r="AC1550" s="34">
        <v>8</v>
      </c>
      <c r="AD1550" s="38"/>
      <c r="AE1550" s="59" t="str">
        <f t="shared" si="74"/>
        <v>SÍ</v>
      </c>
      <c r="AF1550" s="38" t="e" cm="1">
        <f t="array" aca="1" ref="AF1550" ca="1">MIN(100, MAX(0, (IF(R1550="ESTUDIANTE", 31, 0)) + (IF(I1550&lt;=3, 30, IF(I1550&lt;=6, 20, 0))) +(IF(OR(E1550="413 - Control de Costes y Enlace Construcción", E1550="480 - Secretaría General del Consejo", E1550="132 - Civil y estructuras", E1550="136 - Mecánica", E1550="412 - Planificación", E1550="142 - Compras"), 25, 0)) +(IF(OR(S1550="GRADO ING. MECÁNICA", S1550="GRADO ING. ELÉCTRICA", S1550="GRADO DERECHO", S1550="GRADO ECONOMÍA", S1550="GRADO ING. TECNOLOGÍAS INDUSTRIALES"), 24, 0)) + (IF(AND(K1550&gt;=451, K1550&lt;=700), 23, 0)) + (IF(AND(AB1550&gt;=5, AB1550&lt;=8), 17, 0)) +(IF(_xludf.OR(_xludf.AND(AC1550&gt;=8, AC1550&lt;=10), _xludf.AND(AC1550&gt;=0, AC1550&lt;=5)), 16, 0)) + (IF(F1550="Madrid", 11, 0))))</f>
        <v>#NAME?</v>
      </c>
      <c r="AG1550" s="68"/>
      <c r="AH1550" s="71" t="s">
        <v>164</v>
      </c>
    </row>
    <row r="1551" spans="1:34" s="4" customFormat="1" ht="14.4" x14ac:dyDescent="0.3">
      <c r="A1551" s="66" t="s">
        <v>2462</v>
      </c>
      <c r="B1551" s="66" t="s">
        <v>4579</v>
      </c>
      <c r="C1551" s="33">
        <v>1552</v>
      </c>
      <c r="D1551" s="33" t="s">
        <v>5402</v>
      </c>
      <c r="E1551" s="34" t="s">
        <v>5322</v>
      </c>
      <c r="F1551" s="34" t="s">
        <v>118</v>
      </c>
      <c r="G1551" s="57">
        <v>45110</v>
      </c>
      <c r="H1551" s="57">
        <v>45475</v>
      </c>
      <c r="I1551" s="34">
        <f t="shared" si="72"/>
        <v>11</v>
      </c>
      <c r="J1551" s="34">
        <v>35</v>
      </c>
      <c r="K1551" s="36">
        <v>875</v>
      </c>
      <c r="L1551" s="34" t="s">
        <v>29</v>
      </c>
      <c r="M1551" s="35">
        <v>36509</v>
      </c>
      <c r="N1551" s="37">
        <f>(YEAR(TablaMadre[[#This Row],[ALTA]])-YEAR(M1551))</f>
        <v>24</v>
      </c>
      <c r="O1551" s="34" t="s">
        <v>118</v>
      </c>
      <c r="P1551" s="34" t="s">
        <v>19</v>
      </c>
      <c r="Q1551" s="34" t="s">
        <v>630</v>
      </c>
      <c r="R1551" s="34" t="s">
        <v>21</v>
      </c>
      <c r="S1551" s="34" t="s">
        <v>136</v>
      </c>
      <c r="T1551" s="34"/>
      <c r="U1551" s="34"/>
      <c r="V1551" s="34" t="s">
        <v>37</v>
      </c>
      <c r="W1551" s="34" t="s">
        <v>181</v>
      </c>
      <c r="X1551" s="34" t="s">
        <v>164</v>
      </c>
      <c r="Y1551" s="57"/>
      <c r="Z1551" s="34" t="e">
        <f t="shared" si="73"/>
        <v>#NUM!</v>
      </c>
      <c r="AA1551" s="34"/>
      <c r="AB1551" s="34">
        <v>7</v>
      </c>
      <c r="AC1551" s="34">
        <v>8</v>
      </c>
      <c r="AD1551" s="34"/>
      <c r="AE1551" s="59" t="str">
        <f t="shared" si="74"/>
        <v>NO</v>
      </c>
      <c r="AF1551" s="34" t="e" cm="1">
        <f t="array" aca="1" ref="AF1551" ca="1">MIN(100, MAX(0, (IF(R1551="ESTUDIANTE", 31, 0)) + (IF(I1551&lt;=3, 30, IF(I1551&lt;=6, 20, 0))) +(IF(OR(E1551="413 - Control de Costes y Enlace Construcción", E1551="480 - Secretaría General del Consejo", E1551="132 - Civil y estructuras", E1551="136 - Mecánica", E1551="412 - Planificación", E1551="142 - Compras"), 25, 0)) +(IF(OR(S1551="GRADO ING. MECÁNICA", S1551="GRADO ING. ELÉCTRICA", S1551="GRADO DERECHO", S1551="GRADO ECONOMÍA", S1551="GRADO ING. TECNOLOGÍAS INDUSTRIALES"), 24, 0)) + (IF(AND(K1551&gt;=451, K1551&lt;=700), 23, 0)) + (IF(AND(AB1551&gt;=5, AB1551&lt;=8), 17, 0)) +(IF(_xludf.OR(_xludf.AND(AC1551&gt;=8, AC1551&lt;=10), _xludf.AND(AC1551&gt;=0, AC1551&lt;=5)), 16, 0)) + (IF(F1551="Madrid", 11, 0))))</f>
        <v>#NAME?</v>
      </c>
      <c r="AG1551" s="69"/>
      <c r="AH1551" s="71" t="s">
        <v>164</v>
      </c>
    </row>
    <row r="1552" spans="1:34" s="4" customFormat="1" ht="14.4" x14ac:dyDescent="0.3">
      <c r="A1552" s="66" t="s">
        <v>2466</v>
      </c>
      <c r="B1552" s="66" t="s">
        <v>4583</v>
      </c>
      <c r="C1552" s="33">
        <v>1554</v>
      </c>
      <c r="D1552" s="33" t="s">
        <v>5393</v>
      </c>
      <c r="E1552" s="34" t="s">
        <v>5355</v>
      </c>
      <c r="F1552" s="34" t="s">
        <v>18</v>
      </c>
      <c r="G1552" s="57">
        <v>45110</v>
      </c>
      <c r="H1552" s="57">
        <v>45485</v>
      </c>
      <c r="I1552" s="34">
        <f t="shared" si="72"/>
        <v>12</v>
      </c>
      <c r="J1552" s="34">
        <v>35</v>
      </c>
      <c r="K1552" s="36">
        <v>700</v>
      </c>
      <c r="L1552" s="34" t="s">
        <v>17</v>
      </c>
      <c r="M1552" s="35">
        <v>36644</v>
      </c>
      <c r="N1552" s="37">
        <f>(YEAR(TablaMadre[[#This Row],[ALTA]])-YEAR(M1552))</f>
        <v>23</v>
      </c>
      <c r="O1552" s="34" t="s">
        <v>18</v>
      </c>
      <c r="P1552" s="34" t="s">
        <v>19</v>
      </c>
      <c r="Q1552" s="34" t="s">
        <v>630</v>
      </c>
      <c r="R1552" s="58" t="s">
        <v>30</v>
      </c>
      <c r="S1552" s="34" t="s">
        <v>136</v>
      </c>
      <c r="T1552" s="34"/>
      <c r="U1552" s="34"/>
      <c r="V1552" s="34" t="s">
        <v>114</v>
      </c>
      <c r="W1552" s="34" t="s">
        <v>47</v>
      </c>
      <c r="X1552" s="34" t="s">
        <v>164</v>
      </c>
      <c r="Y1552" s="57"/>
      <c r="Z1552" s="34" t="e">
        <f t="shared" si="73"/>
        <v>#NUM!</v>
      </c>
      <c r="AA1552" s="34"/>
      <c r="AB1552" s="34">
        <v>9</v>
      </c>
      <c r="AC1552" s="34">
        <v>10</v>
      </c>
      <c r="AD1552" s="34"/>
      <c r="AE1552" s="59" t="str">
        <f t="shared" si="74"/>
        <v>NO</v>
      </c>
      <c r="AF1552" s="34" t="e" cm="1">
        <f t="array" aca="1" ref="AF1552" ca="1">MIN(100, MAX(0, (IF(R1552="ESTUDIANTE", 31, 0)) + (IF(I1552&lt;=3, 30, IF(I1552&lt;=6, 20, 0))) +(IF(OR(E1552="413 - Control de Costes y Enlace Construcción", E1552="480 - Secretaría General del Consejo", E1552="132 - Civil y estructuras", E1552="136 - Mecánica", E1552="412 - Planificación", E1552="142 - Compras"), 25, 0)) +(IF(OR(S1552="GRADO ING. MECÁNICA", S1552="GRADO ING. ELÉCTRICA", S1552="GRADO DERECHO", S1552="GRADO ECONOMÍA", S1552="GRADO ING. TECNOLOGÍAS INDUSTRIALES"), 24, 0)) + (IF(AND(K1552&gt;=451, K1552&lt;=700), 23, 0)) + (IF(AND(AB1552&gt;=5, AB1552&lt;=8), 17, 0)) +(IF(_xludf.OR(_xludf.AND(AC1552&gt;=8, AC1552&lt;=10), _xludf.AND(AC1552&gt;=0, AC1552&lt;=5)), 16, 0)) + (IF(F1552="Madrid", 11, 0))))</f>
        <v>#NAME?</v>
      </c>
      <c r="AG1552" s="69"/>
      <c r="AH1552" s="71" t="s">
        <v>164</v>
      </c>
    </row>
    <row r="1553" spans="1:34" s="4" customFormat="1" ht="14.4" x14ac:dyDescent="0.3">
      <c r="A1553" s="66" t="s">
        <v>2529</v>
      </c>
      <c r="B1553" s="66" t="s">
        <v>4646</v>
      </c>
      <c r="C1553" s="33">
        <v>1550</v>
      </c>
      <c r="D1553" s="33" t="s">
        <v>5394</v>
      </c>
      <c r="E1553" s="34" t="s">
        <v>5314</v>
      </c>
      <c r="F1553" s="34" t="s">
        <v>18</v>
      </c>
      <c r="G1553" s="57">
        <v>45110</v>
      </c>
      <c r="H1553" s="57">
        <v>45475</v>
      </c>
      <c r="I1553" s="34">
        <f t="shared" si="72"/>
        <v>11</v>
      </c>
      <c r="J1553" s="34">
        <v>35</v>
      </c>
      <c r="K1553" s="36">
        <v>875</v>
      </c>
      <c r="L1553" s="34" t="s">
        <v>17</v>
      </c>
      <c r="M1553" s="35">
        <v>36592</v>
      </c>
      <c r="N1553" s="37">
        <f>(YEAR(TablaMadre[[#This Row],[ALTA]])-YEAR(M1553))</f>
        <v>23</v>
      </c>
      <c r="O1553" s="34" t="s">
        <v>153</v>
      </c>
      <c r="P1553" s="34" t="s">
        <v>19</v>
      </c>
      <c r="Q1553" s="34" t="s">
        <v>533</v>
      </c>
      <c r="R1553" s="34" t="s">
        <v>21</v>
      </c>
      <c r="S1553" s="34" t="s">
        <v>297</v>
      </c>
      <c r="T1553" s="34"/>
      <c r="U1553" s="34"/>
      <c r="V1553" s="34" t="s">
        <v>84</v>
      </c>
      <c r="W1553" s="34" t="s">
        <v>28</v>
      </c>
      <c r="X1553" s="34" t="s">
        <v>164</v>
      </c>
      <c r="Y1553" s="57">
        <v>45640</v>
      </c>
      <c r="Z1553" s="34">
        <f t="shared" si="73"/>
        <v>0</v>
      </c>
      <c r="AA1553" s="34"/>
      <c r="AB1553" s="34">
        <v>9</v>
      </c>
      <c r="AC1553" s="34">
        <v>8</v>
      </c>
      <c r="AD1553" s="34"/>
      <c r="AE1553" s="59" t="str">
        <f t="shared" si="74"/>
        <v>SÍ</v>
      </c>
      <c r="AF1553" s="34" t="e" cm="1">
        <f t="array" aca="1" ref="AF1553" ca="1">MIN(100, MAX(0, (IF(R1553="ESTUDIANTE", 31, 0)) + (IF(I1553&lt;=3, 30, IF(I1553&lt;=6, 20, 0))) +(IF(OR(E1553="413 - Control de Costes y Enlace Construcción", E1553="480 - Secretaría General del Consejo", E1553="132 - Civil y estructuras", E1553="136 - Mecánica", E1553="412 - Planificación", E1553="142 - Compras"), 25, 0)) +(IF(OR(S1553="GRADO ING. MECÁNICA", S1553="GRADO ING. ELÉCTRICA", S1553="GRADO DERECHO", S1553="GRADO ECONOMÍA", S1553="GRADO ING. TECNOLOGÍAS INDUSTRIALES"), 24, 0)) + (IF(AND(K1553&gt;=451, K1553&lt;=700), 23, 0)) + (IF(AND(AB1553&gt;=5, AB1553&lt;=8), 17, 0)) +(IF(_xludf.OR(_xludf.AND(AC1553&gt;=8, AC1553&lt;=10), _xludf.AND(AC1553&gt;=0, AC1553&lt;=5)), 16, 0)) + (IF(F1553="Madrid", 11, 0))))</f>
        <v>#NAME?</v>
      </c>
      <c r="AG1553" s="69"/>
      <c r="AH1553" s="71" t="s">
        <v>164</v>
      </c>
    </row>
    <row r="1554" spans="1:34" s="4" customFormat="1" ht="14.4" x14ac:dyDescent="0.3">
      <c r="A1554" s="66" t="s">
        <v>2530</v>
      </c>
      <c r="B1554" s="66" t="s">
        <v>4647</v>
      </c>
      <c r="C1554" s="33">
        <v>1551</v>
      </c>
      <c r="D1554" s="33" t="s">
        <v>5403</v>
      </c>
      <c r="E1554" s="34" t="s">
        <v>5252</v>
      </c>
      <c r="F1554" s="34" t="s">
        <v>18</v>
      </c>
      <c r="G1554" s="57">
        <v>45110</v>
      </c>
      <c r="H1554" s="57">
        <v>45475</v>
      </c>
      <c r="I1554" s="34">
        <f t="shared" si="72"/>
        <v>11</v>
      </c>
      <c r="J1554" s="34">
        <v>35</v>
      </c>
      <c r="K1554" s="36">
        <v>725</v>
      </c>
      <c r="L1554" s="34" t="s">
        <v>17</v>
      </c>
      <c r="M1554" s="35">
        <v>35266</v>
      </c>
      <c r="N1554" s="37">
        <f>(YEAR(TablaMadre[[#This Row],[ALTA]])-YEAR(M1554))</f>
        <v>27</v>
      </c>
      <c r="O1554" s="34" t="s">
        <v>18</v>
      </c>
      <c r="P1554" s="34" t="s">
        <v>19</v>
      </c>
      <c r="Q1554" s="34" t="s">
        <v>743</v>
      </c>
      <c r="R1554" s="34" t="s">
        <v>21</v>
      </c>
      <c r="S1554" s="34" t="s">
        <v>26</v>
      </c>
      <c r="T1554" s="34"/>
      <c r="U1554" s="34"/>
      <c r="V1554" s="34" t="s">
        <v>27</v>
      </c>
      <c r="W1554" s="34" t="s">
        <v>28</v>
      </c>
      <c r="X1554" s="34" t="s">
        <v>173</v>
      </c>
      <c r="Y1554" s="57"/>
      <c r="Z1554" s="34" t="e">
        <f t="shared" si="73"/>
        <v>#NUM!</v>
      </c>
      <c r="AA1554" s="34"/>
      <c r="AB1554" s="34">
        <v>7</v>
      </c>
      <c r="AC1554" s="34">
        <v>10</v>
      </c>
      <c r="AD1554" s="34"/>
      <c r="AE1554" s="59" t="str">
        <f t="shared" si="74"/>
        <v>NO</v>
      </c>
      <c r="AF1554" s="34" t="e" cm="1">
        <f t="array" aca="1" ref="AF1554" ca="1">MIN(100, MAX(0, (IF(R1554="ESTUDIANTE", 31, 0)) + (IF(I1554&lt;=3, 30, IF(I1554&lt;=6, 20, 0))) +(IF(OR(E1554="413 - Control de Costes y Enlace Construcción", E1554="480 - Secretaría General del Consejo", E1554="132 - Civil y estructuras", E1554="136 - Mecánica", E1554="412 - Planificación", E1554="142 - Compras"), 25, 0)) +(IF(OR(S1554="GRADO ING. MECÁNICA", S1554="GRADO ING. ELÉCTRICA", S1554="GRADO DERECHO", S1554="GRADO ECONOMÍA", S1554="GRADO ING. TECNOLOGÍAS INDUSTRIALES"), 24, 0)) + (IF(AND(K1554&gt;=451, K1554&lt;=700), 23, 0)) + (IF(AND(AB1554&gt;=5, AB1554&lt;=8), 17, 0)) +(IF(_xludf.OR(_xludf.AND(AC1554&gt;=8, AC1554&lt;=10), _xludf.AND(AC1554&gt;=0, AC1554&lt;=5)), 16, 0)) + (IF(F1554="Madrid", 11, 0))))</f>
        <v>#NAME?</v>
      </c>
      <c r="AG1554" s="69"/>
      <c r="AH1554" s="71" t="s">
        <v>164</v>
      </c>
    </row>
    <row r="1555" spans="1:34" s="4" customFormat="1" ht="14.4" x14ac:dyDescent="0.3">
      <c r="A1555" s="66" t="s">
        <v>2532</v>
      </c>
      <c r="B1555" s="66" t="s">
        <v>4649</v>
      </c>
      <c r="C1555" s="33">
        <v>1553</v>
      </c>
      <c r="D1555" s="33" t="s">
        <v>5404</v>
      </c>
      <c r="E1555" s="34" t="s">
        <v>5222</v>
      </c>
      <c r="F1555" s="34" t="s">
        <v>118</v>
      </c>
      <c r="G1555" s="57">
        <v>45110</v>
      </c>
      <c r="H1555" s="57">
        <v>45476</v>
      </c>
      <c r="I1555" s="34">
        <f t="shared" si="72"/>
        <v>12</v>
      </c>
      <c r="J1555" s="34">
        <v>35</v>
      </c>
      <c r="K1555" s="36">
        <v>700</v>
      </c>
      <c r="L1555" s="34" t="s">
        <v>17</v>
      </c>
      <c r="M1555" s="35">
        <v>36670</v>
      </c>
      <c r="N1555" s="37">
        <f>(YEAR(TablaMadre[[#This Row],[ALTA]])-YEAR(M1555))</f>
        <v>23</v>
      </c>
      <c r="O1555" s="34" t="s">
        <v>118</v>
      </c>
      <c r="P1555" s="34" t="s">
        <v>19</v>
      </c>
      <c r="Q1555" s="34" t="s">
        <v>322</v>
      </c>
      <c r="R1555" s="58" t="s">
        <v>30</v>
      </c>
      <c r="S1555" s="34" t="s">
        <v>322</v>
      </c>
      <c r="T1555" s="34"/>
      <c r="U1555" s="34"/>
      <c r="V1555" s="34" t="s">
        <v>37</v>
      </c>
      <c r="W1555" s="34" t="s">
        <v>28</v>
      </c>
      <c r="X1555" s="34" t="s">
        <v>164</v>
      </c>
      <c r="Y1555" s="57">
        <v>45500</v>
      </c>
      <c r="Z1555" s="34">
        <f t="shared" si="73"/>
        <v>0</v>
      </c>
      <c r="AA1555" s="34"/>
      <c r="AB1555" s="34">
        <v>7</v>
      </c>
      <c r="AC1555" s="34">
        <v>8</v>
      </c>
      <c r="AD1555" s="34"/>
      <c r="AE1555" s="59" t="str">
        <f t="shared" si="74"/>
        <v>NO</v>
      </c>
      <c r="AF1555" s="34" t="e" cm="1">
        <f t="array" aca="1" ref="AF1555" ca="1">MIN(100, MAX(0, (IF(R1555="ESTUDIANTE", 31, 0)) + (IF(I1555&lt;=3, 30, IF(I1555&lt;=6, 20, 0))) +(IF(OR(E1555="413 - Control de Costes y Enlace Construcción", E1555="480 - Secretaría General del Consejo", E1555="132 - Civil y estructuras", E1555="136 - Mecánica", E1555="412 - Planificación", E1555="142 - Compras"), 25, 0)) +(IF(OR(S1555="GRADO ING. MECÁNICA", S1555="GRADO ING. ELÉCTRICA", S1555="GRADO DERECHO", S1555="GRADO ECONOMÍA", S1555="GRADO ING. TECNOLOGÍAS INDUSTRIALES"), 24, 0)) + (IF(AND(K1555&gt;=451, K1555&lt;=700), 23, 0)) + (IF(AND(AB1555&gt;=5, AB1555&lt;=8), 17, 0)) +(IF(_xludf.OR(_xludf.AND(AC1555&gt;=8, AC1555&lt;=10), _xludf.AND(AC1555&gt;=0, AC1555&lt;=5)), 16, 0)) + (IF(F1555="Madrid", 11, 0))))</f>
        <v>#NAME?</v>
      </c>
      <c r="AG1555" s="69"/>
      <c r="AH1555" s="71" t="s">
        <v>164</v>
      </c>
    </row>
    <row r="1556" spans="1:34" s="4" customFormat="1" ht="14.4" x14ac:dyDescent="0.3">
      <c r="A1556" s="66" t="s">
        <v>2534</v>
      </c>
      <c r="B1556" s="66" t="s">
        <v>4651</v>
      </c>
      <c r="C1556" s="33">
        <v>1555</v>
      </c>
      <c r="D1556" s="33" t="s">
        <v>5405</v>
      </c>
      <c r="E1556" s="34" t="s">
        <v>5249</v>
      </c>
      <c r="F1556" s="34" t="s">
        <v>18</v>
      </c>
      <c r="G1556" s="57">
        <v>45117</v>
      </c>
      <c r="H1556" s="57">
        <v>45300</v>
      </c>
      <c r="I1556" s="34">
        <f t="shared" si="72"/>
        <v>5</v>
      </c>
      <c r="J1556" s="34">
        <v>35</v>
      </c>
      <c r="K1556" s="36">
        <v>955</v>
      </c>
      <c r="L1556" s="34" t="s">
        <v>17</v>
      </c>
      <c r="M1556" s="35">
        <v>36210</v>
      </c>
      <c r="N1556" s="37">
        <f>(YEAR(TablaMadre[[#This Row],[ALTA]])-YEAR(M1556))</f>
        <v>24</v>
      </c>
      <c r="O1556" s="34" t="s">
        <v>18</v>
      </c>
      <c r="P1556" s="34" t="s">
        <v>19</v>
      </c>
      <c r="Q1556" s="34" t="s">
        <v>683</v>
      </c>
      <c r="R1556" s="34" t="s">
        <v>21</v>
      </c>
      <c r="S1556" s="34" t="s">
        <v>322</v>
      </c>
      <c r="T1556" s="34"/>
      <c r="U1556" s="34"/>
      <c r="V1556" s="34" t="s">
        <v>22</v>
      </c>
      <c r="W1556" s="34" t="s">
        <v>28</v>
      </c>
      <c r="X1556" s="34" t="s">
        <v>173</v>
      </c>
      <c r="Y1556" s="57"/>
      <c r="Z1556" s="34" t="e">
        <f t="shared" si="73"/>
        <v>#NUM!</v>
      </c>
      <c r="AA1556" s="34"/>
      <c r="AB1556" s="34">
        <v>9</v>
      </c>
      <c r="AC1556" s="34">
        <v>8</v>
      </c>
      <c r="AD1556" s="34"/>
      <c r="AE1556" s="59" t="str">
        <f t="shared" si="74"/>
        <v>NO</v>
      </c>
      <c r="AF1556" s="34" t="e" cm="1">
        <f t="array" aca="1" ref="AF1556" ca="1">MIN(100, MAX(0, (IF(R1556="ESTUDIANTE", 31, 0)) + (IF(I1556&lt;=3, 30, IF(I1556&lt;=6, 20, 0))) +(IF(OR(E1556="413 - Control de Costes y Enlace Construcción", E1556="480 - Secretaría General del Consejo", E1556="132 - Civil y estructuras", E1556="136 - Mecánica", E1556="412 - Planificación", E1556="142 - Compras"), 25, 0)) +(IF(OR(S1556="GRADO ING. MECÁNICA", S1556="GRADO ING. ELÉCTRICA", S1556="GRADO DERECHO", S1556="GRADO ECONOMÍA", S1556="GRADO ING. TECNOLOGÍAS INDUSTRIALES"), 24, 0)) + (IF(AND(K1556&gt;=451, K1556&lt;=700), 23, 0)) + (IF(AND(AB1556&gt;=5, AB1556&lt;=8), 17, 0)) +(IF(_xludf.OR(_xludf.AND(AC1556&gt;=8, AC1556&lt;=10), _xludf.AND(AC1556&gt;=0, AC1556&lt;=5)), 16, 0)) + (IF(F1556="Madrid", 11, 0))))</f>
        <v>#NAME?</v>
      </c>
      <c r="AG1556" s="69"/>
      <c r="AH1556" s="71" t="s">
        <v>164</v>
      </c>
    </row>
    <row r="1557" spans="1:34" ht="14.4" x14ac:dyDescent="0.3">
      <c r="A1557" s="66" t="s">
        <v>2535</v>
      </c>
      <c r="B1557" s="66" t="s">
        <v>4652</v>
      </c>
      <c r="C1557" s="33">
        <v>1556</v>
      </c>
      <c r="D1557" s="33" t="s">
        <v>5396</v>
      </c>
      <c r="E1557" s="34" t="s">
        <v>5252</v>
      </c>
      <c r="F1557" s="34" t="s">
        <v>18</v>
      </c>
      <c r="G1557" s="57">
        <v>45117</v>
      </c>
      <c r="H1557" s="57">
        <v>45482</v>
      </c>
      <c r="I1557" s="34">
        <f t="shared" si="72"/>
        <v>11</v>
      </c>
      <c r="J1557" s="34">
        <v>35</v>
      </c>
      <c r="K1557" s="36">
        <v>700</v>
      </c>
      <c r="L1557" s="34" t="s">
        <v>17</v>
      </c>
      <c r="M1557" s="35">
        <v>36617</v>
      </c>
      <c r="N1557" s="37">
        <f>(YEAR(TablaMadre[[#This Row],[ALTA]])-YEAR(M1557))</f>
        <v>23</v>
      </c>
      <c r="O1557" s="34" t="s">
        <v>755</v>
      </c>
      <c r="P1557" s="34" t="s">
        <v>19</v>
      </c>
      <c r="Q1557" s="34" t="s">
        <v>746</v>
      </c>
      <c r="R1557" s="58" t="s">
        <v>30</v>
      </c>
      <c r="S1557" s="34" t="s">
        <v>747</v>
      </c>
      <c r="T1557" s="34"/>
      <c r="U1557" s="34"/>
      <c r="V1557" s="34" t="s">
        <v>40</v>
      </c>
      <c r="W1557" s="34" t="s">
        <v>28</v>
      </c>
      <c r="X1557" s="38" t="s">
        <v>173</v>
      </c>
      <c r="Y1557" s="62"/>
      <c r="Z1557" s="38" t="e">
        <f t="shared" si="73"/>
        <v>#NUM!</v>
      </c>
      <c r="AA1557" s="38"/>
      <c r="AB1557" s="34">
        <v>8</v>
      </c>
      <c r="AC1557" s="34" t="s">
        <v>748</v>
      </c>
      <c r="AD1557" s="38"/>
      <c r="AE1557" s="59" t="str">
        <f t="shared" si="74"/>
        <v>SÍ</v>
      </c>
      <c r="AF1557" s="38" t="e" cm="1">
        <f t="array" aca="1" ref="AF1557" ca="1">MIN(100, MAX(0, (IF(R1557="ESTUDIANTE", 31, 0)) + (IF(I1557&lt;=3, 30, IF(I1557&lt;=6, 20, 0))) +(IF(OR(E1557="413 - Control de Costes y Enlace Construcción", E1557="480 - Secretaría General del Consejo", E1557="132 - Civil y estructuras", E1557="136 - Mecánica", E1557="412 - Planificación", E1557="142 - Compras"), 25, 0)) +(IF(OR(S1557="GRADO ING. MECÁNICA", S1557="GRADO ING. ELÉCTRICA", S1557="GRADO DERECHO", S1557="GRADO ECONOMÍA", S1557="GRADO ING. TECNOLOGÍAS INDUSTRIALES"), 24, 0)) + (IF(AND(K1557&gt;=451, K1557&lt;=700), 23, 0)) + (IF(AND(AB1557&gt;=5, AB1557&lt;=8), 17, 0)) +(IF(_xludf.OR(_xludf.AND(AC1557&gt;=8, AC1557&lt;=10), _xludf.AND(AC1557&gt;=0, AC1557&lt;=5)), 16, 0)) + (IF(F1557="Madrid", 11, 0))))</f>
        <v>#NAME?</v>
      </c>
      <c r="AG1557" s="68"/>
      <c r="AH1557" s="71" t="s">
        <v>164</v>
      </c>
    </row>
    <row r="1558" spans="1:34" s="4" customFormat="1" ht="14.4" x14ac:dyDescent="0.3">
      <c r="A1558" s="66" t="s">
        <v>2536</v>
      </c>
      <c r="B1558" s="66" t="s">
        <v>4653</v>
      </c>
      <c r="C1558" s="33">
        <v>1557</v>
      </c>
      <c r="D1558" s="33" t="s">
        <v>5397</v>
      </c>
      <c r="E1558" s="34" t="s">
        <v>5252</v>
      </c>
      <c r="F1558" s="34" t="s">
        <v>18</v>
      </c>
      <c r="G1558" s="57">
        <v>45117</v>
      </c>
      <c r="H1558" s="57">
        <v>45482</v>
      </c>
      <c r="I1558" s="34">
        <f t="shared" si="72"/>
        <v>11</v>
      </c>
      <c r="J1558" s="34">
        <v>35</v>
      </c>
      <c r="K1558" s="36">
        <v>725</v>
      </c>
      <c r="L1558" s="34" t="s">
        <v>17</v>
      </c>
      <c r="M1558" s="35">
        <v>35289</v>
      </c>
      <c r="N1558" s="37">
        <f>(YEAR(TablaMadre[[#This Row],[ALTA]])-YEAR(M1558))</f>
        <v>27</v>
      </c>
      <c r="O1558" s="34" t="s">
        <v>18</v>
      </c>
      <c r="P1558" s="34" t="s">
        <v>19</v>
      </c>
      <c r="Q1558" s="34" t="s">
        <v>749</v>
      </c>
      <c r="R1558" s="34" t="s">
        <v>21</v>
      </c>
      <c r="S1558" s="34" t="s">
        <v>26</v>
      </c>
      <c r="T1558" s="34"/>
      <c r="U1558" s="34"/>
      <c r="V1558" s="34" t="s">
        <v>27</v>
      </c>
      <c r="W1558" s="34" t="s">
        <v>28</v>
      </c>
      <c r="X1558" s="34" t="s">
        <v>173</v>
      </c>
      <c r="Y1558" s="57"/>
      <c r="Z1558" s="34" t="e">
        <f t="shared" si="73"/>
        <v>#NUM!</v>
      </c>
      <c r="AA1558" s="34"/>
      <c r="AB1558" s="34">
        <v>8</v>
      </c>
      <c r="AC1558" s="34">
        <v>10</v>
      </c>
      <c r="AD1558" s="34"/>
      <c r="AE1558" s="59" t="str">
        <f t="shared" si="74"/>
        <v>NO</v>
      </c>
      <c r="AF1558" s="34" t="e" cm="1">
        <f t="array" aca="1" ref="AF1558" ca="1">MIN(100, MAX(0, (IF(R1558="ESTUDIANTE", 31, 0)) + (IF(I1558&lt;=3, 30, IF(I1558&lt;=6, 20, 0))) +(IF(OR(E1558="413 - Control de Costes y Enlace Construcción", E1558="480 - Secretaría General del Consejo", E1558="132 - Civil y estructuras", E1558="136 - Mecánica", E1558="412 - Planificación", E1558="142 - Compras"), 25, 0)) +(IF(OR(S1558="GRADO ING. MECÁNICA", S1558="GRADO ING. ELÉCTRICA", S1558="GRADO DERECHO", S1558="GRADO ECONOMÍA", S1558="GRADO ING. TECNOLOGÍAS INDUSTRIALES"), 24, 0)) + (IF(AND(K1558&gt;=451, K1558&lt;=700), 23, 0)) + (IF(AND(AB1558&gt;=5, AB1558&lt;=8), 17, 0)) +(IF(_xludf.OR(_xludf.AND(AC1558&gt;=8, AC1558&lt;=10), _xludf.AND(AC1558&gt;=0, AC1558&lt;=5)), 16, 0)) + (IF(F1558="Madrid", 11, 0))))</f>
        <v>#NAME?</v>
      </c>
      <c r="AG1558" s="69"/>
      <c r="AH1558" s="71" t="s">
        <v>164</v>
      </c>
    </row>
    <row r="1559" spans="1:34" s="4" customFormat="1" ht="14.4" x14ac:dyDescent="0.3">
      <c r="A1559" s="66" t="s">
        <v>2537</v>
      </c>
      <c r="B1559" s="66" t="s">
        <v>4654</v>
      </c>
      <c r="C1559" s="33">
        <v>1558</v>
      </c>
      <c r="D1559" s="33" t="s">
        <v>5393</v>
      </c>
      <c r="E1559" s="34" t="s">
        <v>5219</v>
      </c>
      <c r="F1559" s="34" t="s">
        <v>18</v>
      </c>
      <c r="G1559" s="57">
        <v>45124</v>
      </c>
      <c r="H1559" s="57">
        <v>45308</v>
      </c>
      <c r="I1559" s="34">
        <f t="shared" si="72"/>
        <v>6</v>
      </c>
      <c r="J1559" s="34">
        <v>35</v>
      </c>
      <c r="K1559" s="36">
        <v>875</v>
      </c>
      <c r="L1559" s="34" t="s">
        <v>29</v>
      </c>
      <c r="M1559" s="35">
        <v>35286</v>
      </c>
      <c r="N1559" s="37">
        <f>(YEAR(TablaMadre[[#This Row],[ALTA]])-YEAR(M1559))</f>
        <v>27</v>
      </c>
      <c r="O1559" s="34" t="s">
        <v>618</v>
      </c>
      <c r="P1559" s="34" t="s">
        <v>19</v>
      </c>
      <c r="Q1559" s="34" t="s">
        <v>688</v>
      </c>
      <c r="R1559" s="34" t="s">
        <v>21</v>
      </c>
      <c r="S1559" s="34" t="s">
        <v>297</v>
      </c>
      <c r="T1559" s="34"/>
      <c r="U1559" s="34"/>
      <c r="V1559" s="34" t="s">
        <v>56</v>
      </c>
      <c r="W1559" s="34" t="s">
        <v>28</v>
      </c>
      <c r="X1559" s="34" t="s">
        <v>173</v>
      </c>
      <c r="Y1559" s="57"/>
      <c r="Z1559" s="34" t="e">
        <f t="shared" si="73"/>
        <v>#NUM!</v>
      </c>
      <c r="AA1559" s="34"/>
      <c r="AB1559" s="34">
        <v>8</v>
      </c>
      <c r="AC1559" s="34">
        <v>10</v>
      </c>
      <c r="AD1559" s="34"/>
      <c r="AE1559" s="59" t="str">
        <f t="shared" si="74"/>
        <v>SÍ</v>
      </c>
      <c r="AF1559" s="34" t="e" cm="1">
        <f t="array" aca="1" ref="AF1559" ca="1">MIN(100, MAX(0, (IF(R1559="ESTUDIANTE", 31, 0)) + (IF(I1559&lt;=3, 30, IF(I1559&lt;=6, 20, 0))) +(IF(OR(E1559="413 - Control de Costes y Enlace Construcción", E1559="480 - Secretaría General del Consejo", E1559="132 - Civil y estructuras", E1559="136 - Mecánica", E1559="412 - Planificación", E1559="142 - Compras"), 25, 0)) +(IF(OR(S1559="GRADO ING. MECÁNICA", S1559="GRADO ING. ELÉCTRICA", S1559="GRADO DERECHO", S1559="GRADO ECONOMÍA", S1559="GRADO ING. TECNOLOGÍAS INDUSTRIALES"), 24, 0)) + (IF(AND(K1559&gt;=451, K1559&lt;=700), 23, 0)) + (IF(AND(AB1559&gt;=5, AB1559&lt;=8), 17, 0)) +(IF(_xludf.OR(_xludf.AND(AC1559&gt;=8, AC1559&lt;=10), _xludf.AND(AC1559&gt;=0, AC1559&lt;=5)), 16, 0)) + (IF(F1559="Madrid", 11, 0))))</f>
        <v>#NAME?</v>
      </c>
      <c r="AG1559" s="69"/>
      <c r="AH1559" s="71" t="s">
        <v>164</v>
      </c>
    </row>
    <row r="1560" spans="1:34" s="4" customFormat="1" ht="14.4" x14ac:dyDescent="0.3">
      <c r="A1560" s="66" t="s">
        <v>2538</v>
      </c>
      <c r="B1560" s="66" t="s">
        <v>4655</v>
      </c>
      <c r="C1560" s="33">
        <v>1559</v>
      </c>
      <c r="D1560" s="33" t="s">
        <v>5394</v>
      </c>
      <c r="E1560" s="34" t="s">
        <v>5246</v>
      </c>
      <c r="F1560" s="34" t="s">
        <v>118</v>
      </c>
      <c r="G1560" s="57">
        <v>45133</v>
      </c>
      <c r="H1560" s="57">
        <v>45498</v>
      </c>
      <c r="I1560" s="34">
        <f t="shared" si="72"/>
        <v>11</v>
      </c>
      <c r="J1560" s="34">
        <v>35</v>
      </c>
      <c r="K1560" s="36">
        <v>875</v>
      </c>
      <c r="L1560" s="34" t="s">
        <v>17</v>
      </c>
      <c r="M1560" s="35">
        <v>36848</v>
      </c>
      <c r="N1560" s="37">
        <f>(YEAR(TablaMadre[[#This Row],[ALTA]])-YEAR(M1560))</f>
        <v>23</v>
      </c>
      <c r="O1560" s="34" t="s">
        <v>118</v>
      </c>
      <c r="P1560" s="34" t="s">
        <v>19</v>
      </c>
      <c r="Q1560" s="34" t="s">
        <v>215</v>
      </c>
      <c r="R1560" s="34" t="s">
        <v>21</v>
      </c>
      <c r="S1560" s="34" t="s">
        <v>322</v>
      </c>
      <c r="T1560" s="34"/>
      <c r="U1560" s="34"/>
      <c r="V1560" s="34" t="s">
        <v>37</v>
      </c>
      <c r="W1560" s="34" t="s">
        <v>28</v>
      </c>
      <c r="X1560" s="34" t="s">
        <v>173</v>
      </c>
      <c r="Y1560" s="57"/>
      <c r="Z1560" s="34" t="e">
        <f t="shared" si="73"/>
        <v>#NUM!</v>
      </c>
      <c r="AA1560" s="34"/>
      <c r="AB1560" s="34">
        <v>7</v>
      </c>
      <c r="AC1560" s="34">
        <v>10</v>
      </c>
      <c r="AD1560" s="34"/>
      <c r="AE1560" s="59" t="str">
        <f t="shared" si="74"/>
        <v>NO</v>
      </c>
      <c r="AF1560" s="34" t="e" cm="1">
        <f t="array" aca="1" ref="AF1560" ca="1">MIN(100, MAX(0, (IF(R1560="ESTUDIANTE", 31, 0)) + (IF(I1560&lt;=3, 30, IF(I1560&lt;=6, 20, 0))) +(IF(OR(E1560="413 - Control de Costes y Enlace Construcción", E1560="480 - Secretaría General del Consejo", E1560="132 - Civil y estructuras", E1560="136 - Mecánica", E1560="412 - Planificación", E1560="142 - Compras"), 25, 0)) +(IF(OR(S1560="GRADO ING. MECÁNICA", S1560="GRADO ING. ELÉCTRICA", S1560="GRADO DERECHO", S1560="GRADO ECONOMÍA", S1560="GRADO ING. TECNOLOGÍAS INDUSTRIALES"), 24, 0)) + (IF(AND(K1560&gt;=451, K1560&lt;=700), 23, 0)) + (IF(AND(AB1560&gt;=5, AB1560&lt;=8), 17, 0)) +(IF(_xludf.OR(_xludf.AND(AC1560&gt;=8, AC1560&lt;=10), _xludf.AND(AC1560&gt;=0, AC1560&lt;=5)), 16, 0)) + (IF(F1560="Madrid", 11, 0))))</f>
        <v>#NAME?</v>
      </c>
      <c r="AG1560" s="69"/>
      <c r="AH1560" s="71" t="s">
        <v>164</v>
      </c>
    </row>
    <row r="1561" spans="1:34" s="4" customFormat="1" ht="14.4" x14ac:dyDescent="0.3">
      <c r="A1561" s="66" t="s">
        <v>2539</v>
      </c>
      <c r="B1561" s="66" t="s">
        <v>4656</v>
      </c>
      <c r="C1561" s="33">
        <v>1560</v>
      </c>
      <c r="D1561" s="33" t="s">
        <v>5395</v>
      </c>
      <c r="E1561" s="34" t="s">
        <v>5222</v>
      </c>
      <c r="F1561" s="34" t="s">
        <v>18</v>
      </c>
      <c r="G1561" s="57">
        <v>45139</v>
      </c>
      <c r="H1561" s="57">
        <v>45351</v>
      </c>
      <c r="I1561" s="34">
        <f t="shared" si="72"/>
        <v>6</v>
      </c>
      <c r="J1561" s="34">
        <v>35</v>
      </c>
      <c r="K1561" s="36">
        <v>875</v>
      </c>
      <c r="L1561" s="34" t="s">
        <v>17</v>
      </c>
      <c r="M1561" s="35">
        <v>36167</v>
      </c>
      <c r="N1561" s="37">
        <f>(YEAR(TablaMadre[[#This Row],[ALTA]])-YEAR(M1561))</f>
        <v>24</v>
      </c>
      <c r="O1561" s="34" t="s">
        <v>18</v>
      </c>
      <c r="P1561" s="34" t="s">
        <v>19</v>
      </c>
      <c r="Q1561" s="34" t="s">
        <v>297</v>
      </c>
      <c r="R1561" s="34" t="s">
        <v>21</v>
      </c>
      <c r="S1561" s="34" t="s">
        <v>297</v>
      </c>
      <c r="T1561" s="34"/>
      <c r="U1561" s="34"/>
      <c r="V1561" s="34" t="s">
        <v>84</v>
      </c>
      <c r="W1561" s="34" t="s">
        <v>28</v>
      </c>
      <c r="X1561" s="34" t="s">
        <v>173</v>
      </c>
      <c r="Y1561" s="57"/>
      <c r="Z1561" s="34" t="e">
        <f t="shared" si="73"/>
        <v>#NUM!</v>
      </c>
      <c r="AA1561" s="34"/>
      <c r="AB1561" s="34">
        <v>9</v>
      </c>
      <c r="AC1561" s="34">
        <v>8</v>
      </c>
      <c r="AD1561" s="34"/>
      <c r="AE1561" s="59" t="str">
        <f t="shared" si="74"/>
        <v>NO</v>
      </c>
      <c r="AF1561" s="34" t="e" cm="1">
        <f t="array" aca="1" ref="AF1561" ca="1">MIN(100, MAX(0, (IF(R1561="ESTUDIANTE", 31, 0)) + (IF(I1561&lt;=3, 30, IF(I1561&lt;=6, 20, 0))) +(IF(OR(E1561="413 - Control de Costes y Enlace Construcción", E1561="480 - Secretaría General del Consejo", E1561="132 - Civil y estructuras", E1561="136 - Mecánica", E1561="412 - Planificación", E1561="142 - Compras"), 25, 0)) +(IF(OR(S1561="GRADO ING. MECÁNICA", S1561="GRADO ING. ELÉCTRICA", S1561="GRADO DERECHO", S1561="GRADO ECONOMÍA", S1561="GRADO ING. TECNOLOGÍAS INDUSTRIALES"), 24, 0)) + (IF(AND(K1561&gt;=451, K1561&lt;=700), 23, 0)) + (IF(AND(AB1561&gt;=5, AB1561&lt;=8), 17, 0)) +(IF(_xludf.OR(_xludf.AND(AC1561&gt;=8, AC1561&lt;=10), _xludf.AND(AC1561&gt;=0, AC1561&lt;=5)), 16, 0)) + (IF(F1561="Madrid", 11, 0))))</f>
        <v>#NAME?</v>
      </c>
      <c r="AG1561" s="69"/>
      <c r="AH1561" s="71" t="s">
        <v>164</v>
      </c>
    </row>
    <row r="1562" spans="1:34" s="4" customFormat="1" ht="14.4" x14ac:dyDescent="0.3">
      <c r="A1562" s="66" t="s">
        <v>2540</v>
      </c>
      <c r="B1562" s="66" t="s">
        <v>4657</v>
      </c>
      <c r="C1562" s="33">
        <v>1561</v>
      </c>
      <c r="D1562" s="33" t="s">
        <v>5396</v>
      </c>
      <c r="E1562" s="34" t="s">
        <v>5222</v>
      </c>
      <c r="F1562" s="34" t="s">
        <v>18</v>
      </c>
      <c r="G1562" s="57">
        <v>45139</v>
      </c>
      <c r="H1562" s="57">
        <v>45351</v>
      </c>
      <c r="I1562" s="34">
        <f t="shared" si="72"/>
        <v>6</v>
      </c>
      <c r="J1562" s="34">
        <v>35</v>
      </c>
      <c r="K1562" s="36">
        <v>875</v>
      </c>
      <c r="L1562" s="34" t="s">
        <v>29</v>
      </c>
      <c r="M1562" s="35">
        <v>36627</v>
      </c>
      <c r="N1562" s="37">
        <f>(YEAR(TablaMadre[[#This Row],[ALTA]])-YEAR(M1562))</f>
        <v>23</v>
      </c>
      <c r="O1562" s="34" t="s">
        <v>18</v>
      </c>
      <c r="P1562" s="34" t="s">
        <v>19</v>
      </c>
      <c r="Q1562" s="34" t="s">
        <v>297</v>
      </c>
      <c r="R1562" s="34" t="s">
        <v>21</v>
      </c>
      <c r="S1562" s="34" t="s">
        <v>297</v>
      </c>
      <c r="T1562" s="34"/>
      <c r="U1562" s="34"/>
      <c r="V1562" s="34" t="s">
        <v>84</v>
      </c>
      <c r="W1562" s="34" t="s">
        <v>28</v>
      </c>
      <c r="X1562" s="34" t="s">
        <v>164</v>
      </c>
      <c r="Y1562" s="57">
        <v>45805</v>
      </c>
      <c r="Z1562" s="34">
        <f t="shared" si="73"/>
        <v>1</v>
      </c>
      <c r="AA1562" s="34"/>
      <c r="AB1562" s="34">
        <v>9</v>
      </c>
      <c r="AC1562" s="34" t="s">
        <v>691</v>
      </c>
      <c r="AD1562" s="34"/>
      <c r="AE1562" s="59" t="str">
        <f t="shared" si="74"/>
        <v>NO</v>
      </c>
      <c r="AF1562" s="34" t="e" cm="1">
        <f t="array" aca="1" ref="AF1562" ca="1">MIN(100, MAX(0, (IF(R1562="ESTUDIANTE", 31, 0)) + (IF(I1562&lt;=3, 30, IF(I1562&lt;=6, 20, 0))) +(IF(OR(E1562="413 - Control de Costes y Enlace Construcción", E1562="480 - Secretaría General del Consejo", E1562="132 - Civil y estructuras", E1562="136 - Mecánica", E1562="412 - Planificación", E1562="142 - Compras"), 25, 0)) +(IF(OR(S1562="GRADO ING. MECÁNICA", S1562="GRADO ING. ELÉCTRICA", S1562="GRADO DERECHO", S1562="GRADO ECONOMÍA", S1562="GRADO ING. TECNOLOGÍAS INDUSTRIALES"), 24, 0)) + (IF(AND(K1562&gt;=451, K1562&lt;=700), 23, 0)) + (IF(AND(AB1562&gt;=5, AB1562&lt;=8), 17, 0)) +(IF(_xludf.OR(_xludf.AND(AC1562&gt;=8, AC1562&lt;=10), _xludf.AND(AC1562&gt;=0, AC1562&lt;=5)), 16, 0)) + (IF(F1562="Madrid", 11, 0))))</f>
        <v>#NAME?</v>
      </c>
      <c r="AG1562" s="69"/>
      <c r="AH1562" s="71" t="s">
        <v>164</v>
      </c>
    </row>
    <row r="1563" spans="1:34" s="4" customFormat="1" ht="14.4" x14ac:dyDescent="0.3">
      <c r="A1563" s="66" t="s">
        <v>2541</v>
      </c>
      <c r="B1563" s="66" t="s">
        <v>4658</v>
      </c>
      <c r="C1563" s="33">
        <v>1562</v>
      </c>
      <c r="D1563" s="33" t="s">
        <v>5397</v>
      </c>
      <c r="E1563" s="34" t="s">
        <v>5222</v>
      </c>
      <c r="F1563" s="34" t="s">
        <v>18</v>
      </c>
      <c r="G1563" s="57">
        <v>45139</v>
      </c>
      <c r="H1563" s="57">
        <v>45466</v>
      </c>
      <c r="I1563" s="34">
        <f t="shared" si="72"/>
        <v>10</v>
      </c>
      <c r="J1563" s="34">
        <v>35</v>
      </c>
      <c r="K1563" s="36">
        <v>700</v>
      </c>
      <c r="L1563" s="34" t="s">
        <v>29</v>
      </c>
      <c r="M1563" s="35">
        <v>37179</v>
      </c>
      <c r="N1563" s="37">
        <f>(YEAR(TablaMadre[[#This Row],[ALTA]])-YEAR(M1563))</f>
        <v>22</v>
      </c>
      <c r="O1563" s="34" t="s">
        <v>18</v>
      </c>
      <c r="P1563" s="34" t="s">
        <v>19</v>
      </c>
      <c r="Q1563" s="34" t="s">
        <v>297</v>
      </c>
      <c r="R1563" s="58" t="s">
        <v>30</v>
      </c>
      <c r="S1563" s="34" t="s">
        <v>297</v>
      </c>
      <c r="T1563" s="34"/>
      <c r="U1563" s="34"/>
      <c r="V1563" s="34" t="s">
        <v>84</v>
      </c>
      <c r="W1563" s="34" t="s">
        <v>28</v>
      </c>
      <c r="X1563" s="34" t="s">
        <v>173</v>
      </c>
      <c r="Y1563" s="57"/>
      <c r="Z1563" s="34" t="e">
        <f t="shared" si="73"/>
        <v>#NUM!</v>
      </c>
      <c r="AA1563" s="34"/>
      <c r="AB1563" s="34">
        <v>9</v>
      </c>
      <c r="AC1563" s="34">
        <v>7</v>
      </c>
      <c r="AD1563" s="34"/>
      <c r="AE1563" s="59" t="str">
        <f t="shared" si="74"/>
        <v>NO</v>
      </c>
      <c r="AF1563" s="34" t="e" cm="1">
        <f t="array" aca="1" ref="AF1563" ca="1">MIN(100, MAX(0, (IF(R1563="ESTUDIANTE", 31, 0)) + (IF(I1563&lt;=3, 30, IF(I1563&lt;=6, 20, 0))) +(IF(OR(E1563="413 - Control de Costes y Enlace Construcción", E1563="480 - Secretaría General del Consejo", E1563="132 - Civil y estructuras", E1563="136 - Mecánica", E1563="412 - Planificación", E1563="142 - Compras"), 25, 0)) +(IF(OR(S1563="GRADO ING. MECÁNICA", S1563="GRADO ING. ELÉCTRICA", S1563="GRADO DERECHO", S1563="GRADO ECONOMÍA", S1563="GRADO ING. TECNOLOGÍAS INDUSTRIALES"), 24, 0)) + (IF(AND(K1563&gt;=451, K1563&lt;=700), 23, 0)) + (IF(AND(AB1563&gt;=5, AB1563&lt;=8), 17, 0)) +(IF(_xludf.OR(_xludf.AND(AC1563&gt;=8, AC1563&lt;=10), _xludf.AND(AC1563&gt;=0, AC1563&lt;=5)), 16, 0)) + (IF(F1563="Madrid", 11, 0))))</f>
        <v>#NAME?</v>
      </c>
      <c r="AG1563" s="69"/>
      <c r="AH1563" s="71" t="s">
        <v>164</v>
      </c>
    </row>
    <row r="1564" spans="1:34" ht="14.4" x14ac:dyDescent="0.3">
      <c r="A1564" s="66" t="s">
        <v>2542</v>
      </c>
      <c r="B1564" s="66" t="s">
        <v>4659</v>
      </c>
      <c r="C1564" s="33">
        <v>1563</v>
      </c>
      <c r="D1564" s="33" t="s">
        <v>5398</v>
      </c>
      <c r="E1564" s="34" t="s">
        <v>5251</v>
      </c>
      <c r="F1564" s="34" t="s">
        <v>18</v>
      </c>
      <c r="G1564" s="57">
        <v>45170</v>
      </c>
      <c r="H1564" s="57">
        <v>45535</v>
      </c>
      <c r="I1564" s="34">
        <f t="shared" si="72"/>
        <v>11</v>
      </c>
      <c r="J1564" s="34">
        <v>40</v>
      </c>
      <c r="K1564" s="36">
        <v>0</v>
      </c>
      <c r="L1564" s="34" t="s">
        <v>29</v>
      </c>
      <c r="M1564" s="35">
        <v>35962</v>
      </c>
      <c r="N1564" s="37">
        <f>(YEAR(TablaMadre[[#This Row],[ALTA]])-YEAR(M1564))</f>
        <v>25</v>
      </c>
      <c r="O1564" s="34" t="s">
        <v>18</v>
      </c>
      <c r="P1564" s="34" t="s">
        <v>19</v>
      </c>
      <c r="Q1564" s="34" t="s">
        <v>399</v>
      </c>
      <c r="R1564" s="34" t="s">
        <v>30</v>
      </c>
      <c r="S1564" s="34" t="s">
        <v>322</v>
      </c>
      <c r="T1564" s="34"/>
      <c r="U1564" s="34"/>
      <c r="V1564" s="34" t="s">
        <v>22</v>
      </c>
      <c r="W1564" s="34" t="s">
        <v>97</v>
      </c>
      <c r="X1564" s="38" t="s">
        <v>173</v>
      </c>
      <c r="Y1564" s="62"/>
      <c r="Z1564" s="38" t="e">
        <f t="shared" si="73"/>
        <v>#NUM!</v>
      </c>
      <c r="AA1564" s="38"/>
      <c r="AB1564" s="34" t="s">
        <v>693</v>
      </c>
      <c r="AC1564" s="34">
        <v>10</v>
      </c>
      <c r="AD1564" s="38"/>
      <c r="AE1564" s="59" t="str">
        <f t="shared" si="74"/>
        <v>NO</v>
      </c>
      <c r="AF1564" s="38" t="e" cm="1">
        <f t="array" aca="1" ref="AF1564" ca="1">MIN(100, MAX(0, (IF(R1564="ESTUDIANTE", 31, 0)) + (IF(I1564&lt;=3, 30, IF(I1564&lt;=6, 20, 0))) +(IF(OR(E1564="413 - Control de Costes y Enlace Construcción", E1564="480 - Secretaría General del Consejo", E1564="132 - Civil y estructuras", E1564="136 - Mecánica", E1564="412 - Planificación", E1564="142 - Compras"), 25, 0)) +(IF(OR(S1564="GRADO ING. MECÁNICA", S1564="GRADO ING. ELÉCTRICA", S1564="GRADO DERECHO", S1564="GRADO ECONOMÍA", S1564="GRADO ING. TECNOLOGÍAS INDUSTRIALES"), 24, 0)) + (IF(AND(K1564&gt;=451, K1564&lt;=700), 23, 0)) + (IF(AND(AB1564&gt;=5, AB1564&lt;=8), 17, 0)) +(IF(_xludf.OR(_xludf.AND(AC1564&gt;=8, AC1564&lt;=10), _xludf.AND(AC1564&gt;=0, AC1564&lt;=5)), 16, 0)) + (IF(F1564="Madrid", 11, 0))))</f>
        <v>#NAME?</v>
      </c>
      <c r="AG1564" s="68"/>
      <c r="AH1564" s="71" t="s">
        <v>164</v>
      </c>
    </row>
    <row r="1565" spans="1:34" s="4" customFormat="1" ht="14.4" x14ac:dyDescent="0.3">
      <c r="A1565" s="66" t="s">
        <v>2543</v>
      </c>
      <c r="B1565" s="66" t="s">
        <v>4660</v>
      </c>
      <c r="C1565" s="33">
        <v>1564</v>
      </c>
      <c r="D1565" s="33" t="s">
        <v>5399</v>
      </c>
      <c r="E1565" s="34" t="s">
        <v>5273</v>
      </c>
      <c r="F1565" s="34" t="s">
        <v>18</v>
      </c>
      <c r="G1565" s="57">
        <v>45170</v>
      </c>
      <c r="H1565" s="57">
        <v>45535</v>
      </c>
      <c r="I1565" s="34">
        <f t="shared" si="72"/>
        <v>11</v>
      </c>
      <c r="J1565" s="34">
        <v>40</v>
      </c>
      <c r="K1565" s="36">
        <v>0</v>
      </c>
      <c r="L1565" s="34" t="s">
        <v>17</v>
      </c>
      <c r="M1565" s="35">
        <v>34561</v>
      </c>
      <c r="N1565" s="37">
        <f>(YEAR(TablaMadre[[#This Row],[ALTA]])-YEAR(M1565))</f>
        <v>29</v>
      </c>
      <c r="O1565" s="34" t="s">
        <v>118</v>
      </c>
      <c r="P1565" s="34" t="s">
        <v>19</v>
      </c>
      <c r="Q1565" s="34" t="s">
        <v>297</v>
      </c>
      <c r="R1565" s="34" t="s">
        <v>30</v>
      </c>
      <c r="S1565" s="34" t="s">
        <v>297</v>
      </c>
      <c r="T1565" s="34"/>
      <c r="U1565" s="34"/>
      <c r="V1565" s="34" t="s">
        <v>163</v>
      </c>
      <c r="W1565" s="34" t="s">
        <v>28</v>
      </c>
      <c r="X1565" s="34" t="s">
        <v>164</v>
      </c>
      <c r="Y1565" s="57">
        <v>45811</v>
      </c>
      <c r="Z1565" s="34">
        <f t="shared" si="73"/>
        <v>0</v>
      </c>
      <c r="AA1565" s="34"/>
      <c r="AB1565" s="34">
        <v>9</v>
      </c>
      <c r="AC1565" s="34" t="s">
        <v>767</v>
      </c>
      <c r="AD1565" s="34"/>
      <c r="AE1565" s="59" t="str">
        <f t="shared" si="74"/>
        <v>SÍ</v>
      </c>
      <c r="AF1565" s="34" t="e" cm="1">
        <f t="array" aca="1" ref="AF1565" ca="1">MIN(100, MAX(0, (IF(R1565="ESTUDIANTE", 31, 0)) + (IF(I1565&lt;=3, 30, IF(I1565&lt;=6, 20, 0))) +(IF(OR(E1565="413 - Control de Costes y Enlace Construcción", E1565="480 - Secretaría General del Consejo", E1565="132 - Civil y estructuras", E1565="136 - Mecánica", E1565="412 - Planificación", E1565="142 - Compras"), 25, 0)) +(IF(OR(S1565="GRADO ING. MECÁNICA", S1565="GRADO ING. ELÉCTRICA", S1565="GRADO DERECHO", S1565="GRADO ECONOMÍA", S1565="GRADO ING. TECNOLOGÍAS INDUSTRIALES"), 24, 0)) + (IF(AND(K1565&gt;=451, K1565&lt;=700), 23, 0)) + (IF(AND(AB1565&gt;=5, AB1565&lt;=8), 17, 0)) +(IF(_xludf.OR(_xludf.AND(AC1565&gt;=8, AC1565&lt;=10), _xludf.AND(AC1565&gt;=0, AC1565&lt;=5)), 16, 0)) + (IF(F1565="Madrid", 11, 0))))</f>
        <v>#NAME?</v>
      </c>
      <c r="AG1565" s="69"/>
      <c r="AH1565" s="71" t="s">
        <v>164</v>
      </c>
    </row>
    <row r="1566" spans="1:34" s="4" customFormat="1" ht="14.4" x14ac:dyDescent="0.3">
      <c r="A1566" s="66" t="s">
        <v>2544</v>
      </c>
      <c r="B1566" s="66" t="s">
        <v>4661</v>
      </c>
      <c r="C1566" s="33">
        <v>1565</v>
      </c>
      <c r="D1566" s="33" t="s">
        <v>5400</v>
      </c>
      <c r="E1566" s="34" t="s">
        <v>5335</v>
      </c>
      <c r="F1566" s="34" t="s">
        <v>95</v>
      </c>
      <c r="G1566" s="57">
        <v>45170</v>
      </c>
      <c r="H1566" s="57">
        <v>45535</v>
      </c>
      <c r="I1566" s="34">
        <f t="shared" si="72"/>
        <v>11</v>
      </c>
      <c r="J1566" s="34">
        <v>40</v>
      </c>
      <c r="K1566" s="36">
        <v>0</v>
      </c>
      <c r="L1566" s="34" t="s">
        <v>17</v>
      </c>
      <c r="M1566" s="35">
        <v>35094</v>
      </c>
      <c r="N1566" s="37">
        <f>(YEAR(TablaMadre[[#This Row],[ALTA]])-YEAR(M1566))</f>
        <v>27</v>
      </c>
      <c r="O1566" s="34" t="s">
        <v>146</v>
      </c>
      <c r="P1566" s="34" t="s">
        <v>19</v>
      </c>
      <c r="Q1566" s="34" t="s">
        <v>399</v>
      </c>
      <c r="R1566" s="34" t="s">
        <v>30</v>
      </c>
      <c r="S1566" s="34" t="s">
        <v>322</v>
      </c>
      <c r="T1566" s="34"/>
      <c r="U1566" s="34"/>
      <c r="V1566" s="34" t="s">
        <v>163</v>
      </c>
      <c r="W1566" s="34" t="s">
        <v>97</v>
      </c>
      <c r="X1566" s="34" t="s">
        <v>173</v>
      </c>
      <c r="Y1566" s="57"/>
      <c r="Z1566" s="34" t="e">
        <f t="shared" si="73"/>
        <v>#NUM!</v>
      </c>
      <c r="AA1566" s="34"/>
      <c r="AB1566" s="34">
        <v>9</v>
      </c>
      <c r="AC1566" s="34" t="s">
        <v>767</v>
      </c>
      <c r="AD1566" s="34"/>
      <c r="AE1566" s="59" t="str">
        <f t="shared" si="74"/>
        <v>SÍ</v>
      </c>
      <c r="AF1566" s="34" t="e" cm="1">
        <f t="array" aca="1" ref="AF1566" ca="1">MIN(100, MAX(0, (IF(R1566="ESTUDIANTE", 31, 0)) + (IF(I1566&lt;=3, 30, IF(I1566&lt;=6, 20, 0))) +(IF(OR(E1566="413 - Control de Costes y Enlace Construcción", E1566="480 - Secretaría General del Consejo", E1566="132 - Civil y estructuras", E1566="136 - Mecánica", E1566="412 - Planificación", E1566="142 - Compras"), 25, 0)) +(IF(OR(S1566="GRADO ING. MECÁNICA", S1566="GRADO ING. ELÉCTRICA", S1566="GRADO DERECHO", S1566="GRADO ECONOMÍA", S1566="GRADO ING. TECNOLOGÍAS INDUSTRIALES"), 24, 0)) + (IF(AND(K1566&gt;=451, K1566&lt;=700), 23, 0)) + (IF(AND(AB1566&gt;=5, AB1566&lt;=8), 17, 0)) +(IF(_xludf.OR(_xludf.AND(AC1566&gt;=8, AC1566&lt;=10), _xludf.AND(AC1566&gt;=0, AC1566&lt;=5)), 16, 0)) + (IF(F1566="Madrid", 11, 0))))</f>
        <v>#NAME?</v>
      </c>
      <c r="AG1566" s="69"/>
      <c r="AH1566" s="71" t="s">
        <v>164</v>
      </c>
    </row>
    <row r="1567" spans="1:34" ht="14.4" x14ac:dyDescent="0.3">
      <c r="A1567" s="66" t="s">
        <v>2545</v>
      </c>
      <c r="B1567" s="66" t="s">
        <v>4662</v>
      </c>
      <c r="C1567" s="33">
        <v>1566</v>
      </c>
      <c r="D1567" s="33" t="s">
        <v>5401</v>
      </c>
      <c r="E1567" s="34" t="s">
        <v>5273</v>
      </c>
      <c r="F1567" s="34" t="s">
        <v>18</v>
      </c>
      <c r="G1567" s="57">
        <v>45170</v>
      </c>
      <c r="H1567" s="57">
        <v>45535</v>
      </c>
      <c r="I1567" s="34">
        <f t="shared" si="72"/>
        <v>11</v>
      </c>
      <c r="J1567" s="34">
        <v>40</v>
      </c>
      <c r="K1567" s="36">
        <v>0</v>
      </c>
      <c r="L1567" s="34" t="s">
        <v>17</v>
      </c>
      <c r="M1567" s="35">
        <v>36351</v>
      </c>
      <c r="N1567" s="37">
        <f>(YEAR(TablaMadre[[#This Row],[ALTA]])-YEAR(M1567))</f>
        <v>24</v>
      </c>
      <c r="O1567" s="34" t="s">
        <v>18</v>
      </c>
      <c r="P1567" s="34" t="s">
        <v>19</v>
      </c>
      <c r="Q1567" s="34" t="s">
        <v>384</v>
      </c>
      <c r="R1567" s="34" t="s">
        <v>30</v>
      </c>
      <c r="S1567" s="34" t="s">
        <v>384</v>
      </c>
      <c r="T1567" s="34"/>
      <c r="U1567" s="34"/>
      <c r="V1567" s="34" t="s">
        <v>56</v>
      </c>
      <c r="W1567" s="34" t="s">
        <v>28</v>
      </c>
      <c r="X1567" s="38" t="s">
        <v>173</v>
      </c>
      <c r="Y1567" s="62"/>
      <c r="Z1567" s="38" t="e">
        <f t="shared" si="73"/>
        <v>#NUM!</v>
      </c>
      <c r="AA1567" s="38"/>
      <c r="AB1567" s="34" t="s">
        <v>693</v>
      </c>
      <c r="AC1567" s="34" t="s">
        <v>767</v>
      </c>
      <c r="AD1567" s="38"/>
      <c r="AE1567" s="59" t="str">
        <f t="shared" si="74"/>
        <v>NO</v>
      </c>
      <c r="AF1567" s="38" t="e" cm="1">
        <f t="array" aca="1" ref="AF1567" ca="1">MIN(100, MAX(0, (IF(R1567="ESTUDIANTE", 31, 0)) + (IF(I1567&lt;=3, 30, IF(I1567&lt;=6, 20, 0))) +(IF(OR(E1567="413 - Control de Costes y Enlace Construcción", E1567="480 - Secretaría General del Consejo", E1567="132 - Civil y estructuras", E1567="136 - Mecánica", E1567="412 - Planificación", E1567="142 - Compras"), 25, 0)) +(IF(OR(S1567="GRADO ING. MECÁNICA", S1567="GRADO ING. ELÉCTRICA", S1567="GRADO DERECHO", S1567="GRADO ECONOMÍA", S1567="GRADO ING. TECNOLOGÍAS INDUSTRIALES"), 24, 0)) + (IF(AND(K1567&gt;=451, K1567&lt;=700), 23, 0)) + (IF(AND(AB1567&gt;=5, AB1567&lt;=8), 17, 0)) +(IF(_xludf.OR(_xludf.AND(AC1567&gt;=8, AC1567&lt;=10), _xludf.AND(AC1567&gt;=0, AC1567&lt;=5)), 16, 0)) + (IF(F1567="Madrid", 11, 0))))</f>
        <v>#NAME?</v>
      </c>
      <c r="AG1567" s="68"/>
      <c r="AH1567" s="71" t="s">
        <v>164</v>
      </c>
    </row>
    <row r="1568" spans="1:34" s="4" customFormat="1" ht="14.4" x14ac:dyDescent="0.3">
      <c r="A1568" s="66" t="s">
        <v>2546</v>
      </c>
      <c r="B1568" s="66" t="s">
        <v>4663</v>
      </c>
      <c r="C1568" s="33">
        <v>1567</v>
      </c>
      <c r="D1568" s="33" t="s">
        <v>5402</v>
      </c>
      <c r="E1568" s="34" t="s">
        <v>5294</v>
      </c>
      <c r="F1568" s="34" t="s">
        <v>18</v>
      </c>
      <c r="G1568" s="57">
        <v>45170</v>
      </c>
      <c r="H1568" s="57">
        <v>45535</v>
      </c>
      <c r="I1568" s="34">
        <f t="shared" si="72"/>
        <v>11</v>
      </c>
      <c r="J1568" s="34">
        <v>40</v>
      </c>
      <c r="K1568" s="36">
        <v>0</v>
      </c>
      <c r="L1568" s="34" t="s">
        <v>17</v>
      </c>
      <c r="M1568" s="35">
        <v>36061</v>
      </c>
      <c r="N1568" s="37">
        <f>(YEAR(TablaMadre[[#This Row],[ALTA]])-YEAR(M1568))</f>
        <v>25</v>
      </c>
      <c r="O1568" s="34" t="s">
        <v>18</v>
      </c>
      <c r="P1568" s="34" t="s">
        <v>19</v>
      </c>
      <c r="Q1568" s="34" t="s">
        <v>578</v>
      </c>
      <c r="R1568" s="34" t="s">
        <v>30</v>
      </c>
      <c r="S1568" s="34" t="s">
        <v>136</v>
      </c>
      <c r="T1568" s="34"/>
      <c r="U1568" s="34"/>
      <c r="V1568" s="34" t="s">
        <v>69</v>
      </c>
      <c r="W1568" s="34" t="s">
        <v>28</v>
      </c>
      <c r="X1568" s="34" t="s">
        <v>173</v>
      </c>
      <c r="Y1568" s="57"/>
      <c r="Z1568" s="34" t="e">
        <f t="shared" si="73"/>
        <v>#NUM!</v>
      </c>
      <c r="AA1568" s="34"/>
      <c r="AB1568" s="34" t="s">
        <v>693</v>
      </c>
      <c r="AC1568" s="34">
        <v>10</v>
      </c>
      <c r="AD1568" s="34"/>
      <c r="AE1568" s="59" t="str">
        <f t="shared" si="74"/>
        <v>NO</v>
      </c>
      <c r="AF1568" s="34" t="e" cm="1">
        <f t="array" aca="1" ref="AF1568" ca="1">MIN(100, MAX(0, (IF(R1568="ESTUDIANTE", 31, 0)) + (IF(I1568&lt;=3, 30, IF(I1568&lt;=6, 20, 0))) +(IF(OR(E1568="413 - Control de Costes y Enlace Construcción", E1568="480 - Secretaría General del Consejo", E1568="132 - Civil y estructuras", E1568="136 - Mecánica", E1568="412 - Planificación", E1568="142 - Compras"), 25, 0)) +(IF(OR(S1568="GRADO ING. MECÁNICA", S1568="GRADO ING. ELÉCTRICA", S1568="GRADO DERECHO", S1568="GRADO ECONOMÍA", S1568="GRADO ING. TECNOLOGÍAS INDUSTRIALES"), 24, 0)) + (IF(AND(K1568&gt;=451, K1568&lt;=700), 23, 0)) + (IF(AND(AB1568&gt;=5, AB1568&lt;=8), 17, 0)) +(IF(_xludf.OR(_xludf.AND(AC1568&gt;=8, AC1568&lt;=10), _xludf.AND(AC1568&gt;=0, AC1568&lt;=5)), 16, 0)) + (IF(F1568="Madrid", 11, 0))))</f>
        <v>#NAME?</v>
      </c>
      <c r="AG1568" s="69"/>
      <c r="AH1568" s="71" t="s">
        <v>164</v>
      </c>
    </row>
    <row r="1569" spans="1:34" s="4" customFormat="1" ht="14.4" x14ac:dyDescent="0.3">
      <c r="A1569" s="66" t="s">
        <v>2548</v>
      </c>
      <c r="B1569" s="66" t="s">
        <v>4665</v>
      </c>
      <c r="C1569" s="33">
        <v>1569</v>
      </c>
      <c r="D1569" s="33" t="s">
        <v>5393</v>
      </c>
      <c r="E1569" s="34" t="s">
        <v>5219</v>
      </c>
      <c r="F1569" s="34" t="s">
        <v>18</v>
      </c>
      <c r="G1569" s="57">
        <v>45173</v>
      </c>
      <c r="H1569" s="57">
        <v>45351</v>
      </c>
      <c r="I1569" s="34">
        <f t="shared" si="72"/>
        <v>5</v>
      </c>
      <c r="J1569" s="34">
        <v>30</v>
      </c>
      <c r="K1569" s="36">
        <v>750</v>
      </c>
      <c r="L1569" s="34" t="s">
        <v>29</v>
      </c>
      <c r="M1569" s="35">
        <v>36686</v>
      </c>
      <c r="N1569" s="37">
        <f>(YEAR(TablaMadre[[#This Row],[ALTA]])-YEAR(M1569))</f>
        <v>23</v>
      </c>
      <c r="O1569" s="34" t="s">
        <v>941</v>
      </c>
      <c r="P1569" s="34" t="s">
        <v>19</v>
      </c>
      <c r="Q1569" s="34" t="s">
        <v>399</v>
      </c>
      <c r="R1569" s="34" t="s">
        <v>21</v>
      </c>
      <c r="S1569" s="34" t="s">
        <v>322</v>
      </c>
      <c r="T1569" s="34"/>
      <c r="U1569" s="34"/>
      <c r="V1569" s="34" t="s">
        <v>67</v>
      </c>
      <c r="W1569" s="34" t="s">
        <v>28</v>
      </c>
      <c r="X1569" s="38" t="s">
        <v>173</v>
      </c>
      <c r="Y1569" s="62"/>
      <c r="Z1569" s="38" t="e">
        <f t="shared" si="73"/>
        <v>#NUM!</v>
      </c>
      <c r="AA1569" s="38"/>
      <c r="AB1569" s="34">
        <v>7</v>
      </c>
      <c r="AC1569" s="34">
        <v>7</v>
      </c>
      <c r="AD1569" s="38"/>
      <c r="AE1569" s="59" t="str">
        <f t="shared" si="74"/>
        <v>SÍ</v>
      </c>
      <c r="AF1569" s="34" t="e" cm="1">
        <f t="array" aca="1" ref="AF1569" ca="1">MIN(100, MAX(0, (IF(R1569="ESTUDIANTE", 31, 0)) + (IF(I1569&lt;=3, 30, IF(I1569&lt;=6, 20, 0))) +(IF(OR(E1569="413 - Control de Costes y Enlace Construcción", E1569="480 - Secretaría General del Consejo", E1569="132 - Civil y estructuras", E1569="136 - Mecánica", E1569="412 - Planificación", E1569="142 - Compras"), 25, 0)) +(IF(OR(S1569="GRADO ING. MECÁNICA", S1569="GRADO ING. ELÉCTRICA", S1569="GRADO DERECHO", S1569="GRADO ECONOMÍA", S1569="GRADO ING. TECNOLOGÍAS INDUSTRIALES"), 24, 0)) + (IF(AND(K1569&gt;=451, K1569&lt;=700), 23, 0)) + (IF(AND(AB1569&gt;=5, AB1569&lt;=8), 17, 0)) +(IF(_xludf.OR(_xludf.AND(AC1569&gt;=8, AC1569&lt;=10), _xludf.AND(AC1569&gt;=0, AC1569&lt;=5)), 16, 0)) + (IF(F1569="Madrid", 11, 0))))</f>
        <v>#NAME?</v>
      </c>
      <c r="AG1569" s="69"/>
      <c r="AH1569" s="71" t="s">
        <v>164</v>
      </c>
    </row>
    <row r="1570" spans="1:34" ht="14.4" x14ac:dyDescent="0.3">
      <c r="A1570" s="66" t="s">
        <v>2549</v>
      </c>
      <c r="B1570" s="66" t="s">
        <v>4666</v>
      </c>
      <c r="C1570" s="33">
        <v>1570</v>
      </c>
      <c r="D1570" s="33" t="s">
        <v>5394</v>
      </c>
      <c r="E1570" s="34" t="s">
        <v>5322</v>
      </c>
      <c r="F1570" s="34" t="s">
        <v>18</v>
      </c>
      <c r="G1570" s="57">
        <v>45173</v>
      </c>
      <c r="H1570" s="57">
        <v>45535</v>
      </c>
      <c r="I1570" s="34">
        <f t="shared" si="72"/>
        <v>11</v>
      </c>
      <c r="J1570" s="34">
        <v>35</v>
      </c>
      <c r="K1570" s="36">
        <v>955</v>
      </c>
      <c r="L1570" s="34" t="s">
        <v>29</v>
      </c>
      <c r="M1570" s="35">
        <v>36769</v>
      </c>
      <c r="N1570" s="37">
        <f>(YEAR(TablaMadre[[#This Row],[ALTA]])-YEAR(M1570))</f>
        <v>23</v>
      </c>
      <c r="O1570" s="34" t="s">
        <v>18</v>
      </c>
      <c r="P1570" s="34" t="s">
        <v>19</v>
      </c>
      <c r="Q1570" s="34" t="s">
        <v>768</v>
      </c>
      <c r="R1570" s="34" t="s">
        <v>21</v>
      </c>
      <c r="S1570" s="34" t="s">
        <v>326</v>
      </c>
      <c r="T1570" s="34"/>
      <c r="U1570" s="34"/>
      <c r="V1570" s="34" t="s">
        <v>40</v>
      </c>
      <c r="W1570" s="34" t="s">
        <v>28</v>
      </c>
      <c r="X1570" s="38" t="s">
        <v>173</v>
      </c>
      <c r="Y1570" s="62"/>
      <c r="Z1570" s="38" t="e">
        <f t="shared" si="73"/>
        <v>#NUM!</v>
      </c>
      <c r="AA1570" s="38"/>
      <c r="AB1570" s="34">
        <v>10</v>
      </c>
      <c r="AC1570" s="34">
        <v>10</v>
      </c>
      <c r="AD1570" s="38"/>
      <c r="AE1570" s="59" t="str">
        <f t="shared" si="74"/>
        <v>NO</v>
      </c>
      <c r="AF1570" s="38" t="e" cm="1">
        <f t="array" aca="1" ref="AF1570" ca="1">MIN(100, MAX(0, (IF(R1570="ESTUDIANTE", 31, 0)) + (IF(I1570&lt;=3, 30, IF(I1570&lt;=6, 20, 0))) +(IF(OR(E1570="413 - Control de Costes y Enlace Construcción", E1570="480 - Secretaría General del Consejo", E1570="132 - Civil y estructuras", E1570="136 - Mecánica", E1570="412 - Planificación", E1570="142 - Compras"), 25, 0)) +(IF(OR(S1570="GRADO ING. MECÁNICA", S1570="GRADO ING. ELÉCTRICA", S1570="GRADO DERECHO", S1570="GRADO ECONOMÍA", S1570="GRADO ING. TECNOLOGÍAS INDUSTRIALES"), 24, 0)) + (IF(AND(K1570&gt;=451, K1570&lt;=700), 23, 0)) + (IF(AND(AB1570&gt;=5, AB1570&lt;=8), 17, 0)) +(IF(_xludf.OR(_xludf.AND(AC1570&gt;=8, AC1570&lt;=10), _xludf.AND(AC1570&gt;=0, AC1570&lt;=5)), 16, 0)) + (IF(F1570="Madrid", 11, 0))))</f>
        <v>#NAME?</v>
      </c>
      <c r="AG1570" s="68"/>
      <c r="AH1570" s="71" t="s">
        <v>164</v>
      </c>
    </row>
    <row r="1571" spans="1:34" ht="14.4" x14ac:dyDescent="0.3">
      <c r="A1571" s="66" t="s">
        <v>2550</v>
      </c>
      <c r="B1571" s="66" t="s">
        <v>4667</v>
      </c>
      <c r="C1571" s="33">
        <v>1571</v>
      </c>
      <c r="D1571" s="33" t="s">
        <v>5403</v>
      </c>
      <c r="E1571" s="34" t="s">
        <v>5356</v>
      </c>
      <c r="F1571" s="34" t="s">
        <v>18</v>
      </c>
      <c r="G1571" s="57">
        <v>45173</v>
      </c>
      <c r="H1571" s="57">
        <v>45538</v>
      </c>
      <c r="I1571" s="34">
        <f t="shared" si="72"/>
        <v>11</v>
      </c>
      <c r="J1571" s="34">
        <v>35</v>
      </c>
      <c r="K1571" s="36">
        <v>955</v>
      </c>
      <c r="L1571" s="34" t="s">
        <v>29</v>
      </c>
      <c r="M1571" s="35">
        <v>36626</v>
      </c>
      <c r="N1571" s="37">
        <f>(YEAR(TablaMadre[[#This Row],[ALTA]])-YEAR(M1571))</f>
        <v>23</v>
      </c>
      <c r="O1571" s="34" t="s">
        <v>18</v>
      </c>
      <c r="P1571" s="34" t="s">
        <v>19</v>
      </c>
      <c r="Q1571" s="34" t="s">
        <v>434</v>
      </c>
      <c r="R1571" s="34" t="s">
        <v>21</v>
      </c>
      <c r="S1571" s="34" t="s">
        <v>695</v>
      </c>
      <c r="T1571" s="34"/>
      <c r="U1571" s="34"/>
      <c r="V1571" s="34" t="s">
        <v>40</v>
      </c>
      <c r="W1571" s="34" t="s">
        <v>28</v>
      </c>
      <c r="X1571" s="34" t="s">
        <v>173</v>
      </c>
      <c r="Y1571" s="57"/>
      <c r="Z1571" s="34" t="e">
        <f t="shared" si="73"/>
        <v>#NUM!</v>
      </c>
      <c r="AA1571" s="34"/>
      <c r="AB1571" s="34">
        <v>10</v>
      </c>
      <c r="AC1571" s="34">
        <v>9</v>
      </c>
      <c r="AD1571" s="34"/>
      <c r="AE1571" s="59" t="str">
        <f t="shared" si="74"/>
        <v>NO</v>
      </c>
      <c r="AF1571" s="38" t="e" cm="1">
        <f t="array" aca="1" ref="AF1571" ca="1">MIN(100, MAX(0, (IF(R1571="ESTUDIANTE", 31, 0)) + (IF(I1571&lt;=3, 30, IF(I1571&lt;=6, 20, 0))) +(IF(OR(E1571="413 - Control de Costes y Enlace Construcción", E1571="480 - Secretaría General del Consejo", E1571="132 - Civil y estructuras", E1571="136 - Mecánica", E1571="412 - Planificación", E1571="142 - Compras"), 25, 0)) +(IF(OR(S1571="GRADO ING. MECÁNICA", S1571="GRADO ING. ELÉCTRICA", S1571="GRADO DERECHO", S1571="GRADO ECONOMÍA", S1571="GRADO ING. TECNOLOGÍAS INDUSTRIALES"), 24, 0)) + (IF(AND(K1571&gt;=451, K1571&lt;=700), 23, 0)) + (IF(AND(AB1571&gt;=5, AB1571&lt;=8), 17, 0)) +(IF(_xludf.OR(_xludf.AND(AC1571&gt;=8, AC1571&lt;=10), _xludf.AND(AC1571&gt;=0, AC1571&lt;=5)), 16, 0)) + (IF(F1571="Madrid", 11, 0))))</f>
        <v>#NAME?</v>
      </c>
      <c r="AG1571" s="68"/>
      <c r="AH1571" s="71" t="s">
        <v>164</v>
      </c>
    </row>
    <row r="1572" spans="1:34" s="4" customFormat="1" ht="14.4" x14ac:dyDescent="0.3">
      <c r="A1572" s="66" t="s">
        <v>2952</v>
      </c>
      <c r="B1572" s="66" t="s">
        <v>5069</v>
      </c>
      <c r="C1572" s="33">
        <v>1568</v>
      </c>
      <c r="D1572" s="33" t="s">
        <v>5404</v>
      </c>
      <c r="E1572" s="34" t="s">
        <v>5331</v>
      </c>
      <c r="F1572" s="34" t="s">
        <v>18</v>
      </c>
      <c r="G1572" s="57">
        <v>45173</v>
      </c>
      <c r="H1572" s="57">
        <v>45259</v>
      </c>
      <c r="I1572" s="34">
        <f t="shared" si="72"/>
        <v>2</v>
      </c>
      <c r="J1572" s="34">
        <v>20</v>
      </c>
      <c r="K1572" s="36">
        <v>0</v>
      </c>
      <c r="L1572" s="34" t="s">
        <v>17</v>
      </c>
      <c r="M1572" s="35">
        <v>37600</v>
      </c>
      <c r="N1572" s="37">
        <f>(YEAR(TablaMadre[[#This Row],[ALTA]])-YEAR(M1572))</f>
        <v>21</v>
      </c>
      <c r="O1572" s="34" t="s">
        <v>18</v>
      </c>
      <c r="P1572" s="34" t="s">
        <v>19</v>
      </c>
      <c r="Q1572" s="34" t="s">
        <v>673</v>
      </c>
      <c r="R1572" s="34" t="s">
        <v>30</v>
      </c>
      <c r="S1572" s="34" t="s">
        <v>894</v>
      </c>
      <c r="T1572" s="34"/>
      <c r="U1572" s="34"/>
      <c r="V1572" s="34" t="s">
        <v>182</v>
      </c>
      <c r="W1572" s="34" t="s">
        <v>23</v>
      </c>
      <c r="X1572" s="34" t="s">
        <v>974</v>
      </c>
      <c r="Y1572" s="57"/>
      <c r="Z1572" s="34" t="e">
        <f t="shared" si="73"/>
        <v>#NUM!</v>
      </c>
      <c r="AA1572" s="34"/>
      <c r="AB1572" s="34"/>
      <c r="AC1572" s="34"/>
      <c r="AD1572" s="34"/>
      <c r="AE1572" s="59" t="str">
        <f t="shared" si="74"/>
        <v>NO</v>
      </c>
      <c r="AF1572" s="34" t="e" cm="1">
        <f t="array" aca="1" ref="AF1572" ca="1">MIN(100, MAX(0, (IF(R1572="ESTUDIANTE", 31, 0)) + (IF(I1572&lt;=3, 30, IF(I1572&lt;=6, 20, 0))) +(IF(OR(E1572="413 - Control de Costes y Enlace Construcción", E1572="480 - Secretaría General del Consejo", E1572="132 - Civil y estructuras", E1572="136 - Mecánica", E1572="412 - Planificación", E1572="142 - Compras"), 25, 0)) +(IF(OR(S1572="GRADO ING. MECÁNICA", S1572="GRADO ING. ELÉCTRICA", S1572="GRADO DERECHO", S1572="GRADO ECONOMÍA", S1572="GRADO ING. TECNOLOGÍAS INDUSTRIALES"), 24, 0)) + (IF(AND(K1572&gt;=451, K1572&lt;=700), 23, 0)) + (IF(AND(AB1572&gt;=5, AB1572&lt;=8), 17, 0)) +(IF(_xludf.OR(_xludf.AND(AC1572&gt;=8, AC1572&lt;=10), _xludf.AND(AC1572&gt;=0, AC1572&lt;=5)), 16, 0)) + (IF(F1572="Madrid", 11, 0))))</f>
        <v>#NAME?</v>
      </c>
      <c r="AG1572" s="69"/>
      <c r="AH1572" s="71" t="s">
        <v>164</v>
      </c>
    </row>
    <row r="1573" spans="1:34" s="4" customFormat="1" ht="14.4" x14ac:dyDescent="0.3">
      <c r="A1573" s="66" t="s">
        <v>2551</v>
      </c>
      <c r="B1573" s="66" t="s">
        <v>4668</v>
      </c>
      <c r="C1573" s="33">
        <v>1572</v>
      </c>
      <c r="D1573" s="33" t="s">
        <v>5405</v>
      </c>
      <c r="E1573" s="34" t="s">
        <v>5235</v>
      </c>
      <c r="F1573" s="34" t="s">
        <v>18</v>
      </c>
      <c r="G1573" s="57">
        <v>45175</v>
      </c>
      <c r="H1573" s="57">
        <v>45354</v>
      </c>
      <c r="I1573" s="34">
        <f t="shared" si="72"/>
        <v>5</v>
      </c>
      <c r="J1573" s="34">
        <v>35</v>
      </c>
      <c r="K1573" s="36">
        <v>955</v>
      </c>
      <c r="L1573" s="34" t="s">
        <v>29</v>
      </c>
      <c r="M1573" s="35">
        <v>36690</v>
      </c>
      <c r="N1573" s="37">
        <f>(YEAR(TablaMadre[[#This Row],[ALTA]])-YEAR(M1573))</f>
        <v>23</v>
      </c>
      <c r="O1573" s="34" t="s">
        <v>18</v>
      </c>
      <c r="P1573" s="34" t="s">
        <v>19</v>
      </c>
      <c r="Q1573" s="34" t="s">
        <v>434</v>
      </c>
      <c r="R1573" s="34" t="s">
        <v>21</v>
      </c>
      <c r="S1573" s="34" t="s">
        <v>695</v>
      </c>
      <c r="T1573" s="34"/>
      <c r="U1573" s="34"/>
      <c r="V1573" s="34" t="s">
        <v>40</v>
      </c>
      <c r="W1573" s="34" t="s">
        <v>28</v>
      </c>
      <c r="X1573" s="34" t="s">
        <v>173</v>
      </c>
      <c r="Y1573" s="57"/>
      <c r="Z1573" s="34" t="e">
        <f t="shared" si="73"/>
        <v>#NUM!</v>
      </c>
      <c r="AA1573" s="34"/>
      <c r="AB1573" s="34">
        <v>8</v>
      </c>
      <c r="AC1573" s="34">
        <v>8</v>
      </c>
      <c r="AD1573" s="34"/>
      <c r="AE1573" s="59" t="str">
        <f t="shared" si="74"/>
        <v>NO</v>
      </c>
      <c r="AF1573" s="34" t="e" cm="1">
        <f t="array" aca="1" ref="AF1573" ca="1">MIN(100, MAX(0, (IF(R1573="ESTUDIANTE", 31, 0)) + (IF(I1573&lt;=3, 30, IF(I1573&lt;=6, 20, 0))) +(IF(OR(E1573="413 - Control de Costes y Enlace Construcción", E1573="480 - Secretaría General del Consejo", E1573="132 - Civil y estructuras", E1573="136 - Mecánica", E1573="412 - Planificación", E1573="142 - Compras"), 25, 0)) +(IF(OR(S1573="GRADO ING. MECÁNICA", S1573="GRADO ING. ELÉCTRICA", S1573="GRADO DERECHO", S1573="GRADO ECONOMÍA", S1573="GRADO ING. TECNOLOGÍAS INDUSTRIALES"), 24, 0)) + (IF(AND(K1573&gt;=451, K1573&lt;=700), 23, 0)) + (IF(AND(AB1573&gt;=5, AB1573&lt;=8), 17, 0)) +(IF(_xludf.OR(_xludf.AND(AC1573&gt;=8, AC1573&lt;=10), _xludf.AND(AC1573&gt;=0, AC1573&lt;=5)), 16, 0)) + (IF(F1573="Madrid", 11, 0))))</f>
        <v>#NAME?</v>
      </c>
      <c r="AG1573" s="69"/>
      <c r="AH1573" s="71" t="s">
        <v>164</v>
      </c>
    </row>
    <row r="1574" spans="1:34" ht="14.4" x14ac:dyDescent="0.3">
      <c r="A1574" s="66" t="s">
        <v>2552</v>
      </c>
      <c r="B1574" s="66" t="s">
        <v>4669</v>
      </c>
      <c r="C1574" s="33">
        <v>1573</v>
      </c>
      <c r="D1574" s="33" t="s">
        <v>5396</v>
      </c>
      <c r="E1574" s="34" t="s">
        <v>5249</v>
      </c>
      <c r="F1574" s="34" t="s">
        <v>18</v>
      </c>
      <c r="G1574" s="57">
        <v>45175</v>
      </c>
      <c r="H1574" s="57">
        <v>45356</v>
      </c>
      <c r="I1574" s="34">
        <f t="shared" si="72"/>
        <v>5</v>
      </c>
      <c r="J1574" s="34">
        <v>35</v>
      </c>
      <c r="K1574" s="36">
        <v>875</v>
      </c>
      <c r="L1574" s="34" t="s">
        <v>17</v>
      </c>
      <c r="M1574" s="35">
        <v>36279</v>
      </c>
      <c r="N1574" s="37">
        <f>(YEAR(TablaMadre[[#This Row],[ALTA]])-YEAR(M1574))</f>
        <v>24</v>
      </c>
      <c r="O1574" s="34" t="s">
        <v>942</v>
      </c>
      <c r="P1574" s="34" t="s">
        <v>19</v>
      </c>
      <c r="Q1574" s="34" t="s">
        <v>428</v>
      </c>
      <c r="R1574" s="34" t="s">
        <v>21</v>
      </c>
      <c r="S1574" s="34" t="s">
        <v>297</v>
      </c>
      <c r="T1574" s="34"/>
      <c r="U1574" s="34"/>
      <c r="V1574" s="34" t="s">
        <v>180</v>
      </c>
      <c r="W1574" s="34" t="s">
        <v>28</v>
      </c>
      <c r="X1574" s="38" t="s">
        <v>173</v>
      </c>
      <c r="Y1574" s="62"/>
      <c r="Z1574" s="38" t="e">
        <f t="shared" si="73"/>
        <v>#NUM!</v>
      </c>
      <c r="AA1574" s="38"/>
      <c r="AB1574" s="34">
        <v>10</v>
      </c>
      <c r="AC1574" s="34">
        <v>10</v>
      </c>
      <c r="AD1574" s="38"/>
      <c r="AE1574" s="59" t="str">
        <f t="shared" si="74"/>
        <v>SÍ</v>
      </c>
      <c r="AF1574" s="38" t="e" cm="1">
        <f t="array" aca="1" ref="AF1574" ca="1">MIN(100, MAX(0, (IF(R1574="ESTUDIANTE", 31, 0)) + (IF(I1574&lt;=3, 30, IF(I1574&lt;=6, 20, 0))) +(IF(OR(E1574="413 - Control de Costes y Enlace Construcción", E1574="480 - Secretaría General del Consejo", E1574="132 - Civil y estructuras", E1574="136 - Mecánica", E1574="412 - Planificación", E1574="142 - Compras"), 25, 0)) +(IF(OR(S1574="GRADO ING. MECÁNICA", S1574="GRADO ING. ELÉCTRICA", S1574="GRADO DERECHO", S1574="GRADO ECONOMÍA", S1574="GRADO ING. TECNOLOGÍAS INDUSTRIALES"), 24, 0)) + (IF(AND(K1574&gt;=451, K1574&lt;=700), 23, 0)) + (IF(AND(AB1574&gt;=5, AB1574&lt;=8), 17, 0)) +(IF(_xludf.OR(_xludf.AND(AC1574&gt;=8, AC1574&lt;=10), _xludf.AND(AC1574&gt;=0, AC1574&lt;=5)), 16, 0)) + (IF(F1574="Madrid", 11, 0))))</f>
        <v>#NAME?</v>
      </c>
      <c r="AG1574" s="68"/>
      <c r="AH1574" s="71" t="s">
        <v>164</v>
      </c>
    </row>
    <row r="1575" spans="1:34" s="4" customFormat="1" ht="14.4" x14ac:dyDescent="0.3">
      <c r="A1575" s="66" t="s">
        <v>2469</v>
      </c>
      <c r="B1575" s="66" t="s">
        <v>4586</v>
      </c>
      <c r="C1575" s="33">
        <v>1579</v>
      </c>
      <c r="D1575" s="33" t="s">
        <v>5397</v>
      </c>
      <c r="E1575" s="34" t="s">
        <v>5216</v>
      </c>
      <c r="F1575" s="34" t="s">
        <v>18</v>
      </c>
      <c r="G1575" s="57">
        <v>45180</v>
      </c>
      <c r="H1575" s="57">
        <v>45440</v>
      </c>
      <c r="I1575" s="34">
        <f t="shared" si="72"/>
        <v>8</v>
      </c>
      <c r="J1575" s="34">
        <v>25</v>
      </c>
      <c r="K1575" s="36">
        <v>625</v>
      </c>
      <c r="L1575" s="34" t="s">
        <v>17</v>
      </c>
      <c r="M1575" s="35">
        <v>36616</v>
      </c>
      <c r="N1575" s="37">
        <f>(YEAR(TablaMadre[[#This Row],[ALTA]])-YEAR(M1575))</f>
        <v>23</v>
      </c>
      <c r="O1575" s="34" t="s">
        <v>18</v>
      </c>
      <c r="P1575" s="34" t="s">
        <v>19</v>
      </c>
      <c r="Q1575" s="34" t="s">
        <v>297</v>
      </c>
      <c r="R1575" s="58" t="s">
        <v>30</v>
      </c>
      <c r="S1575" s="34" t="s">
        <v>297</v>
      </c>
      <c r="T1575" s="34"/>
      <c r="U1575" s="34"/>
      <c r="V1575" s="34" t="s">
        <v>40</v>
      </c>
      <c r="W1575" s="34" t="s">
        <v>91</v>
      </c>
      <c r="X1575" s="38" t="s">
        <v>173</v>
      </c>
      <c r="Y1575" s="62"/>
      <c r="Z1575" s="38" t="e">
        <f t="shared" si="73"/>
        <v>#NUM!</v>
      </c>
      <c r="AA1575" s="38"/>
      <c r="AB1575" s="34" t="s">
        <v>712</v>
      </c>
      <c r="AC1575" s="34" t="s">
        <v>723</v>
      </c>
      <c r="AD1575" s="38"/>
      <c r="AE1575" s="59" t="str">
        <f t="shared" si="74"/>
        <v>NO</v>
      </c>
      <c r="AF1575" s="34" t="e" cm="1">
        <f t="array" aca="1" ref="AF1575" ca="1">MIN(100, MAX(0, (IF(R1575="ESTUDIANTE", 31, 0)) + (IF(I1575&lt;=3, 30, IF(I1575&lt;=6, 20, 0))) +(IF(OR(E1575="413 - Control de Costes y Enlace Construcción", E1575="480 - Secretaría General del Consejo", E1575="132 - Civil y estructuras", E1575="136 - Mecánica", E1575="412 - Planificación", E1575="142 - Compras"), 25, 0)) +(IF(OR(S1575="GRADO ING. MECÁNICA", S1575="GRADO ING. ELÉCTRICA", S1575="GRADO DERECHO", S1575="GRADO ECONOMÍA", S1575="GRADO ING. TECNOLOGÍAS INDUSTRIALES"), 24, 0)) + (IF(AND(K1575&gt;=451, K1575&lt;=700), 23, 0)) + (IF(AND(AB1575&gt;=5, AB1575&lt;=8), 17, 0)) +(IF(_xludf.OR(_xludf.AND(AC1575&gt;=8, AC1575&lt;=10), _xludf.AND(AC1575&gt;=0, AC1575&lt;=5)), 16, 0)) + (IF(F1575="Madrid", 11, 0))))</f>
        <v>#NAME?</v>
      </c>
      <c r="AG1575" s="69"/>
      <c r="AH1575" s="71" t="s">
        <v>164</v>
      </c>
    </row>
    <row r="1576" spans="1:34" s="4" customFormat="1" ht="14.4" x14ac:dyDescent="0.3">
      <c r="A1576" s="66" t="s">
        <v>2553</v>
      </c>
      <c r="B1576" s="66" t="s">
        <v>4670</v>
      </c>
      <c r="C1576" s="33">
        <v>1574</v>
      </c>
      <c r="D1576" s="33" t="s">
        <v>5393</v>
      </c>
      <c r="E1576" s="34" t="s">
        <v>5222</v>
      </c>
      <c r="F1576" s="34" t="s">
        <v>18</v>
      </c>
      <c r="G1576" s="57">
        <v>45180</v>
      </c>
      <c r="H1576" s="57">
        <v>45361</v>
      </c>
      <c r="I1576" s="34">
        <f t="shared" si="72"/>
        <v>5</v>
      </c>
      <c r="J1576" s="34">
        <v>35</v>
      </c>
      <c r="K1576" s="36">
        <v>725</v>
      </c>
      <c r="L1576" s="34" t="s">
        <v>17</v>
      </c>
      <c r="M1576" s="35">
        <v>36490</v>
      </c>
      <c r="N1576" s="37">
        <f>(YEAR(TablaMadre[[#This Row],[ALTA]])-YEAR(M1576))</f>
        <v>24</v>
      </c>
      <c r="O1576" s="34" t="s">
        <v>152</v>
      </c>
      <c r="P1576" s="34" t="s">
        <v>152</v>
      </c>
      <c r="Q1576" s="34" t="s">
        <v>697</v>
      </c>
      <c r="R1576" s="34" t="s">
        <v>21</v>
      </c>
      <c r="S1576" s="34" t="s">
        <v>26</v>
      </c>
      <c r="T1576" s="34"/>
      <c r="U1576" s="34"/>
      <c r="V1576" s="34" t="s">
        <v>27</v>
      </c>
      <c r="W1576" s="34" t="s">
        <v>28</v>
      </c>
      <c r="X1576" s="34" t="s">
        <v>173</v>
      </c>
      <c r="Y1576" s="57"/>
      <c r="Z1576" s="34" t="e">
        <f t="shared" si="73"/>
        <v>#NUM!</v>
      </c>
      <c r="AA1576" s="34"/>
      <c r="AB1576" s="34">
        <v>9</v>
      </c>
      <c r="AC1576" s="34">
        <v>9</v>
      </c>
      <c r="AD1576" s="34"/>
      <c r="AE1576" s="59" t="str">
        <f t="shared" si="74"/>
        <v>SÍ</v>
      </c>
      <c r="AF1576" s="34" t="e" cm="1">
        <f t="array" aca="1" ref="AF1576" ca="1">MIN(100, MAX(0, (IF(R1576="ESTUDIANTE", 31, 0)) + (IF(I1576&lt;=3, 30, IF(I1576&lt;=6, 20, 0))) +(IF(OR(E1576="413 - Control de Costes y Enlace Construcción", E1576="480 - Secretaría General del Consejo", E1576="132 - Civil y estructuras", E1576="136 - Mecánica", E1576="412 - Planificación", E1576="142 - Compras"), 25, 0)) +(IF(OR(S1576="GRADO ING. MECÁNICA", S1576="GRADO ING. ELÉCTRICA", S1576="GRADO DERECHO", S1576="GRADO ECONOMÍA", S1576="GRADO ING. TECNOLOGÍAS INDUSTRIALES"), 24, 0)) + (IF(AND(K1576&gt;=451, K1576&lt;=700), 23, 0)) + (IF(AND(AB1576&gt;=5, AB1576&lt;=8), 17, 0)) +(IF(_xludf.OR(_xludf.AND(AC1576&gt;=8, AC1576&lt;=10), _xludf.AND(AC1576&gt;=0, AC1576&lt;=5)), 16, 0)) + (IF(F1576="Madrid", 11, 0))))</f>
        <v>#NAME?</v>
      </c>
      <c r="AG1576" s="69"/>
      <c r="AH1576" s="71" t="s">
        <v>164</v>
      </c>
    </row>
    <row r="1577" spans="1:34" s="4" customFormat="1" ht="14.4" x14ac:dyDescent="0.3">
      <c r="A1577" s="66" t="s">
        <v>2554</v>
      </c>
      <c r="B1577" s="66" t="s">
        <v>4671</v>
      </c>
      <c r="C1577" s="33">
        <v>1575</v>
      </c>
      <c r="D1577" s="33" t="s">
        <v>5394</v>
      </c>
      <c r="E1577" s="34" t="s">
        <v>5333</v>
      </c>
      <c r="F1577" s="34" t="s">
        <v>18</v>
      </c>
      <c r="G1577" s="57">
        <v>45180</v>
      </c>
      <c r="H1577" s="57">
        <v>45361</v>
      </c>
      <c r="I1577" s="34">
        <f t="shared" si="72"/>
        <v>5</v>
      </c>
      <c r="J1577" s="34">
        <v>35</v>
      </c>
      <c r="K1577" s="36">
        <v>850</v>
      </c>
      <c r="L1577" s="34" t="s">
        <v>29</v>
      </c>
      <c r="M1577" s="35">
        <v>35462</v>
      </c>
      <c r="N1577" s="37">
        <f>(YEAR(TablaMadre[[#This Row],[ALTA]])-YEAR(M1577))</f>
        <v>26</v>
      </c>
      <c r="O1577" s="34" t="s">
        <v>293</v>
      </c>
      <c r="P1577" s="34" t="s">
        <v>19</v>
      </c>
      <c r="Q1577" s="34" t="s">
        <v>698</v>
      </c>
      <c r="R1577" s="34" t="s">
        <v>21</v>
      </c>
      <c r="S1577" s="34" t="s">
        <v>291</v>
      </c>
      <c r="T1577" s="34"/>
      <c r="U1577" s="34"/>
      <c r="V1577" s="34" t="s">
        <v>122</v>
      </c>
      <c r="W1577" s="34" t="s">
        <v>28</v>
      </c>
      <c r="X1577" s="34" t="s">
        <v>173</v>
      </c>
      <c r="Y1577" s="57"/>
      <c r="Z1577" s="34" t="e">
        <f t="shared" si="73"/>
        <v>#NUM!</v>
      </c>
      <c r="AA1577" s="34"/>
      <c r="AB1577" s="34" t="s">
        <v>693</v>
      </c>
      <c r="AC1577" s="34">
        <v>10</v>
      </c>
      <c r="AD1577" s="34"/>
      <c r="AE1577" s="59" t="str">
        <f t="shared" si="74"/>
        <v>SÍ</v>
      </c>
      <c r="AF1577" s="34" t="e" cm="1">
        <f t="array" aca="1" ref="AF1577" ca="1">MIN(100, MAX(0, (IF(R1577="ESTUDIANTE", 31, 0)) + (IF(I1577&lt;=3, 30, IF(I1577&lt;=6, 20, 0))) +(IF(OR(E1577="413 - Control de Costes y Enlace Construcción", E1577="480 - Secretaría General del Consejo", E1577="132 - Civil y estructuras", E1577="136 - Mecánica", E1577="412 - Planificación", E1577="142 - Compras"), 25, 0)) +(IF(OR(S1577="GRADO ING. MECÁNICA", S1577="GRADO ING. ELÉCTRICA", S1577="GRADO DERECHO", S1577="GRADO ECONOMÍA", S1577="GRADO ING. TECNOLOGÍAS INDUSTRIALES"), 24, 0)) + (IF(AND(K1577&gt;=451, K1577&lt;=700), 23, 0)) + (IF(AND(AB1577&gt;=5, AB1577&lt;=8), 17, 0)) +(IF(_xludf.OR(_xludf.AND(AC1577&gt;=8, AC1577&lt;=10), _xludf.AND(AC1577&gt;=0, AC1577&lt;=5)), 16, 0)) + (IF(F1577="Madrid", 11, 0))))</f>
        <v>#NAME?</v>
      </c>
      <c r="AG1577" s="69"/>
      <c r="AH1577" s="71" t="s">
        <v>164</v>
      </c>
    </row>
    <row r="1578" spans="1:34" s="4" customFormat="1" ht="14.4" x14ac:dyDescent="0.3">
      <c r="A1578" s="66" t="s">
        <v>2555</v>
      </c>
      <c r="B1578" s="66" t="s">
        <v>4672</v>
      </c>
      <c r="C1578" s="33">
        <v>1576</v>
      </c>
      <c r="D1578" s="33" t="s">
        <v>5395</v>
      </c>
      <c r="E1578" s="34" t="s">
        <v>5317</v>
      </c>
      <c r="F1578" s="34" t="s">
        <v>18</v>
      </c>
      <c r="G1578" s="57">
        <v>45180</v>
      </c>
      <c r="H1578" s="57">
        <v>45361</v>
      </c>
      <c r="I1578" s="34">
        <f t="shared" si="72"/>
        <v>5</v>
      </c>
      <c r="J1578" s="34">
        <v>35</v>
      </c>
      <c r="K1578" s="36">
        <v>700</v>
      </c>
      <c r="L1578" s="34" t="s">
        <v>17</v>
      </c>
      <c r="M1578" s="35">
        <v>36554</v>
      </c>
      <c r="N1578" s="37">
        <f>(YEAR(TablaMadre[[#This Row],[ALTA]])-YEAR(M1578))</f>
        <v>23</v>
      </c>
      <c r="O1578" s="34" t="s">
        <v>18</v>
      </c>
      <c r="P1578" s="34" t="s">
        <v>19</v>
      </c>
      <c r="Q1578" s="34" t="s">
        <v>307</v>
      </c>
      <c r="R1578" s="58" t="s">
        <v>30</v>
      </c>
      <c r="S1578" s="34" t="s">
        <v>307</v>
      </c>
      <c r="T1578" s="34"/>
      <c r="U1578" s="34"/>
      <c r="V1578" s="34" t="s">
        <v>22</v>
      </c>
      <c r="W1578" s="34" t="s">
        <v>28</v>
      </c>
      <c r="X1578" s="34" t="s">
        <v>173</v>
      </c>
      <c r="Y1578" s="57"/>
      <c r="Z1578" s="34" t="e">
        <f t="shared" si="73"/>
        <v>#NUM!</v>
      </c>
      <c r="AA1578" s="34"/>
      <c r="AB1578" s="34">
        <v>10</v>
      </c>
      <c r="AC1578" s="34">
        <v>7</v>
      </c>
      <c r="AD1578" s="34"/>
      <c r="AE1578" s="59" t="str">
        <f t="shared" si="74"/>
        <v>NO</v>
      </c>
      <c r="AF1578" s="34" t="e" cm="1">
        <f t="array" aca="1" ref="AF1578" ca="1">MIN(100, MAX(0, (IF(R1578="ESTUDIANTE", 31, 0)) + (IF(I1578&lt;=3, 30, IF(I1578&lt;=6, 20, 0))) +(IF(OR(E1578="413 - Control de Costes y Enlace Construcción", E1578="480 - Secretaría General del Consejo", E1578="132 - Civil y estructuras", E1578="136 - Mecánica", E1578="412 - Planificación", E1578="142 - Compras"), 25, 0)) +(IF(OR(S1578="GRADO ING. MECÁNICA", S1578="GRADO ING. ELÉCTRICA", S1578="GRADO DERECHO", S1578="GRADO ECONOMÍA", S1578="GRADO ING. TECNOLOGÍAS INDUSTRIALES"), 24, 0)) + (IF(AND(K1578&gt;=451, K1578&lt;=700), 23, 0)) + (IF(AND(AB1578&gt;=5, AB1578&lt;=8), 17, 0)) +(IF(_xludf.OR(_xludf.AND(AC1578&gt;=8, AC1578&lt;=10), _xludf.AND(AC1578&gt;=0, AC1578&lt;=5)), 16, 0)) + (IF(F1578="Madrid", 11, 0))))</f>
        <v>#NAME?</v>
      </c>
      <c r="AG1578" s="69"/>
      <c r="AH1578" s="71" t="s">
        <v>164</v>
      </c>
    </row>
    <row r="1579" spans="1:34" s="4" customFormat="1" ht="14.4" x14ac:dyDescent="0.3">
      <c r="A1579" s="66" t="s">
        <v>2556</v>
      </c>
      <c r="B1579" s="66" t="s">
        <v>4673</v>
      </c>
      <c r="C1579" s="33">
        <v>1577</v>
      </c>
      <c r="D1579" s="33" t="s">
        <v>5396</v>
      </c>
      <c r="E1579" s="34" t="s">
        <v>5222</v>
      </c>
      <c r="F1579" s="34" t="s">
        <v>558</v>
      </c>
      <c r="G1579" s="57">
        <v>45180</v>
      </c>
      <c r="H1579" s="57">
        <v>45361</v>
      </c>
      <c r="I1579" s="34">
        <f t="shared" si="72"/>
        <v>5</v>
      </c>
      <c r="J1579" s="34">
        <v>35</v>
      </c>
      <c r="K1579" s="36">
        <v>875</v>
      </c>
      <c r="L1579" s="34" t="s">
        <v>17</v>
      </c>
      <c r="M1579" s="35">
        <v>35639</v>
      </c>
      <c r="N1579" s="37">
        <f>(YEAR(TablaMadre[[#This Row],[ALTA]])-YEAR(M1579))</f>
        <v>26</v>
      </c>
      <c r="O1579" s="34" t="s">
        <v>558</v>
      </c>
      <c r="P1579" s="34" t="s">
        <v>19</v>
      </c>
      <c r="Q1579" s="34" t="s">
        <v>683</v>
      </c>
      <c r="R1579" s="34" t="s">
        <v>21</v>
      </c>
      <c r="S1579" s="34" t="s">
        <v>322</v>
      </c>
      <c r="T1579" s="34"/>
      <c r="U1579" s="34"/>
      <c r="V1579" s="34" t="s">
        <v>310</v>
      </c>
      <c r="W1579" s="34" t="s">
        <v>28</v>
      </c>
      <c r="X1579" s="34" t="s">
        <v>173</v>
      </c>
      <c r="Y1579" s="57"/>
      <c r="Z1579" s="34" t="e">
        <f t="shared" si="73"/>
        <v>#NUM!</v>
      </c>
      <c r="AA1579" s="34"/>
      <c r="AB1579" s="34">
        <v>8</v>
      </c>
      <c r="AC1579" s="34"/>
      <c r="AD1579" s="34"/>
      <c r="AE1579" s="59" t="str">
        <f t="shared" si="74"/>
        <v>NO</v>
      </c>
      <c r="AF1579" s="34" t="e" cm="1">
        <f t="array" aca="1" ref="AF1579" ca="1">MIN(100, MAX(0, (IF(R1579="ESTUDIANTE", 31, 0)) + (IF(I1579&lt;=3, 30, IF(I1579&lt;=6, 20, 0))) +(IF(OR(E1579="413 - Control de Costes y Enlace Construcción", E1579="480 - Secretaría General del Consejo", E1579="132 - Civil y estructuras", E1579="136 - Mecánica", E1579="412 - Planificación", E1579="142 - Compras"), 25, 0)) +(IF(OR(S1579="GRADO ING. MECÁNICA", S1579="GRADO ING. ELÉCTRICA", S1579="GRADO DERECHO", S1579="GRADO ECONOMÍA", S1579="GRADO ING. TECNOLOGÍAS INDUSTRIALES"), 24, 0)) + (IF(AND(K1579&gt;=451, K1579&lt;=700), 23, 0)) + (IF(AND(AB1579&gt;=5, AB1579&lt;=8), 17, 0)) +(IF(_xludf.OR(_xludf.AND(AC1579&gt;=8, AC1579&lt;=10), _xludf.AND(AC1579&gt;=0, AC1579&lt;=5)), 16, 0)) + (IF(F1579="Madrid", 11, 0))))</f>
        <v>#NAME?</v>
      </c>
      <c r="AG1579" s="69"/>
      <c r="AH1579" s="71" t="s">
        <v>164</v>
      </c>
    </row>
    <row r="1580" spans="1:34" ht="14.4" x14ac:dyDescent="0.3">
      <c r="A1580" s="66" t="s">
        <v>2557</v>
      </c>
      <c r="B1580" s="66" t="s">
        <v>4674</v>
      </c>
      <c r="C1580" s="33">
        <v>1578</v>
      </c>
      <c r="D1580" s="33" t="s">
        <v>5397</v>
      </c>
      <c r="E1580" s="34" t="s">
        <v>5222</v>
      </c>
      <c r="F1580" s="34" t="s">
        <v>558</v>
      </c>
      <c r="G1580" s="57">
        <v>45180</v>
      </c>
      <c r="H1580" s="57">
        <v>45383</v>
      </c>
      <c r="I1580" s="34">
        <f t="shared" si="72"/>
        <v>6</v>
      </c>
      <c r="J1580" s="34">
        <v>25</v>
      </c>
      <c r="K1580" s="36">
        <v>500</v>
      </c>
      <c r="L1580" s="34" t="s">
        <v>17</v>
      </c>
      <c r="M1580" s="35">
        <v>36279</v>
      </c>
      <c r="N1580" s="37">
        <f>(YEAR(TablaMadre[[#This Row],[ALTA]])-YEAR(M1580))</f>
        <v>24</v>
      </c>
      <c r="O1580" s="34" t="s">
        <v>558</v>
      </c>
      <c r="P1580" s="34" t="s">
        <v>19</v>
      </c>
      <c r="Q1580" s="34" t="s">
        <v>683</v>
      </c>
      <c r="R1580" s="58" t="s">
        <v>30</v>
      </c>
      <c r="S1580" s="34" t="s">
        <v>322</v>
      </c>
      <c r="T1580" s="34"/>
      <c r="U1580" s="34"/>
      <c r="V1580" s="34" t="s">
        <v>310</v>
      </c>
      <c r="W1580" s="34" t="s">
        <v>28</v>
      </c>
      <c r="X1580" s="34" t="s">
        <v>164</v>
      </c>
      <c r="Y1580" s="57">
        <v>45570</v>
      </c>
      <c r="Z1580" s="34">
        <f t="shared" si="73"/>
        <v>0</v>
      </c>
      <c r="AA1580" s="34"/>
      <c r="AB1580" s="34" t="s">
        <v>693</v>
      </c>
      <c r="AC1580" s="34">
        <v>9</v>
      </c>
      <c r="AD1580" s="34"/>
      <c r="AE1580" s="59" t="str">
        <f t="shared" si="74"/>
        <v>NO</v>
      </c>
      <c r="AF1580" s="38" t="e" cm="1">
        <f t="array" aca="1" ref="AF1580" ca="1">MIN(100, MAX(0, (IF(R1580="ESTUDIANTE", 31, 0)) + (IF(I1580&lt;=3, 30, IF(I1580&lt;=6, 20, 0))) +(IF(OR(E1580="413 - Control de Costes y Enlace Construcción", E1580="480 - Secretaría General del Consejo", E1580="132 - Civil y estructuras", E1580="136 - Mecánica", E1580="412 - Planificación", E1580="142 - Compras"), 25, 0)) +(IF(OR(S1580="GRADO ING. MECÁNICA", S1580="GRADO ING. ELÉCTRICA", S1580="GRADO DERECHO", S1580="GRADO ECONOMÍA", S1580="GRADO ING. TECNOLOGÍAS INDUSTRIALES"), 24, 0)) + (IF(AND(K1580&gt;=451, K1580&lt;=700), 23, 0)) + (IF(AND(AB1580&gt;=5, AB1580&lt;=8), 17, 0)) +(IF(_xludf.OR(_xludf.AND(AC1580&gt;=8, AC1580&lt;=10), _xludf.AND(AC1580&gt;=0, AC1580&lt;=5)), 16, 0)) + (IF(F1580="Madrid", 11, 0))))</f>
        <v>#NAME?</v>
      </c>
      <c r="AG1580" s="68"/>
      <c r="AH1580" s="71" t="s">
        <v>164</v>
      </c>
    </row>
    <row r="1581" spans="1:34" s="4" customFormat="1" ht="14.4" x14ac:dyDescent="0.3">
      <c r="A1581" s="66" t="s">
        <v>2559</v>
      </c>
      <c r="B1581" s="66" t="s">
        <v>4676</v>
      </c>
      <c r="C1581" s="33">
        <v>1580</v>
      </c>
      <c r="D1581" s="33" t="s">
        <v>5398</v>
      </c>
      <c r="E1581" s="34" t="s">
        <v>5252</v>
      </c>
      <c r="F1581" s="34" t="s">
        <v>18</v>
      </c>
      <c r="G1581" s="57">
        <v>45180</v>
      </c>
      <c r="H1581" s="57">
        <v>45545</v>
      </c>
      <c r="I1581" s="34">
        <f t="shared" si="72"/>
        <v>11</v>
      </c>
      <c r="J1581" s="34">
        <v>35</v>
      </c>
      <c r="K1581" s="36">
        <v>875</v>
      </c>
      <c r="L1581" s="34" t="s">
        <v>29</v>
      </c>
      <c r="M1581" s="35">
        <v>37015</v>
      </c>
      <c r="N1581" s="37">
        <f>(YEAR(TablaMadre[[#This Row],[ALTA]])-YEAR(M1581))</f>
        <v>22</v>
      </c>
      <c r="O1581" s="34" t="s">
        <v>18</v>
      </c>
      <c r="P1581" s="34" t="s">
        <v>19</v>
      </c>
      <c r="Q1581" s="34" t="s">
        <v>297</v>
      </c>
      <c r="R1581" s="34" t="s">
        <v>21</v>
      </c>
      <c r="S1581" s="34" t="s">
        <v>297</v>
      </c>
      <c r="T1581" s="34"/>
      <c r="U1581" s="34"/>
      <c r="V1581" s="34" t="s">
        <v>22</v>
      </c>
      <c r="W1581" s="34" t="s">
        <v>28</v>
      </c>
      <c r="X1581" s="34" t="s">
        <v>173</v>
      </c>
      <c r="Y1581" s="57"/>
      <c r="Z1581" s="34" t="e">
        <f t="shared" si="73"/>
        <v>#NUM!</v>
      </c>
      <c r="AA1581" s="34"/>
      <c r="AB1581" s="34">
        <v>9</v>
      </c>
      <c r="AC1581" s="34">
        <v>10</v>
      </c>
      <c r="AD1581" s="34"/>
      <c r="AE1581" s="59" t="str">
        <f t="shared" si="74"/>
        <v>NO</v>
      </c>
      <c r="AF1581" s="34" t="e" cm="1">
        <f t="array" aca="1" ref="AF1581" ca="1">MIN(100, MAX(0, (IF(R1581="ESTUDIANTE", 31, 0)) + (IF(I1581&lt;=3, 30, IF(I1581&lt;=6, 20, 0))) +(IF(OR(E1581="413 - Control de Costes y Enlace Construcción", E1581="480 - Secretaría General del Consejo", E1581="132 - Civil y estructuras", E1581="136 - Mecánica", E1581="412 - Planificación", E1581="142 - Compras"), 25, 0)) +(IF(OR(S1581="GRADO ING. MECÁNICA", S1581="GRADO ING. ELÉCTRICA", S1581="GRADO DERECHO", S1581="GRADO ECONOMÍA", S1581="GRADO ING. TECNOLOGÍAS INDUSTRIALES"), 24, 0)) + (IF(AND(K1581&gt;=451, K1581&lt;=700), 23, 0)) + (IF(AND(AB1581&gt;=5, AB1581&lt;=8), 17, 0)) +(IF(_xludf.OR(_xludf.AND(AC1581&gt;=8, AC1581&lt;=10), _xludf.AND(AC1581&gt;=0, AC1581&lt;=5)), 16, 0)) + (IF(F1581="Madrid", 11, 0))))</f>
        <v>#NAME?</v>
      </c>
      <c r="AG1581" s="69"/>
      <c r="AH1581" s="71" t="s">
        <v>164</v>
      </c>
    </row>
    <row r="1582" spans="1:34" s="4" customFormat="1" ht="14.4" x14ac:dyDescent="0.3">
      <c r="A1582" s="66" t="s">
        <v>2468</v>
      </c>
      <c r="B1582" s="66" t="s">
        <v>4585</v>
      </c>
      <c r="C1582" s="33">
        <v>1582</v>
      </c>
      <c r="D1582" s="33" t="s">
        <v>5399</v>
      </c>
      <c r="E1582" s="34" t="s">
        <v>5216</v>
      </c>
      <c r="F1582" s="34" t="s">
        <v>18</v>
      </c>
      <c r="G1582" s="57">
        <v>45187</v>
      </c>
      <c r="H1582" s="57">
        <v>45405</v>
      </c>
      <c r="I1582" s="34">
        <f t="shared" si="72"/>
        <v>7</v>
      </c>
      <c r="J1582" s="34">
        <v>30</v>
      </c>
      <c r="K1582" s="36">
        <v>750</v>
      </c>
      <c r="L1582" s="34" t="s">
        <v>29</v>
      </c>
      <c r="M1582" s="35">
        <v>37195</v>
      </c>
      <c r="N1582" s="37">
        <f>(YEAR(TablaMadre[[#This Row],[ALTA]])-YEAR(M1582))</f>
        <v>22</v>
      </c>
      <c r="O1582" s="34" t="s">
        <v>18</v>
      </c>
      <c r="P1582" s="34" t="s">
        <v>19</v>
      </c>
      <c r="Q1582" s="34" t="s">
        <v>297</v>
      </c>
      <c r="R1582" s="34" t="s">
        <v>21</v>
      </c>
      <c r="S1582" s="34" t="s">
        <v>297</v>
      </c>
      <c r="T1582" s="34"/>
      <c r="U1582" s="34"/>
      <c r="V1582" s="34" t="s">
        <v>84</v>
      </c>
      <c r="W1582" s="34" t="s">
        <v>91</v>
      </c>
      <c r="X1582" s="34" t="s">
        <v>164</v>
      </c>
      <c r="Y1582" s="57"/>
      <c r="Z1582" s="34" t="e">
        <f t="shared" si="73"/>
        <v>#NUM!</v>
      </c>
      <c r="AA1582" s="34"/>
      <c r="AB1582" s="34" t="s">
        <v>712</v>
      </c>
      <c r="AC1582" s="34"/>
      <c r="AD1582" s="34"/>
      <c r="AE1582" s="59" t="str">
        <f t="shared" si="74"/>
        <v>NO</v>
      </c>
      <c r="AF1582" s="34" t="e" cm="1">
        <f t="array" aca="1" ref="AF1582" ca="1">MIN(100, MAX(0, (IF(R1582="ESTUDIANTE", 31, 0)) + (IF(I1582&lt;=3, 30, IF(I1582&lt;=6, 20, 0))) +(IF(OR(E1582="413 - Control de Costes y Enlace Construcción", E1582="480 - Secretaría General del Consejo", E1582="132 - Civil y estructuras", E1582="136 - Mecánica", E1582="412 - Planificación", E1582="142 - Compras"), 25, 0)) +(IF(OR(S1582="GRADO ING. MECÁNICA", S1582="GRADO ING. ELÉCTRICA", S1582="GRADO DERECHO", S1582="GRADO ECONOMÍA", S1582="GRADO ING. TECNOLOGÍAS INDUSTRIALES"), 24, 0)) + (IF(AND(K1582&gt;=451, K1582&lt;=700), 23, 0)) + (IF(AND(AB1582&gt;=5, AB1582&lt;=8), 17, 0)) +(IF(_xludf.OR(_xludf.AND(AC1582&gt;=8, AC1582&lt;=10), _xludf.AND(AC1582&gt;=0, AC1582&lt;=5)), 16, 0)) + (IF(F1582="Madrid", 11, 0))))</f>
        <v>#NAME?</v>
      </c>
      <c r="AG1582" s="69"/>
      <c r="AH1582" s="71" t="s">
        <v>164</v>
      </c>
    </row>
    <row r="1583" spans="1:34" s="4" customFormat="1" ht="14.4" x14ac:dyDescent="0.3">
      <c r="A1583" s="66" t="s">
        <v>2560</v>
      </c>
      <c r="B1583" s="66" t="s">
        <v>4677</v>
      </c>
      <c r="C1583" s="33">
        <v>1581</v>
      </c>
      <c r="D1583" s="33" t="s">
        <v>5400</v>
      </c>
      <c r="E1583" s="34" t="s">
        <v>5216</v>
      </c>
      <c r="F1583" s="34" t="s">
        <v>18</v>
      </c>
      <c r="G1583" s="57">
        <v>45187</v>
      </c>
      <c r="H1583" s="57">
        <v>45368</v>
      </c>
      <c r="I1583" s="34">
        <f t="shared" si="72"/>
        <v>5</v>
      </c>
      <c r="J1583" s="34">
        <v>35</v>
      </c>
      <c r="K1583" s="36">
        <v>725</v>
      </c>
      <c r="L1583" s="34" t="s">
        <v>17</v>
      </c>
      <c r="M1583" s="35">
        <v>37347</v>
      </c>
      <c r="N1583" s="37">
        <f>(YEAR(TablaMadre[[#This Row],[ALTA]])-YEAR(M1583))</f>
        <v>21</v>
      </c>
      <c r="O1583" s="34" t="s">
        <v>152</v>
      </c>
      <c r="P1583" s="34" t="s">
        <v>152</v>
      </c>
      <c r="Q1583" s="34" t="s">
        <v>700</v>
      </c>
      <c r="R1583" s="34" t="s">
        <v>21</v>
      </c>
      <c r="S1583" s="34" t="s">
        <v>26</v>
      </c>
      <c r="T1583" s="34"/>
      <c r="U1583" s="34"/>
      <c r="V1583" s="34" t="s">
        <v>27</v>
      </c>
      <c r="W1583" s="34" t="s">
        <v>28</v>
      </c>
      <c r="X1583" s="34" t="s">
        <v>173</v>
      </c>
      <c r="Y1583" s="57"/>
      <c r="Z1583" s="34" t="e">
        <f t="shared" si="73"/>
        <v>#NUM!</v>
      </c>
      <c r="AA1583" s="34"/>
      <c r="AB1583" s="34">
        <v>7</v>
      </c>
      <c r="AC1583" s="34">
        <v>9</v>
      </c>
      <c r="AD1583" s="34"/>
      <c r="AE1583" s="59" t="str">
        <f t="shared" si="74"/>
        <v>SÍ</v>
      </c>
      <c r="AF1583" s="34" t="e" cm="1">
        <f t="array" aca="1" ref="AF1583" ca="1">MIN(100, MAX(0, (IF(R1583="ESTUDIANTE", 31, 0)) + (IF(I1583&lt;=3, 30, IF(I1583&lt;=6, 20, 0))) +(IF(OR(E1583="413 - Control de Costes y Enlace Construcción", E1583="480 - Secretaría General del Consejo", E1583="132 - Civil y estructuras", E1583="136 - Mecánica", E1583="412 - Planificación", E1583="142 - Compras"), 25, 0)) +(IF(OR(S1583="GRADO ING. MECÁNICA", S1583="GRADO ING. ELÉCTRICA", S1583="GRADO DERECHO", S1583="GRADO ECONOMÍA", S1583="GRADO ING. TECNOLOGÍAS INDUSTRIALES"), 24, 0)) + (IF(AND(K1583&gt;=451, K1583&lt;=700), 23, 0)) + (IF(AND(AB1583&gt;=5, AB1583&lt;=8), 17, 0)) +(IF(_xludf.OR(_xludf.AND(AC1583&gt;=8, AC1583&lt;=10), _xludf.AND(AC1583&gt;=0, AC1583&lt;=5)), 16, 0)) + (IF(F1583="Madrid", 11, 0))))</f>
        <v>#NAME?</v>
      </c>
      <c r="AG1583" s="69"/>
      <c r="AH1583" s="71" t="s">
        <v>164</v>
      </c>
    </row>
    <row r="1584" spans="1:34" s="4" customFormat="1" ht="15" customHeight="1" x14ac:dyDescent="0.3">
      <c r="A1584" s="66" t="s">
        <v>2562</v>
      </c>
      <c r="B1584" s="66" t="s">
        <v>4679</v>
      </c>
      <c r="C1584" s="33">
        <v>1583</v>
      </c>
      <c r="D1584" s="33" t="s">
        <v>5401</v>
      </c>
      <c r="E1584" s="34" t="s">
        <v>5251</v>
      </c>
      <c r="F1584" s="34" t="s">
        <v>18</v>
      </c>
      <c r="G1584" s="57">
        <v>45187</v>
      </c>
      <c r="H1584" s="57">
        <v>45552</v>
      </c>
      <c r="I1584" s="34">
        <f t="shared" si="72"/>
        <v>11</v>
      </c>
      <c r="J1584" s="34">
        <v>35</v>
      </c>
      <c r="K1584" s="36">
        <v>875</v>
      </c>
      <c r="L1584" s="34" t="s">
        <v>17</v>
      </c>
      <c r="M1584" s="35">
        <v>34733</v>
      </c>
      <c r="N1584" s="37">
        <f>(YEAR(TablaMadre[[#This Row],[ALTA]])-YEAR(M1584))</f>
        <v>28</v>
      </c>
      <c r="O1584" s="34" t="s">
        <v>18</v>
      </c>
      <c r="P1584" s="34" t="s">
        <v>19</v>
      </c>
      <c r="Q1584" s="34" t="s">
        <v>384</v>
      </c>
      <c r="R1584" s="34" t="s">
        <v>21</v>
      </c>
      <c r="S1584" s="34" t="s">
        <v>384</v>
      </c>
      <c r="T1584" s="34"/>
      <c r="U1584" s="34"/>
      <c r="V1584" s="34" t="s">
        <v>40</v>
      </c>
      <c r="W1584" s="34" t="s">
        <v>28</v>
      </c>
      <c r="X1584" s="34" t="s">
        <v>173</v>
      </c>
      <c r="Y1584" s="57"/>
      <c r="Z1584" s="34" t="e">
        <f t="shared" si="73"/>
        <v>#NUM!</v>
      </c>
      <c r="AA1584" s="34"/>
      <c r="AB1584" s="34">
        <v>9</v>
      </c>
      <c r="AC1584" s="34">
        <v>10</v>
      </c>
      <c r="AD1584" s="34"/>
      <c r="AE1584" s="59" t="str">
        <f t="shared" si="74"/>
        <v>NO</v>
      </c>
      <c r="AF1584" s="34" t="e" cm="1">
        <f t="array" aca="1" ref="AF1584" ca="1">MIN(100, MAX(0, (IF(R1584="ESTUDIANTE", 31, 0)) + (IF(I1584&lt;=3, 30, IF(I1584&lt;=6, 20, 0))) +(IF(OR(E1584="413 - Control de Costes y Enlace Construcción", E1584="480 - Secretaría General del Consejo", E1584="132 - Civil y estructuras", E1584="136 - Mecánica", E1584="412 - Planificación", E1584="142 - Compras"), 25, 0)) +(IF(OR(S1584="GRADO ING. MECÁNICA", S1584="GRADO ING. ELÉCTRICA", S1584="GRADO DERECHO", S1584="GRADO ECONOMÍA", S1584="GRADO ING. TECNOLOGÍAS INDUSTRIALES"), 24, 0)) + (IF(AND(K1584&gt;=451, K1584&lt;=700), 23, 0)) + (IF(AND(AB1584&gt;=5, AB1584&lt;=8), 17, 0)) +(IF(_xludf.OR(_xludf.AND(AC1584&gt;=8, AC1584&lt;=10), _xludf.AND(AC1584&gt;=0, AC1584&lt;=5)), 16, 0)) + (IF(F1584="Madrid", 11, 0))))</f>
        <v>#NAME?</v>
      </c>
      <c r="AG1584" s="69"/>
      <c r="AH1584" s="71" t="s">
        <v>164</v>
      </c>
    </row>
    <row r="1585" spans="1:34" ht="18" customHeight="1" x14ac:dyDescent="0.3">
      <c r="A1585" s="66" t="s">
        <v>2473</v>
      </c>
      <c r="B1585" s="66" t="s">
        <v>4590</v>
      </c>
      <c r="C1585" s="33">
        <v>1585</v>
      </c>
      <c r="D1585" s="33" t="s">
        <v>5402</v>
      </c>
      <c r="E1585" s="34" t="s">
        <v>5272</v>
      </c>
      <c r="F1585" s="34" t="s">
        <v>411</v>
      </c>
      <c r="G1585" s="57">
        <v>45194</v>
      </c>
      <c r="H1585" s="57">
        <v>45311</v>
      </c>
      <c r="I1585" s="34">
        <f t="shared" si="72"/>
        <v>3</v>
      </c>
      <c r="J1585" s="34">
        <v>35</v>
      </c>
      <c r="K1585" s="36">
        <v>875</v>
      </c>
      <c r="L1585" s="34" t="s">
        <v>17</v>
      </c>
      <c r="M1585" s="35">
        <v>36540</v>
      </c>
      <c r="N1585" s="37">
        <f>(YEAR(TablaMadre[[#This Row],[ALTA]])-YEAR(M1585))</f>
        <v>23</v>
      </c>
      <c r="O1585" s="34" t="s">
        <v>411</v>
      </c>
      <c r="P1585" s="34" t="s">
        <v>19</v>
      </c>
      <c r="Q1585" s="34" t="s">
        <v>515</v>
      </c>
      <c r="R1585" s="34" t="s">
        <v>21</v>
      </c>
      <c r="S1585" s="34" t="s">
        <v>297</v>
      </c>
      <c r="T1585" s="34"/>
      <c r="U1585" s="34"/>
      <c r="V1585" s="34" t="s">
        <v>142</v>
      </c>
      <c r="W1585" s="34" t="s">
        <v>183</v>
      </c>
      <c r="X1585" s="38" t="s">
        <v>164</v>
      </c>
      <c r="Y1585" s="62"/>
      <c r="Z1585" s="38" t="e">
        <f t="shared" si="73"/>
        <v>#NUM!</v>
      </c>
      <c r="AA1585" s="38"/>
      <c r="AB1585" s="34"/>
      <c r="AC1585" s="34"/>
      <c r="AD1585" s="38"/>
      <c r="AE1585" s="59" t="str">
        <f t="shared" si="74"/>
        <v>NO</v>
      </c>
      <c r="AF1585" s="38" t="e" cm="1">
        <f t="array" aca="1" ref="AF1585" ca="1">MIN(100, MAX(0, (IF(R1585="ESTUDIANTE", 31, 0)) + (IF(I1585&lt;=3, 30, IF(I1585&lt;=6, 20, 0))) +(IF(OR(E1585="413 - Control de Costes y Enlace Construcción", E1585="480 - Secretaría General del Consejo", E1585="132 - Civil y estructuras", E1585="136 - Mecánica", E1585="412 - Planificación", E1585="142 - Compras"), 25, 0)) +(IF(OR(S1585="GRADO ING. MECÁNICA", S1585="GRADO ING. ELÉCTRICA", S1585="GRADO DERECHO", S1585="GRADO ECONOMÍA", S1585="GRADO ING. TECNOLOGÍAS INDUSTRIALES"), 24, 0)) + (IF(AND(K1585&gt;=451, K1585&lt;=700), 23, 0)) + (IF(AND(AB1585&gt;=5, AB1585&lt;=8), 17, 0)) +(IF(_xludf.OR(_xludf.AND(AC1585&gt;=8, AC1585&lt;=10), _xludf.AND(AC1585&gt;=0, AC1585&lt;=5)), 16, 0)) + (IF(F1585="Madrid", 11, 0))))</f>
        <v>#NAME?</v>
      </c>
      <c r="AG1585" s="68"/>
      <c r="AH1585" s="71" t="s">
        <v>164</v>
      </c>
    </row>
    <row r="1586" spans="1:34" ht="18" customHeight="1" x14ac:dyDescent="0.3">
      <c r="A1586" s="66" t="s">
        <v>2565</v>
      </c>
      <c r="B1586" s="66" t="s">
        <v>4682</v>
      </c>
      <c r="C1586" s="33">
        <v>1586</v>
      </c>
      <c r="D1586" s="33" t="s">
        <v>5393</v>
      </c>
      <c r="E1586" s="34" t="s">
        <v>5357</v>
      </c>
      <c r="F1586" s="34" t="s">
        <v>18</v>
      </c>
      <c r="G1586" s="57">
        <v>45194</v>
      </c>
      <c r="H1586" s="57">
        <v>45535</v>
      </c>
      <c r="I1586" s="34">
        <f t="shared" si="72"/>
        <v>11</v>
      </c>
      <c r="J1586" s="34">
        <v>35</v>
      </c>
      <c r="K1586" s="36">
        <v>800</v>
      </c>
      <c r="L1586" s="34" t="s">
        <v>29</v>
      </c>
      <c r="M1586" s="35">
        <v>36512</v>
      </c>
      <c r="N1586" s="37">
        <f>(YEAR(TablaMadre[[#This Row],[ALTA]])-YEAR(M1586))</f>
        <v>24</v>
      </c>
      <c r="O1586" s="34" t="s">
        <v>18</v>
      </c>
      <c r="P1586" s="34" t="s">
        <v>19</v>
      </c>
      <c r="Q1586" s="34" t="s">
        <v>769</v>
      </c>
      <c r="R1586" s="34" t="s">
        <v>21</v>
      </c>
      <c r="S1586" s="34" t="s">
        <v>769</v>
      </c>
      <c r="T1586" s="34"/>
      <c r="U1586" s="34"/>
      <c r="V1586" s="34" t="s">
        <v>182</v>
      </c>
      <c r="W1586" s="34" t="s">
        <v>28</v>
      </c>
      <c r="X1586" s="38" t="s">
        <v>173</v>
      </c>
      <c r="Y1586" s="62"/>
      <c r="Z1586" s="38" t="e">
        <f t="shared" si="73"/>
        <v>#NUM!</v>
      </c>
      <c r="AA1586" s="38"/>
      <c r="AB1586" s="34">
        <v>10</v>
      </c>
      <c r="AC1586" s="34">
        <v>9</v>
      </c>
      <c r="AD1586" s="38"/>
      <c r="AE1586" s="59" t="str">
        <f t="shared" si="74"/>
        <v>NO</v>
      </c>
      <c r="AF1586" s="38" t="e" cm="1">
        <f t="array" aca="1" ref="AF1586" ca="1">MIN(100, MAX(0, (IF(R1586="ESTUDIANTE", 31, 0)) + (IF(I1586&lt;=3, 30, IF(I1586&lt;=6, 20, 0))) +(IF(OR(E1586="413 - Control de Costes y Enlace Construcción", E1586="480 - Secretaría General del Consejo", E1586="132 - Civil y estructuras", E1586="136 - Mecánica", E1586="412 - Planificación", E1586="142 - Compras"), 25, 0)) +(IF(OR(S1586="GRADO ING. MECÁNICA", S1586="GRADO ING. ELÉCTRICA", S1586="GRADO DERECHO", S1586="GRADO ECONOMÍA", S1586="GRADO ING. TECNOLOGÍAS INDUSTRIALES"), 24, 0)) + (IF(AND(K1586&gt;=451, K1586&lt;=700), 23, 0)) + (IF(AND(AB1586&gt;=5, AB1586&lt;=8), 17, 0)) +(IF(_xludf.OR(_xludf.AND(AC1586&gt;=8, AC1586&lt;=10), _xludf.AND(AC1586&gt;=0, AC1586&lt;=5)), 16, 0)) + (IF(F1586="Madrid", 11, 0))))</f>
        <v>#NAME?</v>
      </c>
      <c r="AG1586" s="68"/>
      <c r="AH1586" s="71" t="s">
        <v>164</v>
      </c>
    </row>
    <row r="1587" spans="1:34" ht="14.4" x14ac:dyDescent="0.3">
      <c r="A1587" s="66" t="s">
        <v>2999</v>
      </c>
      <c r="B1587" s="66" t="s">
        <v>5116</v>
      </c>
      <c r="C1587" s="33">
        <v>1584</v>
      </c>
      <c r="D1587" s="33" t="s">
        <v>5394</v>
      </c>
      <c r="E1587" s="34" t="s">
        <v>5341</v>
      </c>
      <c r="F1587" s="34" t="s">
        <v>18</v>
      </c>
      <c r="G1587" s="57">
        <v>45194</v>
      </c>
      <c r="H1587" s="57">
        <v>45289</v>
      </c>
      <c r="I1587" s="34">
        <f t="shared" si="72"/>
        <v>3</v>
      </c>
      <c r="J1587" s="34">
        <v>12</v>
      </c>
      <c r="K1587" s="36" t="s">
        <v>34</v>
      </c>
      <c r="L1587" s="34" t="s">
        <v>17</v>
      </c>
      <c r="M1587" s="35">
        <v>37810</v>
      </c>
      <c r="N1587" s="37">
        <f>(YEAR(TablaMadre[[#This Row],[ALTA]])-YEAR(M1587))</f>
        <v>20</v>
      </c>
      <c r="O1587" s="34" t="s">
        <v>18</v>
      </c>
      <c r="P1587" s="34" t="s">
        <v>19</v>
      </c>
      <c r="Q1587" s="34" t="s">
        <v>229</v>
      </c>
      <c r="R1587" s="58" t="s">
        <v>30</v>
      </c>
      <c r="S1587" s="34" t="s">
        <v>229</v>
      </c>
      <c r="T1587" s="34"/>
      <c r="U1587" s="34"/>
      <c r="V1587" s="34" t="s">
        <v>74</v>
      </c>
      <c r="W1587" s="34" t="s">
        <v>23</v>
      </c>
      <c r="X1587" s="38" t="s">
        <v>164</v>
      </c>
      <c r="Y1587" s="62"/>
      <c r="Z1587" s="38" t="e">
        <f t="shared" si="73"/>
        <v>#NUM!</v>
      </c>
      <c r="AA1587" s="38"/>
      <c r="AB1587" s="34">
        <v>10</v>
      </c>
      <c r="AC1587" s="34"/>
      <c r="AD1587" s="38"/>
      <c r="AE1587" s="59" t="str">
        <f t="shared" si="74"/>
        <v>NO</v>
      </c>
      <c r="AF1587" s="38" t="e" cm="1">
        <f t="array" aca="1" ref="AF1587" ca="1">MIN(100, MAX(0, (IF(R1587="ESTUDIANTE", 31, 0)) + (IF(I1587&lt;=3, 30, IF(I1587&lt;=6, 20, 0))) +(IF(OR(E1587="413 - Control de Costes y Enlace Construcción", E1587="480 - Secretaría General del Consejo", E1587="132 - Civil y estructuras", E1587="136 - Mecánica", E1587="412 - Planificación", E1587="142 - Compras"), 25, 0)) +(IF(OR(S1587="GRADO ING. MECÁNICA", S1587="GRADO ING. ELÉCTRICA", S1587="GRADO DERECHO", S1587="GRADO ECONOMÍA", S1587="GRADO ING. TECNOLOGÍAS INDUSTRIALES"), 24, 0)) + (IF(AND(K1587&gt;=451, K1587&lt;=700), 23, 0)) + (IF(AND(AB1587&gt;=5, AB1587&lt;=8), 17, 0)) +(IF(_xludf.OR(_xludf.AND(AC1587&gt;=8, AC1587&lt;=10), _xludf.AND(AC1587&gt;=0, AC1587&lt;=5)), 16, 0)) + (IF(F1587="Madrid", 11, 0))))</f>
        <v>#NAME?</v>
      </c>
      <c r="AG1587" s="68"/>
      <c r="AH1587" s="71" t="s">
        <v>164</v>
      </c>
    </row>
    <row r="1588" spans="1:34" ht="14.4" x14ac:dyDescent="0.3">
      <c r="A1588" s="66" t="s">
        <v>2476</v>
      </c>
      <c r="B1588" s="66" t="s">
        <v>4593</v>
      </c>
      <c r="C1588" s="33">
        <v>1587</v>
      </c>
      <c r="D1588" s="33" t="s">
        <v>5403</v>
      </c>
      <c r="E1588" s="34" t="s">
        <v>5317</v>
      </c>
      <c r="F1588" s="34" t="s">
        <v>18</v>
      </c>
      <c r="G1588" s="57">
        <v>45201</v>
      </c>
      <c r="H1588" s="57">
        <v>45382</v>
      </c>
      <c r="I1588" s="34">
        <f t="shared" si="72"/>
        <v>5</v>
      </c>
      <c r="J1588" s="34">
        <v>25</v>
      </c>
      <c r="K1588" s="36">
        <v>500</v>
      </c>
      <c r="L1588" s="34" t="s">
        <v>17</v>
      </c>
      <c r="M1588" s="35">
        <v>36144</v>
      </c>
      <c r="N1588" s="37">
        <f>(YEAR(TablaMadre[[#This Row],[ALTA]])-YEAR(M1588))</f>
        <v>25</v>
      </c>
      <c r="O1588" s="34" t="s">
        <v>618</v>
      </c>
      <c r="P1588" s="34" t="s">
        <v>19</v>
      </c>
      <c r="Q1588" s="34" t="s">
        <v>322</v>
      </c>
      <c r="R1588" s="58" t="s">
        <v>30</v>
      </c>
      <c r="S1588" s="34" t="s">
        <v>322</v>
      </c>
      <c r="T1588" s="34"/>
      <c r="U1588" s="34"/>
      <c r="V1588" s="34" t="s">
        <v>22</v>
      </c>
      <c r="W1588" s="34" t="s">
        <v>91</v>
      </c>
      <c r="X1588" s="38" t="s">
        <v>164</v>
      </c>
      <c r="Y1588" s="62"/>
      <c r="Z1588" s="38" t="e">
        <f t="shared" si="73"/>
        <v>#NUM!</v>
      </c>
      <c r="AA1588" s="38"/>
      <c r="AB1588" s="34">
        <v>8</v>
      </c>
      <c r="AC1588" s="34">
        <v>5</v>
      </c>
      <c r="AD1588" s="38"/>
      <c r="AE1588" s="59" t="str">
        <f t="shared" si="74"/>
        <v>SÍ</v>
      </c>
      <c r="AF1588" s="38" t="e" cm="1">
        <f t="array" aca="1" ref="AF1588" ca="1">MIN(100, MAX(0, (IF(R1588="ESTUDIANTE", 31, 0)) + (IF(I1588&lt;=3, 30, IF(I1588&lt;=6, 20, 0))) +(IF(OR(E1588="413 - Control de Costes y Enlace Construcción", E1588="480 - Secretaría General del Consejo", E1588="132 - Civil y estructuras", E1588="136 - Mecánica", E1588="412 - Planificación", E1588="142 - Compras"), 25, 0)) +(IF(OR(S1588="GRADO ING. MECÁNICA", S1588="GRADO ING. ELÉCTRICA", S1588="GRADO DERECHO", S1588="GRADO ECONOMÍA", S1588="GRADO ING. TECNOLOGÍAS INDUSTRIALES"), 24, 0)) + (IF(AND(K1588&gt;=451, K1588&lt;=700), 23, 0)) + (IF(AND(AB1588&gt;=5, AB1588&lt;=8), 17, 0)) +(IF(_xludf.OR(_xludf.AND(AC1588&gt;=8, AC1588&lt;=10), _xludf.AND(AC1588&gt;=0, AC1588&lt;=5)), 16, 0)) + (IF(F1588="Madrid", 11, 0))))</f>
        <v>#NAME?</v>
      </c>
      <c r="AG1588" s="68"/>
      <c r="AH1588" s="71" t="s">
        <v>164</v>
      </c>
    </row>
    <row r="1589" spans="1:34" s="4" customFormat="1" ht="14.4" x14ac:dyDescent="0.3">
      <c r="A1589" s="66" t="s">
        <v>2483</v>
      </c>
      <c r="B1589" s="66" t="s">
        <v>4600</v>
      </c>
      <c r="C1589" s="33">
        <v>1589</v>
      </c>
      <c r="D1589" s="33" t="s">
        <v>5404</v>
      </c>
      <c r="E1589" s="34" t="s">
        <v>5358</v>
      </c>
      <c r="F1589" s="34" t="s">
        <v>18</v>
      </c>
      <c r="G1589" s="57">
        <v>45201</v>
      </c>
      <c r="H1589" s="57">
        <v>45473</v>
      </c>
      <c r="I1589" s="34">
        <f t="shared" si="72"/>
        <v>8</v>
      </c>
      <c r="J1589" s="34">
        <v>35</v>
      </c>
      <c r="K1589" s="36">
        <v>875</v>
      </c>
      <c r="L1589" s="34" t="s">
        <v>29</v>
      </c>
      <c r="M1589" s="35">
        <v>36560</v>
      </c>
      <c r="N1589" s="37">
        <f>(YEAR(TablaMadre[[#This Row],[ALTA]])-YEAR(M1589))</f>
        <v>23</v>
      </c>
      <c r="O1589" s="34" t="s">
        <v>18</v>
      </c>
      <c r="P1589" s="34" t="s">
        <v>19</v>
      </c>
      <c r="Q1589" s="34" t="s">
        <v>740</v>
      </c>
      <c r="R1589" s="34" t="s">
        <v>21</v>
      </c>
      <c r="S1589" s="34" t="s">
        <v>322</v>
      </c>
      <c r="T1589" s="34"/>
      <c r="U1589" s="34"/>
      <c r="V1589" s="34" t="s">
        <v>22</v>
      </c>
      <c r="W1589" s="34" t="s">
        <v>91</v>
      </c>
      <c r="X1589" s="34" t="s">
        <v>164</v>
      </c>
      <c r="Y1589" s="57"/>
      <c r="Z1589" s="34" t="e">
        <f t="shared" si="73"/>
        <v>#NUM!</v>
      </c>
      <c r="AA1589" s="34"/>
      <c r="AB1589" s="34">
        <v>3</v>
      </c>
      <c r="AC1589" s="34" t="s">
        <v>741</v>
      </c>
      <c r="AD1589" s="34"/>
      <c r="AE1589" s="59" t="str">
        <f t="shared" si="74"/>
        <v>NO</v>
      </c>
      <c r="AF1589" s="34" t="e" cm="1">
        <f t="array" aca="1" ref="AF1589" ca="1">MIN(100, MAX(0, (IF(R1589="ESTUDIANTE", 31, 0)) + (IF(I1589&lt;=3, 30, IF(I1589&lt;=6, 20, 0))) +(IF(OR(E1589="413 - Control de Costes y Enlace Construcción", E1589="480 - Secretaría General del Consejo", E1589="132 - Civil y estructuras", E1589="136 - Mecánica", E1589="412 - Planificación", E1589="142 - Compras"), 25, 0)) +(IF(OR(S1589="GRADO ING. MECÁNICA", S1589="GRADO ING. ELÉCTRICA", S1589="GRADO DERECHO", S1589="GRADO ECONOMÍA", S1589="GRADO ING. TECNOLOGÍAS INDUSTRIALES"), 24, 0)) + (IF(AND(K1589&gt;=451, K1589&lt;=700), 23, 0)) + (IF(AND(AB1589&gt;=5, AB1589&lt;=8), 17, 0)) +(IF(_xludf.OR(_xludf.AND(AC1589&gt;=8, AC1589&lt;=10), _xludf.AND(AC1589&gt;=0, AC1589&lt;=5)), 16, 0)) + (IF(F1589="Madrid", 11, 0))))</f>
        <v>#NAME?</v>
      </c>
      <c r="AG1589" s="69"/>
      <c r="AH1589" s="71" t="s">
        <v>164</v>
      </c>
    </row>
    <row r="1590" spans="1:34" s="4" customFormat="1" ht="15.75" customHeight="1" x14ac:dyDescent="0.3">
      <c r="A1590" s="66" t="s">
        <v>2485</v>
      </c>
      <c r="B1590" s="66" t="s">
        <v>4602</v>
      </c>
      <c r="C1590" s="33">
        <v>1590</v>
      </c>
      <c r="D1590" s="33" t="s">
        <v>5405</v>
      </c>
      <c r="E1590" s="34" t="s">
        <v>5252</v>
      </c>
      <c r="F1590" s="34" t="s">
        <v>118</v>
      </c>
      <c r="G1590" s="57">
        <v>45201</v>
      </c>
      <c r="H1590" s="57">
        <v>45565</v>
      </c>
      <c r="I1590" s="34">
        <f t="shared" si="72"/>
        <v>11</v>
      </c>
      <c r="J1590" s="34">
        <v>35</v>
      </c>
      <c r="K1590" s="36">
        <v>875</v>
      </c>
      <c r="L1590" s="34" t="s">
        <v>29</v>
      </c>
      <c r="M1590" s="35">
        <v>36251</v>
      </c>
      <c r="N1590" s="37">
        <f>(YEAR(TablaMadre[[#This Row],[ALTA]])-YEAR(M1590))</f>
        <v>24</v>
      </c>
      <c r="O1590" s="34" t="s">
        <v>118</v>
      </c>
      <c r="P1590" s="34" t="s">
        <v>19</v>
      </c>
      <c r="Q1590" s="34" t="s">
        <v>322</v>
      </c>
      <c r="R1590" s="34" t="s">
        <v>21</v>
      </c>
      <c r="S1590" s="34" t="s">
        <v>322</v>
      </c>
      <c r="T1590" s="34"/>
      <c r="U1590" s="34"/>
      <c r="V1590" s="34" t="s">
        <v>37</v>
      </c>
      <c r="W1590" s="34" t="s">
        <v>380</v>
      </c>
      <c r="X1590" s="34" t="s">
        <v>164</v>
      </c>
      <c r="Y1590" s="57"/>
      <c r="Z1590" s="34" t="e">
        <f t="shared" si="73"/>
        <v>#NUM!</v>
      </c>
      <c r="AA1590" s="34"/>
      <c r="AB1590" s="34">
        <v>9</v>
      </c>
      <c r="AC1590" s="34">
        <v>6</v>
      </c>
      <c r="AD1590" s="34"/>
      <c r="AE1590" s="59" t="str">
        <f t="shared" si="74"/>
        <v>NO</v>
      </c>
      <c r="AF1590" s="34" t="e" cm="1">
        <f t="array" aca="1" ref="AF1590" ca="1">MIN(100, MAX(0, (IF(R1590="ESTUDIANTE", 31, 0)) + (IF(I1590&lt;=3, 30, IF(I1590&lt;=6, 20, 0))) +(IF(OR(E1590="413 - Control de Costes y Enlace Construcción", E1590="480 - Secretaría General del Consejo", E1590="132 - Civil y estructuras", E1590="136 - Mecánica", E1590="412 - Planificación", E1590="142 - Compras"), 25, 0)) +(IF(OR(S1590="GRADO ING. MECÁNICA", S1590="GRADO ING. ELÉCTRICA", S1590="GRADO DERECHO", S1590="GRADO ECONOMÍA", S1590="GRADO ING. TECNOLOGÍAS INDUSTRIALES"), 24, 0)) + (IF(AND(K1590&gt;=451, K1590&lt;=700), 23, 0)) + (IF(AND(AB1590&gt;=5, AB1590&lt;=8), 17, 0)) +(IF(_xludf.OR(_xludf.AND(AC1590&gt;=8, AC1590&lt;=10), _xludf.AND(AC1590&gt;=0, AC1590&lt;=5)), 16, 0)) + (IF(F1590="Madrid", 11, 0))))</f>
        <v>#NAME?</v>
      </c>
      <c r="AG1590" s="69"/>
      <c r="AH1590" s="71" t="s">
        <v>164</v>
      </c>
    </row>
    <row r="1591" spans="1:34" s="4" customFormat="1" ht="14.4" x14ac:dyDescent="0.3">
      <c r="A1591" s="66" t="s">
        <v>2567</v>
      </c>
      <c r="B1591" s="66" t="s">
        <v>4684</v>
      </c>
      <c r="C1591" s="33">
        <v>1588</v>
      </c>
      <c r="D1591" s="33" t="s">
        <v>5396</v>
      </c>
      <c r="E1591" s="34" t="s">
        <v>5255</v>
      </c>
      <c r="F1591" s="34" t="s">
        <v>18</v>
      </c>
      <c r="G1591" s="57">
        <v>45201</v>
      </c>
      <c r="H1591" s="57">
        <v>45382</v>
      </c>
      <c r="I1591" s="34">
        <f t="shared" si="72"/>
        <v>5</v>
      </c>
      <c r="J1591" s="34">
        <v>35</v>
      </c>
      <c r="K1591" s="36">
        <v>800</v>
      </c>
      <c r="L1591" s="34" t="s">
        <v>17</v>
      </c>
      <c r="M1591" s="35">
        <v>34984</v>
      </c>
      <c r="N1591" s="37">
        <f>(YEAR(TablaMadre[[#This Row],[ALTA]])-YEAR(M1591))</f>
        <v>28</v>
      </c>
      <c r="O1591" s="34" t="s">
        <v>271</v>
      </c>
      <c r="P1591" s="34" t="s">
        <v>19</v>
      </c>
      <c r="Q1591" s="34" t="s">
        <v>710</v>
      </c>
      <c r="R1591" s="34" t="s">
        <v>21</v>
      </c>
      <c r="S1591" s="34" t="s">
        <v>710</v>
      </c>
      <c r="T1591" s="34"/>
      <c r="U1591" s="34"/>
      <c r="V1591" s="34" t="s">
        <v>163</v>
      </c>
      <c r="W1591" s="34" t="s">
        <v>28</v>
      </c>
      <c r="X1591" s="34" t="s">
        <v>173</v>
      </c>
      <c r="Y1591" s="57"/>
      <c r="Z1591" s="34" t="e">
        <f t="shared" si="73"/>
        <v>#NUM!</v>
      </c>
      <c r="AA1591" s="34"/>
      <c r="AB1591" s="34" t="s">
        <v>693</v>
      </c>
      <c r="AC1591" s="34"/>
      <c r="AD1591" s="34"/>
      <c r="AE1591" s="59" t="str">
        <f t="shared" si="74"/>
        <v>SÍ</v>
      </c>
      <c r="AF1591" s="34" t="e" cm="1">
        <f t="array" aca="1" ref="AF1591" ca="1">MIN(100, MAX(0, (IF(R1591="ESTUDIANTE", 31, 0)) + (IF(I1591&lt;=3, 30, IF(I1591&lt;=6, 20, 0))) +(IF(OR(E1591="413 - Control de Costes y Enlace Construcción", E1591="480 - Secretaría General del Consejo", E1591="132 - Civil y estructuras", E1591="136 - Mecánica", E1591="412 - Planificación", E1591="142 - Compras"), 25, 0)) +(IF(OR(S1591="GRADO ING. MECÁNICA", S1591="GRADO ING. ELÉCTRICA", S1591="GRADO DERECHO", S1591="GRADO ECONOMÍA", S1591="GRADO ING. TECNOLOGÍAS INDUSTRIALES"), 24, 0)) + (IF(AND(K1591&gt;=451, K1591&lt;=700), 23, 0)) + (IF(AND(AB1591&gt;=5, AB1591&lt;=8), 17, 0)) +(IF(_xludf.OR(_xludf.AND(AC1591&gt;=8, AC1591&lt;=10), _xludf.AND(AC1591&gt;=0, AC1591&lt;=5)), 16, 0)) + (IF(F1591="Madrid", 11, 0))))</f>
        <v>#NAME?</v>
      </c>
      <c r="AG1591" s="69"/>
      <c r="AH1591" s="71" t="s">
        <v>164</v>
      </c>
    </row>
    <row r="1592" spans="1:34" s="4" customFormat="1" ht="14.4" x14ac:dyDescent="0.3">
      <c r="A1592" s="66" t="s">
        <v>2570</v>
      </c>
      <c r="B1592" s="66" t="s">
        <v>4687</v>
      </c>
      <c r="C1592" s="33">
        <v>1591</v>
      </c>
      <c r="D1592" s="33" t="s">
        <v>5397</v>
      </c>
      <c r="E1592" s="34" t="s">
        <v>5248</v>
      </c>
      <c r="F1592" s="34" t="s">
        <v>18</v>
      </c>
      <c r="G1592" s="57">
        <v>45201</v>
      </c>
      <c r="H1592" s="57">
        <v>45566</v>
      </c>
      <c r="I1592" s="34">
        <f t="shared" si="72"/>
        <v>11</v>
      </c>
      <c r="J1592" s="34">
        <v>40</v>
      </c>
      <c r="K1592" s="36">
        <v>0</v>
      </c>
      <c r="L1592" s="34" t="s">
        <v>17</v>
      </c>
      <c r="M1592" s="35">
        <v>36211</v>
      </c>
      <c r="N1592" s="37">
        <f>(YEAR(TablaMadre[[#This Row],[ALTA]])-YEAR(M1592))</f>
        <v>24</v>
      </c>
      <c r="O1592" s="34" t="s">
        <v>941</v>
      </c>
      <c r="P1592" s="34" t="s">
        <v>19</v>
      </c>
      <c r="Q1592" s="34" t="s">
        <v>781</v>
      </c>
      <c r="R1592" s="34" t="s">
        <v>30</v>
      </c>
      <c r="S1592" s="34" t="s">
        <v>297</v>
      </c>
      <c r="T1592" s="34"/>
      <c r="U1592" s="34"/>
      <c r="V1592" s="34" t="s">
        <v>163</v>
      </c>
      <c r="W1592" s="34" t="s">
        <v>97</v>
      </c>
      <c r="X1592" s="34" t="s">
        <v>164</v>
      </c>
      <c r="Y1592" s="57">
        <v>45894</v>
      </c>
      <c r="Z1592" s="34">
        <f t="shared" si="73"/>
        <v>0</v>
      </c>
      <c r="AA1592" s="34"/>
      <c r="AB1592" s="34" t="s">
        <v>693</v>
      </c>
      <c r="AC1592" s="34">
        <v>8</v>
      </c>
      <c r="AD1592" s="34"/>
      <c r="AE1592" s="59" t="str">
        <f t="shared" si="74"/>
        <v>SÍ</v>
      </c>
      <c r="AF1592" s="34" t="e" cm="1">
        <f t="array" aca="1" ref="AF1592" ca="1">MIN(100, MAX(0, (IF(R1592="ESTUDIANTE", 31, 0)) + (IF(I1592&lt;=3, 30, IF(I1592&lt;=6, 20, 0))) +(IF(OR(E1592="413 - Control de Costes y Enlace Construcción", E1592="480 - Secretaría General del Consejo", E1592="132 - Civil y estructuras", E1592="136 - Mecánica", E1592="412 - Planificación", E1592="142 - Compras"), 25, 0)) +(IF(OR(S1592="GRADO ING. MECÁNICA", S1592="GRADO ING. ELÉCTRICA", S1592="GRADO DERECHO", S1592="GRADO ECONOMÍA", S1592="GRADO ING. TECNOLOGÍAS INDUSTRIALES"), 24, 0)) + (IF(AND(K1592&gt;=451, K1592&lt;=700), 23, 0)) + (IF(AND(AB1592&gt;=5, AB1592&lt;=8), 17, 0)) +(IF(_xludf.OR(_xludf.AND(AC1592&gt;=8, AC1592&lt;=10), _xludf.AND(AC1592&gt;=0, AC1592&lt;=5)), 16, 0)) + (IF(F1592="Madrid", 11, 0))))</f>
        <v>#NAME?</v>
      </c>
      <c r="AG1592" s="69"/>
      <c r="AH1592" s="71" t="s">
        <v>164</v>
      </c>
    </row>
    <row r="1593" spans="1:34" ht="14.4" x14ac:dyDescent="0.3">
      <c r="A1593" s="66" t="s">
        <v>2486</v>
      </c>
      <c r="B1593" s="66" t="s">
        <v>4603</v>
      </c>
      <c r="C1593" s="33">
        <v>1592</v>
      </c>
      <c r="D1593" s="33" t="s">
        <v>5393</v>
      </c>
      <c r="E1593" s="34" t="s">
        <v>5313</v>
      </c>
      <c r="F1593" s="34" t="s">
        <v>18</v>
      </c>
      <c r="G1593" s="57">
        <v>45202</v>
      </c>
      <c r="H1593" s="57">
        <v>45384</v>
      </c>
      <c r="I1593" s="34">
        <f t="shared" si="72"/>
        <v>5</v>
      </c>
      <c r="J1593" s="34">
        <v>35</v>
      </c>
      <c r="K1593" s="36">
        <v>700</v>
      </c>
      <c r="L1593" s="34" t="s">
        <v>17</v>
      </c>
      <c r="M1593" s="35">
        <v>35896</v>
      </c>
      <c r="N1593" s="37">
        <f>(YEAR(TablaMadre[[#This Row],[ALTA]])-YEAR(M1593))</f>
        <v>25</v>
      </c>
      <c r="O1593" s="34" t="s">
        <v>257</v>
      </c>
      <c r="P1593" s="34" t="s">
        <v>19</v>
      </c>
      <c r="Q1593" s="34" t="s">
        <v>136</v>
      </c>
      <c r="R1593" s="58" t="s">
        <v>30</v>
      </c>
      <c r="S1593" s="34" t="s">
        <v>136</v>
      </c>
      <c r="T1593" s="34"/>
      <c r="U1593" s="34"/>
      <c r="V1593" s="34" t="s">
        <v>22</v>
      </c>
      <c r="W1593" s="34" t="s">
        <v>91</v>
      </c>
      <c r="X1593" s="38" t="s">
        <v>164</v>
      </c>
      <c r="Y1593" s="62"/>
      <c r="Z1593" s="38" t="e">
        <f t="shared" si="73"/>
        <v>#NUM!</v>
      </c>
      <c r="AA1593" s="38"/>
      <c r="AB1593" s="34"/>
      <c r="AC1593" s="34"/>
      <c r="AD1593" s="38"/>
      <c r="AE1593" s="59" t="str">
        <f t="shared" si="74"/>
        <v>SÍ</v>
      </c>
      <c r="AF1593" s="38" t="e" cm="1">
        <f t="array" aca="1" ref="AF1593" ca="1">MIN(100, MAX(0, (IF(R1593="ESTUDIANTE", 31, 0)) + (IF(I1593&lt;=3, 30, IF(I1593&lt;=6, 20, 0))) +(IF(OR(E1593="413 - Control de Costes y Enlace Construcción", E1593="480 - Secretaría General del Consejo", E1593="132 - Civil y estructuras", E1593="136 - Mecánica", E1593="412 - Planificación", E1593="142 - Compras"), 25, 0)) +(IF(OR(S1593="GRADO ING. MECÁNICA", S1593="GRADO ING. ELÉCTRICA", S1593="GRADO DERECHO", S1593="GRADO ECONOMÍA", S1593="GRADO ING. TECNOLOGÍAS INDUSTRIALES"), 24, 0)) + (IF(AND(K1593&gt;=451, K1593&lt;=700), 23, 0)) + (IF(AND(AB1593&gt;=5, AB1593&lt;=8), 17, 0)) +(IF(_xludf.OR(_xludf.AND(AC1593&gt;=8, AC1593&lt;=10), _xludf.AND(AC1593&gt;=0, AC1593&lt;=5)), 16, 0)) + (IF(F1593="Madrid", 11, 0))))</f>
        <v>#NAME?</v>
      </c>
      <c r="AG1593" s="68"/>
      <c r="AH1593" s="71" t="s">
        <v>164</v>
      </c>
    </row>
    <row r="1594" spans="1:34" s="4" customFormat="1" ht="15" customHeight="1" x14ac:dyDescent="0.3">
      <c r="A1594" s="66" t="s">
        <v>2572</v>
      </c>
      <c r="B1594" s="66" t="s">
        <v>4689</v>
      </c>
      <c r="C1594" s="33">
        <v>1593</v>
      </c>
      <c r="D1594" s="33" t="s">
        <v>5394</v>
      </c>
      <c r="E1594" s="34" t="s">
        <v>5319</v>
      </c>
      <c r="F1594" s="34" t="s">
        <v>18</v>
      </c>
      <c r="G1594" s="57">
        <v>45208</v>
      </c>
      <c r="H1594" s="57">
        <v>45573</v>
      </c>
      <c r="I1594" s="34">
        <f t="shared" si="72"/>
        <v>11</v>
      </c>
      <c r="J1594" s="34">
        <v>35</v>
      </c>
      <c r="K1594" s="36">
        <v>900</v>
      </c>
      <c r="L1594" s="34" t="s">
        <v>17</v>
      </c>
      <c r="M1594" s="35">
        <v>36501</v>
      </c>
      <c r="N1594" s="37">
        <f>(YEAR(TablaMadre[[#This Row],[ALTA]])-YEAR(M1594))</f>
        <v>24</v>
      </c>
      <c r="O1594" s="34" t="s">
        <v>18</v>
      </c>
      <c r="P1594" s="34" t="s">
        <v>19</v>
      </c>
      <c r="Q1594" s="34" t="s">
        <v>297</v>
      </c>
      <c r="R1594" s="34" t="s">
        <v>21</v>
      </c>
      <c r="S1594" s="34" t="s">
        <v>297</v>
      </c>
      <c r="T1594" s="34"/>
      <c r="U1594" s="34"/>
      <c r="V1594" s="34" t="s">
        <v>56</v>
      </c>
      <c r="W1594" s="34" t="s">
        <v>28</v>
      </c>
      <c r="X1594" s="34" t="s">
        <v>173</v>
      </c>
      <c r="Y1594" s="57"/>
      <c r="Z1594" s="34" t="e">
        <f t="shared" si="73"/>
        <v>#NUM!</v>
      </c>
      <c r="AA1594" s="34"/>
      <c r="AB1594" s="34">
        <v>8</v>
      </c>
      <c r="AC1594" s="34">
        <v>10</v>
      </c>
      <c r="AD1594" s="34"/>
      <c r="AE1594" s="59" t="str">
        <f t="shared" si="74"/>
        <v>NO</v>
      </c>
      <c r="AF1594" s="34" t="e" cm="1">
        <f t="array" aca="1" ref="AF1594" ca="1">MIN(100, MAX(0, (IF(R1594="ESTUDIANTE", 31, 0)) + (IF(I1594&lt;=3, 30, IF(I1594&lt;=6, 20, 0))) +(IF(OR(E1594="413 - Control de Costes y Enlace Construcción", E1594="480 - Secretaría General del Consejo", E1594="132 - Civil y estructuras", E1594="136 - Mecánica", E1594="412 - Planificación", E1594="142 - Compras"), 25, 0)) +(IF(OR(S1594="GRADO ING. MECÁNICA", S1594="GRADO ING. ELÉCTRICA", S1594="GRADO DERECHO", S1594="GRADO ECONOMÍA", S1594="GRADO ING. TECNOLOGÍAS INDUSTRIALES"), 24, 0)) + (IF(AND(K1594&gt;=451, K1594&lt;=700), 23, 0)) + (IF(AND(AB1594&gt;=5, AB1594&lt;=8), 17, 0)) +(IF(_xludf.OR(_xludf.AND(AC1594&gt;=8, AC1594&lt;=10), _xludf.AND(AC1594&gt;=0, AC1594&lt;=5)), 16, 0)) + (IF(F1594="Madrid", 11, 0))))</f>
        <v>#NAME?</v>
      </c>
      <c r="AG1594" s="69"/>
      <c r="AH1594" s="71" t="s">
        <v>164</v>
      </c>
    </row>
    <row r="1595" spans="1:34" ht="15" customHeight="1" x14ac:dyDescent="0.3">
      <c r="A1595" s="66" t="s">
        <v>2573</v>
      </c>
      <c r="B1595" s="66" t="s">
        <v>4690</v>
      </c>
      <c r="C1595" s="33">
        <v>1594</v>
      </c>
      <c r="D1595" s="33" t="s">
        <v>5395</v>
      </c>
      <c r="E1595" s="34" t="s">
        <v>5222</v>
      </c>
      <c r="F1595" s="34" t="s">
        <v>118</v>
      </c>
      <c r="G1595" s="57">
        <v>45208</v>
      </c>
      <c r="H1595" s="57">
        <v>45573</v>
      </c>
      <c r="I1595" s="34">
        <f t="shared" si="72"/>
        <v>11</v>
      </c>
      <c r="J1595" s="34">
        <v>35</v>
      </c>
      <c r="K1595" s="36">
        <v>700</v>
      </c>
      <c r="L1595" s="34" t="s">
        <v>17</v>
      </c>
      <c r="M1595" s="35">
        <v>33458</v>
      </c>
      <c r="N1595" s="37">
        <f>(YEAR(TablaMadre[[#This Row],[ALTA]])-YEAR(M1595))</f>
        <v>32</v>
      </c>
      <c r="O1595" s="34" t="s">
        <v>118</v>
      </c>
      <c r="P1595" s="34" t="s">
        <v>19</v>
      </c>
      <c r="Q1595" s="34" t="s">
        <v>215</v>
      </c>
      <c r="R1595" s="58" t="s">
        <v>30</v>
      </c>
      <c r="S1595" s="34" t="s">
        <v>322</v>
      </c>
      <c r="T1595" s="34"/>
      <c r="U1595" s="34"/>
      <c r="V1595" s="34" t="s">
        <v>37</v>
      </c>
      <c r="W1595" s="34" t="s">
        <v>28</v>
      </c>
      <c r="X1595" s="38" t="s">
        <v>173</v>
      </c>
      <c r="Y1595" s="62"/>
      <c r="Z1595" s="38" t="e">
        <f t="shared" si="73"/>
        <v>#NUM!</v>
      </c>
      <c r="AA1595" s="38"/>
      <c r="AB1595" s="34">
        <v>10</v>
      </c>
      <c r="AC1595" s="34">
        <v>8</v>
      </c>
      <c r="AD1595" s="38"/>
      <c r="AE1595" s="59" t="str">
        <f t="shared" si="74"/>
        <v>NO</v>
      </c>
      <c r="AF1595" s="38" t="e" cm="1">
        <f t="array" aca="1" ref="AF1595" ca="1">MIN(100, MAX(0, (IF(R1595="ESTUDIANTE", 31, 0)) + (IF(I1595&lt;=3, 30, IF(I1595&lt;=6, 20, 0))) +(IF(OR(E1595="413 - Control de Costes y Enlace Construcción", E1595="480 - Secretaría General del Consejo", E1595="132 - Civil y estructuras", E1595="136 - Mecánica", E1595="412 - Planificación", E1595="142 - Compras"), 25, 0)) +(IF(OR(S1595="GRADO ING. MECÁNICA", S1595="GRADO ING. ELÉCTRICA", S1595="GRADO DERECHO", S1595="GRADO ECONOMÍA", S1595="GRADO ING. TECNOLOGÍAS INDUSTRIALES"), 24, 0)) + (IF(AND(K1595&gt;=451, K1595&lt;=700), 23, 0)) + (IF(AND(AB1595&gt;=5, AB1595&lt;=8), 17, 0)) +(IF(_xludf.OR(_xludf.AND(AC1595&gt;=8, AC1595&lt;=10), _xludf.AND(AC1595&gt;=0, AC1595&lt;=5)), 16, 0)) + (IF(F1595="Madrid", 11, 0))))</f>
        <v>#NAME?</v>
      </c>
      <c r="AG1595" s="68"/>
      <c r="AH1595" s="71" t="s">
        <v>164</v>
      </c>
    </row>
    <row r="1596" spans="1:34" s="4" customFormat="1" ht="14.4" x14ac:dyDescent="0.3">
      <c r="A1596" s="66" t="s">
        <v>2574</v>
      </c>
      <c r="B1596" s="66" t="s">
        <v>4691</v>
      </c>
      <c r="C1596" s="33">
        <v>1595</v>
      </c>
      <c r="D1596" s="33" t="s">
        <v>5396</v>
      </c>
      <c r="E1596" s="34" t="s">
        <v>5285</v>
      </c>
      <c r="F1596" s="34" t="s">
        <v>18</v>
      </c>
      <c r="G1596" s="57">
        <v>45215</v>
      </c>
      <c r="H1596" s="57">
        <v>45580</v>
      </c>
      <c r="I1596" s="34">
        <f t="shared" si="72"/>
        <v>11</v>
      </c>
      <c r="J1596" s="34">
        <v>35</v>
      </c>
      <c r="K1596" s="36">
        <v>900</v>
      </c>
      <c r="L1596" s="34" t="s">
        <v>17</v>
      </c>
      <c r="M1596" s="35">
        <v>34610</v>
      </c>
      <c r="N1596" s="37">
        <f>(YEAR(TablaMadre[[#This Row],[ALTA]])-YEAR(M1596))</f>
        <v>29</v>
      </c>
      <c r="O1596" s="34" t="s">
        <v>18</v>
      </c>
      <c r="P1596" s="34" t="s">
        <v>19</v>
      </c>
      <c r="Q1596" s="34" t="s">
        <v>151</v>
      </c>
      <c r="R1596" s="34" t="s">
        <v>21</v>
      </c>
      <c r="S1596" s="34" t="s">
        <v>151</v>
      </c>
      <c r="T1596" s="34"/>
      <c r="U1596" s="34"/>
      <c r="V1596" s="34" t="s">
        <v>22</v>
      </c>
      <c r="W1596" s="34" t="s">
        <v>28</v>
      </c>
      <c r="X1596" s="34" t="s">
        <v>173</v>
      </c>
      <c r="Y1596" s="57"/>
      <c r="Z1596" s="34" t="e">
        <f t="shared" si="73"/>
        <v>#NUM!</v>
      </c>
      <c r="AA1596" s="34"/>
      <c r="AB1596" s="34">
        <v>10</v>
      </c>
      <c r="AC1596" s="34">
        <v>10</v>
      </c>
      <c r="AD1596" s="34"/>
      <c r="AE1596" s="59" t="str">
        <f t="shared" si="74"/>
        <v>NO</v>
      </c>
      <c r="AF1596" s="34" t="e" cm="1">
        <f t="array" aca="1" ref="AF1596" ca="1">MIN(100, MAX(0, (IF(R1596="ESTUDIANTE", 31, 0)) + (IF(I1596&lt;=3, 30, IF(I1596&lt;=6, 20, 0))) +(IF(OR(E1596="413 - Control de Costes y Enlace Construcción", E1596="480 - Secretaría General del Consejo", E1596="132 - Civil y estructuras", E1596="136 - Mecánica", E1596="412 - Planificación", E1596="142 - Compras"), 25, 0)) +(IF(OR(S1596="GRADO ING. MECÁNICA", S1596="GRADO ING. ELÉCTRICA", S1596="GRADO DERECHO", S1596="GRADO ECONOMÍA", S1596="GRADO ING. TECNOLOGÍAS INDUSTRIALES"), 24, 0)) + (IF(AND(K1596&gt;=451, K1596&lt;=700), 23, 0)) + (IF(AND(AB1596&gt;=5, AB1596&lt;=8), 17, 0)) +(IF(_xludf.OR(_xludf.AND(AC1596&gt;=8, AC1596&lt;=10), _xludf.AND(AC1596&gt;=0, AC1596&lt;=5)), 16, 0)) + (IF(F1596="Madrid", 11, 0))))</f>
        <v>#NAME?</v>
      </c>
      <c r="AG1596" s="69"/>
      <c r="AH1596" s="71" t="s">
        <v>164</v>
      </c>
    </row>
    <row r="1597" spans="1:34" s="4" customFormat="1" ht="14.4" x14ac:dyDescent="0.3">
      <c r="A1597" s="66" t="s">
        <v>2487</v>
      </c>
      <c r="B1597" s="66" t="s">
        <v>4604</v>
      </c>
      <c r="C1597" s="33">
        <v>1596</v>
      </c>
      <c r="D1597" s="33" t="s">
        <v>5397</v>
      </c>
      <c r="E1597" s="34" t="s">
        <v>5313</v>
      </c>
      <c r="F1597" s="34" t="s">
        <v>18</v>
      </c>
      <c r="G1597" s="57">
        <v>45216</v>
      </c>
      <c r="H1597" s="57">
        <v>45418</v>
      </c>
      <c r="I1597" s="34">
        <f t="shared" si="72"/>
        <v>6</v>
      </c>
      <c r="J1597" s="34">
        <v>35</v>
      </c>
      <c r="K1597" s="36">
        <v>700</v>
      </c>
      <c r="L1597" s="34" t="s">
        <v>17</v>
      </c>
      <c r="M1597" s="35">
        <v>35575</v>
      </c>
      <c r="N1597" s="37">
        <f>(YEAR(TablaMadre[[#This Row],[ALTA]])-YEAR(M1597))</f>
        <v>26</v>
      </c>
      <c r="O1597" s="34" t="s">
        <v>18</v>
      </c>
      <c r="P1597" s="34" t="s">
        <v>19</v>
      </c>
      <c r="Q1597" s="34" t="s">
        <v>718</v>
      </c>
      <c r="R1597" s="58" t="s">
        <v>30</v>
      </c>
      <c r="S1597" s="34" t="s">
        <v>307</v>
      </c>
      <c r="T1597" s="34"/>
      <c r="U1597" s="34"/>
      <c r="V1597" s="34" t="s">
        <v>22</v>
      </c>
      <c r="W1597" s="34" t="s">
        <v>47</v>
      </c>
      <c r="X1597" s="34" t="s">
        <v>164</v>
      </c>
      <c r="Y1597" s="57"/>
      <c r="Z1597" s="34" t="e">
        <f t="shared" si="73"/>
        <v>#NUM!</v>
      </c>
      <c r="AA1597" s="34"/>
      <c r="AB1597" s="34" t="s">
        <v>719</v>
      </c>
      <c r="AC1597" s="34">
        <v>7</v>
      </c>
      <c r="AD1597" s="34"/>
      <c r="AE1597" s="59" t="str">
        <f t="shared" si="74"/>
        <v>NO</v>
      </c>
      <c r="AF1597" s="34" t="e" cm="1">
        <f t="array" aca="1" ref="AF1597" ca="1">MIN(100, MAX(0, (IF(R1597="ESTUDIANTE", 31, 0)) + (IF(I1597&lt;=3, 30, IF(I1597&lt;=6, 20, 0))) +(IF(OR(E1597="413 - Control de Costes y Enlace Construcción", E1597="480 - Secretaría General del Consejo", E1597="132 - Civil y estructuras", E1597="136 - Mecánica", E1597="412 - Planificación", E1597="142 - Compras"), 25, 0)) +(IF(OR(S1597="GRADO ING. MECÁNICA", S1597="GRADO ING. ELÉCTRICA", S1597="GRADO DERECHO", S1597="GRADO ECONOMÍA", S1597="GRADO ING. TECNOLOGÍAS INDUSTRIALES"), 24, 0)) + (IF(AND(K1597&gt;=451, K1597&lt;=700), 23, 0)) + (IF(AND(AB1597&gt;=5, AB1597&lt;=8), 17, 0)) +(IF(_xludf.OR(_xludf.AND(AC1597&gt;=8, AC1597&lt;=10), _xludf.AND(AC1597&gt;=0, AC1597&lt;=5)), 16, 0)) + (IF(F1597="Madrid", 11, 0))))</f>
        <v>#NAME?</v>
      </c>
      <c r="AG1597" s="69"/>
      <c r="AH1597" s="71" t="s">
        <v>164</v>
      </c>
    </row>
    <row r="1598" spans="1:34" s="4" customFormat="1" ht="14.4" x14ac:dyDescent="0.3">
      <c r="A1598" s="66" t="s">
        <v>2488</v>
      </c>
      <c r="B1598" s="66" t="s">
        <v>4605</v>
      </c>
      <c r="C1598" s="33">
        <v>1597</v>
      </c>
      <c r="D1598" s="33" t="s">
        <v>5398</v>
      </c>
      <c r="E1598" s="34" t="s">
        <v>5235</v>
      </c>
      <c r="F1598" s="34" t="s">
        <v>18</v>
      </c>
      <c r="G1598" s="57">
        <v>45222</v>
      </c>
      <c r="H1598" s="57">
        <v>45375</v>
      </c>
      <c r="I1598" s="34">
        <f t="shared" si="72"/>
        <v>5</v>
      </c>
      <c r="J1598" s="34">
        <v>25</v>
      </c>
      <c r="K1598" s="36">
        <v>625</v>
      </c>
      <c r="L1598" s="34" t="s">
        <v>17</v>
      </c>
      <c r="M1598" s="35">
        <v>35852</v>
      </c>
      <c r="N1598" s="37">
        <f>(YEAR(TablaMadre[[#This Row],[ALTA]])-YEAR(M1598))</f>
        <v>25</v>
      </c>
      <c r="O1598" s="34" t="s">
        <v>941</v>
      </c>
      <c r="P1598" s="34" t="s">
        <v>19</v>
      </c>
      <c r="Q1598" s="34" t="s">
        <v>702</v>
      </c>
      <c r="R1598" s="58" t="s">
        <v>30</v>
      </c>
      <c r="S1598" s="34" t="s">
        <v>322</v>
      </c>
      <c r="T1598" s="34"/>
      <c r="U1598" s="34"/>
      <c r="V1598" s="34" t="s">
        <v>22</v>
      </c>
      <c r="W1598" s="34" t="s">
        <v>91</v>
      </c>
      <c r="X1598" s="34" t="s">
        <v>173</v>
      </c>
      <c r="Y1598" s="57"/>
      <c r="Z1598" s="34" t="e">
        <f t="shared" si="73"/>
        <v>#NUM!</v>
      </c>
      <c r="AA1598" s="34"/>
      <c r="AB1598" s="34">
        <v>10</v>
      </c>
      <c r="AC1598" s="34">
        <v>8</v>
      </c>
      <c r="AD1598" s="34"/>
      <c r="AE1598" s="59" t="str">
        <f t="shared" si="74"/>
        <v>SÍ</v>
      </c>
      <c r="AF1598" s="34" t="e" cm="1">
        <f t="array" aca="1" ref="AF1598" ca="1">MIN(100, MAX(0, (IF(R1598="ESTUDIANTE", 31, 0)) + (IF(I1598&lt;=3, 30, IF(I1598&lt;=6, 20, 0))) +(IF(OR(E1598="413 - Control de Costes y Enlace Construcción", E1598="480 - Secretaría General del Consejo", E1598="132 - Civil y estructuras", E1598="136 - Mecánica", E1598="412 - Planificación", E1598="142 - Compras"), 25, 0)) +(IF(OR(S1598="GRADO ING. MECÁNICA", S1598="GRADO ING. ELÉCTRICA", S1598="GRADO DERECHO", S1598="GRADO ECONOMÍA", S1598="GRADO ING. TECNOLOGÍAS INDUSTRIALES"), 24, 0)) + (IF(AND(K1598&gt;=451, K1598&lt;=700), 23, 0)) + (IF(AND(AB1598&gt;=5, AB1598&lt;=8), 17, 0)) +(IF(_xludf.OR(_xludf.AND(AC1598&gt;=8, AC1598&lt;=10), _xludf.AND(AC1598&gt;=0, AC1598&lt;=5)), 16, 0)) + (IF(F1598="Madrid", 11, 0))))</f>
        <v>#NAME?</v>
      </c>
      <c r="AG1598" s="69"/>
      <c r="AH1598" s="71" t="s">
        <v>164</v>
      </c>
    </row>
    <row r="1599" spans="1:34" s="4" customFormat="1" ht="14.4" x14ac:dyDescent="0.3">
      <c r="A1599" s="66" t="s">
        <v>2494</v>
      </c>
      <c r="B1599" s="66" t="s">
        <v>4611</v>
      </c>
      <c r="C1599" s="33">
        <v>1598</v>
      </c>
      <c r="D1599" s="33" t="s">
        <v>5399</v>
      </c>
      <c r="E1599" s="34" t="s">
        <v>5255</v>
      </c>
      <c r="F1599" s="34" t="s">
        <v>18</v>
      </c>
      <c r="G1599" s="57">
        <v>45222</v>
      </c>
      <c r="H1599" s="57">
        <v>45541</v>
      </c>
      <c r="I1599" s="34">
        <f t="shared" si="72"/>
        <v>10</v>
      </c>
      <c r="J1599" s="34">
        <v>35</v>
      </c>
      <c r="K1599" s="36">
        <v>800</v>
      </c>
      <c r="L1599" s="34" t="s">
        <v>29</v>
      </c>
      <c r="M1599" s="35">
        <v>35573</v>
      </c>
      <c r="N1599" s="37">
        <f>(YEAR(TablaMadre[[#This Row],[ALTA]])-YEAR(M1599))</f>
        <v>26</v>
      </c>
      <c r="O1599" s="34" t="s">
        <v>18</v>
      </c>
      <c r="P1599" s="34" t="s">
        <v>19</v>
      </c>
      <c r="Q1599" s="34" t="s">
        <v>774</v>
      </c>
      <c r="R1599" s="34" t="s">
        <v>21</v>
      </c>
      <c r="S1599" s="34" t="s">
        <v>229</v>
      </c>
      <c r="T1599" s="34"/>
      <c r="U1599" s="34"/>
      <c r="V1599" s="34" t="s">
        <v>56</v>
      </c>
      <c r="W1599" s="34" t="s">
        <v>47</v>
      </c>
      <c r="X1599" s="34" t="s">
        <v>164</v>
      </c>
      <c r="Y1599" s="57"/>
      <c r="Z1599" s="34" t="e">
        <f t="shared" si="73"/>
        <v>#NUM!</v>
      </c>
      <c r="AA1599" s="34"/>
      <c r="AB1599" s="34">
        <v>8</v>
      </c>
      <c r="AC1599" s="34">
        <v>9</v>
      </c>
      <c r="AD1599" s="34"/>
      <c r="AE1599" s="59" t="str">
        <f t="shared" si="74"/>
        <v>NO</v>
      </c>
      <c r="AF1599" s="34" t="e" cm="1">
        <f t="array" aca="1" ref="AF1599" ca="1">MIN(100, MAX(0, (IF(R1599="ESTUDIANTE", 31, 0)) + (IF(I1599&lt;=3, 30, IF(I1599&lt;=6, 20, 0))) +(IF(OR(E1599="413 - Control de Costes y Enlace Construcción", E1599="480 - Secretaría General del Consejo", E1599="132 - Civil y estructuras", E1599="136 - Mecánica", E1599="412 - Planificación", E1599="142 - Compras"), 25, 0)) +(IF(OR(S1599="GRADO ING. MECÁNICA", S1599="GRADO ING. ELÉCTRICA", S1599="GRADO DERECHO", S1599="GRADO ECONOMÍA", S1599="GRADO ING. TECNOLOGÍAS INDUSTRIALES"), 24, 0)) + (IF(AND(K1599&gt;=451, K1599&lt;=700), 23, 0)) + (IF(AND(AB1599&gt;=5, AB1599&lt;=8), 17, 0)) +(IF(_xludf.OR(_xludf.AND(AC1599&gt;=8, AC1599&lt;=10), _xludf.AND(AC1599&gt;=0, AC1599&lt;=5)), 16, 0)) + (IF(F1599="Madrid", 11, 0))))</f>
        <v>#NAME?</v>
      </c>
      <c r="AG1599" s="69"/>
      <c r="AH1599" s="71" t="s">
        <v>164</v>
      </c>
    </row>
    <row r="1600" spans="1:34" s="4" customFormat="1" ht="14.4" x14ac:dyDescent="0.3">
      <c r="A1600" s="66" t="s">
        <v>2578</v>
      </c>
      <c r="B1600" s="66" t="s">
        <v>4695</v>
      </c>
      <c r="C1600" s="33">
        <v>1599</v>
      </c>
      <c r="D1600" s="33" t="s">
        <v>5400</v>
      </c>
      <c r="E1600" s="34" t="s">
        <v>5255</v>
      </c>
      <c r="F1600" s="34" t="s">
        <v>18</v>
      </c>
      <c r="G1600" s="57">
        <v>45222</v>
      </c>
      <c r="H1600" s="57">
        <v>45587</v>
      </c>
      <c r="I1600" s="34">
        <f t="shared" si="72"/>
        <v>11</v>
      </c>
      <c r="J1600" s="34">
        <v>35</v>
      </c>
      <c r="K1600" s="36">
        <v>850</v>
      </c>
      <c r="L1600" s="34" t="s">
        <v>29</v>
      </c>
      <c r="M1600" s="35">
        <v>35859</v>
      </c>
      <c r="N1600" s="37">
        <f>(YEAR(TablaMadre[[#This Row],[ALTA]])-YEAR(M1600))</f>
        <v>25</v>
      </c>
      <c r="O1600" s="34" t="s">
        <v>176</v>
      </c>
      <c r="P1600" s="34" t="s">
        <v>19</v>
      </c>
      <c r="Q1600" s="34" t="s">
        <v>783</v>
      </c>
      <c r="R1600" s="34" t="s">
        <v>21</v>
      </c>
      <c r="S1600" s="34" t="s">
        <v>784</v>
      </c>
      <c r="T1600" s="34"/>
      <c r="U1600" s="34"/>
      <c r="V1600" s="34" t="s">
        <v>163</v>
      </c>
      <c r="W1600" s="34" t="s">
        <v>28</v>
      </c>
      <c r="X1600" s="34" t="s">
        <v>173</v>
      </c>
      <c r="Y1600" s="57"/>
      <c r="Z1600" s="34" t="e">
        <f t="shared" si="73"/>
        <v>#NUM!</v>
      </c>
      <c r="AA1600" s="34"/>
      <c r="AB1600" s="34">
        <v>10</v>
      </c>
      <c r="AC1600" s="34">
        <v>9</v>
      </c>
      <c r="AD1600" s="34"/>
      <c r="AE1600" s="59" t="str">
        <f t="shared" si="74"/>
        <v>SÍ</v>
      </c>
      <c r="AF1600" s="34" t="e" cm="1">
        <f t="array" aca="1" ref="AF1600" ca="1">MIN(100, MAX(0, (IF(R1600="ESTUDIANTE", 31, 0)) + (IF(I1600&lt;=3, 30, IF(I1600&lt;=6, 20, 0))) +(IF(OR(E1600="413 - Control de Costes y Enlace Construcción", E1600="480 - Secretaría General del Consejo", E1600="132 - Civil y estructuras", E1600="136 - Mecánica", E1600="412 - Planificación", E1600="142 - Compras"), 25, 0)) +(IF(OR(S1600="GRADO ING. MECÁNICA", S1600="GRADO ING. ELÉCTRICA", S1600="GRADO DERECHO", S1600="GRADO ECONOMÍA", S1600="GRADO ING. TECNOLOGÍAS INDUSTRIALES"), 24, 0)) + (IF(AND(K1600&gt;=451, K1600&lt;=700), 23, 0)) + (IF(AND(AB1600&gt;=5, AB1600&lt;=8), 17, 0)) +(IF(_xludf.OR(_xludf.AND(AC1600&gt;=8, AC1600&lt;=10), _xludf.AND(AC1600&gt;=0, AC1600&lt;=5)), 16, 0)) + (IF(F1600="Madrid", 11, 0))))</f>
        <v>#NAME?</v>
      </c>
      <c r="AG1600" s="69"/>
      <c r="AH1600" s="71" t="s">
        <v>164</v>
      </c>
    </row>
    <row r="1601" spans="1:34" s="4" customFormat="1" ht="12.75" customHeight="1" x14ac:dyDescent="0.3">
      <c r="A1601" s="66" t="s">
        <v>2579</v>
      </c>
      <c r="B1601" s="66" t="s">
        <v>4696</v>
      </c>
      <c r="C1601" s="33">
        <v>1600</v>
      </c>
      <c r="D1601" s="33" t="s">
        <v>5401</v>
      </c>
      <c r="E1601" s="34" t="s">
        <v>5313</v>
      </c>
      <c r="F1601" s="34" t="s">
        <v>931</v>
      </c>
      <c r="G1601" s="57">
        <v>45229</v>
      </c>
      <c r="H1601" s="57">
        <v>45473</v>
      </c>
      <c r="I1601" s="34">
        <f t="shared" si="72"/>
        <v>8</v>
      </c>
      <c r="J1601" s="34">
        <v>35</v>
      </c>
      <c r="K1601" s="36">
        <v>800</v>
      </c>
      <c r="L1601" s="34" t="s">
        <v>29</v>
      </c>
      <c r="M1601" s="35">
        <v>36316</v>
      </c>
      <c r="N1601" s="37">
        <f>(YEAR(TablaMadre[[#This Row],[ALTA]])-YEAR(M1601))</f>
        <v>24</v>
      </c>
      <c r="O1601" s="34"/>
      <c r="P1601" s="34" t="s">
        <v>19</v>
      </c>
      <c r="Q1601" s="34" t="s">
        <v>742</v>
      </c>
      <c r="R1601" s="34" t="s">
        <v>21</v>
      </c>
      <c r="S1601" s="34" t="s">
        <v>229</v>
      </c>
      <c r="T1601" s="34"/>
      <c r="U1601" s="34"/>
      <c r="V1601" s="34" t="s">
        <v>90</v>
      </c>
      <c r="W1601" s="34" t="s">
        <v>28</v>
      </c>
      <c r="X1601" s="34" t="s">
        <v>173</v>
      </c>
      <c r="Y1601" s="57"/>
      <c r="Z1601" s="34" t="e">
        <f t="shared" si="73"/>
        <v>#NUM!</v>
      </c>
      <c r="AA1601" s="34"/>
      <c r="AB1601" s="34">
        <v>9</v>
      </c>
      <c r="AC1601" s="34">
        <v>9</v>
      </c>
      <c r="AD1601" s="34"/>
      <c r="AE1601" s="59" t="str">
        <f t="shared" si="74"/>
        <v>SÍ</v>
      </c>
      <c r="AF1601" s="34" t="e" cm="1">
        <f t="array" aca="1" ref="AF1601" ca="1">MIN(100, MAX(0, (IF(R1601="ESTUDIANTE", 31, 0)) + (IF(I1601&lt;=3, 30, IF(I1601&lt;=6, 20, 0))) +(IF(OR(E1601="413 - Control de Costes y Enlace Construcción", E1601="480 - Secretaría General del Consejo", E1601="132 - Civil y estructuras", E1601="136 - Mecánica", E1601="412 - Planificación", E1601="142 - Compras"), 25, 0)) +(IF(OR(S1601="GRADO ING. MECÁNICA", S1601="GRADO ING. ELÉCTRICA", S1601="GRADO DERECHO", S1601="GRADO ECONOMÍA", S1601="GRADO ING. TECNOLOGÍAS INDUSTRIALES"), 24, 0)) + (IF(AND(K1601&gt;=451, K1601&lt;=700), 23, 0)) + (IF(AND(AB1601&gt;=5, AB1601&lt;=8), 17, 0)) +(IF(_xludf.OR(_xludf.AND(AC1601&gt;=8, AC1601&lt;=10), _xludf.AND(AC1601&gt;=0, AC1601&lt;=5)), 16, 0)) + (IF(F1601="Madrid", 11, 0))))</f>
        <v>#NAME?</v>
      </c>
      <c r="AG1601" s="69"/>
      <c r="AH1601" s="71" t="s">
        <v>164</v>
      </c>
    </row>
    <row r="1602" spans="1:34" s="4" customFormat="1" ht="14.4" x14ac:dyDescent="0.3">
      <c r="A1602" s="66" t="s">
        <v>2580</v>
      </c>
      <c r="B1602" s="66" t="s">
        <v>4697</v>
      </c>
      <c r="C1602" s="33">
        <v>1601</v>
      </c>
      <c r="D1602" s="33" t="s">
        <v>5402</v>
      </c>
      <c r="E1602" s="34" t="s">
        <v>5319</v>
      </c>
      <c r="F1602" s="34" t="s">
        <v>931</v>
      </c>
      <c r="G1602" s="57">
        <v>45229</v>
      </c>
      <c r="H1602" s="57">
        <v>45594</v>
      </c>
      <c r="I1602" s="34">
        <f t="shared" ref="I1602:I1665" si="75">DATEDIF(G1602, H1602, "M")</f>
        <v>11</v>
      </c>
      <c r="J1602" s="34">
        <v>35</v>
      </c>
      <c r="K1602" s="36">
        <v>700</v>
      </c>
      <c r="L1602" s="34" t="s">
        <v>17</v>
      </c>
      <c r="M1602" s="35">
        <v>35229</v>
      </c>
      <c r="N1602" s="37">
        <f>(YEAR(TablaMadre[[#This Row],[ALTA]])-YEAR(M1602))</f>
        <v>27</v>
      </c>
      <c r="O1602" s="34"/>
      <c r="P1602" s="34" t="s">
        <v>19</v>
      </c>
      <c r="Q1602" s="34" t="s">
        <v>297</v>
      </c>
      <c r="R1602" s="58" t="s">
        <v>30</v>
      </c>
      <c r="S1602" s="34" t="s">
        <v>297</v>
      </c>
      <c r="T1602" s="34"/>
      <c r="U1602" s="34"/>
      <c r="V1602" s="34" t="s">
        <v>56</v>
      </c>
      <c r="W1602" s="34" t="s">
        <v>28</v>
      </c>
      <c r="X1602" s="34" t="s">
        <v>173</v>
      </c>
      <c r="Y1602" s="57"/>
      <c r="Z1602" s="34" t="e">
        <f t="shared" ref="Z1602:Z1665" si="76">DATEDIF(H1602, Y1602, "y")</f>
        <v>#NUM!</v>
      </c>
      <c r="AA1602" s="34"/>
      <c r="AB1602" s="34">
        <v>9</v>
      </c>
      <c r="AC1602" s="34">
        <v>10</v>
      </c>
      <c r="AD1602" s="34"/>
      <c r="AE1602" s="59" t="str">
        <f t="shared" si="74"/>
        <v>SÍ</v>
      </c>
      <c r="AF1602" s="34" t="e" cm="1">
        <f t="array" aca="1" ref="AF1602" ca="1">MIN(100, MAX(0, (IF(R1602="ESTUDIANTE", 31, 0)) + (IF(I1602&lt;=3, 30, IF(I1602&lt;=6, 20, 0))) +(IF(OR(E1602="413 - Control de Costes y Enlace Construcción", E1602="480 - Secretaría General del Consejo", E1602="132 - Civil y estructuras", E1602="136 - Mecánica", E1602="412 - Planificación", E1602="142 - Compras"), 25, 0)) +(IF(OR(S1602="GRADO ING. MECÁNICA", S1602="GRADO ING. ELÉCTRICA", S1602="GRADO DERECHO", S1602="GRADO ECONOMÍA", S1602="GRADO ING. TECNOLOGÍAS INDUSTRIALES"), 24, 0)) + (IF(AND(K1602&gt;=451, K1602&lt;=700), 23, 0)) + (IF(AND(AB1602&gt;=5, AB1602&lt;=8), 17, 0)) +(IF(_xludf.OR(_xludf.AND(AC1602&gt;=8, AC1602&lt;=10), _xludf.AND(AC1602&gt;=0, AC1602&lt;=5)), 16, 0)) + (IF(F1602="Madrid", 11, 0))))</f>
        <v>#NAME?</v>
      </c>
      <c r="AG1602" s="69"/>
      <c r="AH1602" s="71" t="s">
        <v>164</v>
      </c>
    </row>
    <row r="1603" spans="1:34" s="4" customFormat="1" ht="14.4" x14ac:dyDescent="0.3">
      <c r="A1603" s="66" t="s">
        <v>2581</v>
      </c>
      <c r="B1603" s="66" t="s">
        <v>4698</v>
      </c>
      <c r="C1603" s="33">
        <v>1602</v>
      </c>
      <c r="D1603" s="33" t="s">
        <v>5393</v>
      </c>
      <c r="E1603" s="34" t="s">
        <v>5351</v>
      </c>
      <c r="F1603" s="34" t="s">
        <v>18</v>
      </c>
      <c r="G1603" s="57">
        <v>45232</v>
      </c>
      <c r="H1603" s="57">
        <v>45596</v>
      </c>
      <c r="I1603" s="34">
        <f t="shared" si="75"/>
        <v>11</v>
      </c>
      <c r="J1603" s="34">
        <v>40</v>
      </c>
      <c r="K1603" s="36">
        <v>0</v>
      </c>
      <c r="L1603" s="34" t="s">
        <v>17</v>
      </c>
      <c r="M1603" s="35">
        <v>35810</v>
      </c>
      <c r="N1603" s="37">
        <f>(YEAR(TablaMadre[[#This Row],[ALTA]])-YEAR(M1603))</f>
        <v>25</v>
      </c>
      <c r="O1603" s="34" t="s">
        <v>941</v>
      </c>
      <c r="P1603" s="34" t="s">
        <v>19</v>
      </c>
      <c r="Q1603" s="34" t="s">
        <v>785</v>
      </c>
      <c r="R1603" s="34" t="s">
        <v>30</v>
      </c>
      <c r="S1603" s="34" t="s">
        <v>690</v>
      </c>
      <c r="T1603" s="34"/>
      <c r="U1603" s="34"/>
      <c r="V1603" s="34" t="s">
        <v>56</v>
      </c>
      <c r="W1603" s="34" t="s">
        <v>28</v>
      </c>
      <c r="X1603" s="34" t="s">
        <v>173</v>
      </c>
      <c r="Y1603" s="57"/>
      <c r="Z1603" s="34" t="e">
        <f t="shared" si="76"/>
        <v>#NUM!</v>
      </c>
      <c r="AA1603" s="34"/>
      <c r="AB1603" s="34">
        <v>9</v>
      </c>
      <c r="AC1603" s="34">
        <v>7</v>
      </c>
      <c r="AD1603" s="34"/>
      <c r="AE1603" s="59" t="str">
        <f t="shared" ref="AE1603:AE1666" si="77">IF(F1603=O1603, "NO", "SÍ")</f>
        <v>SÍ</v>
      </c>
      <c r="AF1603" s="34" t="e" cm="1">
        <f t="array" aca="1" ref="AF1603" ca="1">MIN(100, MAX(0, (IF(R1603="ESTUDIANTE", 31, 0)) + (IF(I1603&lt;=3, 30, IF(I1603&lt;=6, 20, 0))) +(IF(OR(E1603="413 - Control de Costes y Enlace Construcción", E1603="480 - Secretaría General del Consejo", E1603="132 - Civil y estructuras", E1603="136 - Mecánica", E1603="412 - Planificación", E1603="142 - Compras"), 25, 0)) +(IF(OR(S1603="GRADO ING. MECÁNICA", S1603="GRADO ING. ELÉCTRICA", S1603="GRADO DERECHO", S1603="GRADO ECONOMÍA", S1603="GRADO ING. TECNOLOGÍAS INDUSTRIALES"), 24, 0)) + (IF(AND(K1603&gt;=451, K1603&lt;=700), 23, 0)) + (IF(AND(AB1603&gt;=5, AB1603&lt;=8), 17, 0)) +(IF(_xludf.OR(_xludf.AND(AC1603&gt;=8, AC1603&lt;=10), _xludf.AND(AC1603&gt;=0, AC1603&lt;=5)), 16, 0)) + (IF(F1603="Madrid", 11, 0))))</f>
        <v>#NAME?</v>
      </c>
      <c r="AG1603" s="69"/>
      <c r="AH1603" s="71" t="s">
        <v>164</v>
      </c>
    </row>
    <row r="1604" spans="1:34" ht="14.4" x14ac:dyDescent="0.3">
      <c r="A1604" s="66" t="s">
        <v>2582</v>
      </c>
      <c r="B1604" s="66" t="s">
        <v>4699</v>
      </c>
      <c r="C1604" s="33">
        <v>1603</v>
      </c>
      <c r="D1604" s="33" t="s">
        <v>5394</v>
      </c>
      <c r="E1604" s="34" t="s">
        <v>5323</v>
      </c>
      <c r="F1604" s="34" t="s">
        <v>931</v>
      </c>
      <c r="G1604" s="57">
        <v>45236</v>
      </c>
      <c r="H1604" s="57">
        <v>45417</v>
      </c>
      <c r="I1604" s="34">
        <f t="shared" si="75"/>
        <v>5</v>
      </c>
      <c r="J1604" s="34">
        <v>35</v>
      </c>
      <c r="K1604" s="36">
        <v>875</v>
      </c>
      <c r="L1604" s="34" t="s">
        <v>17</v>
      </c>
      <c r="M1604" s="35">
        <v>36124</v>
      </c>
      <c r="N1604" s="37">
        <f>(YEAR(TablaMadre[[#This Row],[ALTA]])-YEAR(M1604))</f>
        <v>25</v>
      </c>
      <c r="O1604" s="57"/>
      <c r="P1604" s="34" t="s">
        <v>19</v>
      </c>
      <c r="Q1604" s="34" t="s">
        <v>562</v>
      </c>
      <c r="R1604" s="34" t="s">
        <v>21</v>
      </c>
      <c r="S1604" s="34" t="s">
        <v>384</v>
      </c>
      <c r="T1604" s="34"/>
      <c r="U1604" s="34"/>
      <c r="V1604" s="34" t="s">
        <v>56</v>
      </c>
      <c r="W1604" s="34" t="s">
        <v>28</v>
      </c>
      <c r="X1604" s="38" t="s">
        <v>173</v>
      </c>
      <c r="Y1604" s="62"/>
      <c r="Z1604" s="38" t="e">
        <f t="shared" si="76"/>
        <v>#NUM!</v>
      </c>
      <c r="AA1604" s="38"/>
      <c r="AB1604" s="34" t="s">
        <v>693</v>
      </c>
      <c r="AC1604" s="34" t="s">
        <v>717</v>
      </c>
      <c r="AD1604" s="38"/>
      <c r="AE1604" s="59" t="str">
        <f t="shared" si="77"/>
        <v>SÍ</v>
      </c>
      <c r="AF1604" s="38" t="e" cm="1">
        <f t="array" aca="1" ref="AF1604" ca="1">MIN(100, MAX(0, (IF(R1604="ESTUDIANTE", 31, 0)) + (IF(I1604&lt;=3, 30, IF(I1604&lt;=6, 20, 0))) +(IF(OR(E1604="413 - Control de Costes y Enlace Construcción", E1604="480 - Secretaría General del Consejo", E1604="132 - Civil y estructuras", E1604="136 - Mecánica", E1604="412 - Planificación", E1604="142 - Compras"), 25, 0)) +(IF(OR(S1604="GRADO ING. MECÁNICA", S1604="GRADO ING. ELÉCTRICA", S1604="GRADO DERECHO", S1604="GRADO ECONOMÍA", S1604="GRADO ING. TECNOLOGÍAS INDUSTRIALES"), 24, 0)) + (IF(AND(K1604&gt;=451, K1604&lt;=700), 23, 0)) + (IF(AND(AB1604&gt;=5, AB1604&lt;=8), 17, 0)) +(IF(_xludf.OR(_xludf.AND(AC1604&gt;=8, AC1604&lt;=10), _xludf.AND(AC1604&gt;=0, AC1604&lt;=5)), 16, 0)) + (IF(F1604="Madrid", 11, 0))))</f>
        <v>#NAME?</v>
      </c>
      <c r="AG1604" s="68"/>
      <c r="AH1604" s="71" t="s">
        <v>164</v>
      </c>
    </row>
    <row r="1605" spans="1:34" s="4" customFormat="1" ht="14.4" x14ac:dyDescent="0.3">
      <c r="A1605" s="66" t="s">
        <v>2583</v>
      </c>
      <c r="B1605" s="66" t="s">
        <v>4700</v>
      </c>
      <c r="C1605" s="33">
        <v>1604</v>
      </c>
      <c r="D1605" s="33" t="s">
        <v>5403</v>
      </c>
      <c r="E1605" s="34" t="s">
        <v>5323</v>
      </c>
      <c r="F1605" s="34" t="s">
        <v>931</v>
      </c>
      <c r="G1605" s="57">
        <v>45243</v>
      </c>
      <c r="H1605" s="57">
        <v>45424</v>
      </c>
      <c r="I1605" s="34">
        <f t="shared" si="75"/>
        <v>5</v>
      </c>
      <c r="J1605" s="34">
        <v>35</v>
      </c>
      <c r="K1605" s="36">
        <v>875</v>
      </c>
      <c r="L1605" s="34" t="s">
        <v>29</v>
      </c>
      <c r="M1605" s="35">
        <v>35654</v>
      </c>
      <c r="N1605" s="37">
        <f>(YEAR(TablaMadre[[#This Row],[ALTA]])-YEAR(M1605))</f>
        <v>26</v>
      </c>
      <c r="O1605" s="34"/>
      <c r="P1605" s="34" t="s">
        <v>19</v>
      </c>
      <c r="Q1605" s="34" t="s">
        <v>562</v>
      </c>
      <c r="R1605" s="34" t="s">
        <v>21</v>
      </c>
      <c r="S1605" s="34" t="s">
        <v>384</v>
      </c>
      <c r="T1605" s="34"/>
      <c r="U1605" s="34"/>
      <c r="V1605" s="34" t="s">
        <v>22</v>
      </c>
      <c r="W1605" s="34" t="s">
        <v>28</v>
      </c>
      <c r="X1605" s="34" t="s">
        <v>173</v>
      </c>
      <c r="Y1605" s="57"/>
      <c r="Z1605" s="34" t="e">
        <f t="shared" si="76"/>
        <v>#NUM!</v>
      </c>
      <c r="AA1605" s="34"/>
      <c r="AB1605" s="34" t="s">
        <v>693</v>
      </c>
      <c r="AC1605" s="34" t="s">
        <v>717</v>
      </c>
      <c r="AD1605" s="34"/>
      <c r="AE1605" s="59" t="str">
        <f t="shared" si="77"/>
        <v>SÍ</v>
      </c>
      <c r="AF1605" s="34" t="e" cm="1">
        <f t="array" aca="1" ref="AF1605" ca="1">MIN(100, MAX(0, (IF(R1605="ESTUDIANTE", 31, 0)) + (IF(I1605&lt;=3, 30, IF(I1605&lt;=6, 20, 0))) +(IF(OR(E1605="413 - Control de Costes y Enlace Construcción", E1605="480 - Secretaría General del Consejo", E1605="132 - Civil y estructuras", E1605="136 - Mecánica", E1605="412 - Planificación", E1605="142 - Compras"), 25, 0)) +(IF(OR(S1605="GRADO ING. MECÁNICA", S1605="GRADO ING. ELÉCTRICA", S1605="GRADO DERECHO", S1605="GRADO ECONOMÍA", S1605="GRADO ING. TECNOLOGÍAS INDUSTRIALES"), 24, 0)) + (IF(AND(K1605&gt;=451, K1605&lt;=700), 23, 0)) + (IF(AND(AB1605&gt;=5, AB1605&lt;=8), 17, 0)) +(IF(_xludf.OR(_xludf.AND(AC1605&gt;=8, AC1605&lt;=10), _xludf.AND(AC1605&gt;=0, AC1605&lt;=5)), 16, 0)) + (IF(F1605="Madrid", 11, 0))))</f>
        <v>#NAME?</v>
      </c>
      <c r="AG1605" s="69"/>
      <c r="AH1605" s="71" t="s">
        <v>164</v>
      </c>
    </row>
    <row r="1606" spans="1:34" s="4" customFormat="1" ht="15" customHeight="1" x14ac:dyDescent="0.3">
      <c r="A1606" s="66" t="s">
        <v>2584</v>
      </c>
      <c r="B1606" s="66" t="s">
        <v>4701</v>
      </c>
      <c r="C1606" s="33">
        <v>1605</v>
      </c>
      <c r="D1606" s="33" t="s">
        <v>5404</v>
      </c>
      <c r="E1606" s="34" t="s">
        <v>5317</v>
      </c>
      <c r="F1606" s="34" t="s">
        <v>931</v>
      </c>
      <c r="G1606" s="57">
        <v>45243</v>
      </c>
      <c r="H1606" s="57">
        <v>45608</v>
      </c>
      <c r="I1606" s="34">
        <f t="shared" si="75"/>
        <v>11</v>
      </c>
      <c r="J1606" s="34">
        <v>35</v>
      </c>
      <c r="K1606" s="36">
        <v>900</v>
      </c>
      <c r="L1606" s="34" t="s">
        <v>17</v>
      </c>
      <c r="M1606" s="35">
        <v>37128</v>
      </c>
      <c r="N1606" s="37">
        <f>(YEAR(TablaMadre[[#This Row],[ALTA]])-YEAR(M1606))</f>
        <v>22</v>
      </c>
      <c r="O1606" s="34"/>
      <c r="P1606" s="34" t="s">
        <v>19</v>
      </c>
      <c r="Q1606" s="34" t="s">
        <v>786</v>
      </c>
      <c r="R1606" s="34" t="s">
        <v>21</v>
      </c>
      <c r="S1606" s="34" t="s">
        <v>321</v>
      </c>
      <c r="T1606" s="34"/>
      <c r="U1606" s="34"/>
      <c r="V1606" s="34" t="s">
        <v>207</v>
      </c>
      <c r="W1606" s="34" t="s">
        <v>28</v>
      </c>
      <c r="X1606" s="34" t="s">
        <v>173</v>
      </c>
      <c r="Y1606" s="57"/>
      <c r="Z1606" s="34" t="e">
        <f t="shared" si="76"/>
        <v>#NUM!</v>
      </c>
      <c r="AA1606" s="34"/>
      <c r="AB1606" s="34">
        <v>9</v>
      </c>
      <c r="AC1606" s="34">
        <v>8</v>
      </c>
      <c r="AD1606" s="34"/>
      <c r="AE1606" s="59" t="str">
        <f t="shared" si="77"/>
        <v>SÍ</v>
      </c>
      <c r="AF1606" s="34" t="e" cm="1">
        <f t="array" aca="1" ref="AF1606" ca="1">MIN(100, MAX(0, (IF(R1606="ESTUDIANTE", 31, 0)) + (IF(I1606&lt;=3, 30, IF(I1606&lt;=6, 20, 0))) +(IF(OR(E1606="413 - Control de Costes y Enlace Construcción", E1606="480 - Secretaría General del Consejo", E1606="132 - Civil y estructuras", E1606="136 - Mecánica", E1606="412 - Planificación", E1606="142 - Compras"), 25, 0)) +(IF(OR(S1606="GRADO ING. MECÁNICA", S1606="GRADO ING. ELÉCTRICA", S1606="GRADO DERECHO", S1606="GRADO ECONOMÍA", S1606="GRADO ING. TECNOLOGÍAS INDUSTRIALES"), 24, 0)) + (IF(AND(K1606&gt;=451, K1606&lt;=700), 23, 0)) + (IF(AND(AB1606&gt;=5, AB1606&lt;=8), 17, 0)) +(IF(_xludf.OR(_xludf.AND(AC1606&gt;=8, AC1606&lt;=10), _xludf.AND(AC1606&gt;=0, AC1606&lt;=5)), 16, 0)) + (IF(F1606="Madrid", 11, 0))))</f>
        <v>#NAME?</v>
      </c>
      <c r="AG1606" s="69"/>
      <c r="AH1606" s="71" t="s">
        <v>164</v>
      </c>
    </row>
    <row r="1607" spans="1:34" s="4" customFormat="1" ht="14.4" x14ac:dyDescent="0.3">
      <c r="A1607" s="66" t="s">
        <v>2585</v>
      </c>
      <c r="B1607" s="66" t="s">
        <v>4702</v>
      </c>
      <c r="C1607" s="33">
        <v>1606</v>
      </c>
      <c r="D1607" s="33" t="s">
        <v>5405</v>
      </c>
      <c r="E1607" s="34" t="s">
        <v>5285</v>
      </c>
      <c r="F1607" s="34" t="s">
        <v>935</v>
      </c>
      <c r="G1607" s="57">
        <v>45245</v>
      </c>
      <c r="H1607" s="57">
        <v>45424</v>
      </c>
      <c r="I1607" s="34">
        <f t="shared" si="75"/>
        <v>5</v>
      </c>
      <c r="J1607" s="34">
        <v>35</v>
      </c>
      <c r="K1607" s="36">
        <v>955</v>
      </c>
      <c r="L1607" s="34" t="s">
        <v>17</v>
      </c>
      <c r="M1607" s="35">
        <v>35648</v>
      </c>
      <c r="N1607" s="37">
        <f>(YEAR(TablaMadre[[#This Row],[ALTA]])-YEAR(M1607))</f>
        <v>26</v>
      </c>
      <c r="O1607" s="34"/>
      <c r="P1607" s="34" t="s">
        <v>19</v>
      </c>
      <c r="Q1607" s="34" t="s">
        <v>595</v>
      </c>
      <c r="R1607" s="34" t="s">
        <v>21</v>
      </c>
      <c r="S1607" s="34" t="s">
        <v>322</v>
      </c>
      <c r="T1607" s="34"/>
      <c r="U1607" s="34"/>
      <c r="V1607" s="34" t="s">
        <v>310</v>
      </c>
      <c r="W1607" s="34" t="s">
        <v>28</v>
      </c>
      <c r="X1607" s="34" t="s">
        <v>173</v>
      </c>
      <c r="Y1607" s="57"/>
      <c r="Z1607" s="34" t="e">
        <f t="shared" si="76"/>
        <v>#NUM!</v>
      </c>
      <c r="AA1607" s="34"/>
      <c r="AB1607" s="34">
        <v>9</v>
      </c>
      <c r="AC1607" s="34" t="s">
        <v>723</v>
      </c>
      <c r="AD1607" s="34"/>
      <c r="AE1607" s="59" t="str">
        <f t="shared" si="77"/>
        <v>SÍ</v>
      </c>
      <c r="AF1607" s="34" t="e" cm="1">
        <f t="array" aca="1" ref="AF1607" ca="1">MIN(100, MAX(0, (IF(R1607="ESTUDIANTE", 31, 0)) + (IF(I1607&lt;=3, 30, IF(I1607&lt;=6, 20, 0))) +(IF(OR(E1607="413 - Control de Costes y Enlace Construcción", E1607="480 - Secretaría General del Consejo", E1607="132 - Civil y estructuras", E1607="136 - Mecánica", E1607="412 - Planificación", E1607="142 - Compras"), 25, 0)) +(IF(OR(S1607="GRADO ING. MECÁNICA", S1607="GRADO ING. ELÉCTRICA", S1607="GRADO DERECHO", S1607="GRADO ECONOMÍA", S1607="GRADO ING. TECNOLOGÍAS INDUSTRIALES"), 24, 0)) + (IF(AND(K1607&gt;=451, K1607&lt;=700), 23, 0)) + (IF(AND(AB1607&gt;=5, AB1607&lt;=8), 17, 0)) +(IF(_xludf.OR(_xludf.AND(AC1607&gt;=8, AC1607&lt;=10), _xludf.AND(AC1607&gt;=0, AC1607&lt;=5)), 16, 0)) + (IF(F1607="Madrid", 11, 0))))</f>
        <v>#NAME?</v>
      </c>
      <c r="AG1607" s="69"/>
      <c r="AH1607" s="71" t="s">
        <v>164</v>
      </c>
    </row>
    <row r="1608" spans="1:34" s="4" customFormat="1" ht="14.4" x14ac:dyDescent="0.3">
      <c r="A1608" s="66" t="s">
        <v>2586</v>
      </c>
      <c r="B1608" s="66" t="s">
        <v>4703</v>
      </c>
      <c r="C1608" s="33">
        <v>1607</v>
      </c>
      <c r="D1608" s="33" t="s">
        <v>5396</v>
      </c>
      <c r="E1608" s="34" t="s">
        <v>5233</v>
      </c>
      <c r="F1608" s="34" t="s">
        <v>935</v>
      </c>
      <c r="G1608" s="57">
        <v>45245</v>
      </c>
      <c r="H1608" s="57">
        <v>45426</v>
      </c>
      <c r="I1608" s="34">
        <f t="shared" si="75"/>
        <v>5</v>
      </c>
      <c r="J1608" s="34">
        <v>35</v>
      </c>
      <c r="K1608" s="36">
        <v>875</v>
      </c>
      <c r="L1608" s="34" t="s">
        <v>29</v>
      </c>
      <c r="M1608" s="35">
        <v>34899</v>
      </c>
      <c r="N1608" s="37">
        <f>(YEAR(TablaMadre[[#This Row],[ALTA]])-YEAR(M1608))</f>
        <v>28</v>
      </c>
      <c r="O1608" s="34"/>
      <c r="P1608" s="34" t="s">
        <v>19</v>
      </c>
      <c r="Q1608" s="34" t="s">
        <v>595</v>
      </c>
      <c r="R1608" s="34" t="s">
        <v>21</v>
      </c>
      <c r="S1608" s="34" t="s">
        <v>322</v>
      </c>
      <c r="T1608" s="34"/>
      <c r="U1608" s="34"/>
      <c r="V1608" s="34" t="s">
        <v>310</v>
      </c>
      <c r="W1608" s="34" t="s">
        <v>28</v>
      </c>
      <c r="X1608" s="34" t="s">
        <v>173</v>
      </c>
      <c r="Y1608" s="57"/>
      <c r="Z1608" s="34" t="e">
        <f t="shared" si="76"/>
        <v>#NUM!</v>
      </c>
      <c r="AA1608" s="34"/>
      <c r="AB1608" s="34">
        <v>7</v>
      </c>
      <c r="AC1608" s="34">
        <v>8</v>
      </c>
      <c r="AD1608" s="34"/>
      <c r="AE1608" s="59" t="str">
        <f t="shared" si="77"/>
        <v>SÍ</v>
      </c>
      <c r="AF1608" s="34" t="e" cm="1">
        <f t="array" aca="1" ref="AF1608" ca="1">MIN(100, MAX(0, (IF(R1608="ESTUDIANTE", 31, 0)) + (IF(I1608&lt;=3, 30, IF(I1608&lt;=6, 20, 0))) +(IF(OR(E1608="413 - Control de Costes y Enlace Construcción", E1608="480 - Secretaría General del Consejo", E1608="132 - Civil y estructuras", E1608="136 - Mecánica", E1608="412 - Planificación", E1608="142 - Compras"), 25, 0)) +(IF(OR(S1608="GRADO ING. MECÁNICA", S1608="GRADO ING. ELÉCTRICA", S1608="GRADO DERECHO", S1608="GRADO ECONOMÍA", S1608="GRADO ING. TECNOLOGÍAS INDUSTRIALES"), 24, 0)) + (IF(AND(K1608&gt;=451, K1608&lt;=700), 23, 0)) + (IF(AND(AB1608&gt;=5, AB1608&lt;=8), 17, 0)) +(IF(_xludf.OR(_xludf.AND(AC1608&gt;=8, AC1608&lt;=10), _xludf.AND(AC1608&gt;=0, AC1608&lt;=5)), 16, 0)) + (IF(F1608="Madrid", 11, 0))))</f>
        <v>#NAME?</v>
      </c>
      <c r="AG1608" s="69"/>
      <c r="AH1608" s="71" t="s">
        <v>164</v>
      </c>
    </row>
    <row r="1609" spans="1:34" s="4" customFormat="1" ht="14.4" x14ac:dyDescent="0.3">
      <c r="A1609" s="66" t="s">
        <v>2498</v>
      </c>
      <c r="B1609" s="66" t="s">
        <v>4615</v>
      </c>
      <c r="C1609" s="33">
        <v>1608</v>
      </c>
      <c r="D1609" s="33" t="s">
        <v>5397</v>
      </c>
      <c r="E1609" s="34" t="s">
        <v>5235</v>
      </c>
      <c r="F1609" s="34" t="s">
        <v>931</v>
      </c>
      <c r="G1609" s="57">
        <v>45250</v>
      </c>
      <c r="H1609" s="57">
        <v>45431</v>
      </c>
      <c r="I1609" s="34">
        <f t="shared" si="75"/>
        <v>5</v>
      </c>
      <c r="J1609" s="34">
        <v>35</v>
      </c>
      <c r="K1609" s="36">
        <v>875</v>
      </c>
      <c r="L1609" s="34" t="s">
        <v>17</v>
      </c>
      <c r="M1609" s="35">
        <v>35822</v>
      </c>
      <c r="N1609" s="37">
        <f>(YEAR(TablaMadre[[#This Row],[ALTA]])-YEAR(M1609))</f>
        <v>25</v>
      </c>
      <c r="O1609" s="34"/>
      <c r="P1609" s="34" t="s">
        <v>19</v>
      </c>
      <c r="Q1609" s="34" t="s">
        <v>726</v>
      </c>
      <c r="R1609" s="34" t="s">
        <v>21</v>
      </c>
      <c r="S1609" s="34" t="s">
        <v>727</v>
      </c>
      <c r="T1609" s="34"/>
      <c r="U1609" s="34"/>
      <c r="V1609" s="34" t="s">
        <v>40</v>
      </c>
      <c r="W1609" s="34" t="s">
        <v>91</v>
      </c>
      <c r="X1609" s="34" t="s">
        <v>173</v>
      </c>
      <c r="Y1609" s="57"/>
      <c r="Z1609" s="34" t="e">
        <f t="shared" si="76"/>
        <v>#NUM!</v>
      </c>
      <c r="AA1609" s="34"/>
      <c r="AB1609" s="34" t="s">
        <v>719</v>
      </c>
      <c r="AC1609" s="34">
        <v>9</v>
      </c>
      <c r="AD1609" s="34"/>
      <c r="AE1609" s="59" t="str">
        <f t="shared" si="77"/>
        <v>SÍ</v>
      </c>
      <c r="AF1609" s="34" t="e" cm="1">
        <f t="array" aca="1" ref="AF1609" ca="1">MIN(100, MAX(0, (IF(R1609="ESTUDIANTE", 31, 0)) + (IF(I1609&lt;=3, 30, IF(I1609&lt;=6, 20, 0))) +(IF(OR(E1609="413 - Control de Costes y Enlace Construcción", E1609="480 - Secretaría General del Consejo", E1609="132 - Civil y estructuras", E1609="136 - Mecánica", E1609="412 - Planificación", E1609="142 - Compras"), 25, 0)) +(IF(OR(S1609="GRADO ING. MECÁNICA", S1609="GRADO ING. ELÉCTRICA", S1609="GRADO DERECHO", S1609="GRADO ECONOMÍA", S1609="GRADO ING. TECNOLOGÍAS INDUSTRIALES"), 24, 0)) + (IF(AND(K1609&gt;=451, K1609&lt;=700), 23, 0)) + (IF(AND(AB1609&gt;=5, AB1609&lt;=8), 17, 0)) +(IF(_xludf.OR(_xludf.AND(AC1609&gt;=8, AC1609&lt;=10), _xludf.AND(AC1609&gt;=0, AC1609&lt;=5)), 16, 0)) + (IF(F1609="Madrid", 11, 0))))</f>
        <v>#NAME?</v>
      </c>
      <c r="AG1609" s="69"/>
      <c r="AH1609" s="71" t="s">
        <v>164</v>
      </c>
    </row>
    <row r="1610" spans="1:34" s="4" customFormat="1" ht="14.4" x14ac:dyDescent="0.3">
      <c r="A1610" s="66" t="s">
        <v>2588</v>
      </c>
      <c r="B1610" s="66" t="s">
        <v>4705</v>
      </c>
      <c r="C1610" s="33">
        <v>1609</v>
      </c>
      <c r="D1610" s="33" t="s">
        <v>5393</v>
      </c>
      <c r="E1610" s="34" t="s">
        <v>5252</v>
      </c>
      <c r="F1610" s="34" t="s">
        <v>931</v>
      </c>
      <c r="G1610" s="57">
        <v>45250</v>
      </c>
      <c r="H1610" s="57">
        <v>45615</v>
      </c>
      <c r="I1610" s="34">
        <f t="shared" si="75"/>
        <v>11</v>
      </c>
      <c r="J1610" s="34">
        <v>35</v>
      </c>
      <c r="K1610" s="36">
        <v>900</v>
      </c>
      <c r="L1610" s="34" t="s">
        <v>17</v>
      </c>
      <c r="M1610" s="35">
        <v>35360</v>
      </c>
      <c r="N1610" s="37">
        <f>(YEAR(TablaMadre[[#This Row],[ALTA]])-YEAR(M1610))</f>
        <v>27</v>
      </c>
      <c r="O1610" s="34"/>
      <c r="P1610" s="34" t="s">
        <v>787</v>
      </c>
      <c r="Q1610" s="34" t="s">
        <v>630</v>
      </c>
      <c r="R1610" s="34" t="s">
        <v>21</v>
      </c>
      <c r="S1610" s="34" t="s">
        <v>136</v>
      </c>
      <c r="T1610" s="34"/>
      <c r="U1610" s="34"/>
      <c r="V1610" s="34" t="s">
        <v>90</v>
      </c>
      <c r="W1610" s="34" t="s">
        <v>28</v>
      </c>
      <c r="X1610" s="34" t="s">
        <v>173</v>
      </c>
      <c r="Y1610" s="57"/>
      <c r="Z1610" s="34" t="e">
        <f t="shared" si="76"/>
        <v>#NUM!</v>
      </c>
      <c r="AA1610" s="34"/>
      <c r="AB1610" s="34">
        <v>9</v>
      </c>
      <c r="AC1610" s="34">
        <v>7</v>
      </c>
      <c r="AD1610" s="34"/>
      <c r="AE1610" s="59" t="str">
        <f t="shared" si="77"/>
        <v>SÍ</v>
      </c>
      <c r="AF1610" s="34" t="e" cm="1">
        <f t="array" aca="1" ref="AF1610" ca="1">MIN(100, MAX(0, (IF(R1610="ESTUDIANTE", 31, 0)) + (IF(I1610&lt;=3, 30, IF(I1610&lt;=6, 20, 0))) +(IF(OR(E1610="413 - Control de Costes y Enlace Construcción", E1610="480 - Secretaría General del Consejo", E1610="132 - Civil y estructuras", E1610="136 - Mecánica", E1610="412 - Planificación", E1610="142 - Compras"), 25, 0)) +(IF(OR(S1610="GRADO ING. MECÁNICA", S1610="GRADO ING. ELÉCTRICA", S1610="GRADO DERECHO", S1610="GRADO ECONOMÍA", S1610="GRADO ING. TECNOLOGÍAS INDUSTRIALES"), 24, 0)) + (IF(AND(K1610&gt;=451, K1610&lt;=700), 23, 0)) + (IF(AND(AB1610&gt;=5, AB1610&lt;=8), 17, 0)) +(IF(_xludf.OR(_xludf.AND(AC1610&gt;=8, AC1610&lt;=10), _xludf.AND(AC1610&gt;=0, AC1610&lt;=5)), 16, 0)) + (IF(F1610="Madrid", 11, 0))))</f>
        <v>#NAME?</v>
      </c>
      <c r="AG1610" s="69"/>
      <c r="AH1610" s="71" t="s">
        <v>164</v>
      </c>
    </row>
    <row r="1611" spans="1:34" s="4" customFormat="1" ht="14.4" x14ac:dyDescent="0.3">
      <c r="A1611" s="66" t="s">
        <v>2499</v>
      </c>
      <c r="B1611" s="66" t="s">
        <v>4616</v>
      </c>
      <c r="C1611" s="33">
        <v>1610</v>
      </c>
      <c r="D1611" s="33" t="s">
        <v>5394</v>
      </c>
      <c r="E1611" s="34" t="s">
        <v>5340</v>
      </c>
      <c r="F1611" s="34" t="s">
        <v>18</v>
      </c>
      <c r="G1611" s="57">
        <v>45254</v>
      </c>
      <c r="H1611" s="57">
        <v>45422</v>
      </c>
      <c r="I1611" s="34">
        <f t="shared" si="75"/>
        <v>5</v>
      </c>
      <c r="J1611" s="34">
        <v>35</v>
      </c>
      <c r="K1611" s="36">
        <v>800</v>
      </c>
      <c r="L1611" s="34" t="s">
        <v>29</v>
      </c>
      <c r="M1611" s="35">
        <v>36487</v>
      </c>
      <c r="N1611" s="37">
        <f>(YEAR(TablaMadre[[#This Row],[ALTA]])-YEAR(M1611))</f>
        <v>24</v>
      </c>
      <c r="O1611" s="34" t="s">
        <v>958</v>
      </c>
      <c r="P1611" s="34" t="s">
        <v>19</v>
      </c>
      <c r="Q1611" s="34" t="s">
        <v>722</v>
      </c>
      <c r="R1611" s="34" t="s">
        <v>21</v>
      </c>
      <c r="S1611" s="34" t="s">
        <v>345</v>
      </c>
      <c r="T1611" s="34"/>
      <c r="U1611" s="34"/>
      <c r="V1611" s="34" t="s">
        <v>90</v>
      </c>
      <c r="W1611" s="34" t="s">
        <v>380</v>
      </c>
      <c r="X1611" s="34" t="s">
        <v>164</v>
      </c>
      <c r="Y1611" s="57"/>
      <c r="Z1611" s="34" t="e">
        <f t="shared" si="76"/>
        <v>#NUM!</v>
      </c>
      <c r="AA1611" s="34"/>
      <c r="AB1611" s="34">
        <v>10</v>
      </c>
      <c r="AC1611" s="34">
        <v>9</v>
      </c>
      <c r="AD1611" s="34"/>
      <c r="AE1611" s="59" t="str">
        <f t="shared" si="77"/>
        <v>SÍ</v>
      </c>
      <c r="AF1611" s="34" t="e" cm="1">
        <f t="array" aca="1" ref="AF1611" ca="1">MIN(100, MAX(0, (IF(R1611="ESTUDIANTE", 31, 0)) + (IF(I1611&lt;=3, 30, IF(I1611&lt;=6, 20, 0))) +(IF(OR(E1611="413 - Control de Costes y Enlace Construcción", E1611="480 - Secretaría General del Consejo", E1611="132 - Civil y estructuras", E1611="136 - Mecánica", E1611="412 - Planificación", E1611="142 - Compras"), 25, 0)) +(IF(OR(S1611="GRADO ING. MECÁNICA", S1611="GRADO ING. ELÉCTRICA", S1611="GRADO DERECHO", S1611="GRADO ECONOMÍA", S1611="GRADO ING. TECNOLOGÍAS INDUSTRIALES"), 24, 0)) + (IF(AND(K1611&gt;=451, K1611&lt;=700), 23, 0)) + (IF(AND(AB1611&gt;=5, AB1611&lt;=8), 17, 0)) +(IF(_xludf.OR(_xludf.AND(AC1611&gt;=8, AC1611&lt;=10), _xludf.AND(AC1611&gt;=0, AC1611&lt;=5)), 16, 0)) + (IF(F1611="Madrid", 11, 0))))</f>
        <v>#NAME?</v>
      </c>
      <c r="AG1611" s="69"/>
      <c r="AH1611" s="71" t="s">
        <v>164</v>
      </c>
    </row>
    <row r="1612" spans="1:34" s="4" customFormat="1" ht="14.4" x14ac:dyDescent="0.3">
      <c r="A1612" s="66" t="s">
        <v>2590</v>
      </c>
      <c r="B1612" s="66" t="s">
        <v>4707</v>
      </c>
      <c r="C1612" s="33">
        <v>1611</v>
      </c>
      <c r="D1612" s="33" t="s">
        <v>5395</v>
      </c>
      <c r="E1612" s="34" t="s">
        <v>5252</v>
      </c>
      <c r="F1612" s="34" t="s">
        <v>935</v>
      </c>
      <c r="G1612" s="57">
        <v>45261</v>
      </c>
      <c r="H1612" s="57">
        <v>45436</v>
      </c>
      <c r="I1612" s="34">
        <f t="shared" si="75"/>
        <v>5</v>
      </c>
      <c r="J1612" s="34">
        <v>35</v>
      </c>
      <c r="K1612" s="36">
        <v>875</v>
      </c>
      <c r="L1612" s="34" t="s">
        <v>17</v>
      </c>
      <c r="M1612" s="35">
        <v>36657</v>
      </c>
      <c r="N1612" s="37">
        <f>(YEAR(TablaMadre[[#This Row],[ALTA]])-YEAR(M1612))</f>
        <v>23</v>
      </c>
      <c r="O1612" s="34"/>
      <c r="P1612" s="34" t="s">
        <v>19</v>
      </c>
      <c r="Q1612" s="34" t="s">
        <v>595</v>
      </c>
      <c r="R1612" s="34" t="s">
        <v>21</v>
      </c>
      <c r="S1612" s="34" t="s">
        <v>322</v>
      </c>
      <c r="T1612" s="34"/>
      <c r="U1612" s="34"/>
      <c r="V1612" s="34" t="s">
        <v>310</v>
      </c>
      <c r="W1612" s="34" t="s">
        <v>28</v>
      </c>
      <c r="X1612" s="34" t="s">
        <v>173</v>
      </c>
      <c r="Y1612" s="57"/>
      <c r="Z1612" s="34" t="e">
        <f t="shared" si="76"/>
        <v>#NUM!</v>
      </c>
      <c r="AA1612" s="34"/>
      <c r="AB1612" s="34">
        <v>10</v>
      </c>
      <c r="AC1612" s="34">
        <v>10</v>
      </c>
      <c r="AD1612" s="34"/>
      <c r="AE1612" s="59" t="str">
        <f t="shared" si="77"/>
        <v>SÍ</v>
      </c>
      <c r="AF1612" s="34" t="e" cm="1">
        <f t="array" aca="1" ref="AF1612" ca="1">MIN(100, MAX(0, (IF(R1612="ESTUDIANTE", 31, 0)) + (IF(I1612&lt;=3, 30, IF(I1612&lt;=6, 20, 0))) +(IF(OR(E1612="413 - Control de Costes y Enlace Construcción", E1612="480 - Secretaría General del Consejo", E1612="132 - Civil y estructuras", E1612="136 - Mecánica", E1612="412 - Planificación", E1612="142 - Compras"), 25, 0)) +(IF(OR(S1612="GRADO ING. MECÁNICA", S1612="GRADO ING. ELÉCTRICA", S1612="GRADO DERECHO", S1612="GRADO ECONOMÍA", S1612="GRADO ING. TECNOLOGÍAS INDUSTRIALES"), 24, 0)) + (IF(AND(K1612&gt;=451, K1612&lt;=700), 23, 0)) + (IF(AND(AB1612&gt;=5, AB1612&lt;=8), 17, 0)) +(IF(_xludf.OR(_xludf.AND(AC1612&gt;=8, AC1612&lt;=10), _xludf.AND(AC1612&gt;=0, AC1612&lt;=5)), 16, 0)) + (IF(F1612="Madrid", 11, 0))))</f>
        <v>#NAME?</v>
      </c>
      <c r="AG1612" s="69"/>
      <c r="AH1612" s="71" t="s">
        <v>164</v>
      </c>
    </row>
    <row r="1613" spans="1:34" s="4" customFormat="1" ht="15" customHeight="1" x14ac:dyDescent="0.3">
      <c r="A1613" s="66" t="s">
        <v>2591</v>
      </c>
      <c r="B1613" s="66" t="s">
        <v>4708</v>
      </c>
      <c r="C1613" s="33">
        <v>1612</v>
      </c>
      <c r="D1613" s="33" t="s">
        <v>5396</v>
      </c>
      <c r="E1613" s="34" t="s">
        <v>5241</v>
      </c>
      <c r="F1613" s="34" t="s">
        <v>931</v>
      </c>
      <c r="G1613" s="57">
        <v>45264</v>
      </c>
      <c r="H1613" s="57">
        <v>45446</v>
      </c>
      <c r="I1613" s="34">
        <f t="shared" si="75"/>
        <v>5</v>
      </c>
      <c r="J1613" s="34">
        <v>35</v>
      </c>
      <c r="K1613" s="36">
        <v>955</v>
      </c>
      <c r="L1613" s="34" t="s">
        <v>17</v>
      </c>
      <c r="M1613" s="35">
        <v>35913</v>
      </c>
      <c r="N1613" s="37">
        <f>(YEAR(TablaMadre[[#This Row],[ALTA]])-YEAR(M1613))</f>
        <v>25</v>
      </c>
      <c r="O1613" s="34"/>
      <c r="P1613" s="34" t="s">
        <v>19</v>
      </c>
      <c r="Q1613" s="34" t="s">
        <v>733</v>
      </c>
      <c r="R1613" s="34" t="s">
        <v>21</v>
      </c>
      <c r="S1613" s="34" t="s">
        <v>297</v>
      </c>
      <c r="T1613" s="34"/>
      <c r="U1613" s="34"/>
      <c r="V1613" s="34" t="s">
        <v>163</v>
      </c>
      <c r="W1613" s="34" t="s">
        <v>28</v>
      </c>
      <c r="X1613" s="34" t="s">
        <v>173</v>
      </c>
      <c r="Y1613" s="57"/>
      <c r="Z1613" s="34" t="e">
        <f t="shared" si="76"/>
        <v>#NUM!</v>
      </c>
      <c r="AA1613" s="34"/>
      <c r="AB1613" s="34">
        <v>10</v>
      </c>
      <c r="AC1613" s="34">
        <v>10</v>
      </c>
      <c r="AD1613" s="34"/>
      <c r="AE1613" s="59" t="str">
        <f t="shared" si="77"/>
        <v>SÍ</v>
      </c>
      <c r="AF1613" s="34" t="e" cm="1">
        <f t="array" aca="1" ref="AF1613" ca="1">MIN(100, MAX(0, (IF(R1613="ESTUDIANTE", 31, 0)) + (IF(I1613&lt;=3, 30, IF(I1613&lt;=6, 20, 0))) +(IF(OR(E1613="413 - Control de Costes y Enlace Construcción", E1613="480 - Secretaría General del Consejo", E1613="132 - Civil y estructuras", E1613="136 - Mecánica", E1613="412 - Planificación", E1613="142 - Compras"), 25, 0)) +(IF(OR(S1613="GRADO ING. MECÁNICA", S1613="GRADO ING. ELÉCTRICA", S1613="GRADO DERECHO", S1613="GRADO ECONOMÍA", S1613="GRADO ING. TECNOLOGÍAS INDUSTRIALES"), 24, 0)) + (IF(AND(K1613&gt;=451, K1613&lt;=700), 23, 0)) + (IF(AND(AB1613&gt;=5, AB1613&lt;=8), 17, 0)) +(IF(_xludf.OR(_xludf.AND(AC1613&gt;=8, AC1613&lt;=10), _xludf.AND(AC1613&gt;=0, AC1613&lt;=5)), 16, 0)) + (IF(F1613="Madrid", 11, 0))))</f>
        <v>#NAME?</v>
      </c>
      <c r="AG1613" s="69"/>
      <c r="AH1613" s="71" t="s">
        <v>164</v>
      </c>
    </row>
    <row r="1614" spans="1:34" s="4" customFormat="1" ht="15" customHeight="1" x14ac:dyDescent="0.3">
      <c r="A1614" s="66" t="s">
        <v>2592</v>
      </c>
      <c r="B1614" s="66" t="s">
        <v>4709</v>
      </c>
      <c r="C1614" s="33">
        <v>1613</v>
      </c>
      <c r="D1614" s="33" t="s">
        <v>5397</v>
      </c>
      <c r="E1614" s="34" t="s">
        <v>5319</v>
      </c>
      <c r="F1614" s="34" t="s">
        <v>931</v>
      </c>
      <c r="G1614" s="57">
        <v>45264</v>
      </c>
      <c r="H1614" s="57">
        <v>45630</v>
      </c>
      <c r="I1614" s="34">
        <f t="shared" si="75"/>
        <v>12</v>
      </c>
      <c r="J1614" s="34">
        <v>35</v>
      </c>
      <c r="K1614" s="36">
        <v>900</v>
      </c>
      <c r="L1614" s="34" t="s">
        <v>29</v>
      </c>
      <c r="M1614" s="35">
        <v>36431</v>
      </c>
      <c r="N1614" s="37">
        <f>(YEAR(TablaMadre[[#This Row],[ALTA]])-YEAR(M1614))</f>
        <v>24</v>
      </c>
      <c r="O1614" s="34"/>
      <c r="P1614" s="34" t="s">
        <v>19</v>
      </c>
      <c r="Q1614" s="34" t="s">
        <v>792</v>
      </c>
      <c r="R1614" s="34" t="s">
        <v>21</v>
      </c>
      <c r="S1614" s="34" t="s">
        <v>297</v>
      </c>
      <c r="T1614" s="34"/>
      <c r="U1614" s="34"/>
      <c r="V1614" s="34" t="s">
        <v>22</v>
      </c>
      <c r="W1614" s="34" t="s">
        <v>28</v>
      </c>
      <c r="X1614" s="34" t="s">
        <v>173</v>
      </c>
      <c r="Y1614" s="57"/>
      <c r="Z1614" s="34" t="e">
        <f t="shared" si="76"/>
        <v>#NUM!</v>
      </c>
      <c r="AA1614" s="34"/>
      <c r="AB1614" s="34">
        <v>8</v>
      </c>
      <c r="AC1614" s="34">
        <v>9</v>
      </c>
      <c r="AD1614" s="34"/>
      <c r="AE1614" s="59" t="str">
        <f t="shared" si="77"/>
        <v>SÍ</v>
      </c>
      <c r="AF1614" s="34" t="e" cm="1">
        <f t="array" aca="1" ref="AF1614" ca="1">MIN(100, MAX(0, (IF(R1614="ESTUDIANTE", 31, 0)) + (IF(I1614&lt;=3, 30, IF(I1614&lt;=6, 20, 0))) +(IF(OR(E1614="413 - Control de Costes y Enlace Construcción", E1614="480 - Secretaría General del Consejo", E1614="132 - Civil y estructuras", E1614="136 - Mecánica", E1614="412 - Planificación", E1614="142 - Compras"), 25, 0)) +(IF(OR(S1614="GRADO ING. MECÁNICA", S1614="GRADO ING. ELÉCTRICA", S1614="GRADO DERECHO", S1614="GRADO ECONOMÍA", S1614="GRADO ING. TECNOLOGÍAS INDUSTRIALES"), 24, 0)) + (IF(AND(K1614&gt;=451, K1614&lt;=700), 23, 0)) + (IF(AND(AB1614&gt;=5, AB1614&lt;=8), 17, 0)) +(IF(_xludf.OR(_xludf.AND(AC1614&gt;=8, AC1614&lt;=10), _xludf.AND(AC1614&gt;=0, AC1614&lt;=5)), 16, 0)) + (IF(F1614="Madrid", 11, 0))))</f>
        <v>#NAME?</v>
      </c>
      <c r="AG1614" s="69"/>
      <c r="AH1614" s="71" t="s">
        <v>164</v>
      </c>
    </row>
    <row r="1615" spans="1:34" s="4" customFormat="1" ht="15" customHeight="1" x14ac:dyDescent="0.3">
      <c r="A1615" s="66" t="s">
        <v>2507</v>
      </c>
      <c r="B1615" s="66" t="s">
        <v>4624</v>
      </c>
      <c r="C1615" s="33">
        <v>1614</v>
      </c>
      <c r="D1615" s="33" t="s">
        <v>5398</v>
      </c>
      <c r="E1615" s="34" t="s">
        <v>5241</v>
      </c>
      <c r="F1615" s="34" t="s">
        <v>931</v>
      </c>
      <c r="G1615" s="57">
        <v>45271</v>
      </c>
      <c r="H1615" s="57">
        <v>45310</v>
      </c>
      <c r="I1615" s="34">
        <f t="shared" si="75"/>
        <v>1</v>
      </c>
      <c r="J1615" s="34">
        <v>35</v>
      </c>
      <c r="K1615" s="36">
        <v>875</v>
      </c>
      <c r="L1615" s="34" t="s">
        <v>17</v>
      </c>
      <c r="M1615" s="35">
        <v>36086</v>
      </c>
      <c r="N1615" s="37">
        <f>(YEAR(TablaMadre[[#This Row],[ALTA]])-YEAR(M1615))</f>
        <v>25</v>
      </c>
      <c r="O1615" s="34"/>
      <c r="P1615" s="34" t="s">
        <v>19</v>
      </c>
      <c r="Q1615" s="34" t="s">
        <v>136</v>
      </c>
      <c r="R1615" s="34" t="s">
        <v>21</v>
      </c>
      <c r="S1615" s="34" t="s">
        <v>136</v>
      </c>
      <c r="T1615" s="34"/>
      <c r="U1615" s="34"/>
      <c r="V1615" s="34" t="s">
        <v>67</v>
      </c>
      <c r="W1615" s="34" t="s">
        <v>47</v>
      </c>
      <c r="X1615" s="34" t="s">
        <v>164</v>
      </c>
      <c r="Y1615" s="57"/>
      <c r="Z1615" s="34" t="e">
        <f t="shared" si="76"/>
        <v>#NUM!</v>
      </c>
      <c r="AA1615" s="34"/>
      <c r="AB1615" s="34"/>
      <c r="AC1615" s="34"/>
      <c r="AD1615" s="34"/>
      <c r="AE1615" s="59" t="str">
        <f t="shared" si="77"/>
        <v>SÍ</v>
      </c>
      <c r="AF1615" s="34" t="e" cm="1">
        <f t="array" aca="1" ref="AF1615" ca="1">MIN(100, MAX(0, (IF(R1615="ESTUDIANTE", 31, 0)) + (IF(I1615&lt;=3, 30, IF(I1615&lt;=6, 20, 0))) +(IF(OR(E1615="413 - Control de Costes y Enlace Construcción", E1615="480 - Secretaría General del Consejo", E1615="132 - Civil y estructuras", E1615="136 - Mecánica", E1615="412 - Planificación", E1615="142 - Compras"), 25, 0)) +(IF(OR(S1615="GRADO ING. MECÁNICA", S1615="GRADO ING. ELÉCTRICA", S1615="GRADO DERECHO", S1615="GRADO ECONOMÍA", S1615="GRADO ING. TECNOLOGÍAS INDUSTRIALES"), 24, 0)) + (IF(AND(K1615&gt;=451, K1615&lt;=700), 23, 0)) + (IF(AND(AB1615&gt;=5, AB1615&lt;=8), 17, 0)) +(IF(_xludf.OR(_xludf.AND(AC1615&gt;=8, AC1615&lt;=10), _xludf.AND(AC1615&gt;=0, AC1615&lt;=5)), 16, 0)) + (IF(F1615="Madrid", 11, 0))))</f>
        <v>#NAME?</v>
      </c>
      <c r="AG1615" s="69"/>
      <c r="AH1615" s="71" t="s">
        <v>164</v>
      </c>
    </row>
    <row r="1616" spans="1:34" s="4" customFormat="1" ht="15" customHeight="1" x14ac:dyDescent="0.3">
      <c r="A1616" s="66" t="s">
        <v>2594</v>
      </c>
      <c r="B1616" s="66" t="s">
        <v>4711</v>
      </c>
      <c r="C1616" s="33">
        <v>1615</v>
      </c>
      <c r="D1616" s="33" t="s">
        <v>5399</v>
      </c>
      <c r="E1616" s="34" t="s">
        <v>5347</v>
      </c>
      <c r="F1616" s="34" t="s">
        <v>937</v>
      </c>
      <c r="G1616" s="57">
        <v>45292</v>
      </c>
      <c r="H1616" s="57">
        <v>45535</v>
      </c>
      <c r="I1616" s="34">
        <f t="shared" si="75"/>
        <v>7</v>
      </c>
      <c r="J1616" s="34">
        <v>40</v>
      </c>
      <c r="K1616" s="36" t="s">
        <v>34</v>
      </c>
      <c r="L1616" s="34" t="s">
        <v>17</v>
      </c>
      <c r="M1616" s="35">
        <v>36019</v>
      </c>
      <c r="N1616" s="37">
        <f>(YEAR(TablaMadre[[#This Row],[ALTA]])-YEAR(M1616))</f>
        <v>26</v>
      </c>
      <c r="O1616" s="34"/>
      <c r="P1616" s="34" t="s">
        <v>19</v>
      </c>
      <c r="Q1616" s="34" t="s">
        <v>338</v>
      </c>
      <c r="R1616" s="58" t="s">
        <v>30</v>
      </c>
      <c r="S1616" s="34" t="s">
        <v>338</v>
      </c>
      <c r="T1616" s="34"/>
      <c r="U1616" s="34"/>
      <c r="V1616" s="34" t="s">
        <v>310</v>
      </c>
      <c r="W1616" s="34" t="s">
        <v>23</v>
      </c>
      <c r="X1616" s="34" t="s">
        <v>164</v>
      </c>
      <c r="Y1616" s="57">
        <v>45863</v>
      </c>
      <c r="Z1616" s="34">
        <f t="shared" si="76"/>
        <v>0</v>
      </c>
      <c r="AA1616" s="34"/>
      <c r="AB1616" s="34"/>
      <c r="AC1616" s="34"/>
      <c r="AD1616" s="34"/>
      <c r="AE1616" s="59" t="str">
        <f t="shared" si="77"/>
        <v>SÍ</v>
      </c>
      <c r="AF1616" s="34" t="e" cm="1">
        <f t="array" aca="1" ref="AF1616" ca="1">MIN(100, MAX(0, (IF(R1616="ESTUDIANTE", 31, 0)) + (IF(I1616&lt;=3, 30, IF(I1616&lt;=6, 20, 0))) +(IF(OR(E1616="413 - Control de Costes y Enlace Construcción", E1616="480 - Secretaría General del Consejo", E1616="132 - Civil y estructuras", E1616="136 - Mecánica", E1616="412 - Planificación", E1616="142 - Compras"), 25, 0)) +(IF(OR(S1616="GRADO ING. MECÁNICA", S1616="GRADO ING. ELÉCTRICA", S1616="GRADO DERECHO", S1616="GRADO ECONOMÍA", S1616="GRADO ING. TECNOLOGÍAS INDUSTRIALES"), 24, 0)) + (IF(AND(K1616&gt;=451, K1616&lt;=700), 23, 0)) + (IF(AND(AB1616&gt;=5, AB1616&lt;=8), 17, 0)) +(IF(_xludf.OR(_xludf.AND(AC1616&gt;=8, AC1616&lt;=10), _xludf.AND(AC1616&gt;=0, AC1616&lt;=5)), 16, 0)) + (IF(F1616="Madrid", 11, 0))))</f>
        <v>#NAME?</v>
      </c>
      <c r="AG1616" s="69"/>
      <c r="AH1616" s="71" t="s">
        <v>164</v>
      </c>
    </row>
    <row r="1617" spans="1:34" s="4" customFormat="1" ht="15" customHeight="1" x14ac:dyDescent="0.3">
      <c r="A1617" s="66" t="s">
        <v>2595</v>
      </c>
      <c r="B1617" s="66" t="s">
        <v>4712</v>
      </c>
      <c r="C1617" s="33">
        <v>1616</v>
      </c>
      <c r="D1617" s="33" t="s">
        <v>5400</v>
      </c>
      <c r="E1617" s="34" t="s">
        <v>5251</v>
      </c>
      <c r="F1617" s="34" t="s">
        <v>95</v>
      </c>
      <c r="G1617" s="57">
        <v>45292</v>
      </c>
      <c r="H1617" s="57">
        <v>45657</v>
      </c>
      <c r="I1617" s="34">
        <f t="shared" si="75"/>
        <v>11</v>
      </c>
      <c r="J1617" s="34">
        <v>40</v>
      </c>
      <c r="K1617" s="36" t="s">
        <v>34</v>
      </c>
      <c r="L1617" s="34" t="s">
        <v>17</v>
      </c>
      <c r="M1617" s="35">
        <v>35734</v>
      </c>
      <c r="N1617" s="37">
        <f>(YEAR(TablaMadre[[#This Row],[ALTA]])-YEAR(M1617))</f>
        <v>27</v>
      </c>
      <c r="O1617" s="34" t="s">
        <v>233</v>
      </c>
      <c r="P1617" s="34" t="s">
        <v>19</v>
      </c>
      <c r="Q1617" s="34" t="s">
        <v>796</v>
      </c>
      <c r="R1617" s="58" t="s">
        <v>30</v>
      </c>
      <c r="S1617" s="34" t="s">
        <v>384</v>
      </c>
      <c r="T1617" s="34"/>
      <c r="U1617" s="34"/>
      <c r="V1617" s="34" t="s">
        <v>207</v>
      </c>
      <c r="W1617" s="34" t="s">
        <v>28</v>
      </c>
      <c r="X1617" s="34" t="s">
        <v>173</v>
      </c>
      <c r="Y1617" s="57"/>
      <c r="Z1617" s="34" t="e">
        <f t="shared" si="76"/>
        <v>#NUM!</v>
      </c>
      <c r="AA1617" s="34"/>
      <c r="AB1617" s="34" t="s">
        <v>797</v>
      </c>
      <c r="AC1617" s="34" t="s">
        <v>797</v>
      </c>
      <c r="AD1617" s="34"/>
      <c r="AE1617" s="59" t="str">
        <f t="shared" si="77"/>
        <v>SÍ</v>
      </c>
      <c r="AF1617" s="34" t="e" cm="1">
        <f t="array" aca="1" ref="AF1617" ca="1">MIN(100, MAX(0, (IF(R1617="ESTUDIANTE", 31, 0)) + (IF(I1617&lt;=3, 30, IF(I1617&lt;=6, 20, 0))) +(IF(OR(E1617="413 - Control de Costes y Enlace Construcción", E1617="480 - Secretaría General del Consejo", E1617="132 - Civil y estructuras", E1617="136 - Mecánica", E1617="412 - Planificación", E1617="142 - Compras"), 25, 0)) +(IF(OR(S1617="GRADO ING. MECÁNICA", S1617="GRADO ING. ELÉCTRICA", S1617="GRADO DERECHO", S1617="GRADO ECONOMÍA", S1617="GRADO ING. TECNOLOGÍAS INDUSTRIALES"), 24, 0)) + (IF(AND(K1617&gt;=451, K1617&lt;=700), 23, 0)) + (IF(AND(AB1617&gt;=5, AB1617&lt;=8), 17, 0)) +(IF(_xludf.OR(_xludf.AND(AC1617&gt;=8, AC1617&lt;=10), _xludf.AND(AC1617&gt;=0, AC1617&lt;=5)), 16, 0)) + (IF(F1617="Madrid", 11, 0))))</f>
        <v>#NAME?</v>
      </c>
      <c r="AG1617" s="69"/>
      <c r="AH1617" s="71" t="s">
        <v>164</v>
      </c>
    </row>
    <row r="1618" spans="1:34" s="4" customFormat="1" ht="15" customHeight="1" x14ac:dyDescent="0.3">
      <c r="A1618" s="66" t="s">
        <v>2596</v>
      </c>
      <c r="B1618" s="66" t="s">
        <v>4713</v>
      </c>
      <c r="C1618" s="33">
        <v>1617</v>
      </c>
      <c r="D1618" s="33" t="s">
        <v>5401</v>
      </c>
      <c r="E1618" s="34" t="s">
        <v>5313</v>
      </c>
      <c r="F1618" s="34" t="s">
        <v>18</v>
      </c>
      <c r="G1618" s="57">
        <v>45299</v>
      </c>
      <c r="H1618" s="57">
        <v>45480</v>
      </c>
      <c r="I1618" s="34">
        <f t="shared" si="75"/>
        <v>5</v>
      </c>
      <c r="J1618" s="34">
        <v>35</v>
      </c>
      <c r="K1618" s="36">
        <v>875</v>
      </c>
      <c r="L1618" s="34" t="s">
        <v>29</v>
      </c>
      <c r="M1618" s="35">
        <v>36870</v>
      </c>
      <c r="N1618" s="37">
        <f>(YEAR(TablaMadre[[#This Row],[ALTA]])-YEAR(M1618))</f>
        <v>24</v>
      </c>
      <c r="O1618" s="34" t="s">
        <v>80</v>
      </c>
      <c r="P1618" s="34" t="s">
        <v>19</v>
      </c>
      <c r="Q1618" s="34" t="s">
        <v>744</v>
      </c>
      <c r="R1618" s="34" t="s">
        <v>21</v>
      </c>
      <c r="S1618" s="34" t="s">
        <v>326</v>
      </c>
      <c r="T1618" s="34"/>
      <c r="U1618" s="34"/>
      <c r="V1618" s="34" t="s">
        <v>67</v>
      </c>
      <c r="W1618" s="34" t="s">
        <v>28</v>
      </c>
      <c r="X1618" s="34" t="s">
        <v>164</v>
      </c>
      <c r="Y1618" s="57">
        <v>45852</v>
      </c>
      <c r="Z1618" s="34">
        <f t="shared" si="76"/>
        <v>1</v>
      </c>
      <c r="AA1618" s="34"/>
      <c r="AB1618" s="34">
        <v>10</v>
      </c>
      <c r="AC1618" s="34">
        <v>9</v>
      </c>
      <c r="AD1618" s="34"/>
      <c r="AE1618" s="59" t="str">
        <f t="shared" si="77"/>
        <v>SÍ</v>
      </c>
      <c r="AF1618" s="34" t="e" cm="1">
        <f t="array" aca="1" ref="AF1618" ca="1">MIN(100, MAX(0, (IF(R1618="ESTUDIANTE", 31, 0)) + (IF(I1618&lt;=3, 30, IF(I1618&lt;=6, 20, 0))) +(IF(OR(E1618="413 - Control de Costes y Enlace Construcción", E1618="480 - Secretaría General del Consejo", E1618="132 - Civil y estructuras", E1618="136 - Mecánica", E1618="412 - Planificación", E1618="142 - Compras"), 25, 0)) +(IF(OR(S1618="GRADO ING. MECÁNICA", S1618="GRADO ING. ELÉCTRICA", S1618="GRADO DERECHO", S1618="GRADO ECONOMÍA", S1618="GRADO ING. TECNOLOGÍAS INDUSTRIALES"), 24, 0)) + (IF(AND(K1618&gt;=451, K1618&lt;=700), 23, 0)) + (IF(AND(AB1618&gt;=5, AB1618&lt;=8), 17, 0)) +(IF(_xludf.OR(_xludf.AND(AC1618&gt;=8, AC1618&lt;=10), _xludf.AND(AC1618&gt;=0, AC1618&lt;=5)), 16, 0)) + (IF(F1618="Madrid", 11, 0))))</f>
        <v>#NAME?</v>
      </c>
      <c r="AG1618" s="69"/>
      <c r="AH1618" s="71" t="s">
        <v>164</v>
      </c>
    </row>
    <row r="1619" spans="1:34" s="4" customFormat="1" ht="15" customHeight="1" x14ac:dyDescent="0.3">
      <c r="A1619" s="66" t="s">
        <v>2597</v>
      </c>
      <c r="B1619" s="66" t="s">
        <v>4714</v>
      </c>
      <c r="C1619" s="33">
        <v>1618</v>
      </c>
      <c r="D1619" s="33" t="s">
        <v>5402</v>
      </c>
      <c r="E1619" s="34" t="s">
        <v>5354</v>
      </c>
      <c r="F1619" s="34" t="s">
        <v>18</v>
      </c>
      <c r="G1619" s="57">
        <v>45299</v>
      </c>
      <c r="H1619" s="57">
        <v>45480</v>
      </c>
      <c r="I1619" s="34">
        <f t="shared" si="75"/>
        <v>5</v>
      </c>
      <c r="J1619" s="34">
        <v>30</v>
      </c>
      <c r="K1619" s="36">
        <v>750</v>
      </c>
      <c r="L1619" s="34" t="s">
        <v>29</v>
      </c>
      <c r="M1619" s="35">
        <v>35929</v>
      </c>
      <c r="N1619" s="37">
        <f>(YEAR(TablaMadre[[#This Row],[ALTA]])-YEAR(M1619))</f>
        <v>26</v>
      </c>
      <c r="O1619" s="34" t="s">
        <v>293</v>
      </c>
      <c r="P1619" s="34" t="s">
        <v>19</v>
      </c>
      <c r="Q1619" s="34" t="s">
        <v>678</v>
      </c>
      <c r="R1619" s="34" t="s">
        <v>21</v>
      </c>
      <c r="S1619" s="34" t="s">
        <v>322</v>
      </c>
      <c r="T1619" s="34"/>
      <c r="U1619" s="34"/>
      <c r="V1619" s="34" t="s">
        <v>137</v>
      </c>
      <c r="W1619" s="34" t="s">
        <v>28</v>
      </c>
      <c r="X1619" s="34" t="s">
        <v>173</v>
      </c>
      <c r="Y1619" s="57"/>
      <c r="Z1619" s="34" t="e">
        <f t="shared" si="76"/>
        <v>#NUM!</v>
      </c>
      <c r="AA1619" s="34"/>
      <c r="AB1619" s="34">
        <v>10</v>
      </c>
      <c r="AC1619" s="34">
        <v>10</v>
      </c>
      <c r="AD1619" s="34"/>
      <c r="AE1619" s="59" t="str">
        <f t="shared" si="77"/>
        <v>SÍ</v>
      </c>
      <c r="AF1619" s="34" t="e" cm="1">
        <f t="array" aca="1" ref="AF1619" ca="1">MIN(100, MAX(0, (IF(R1619="ESTUDIANTE", 31, 0)) + (IF(I1619&lt;=3, 30, IF(I1619&lt;=6, 20, 0))) +(IF(OR(E1619="413 - Control de Costes y Enlace Construcción", E1619="480 - Secretaría General del Consejo", E1619="132 - Civil y estructuras", E1619="136 - Mecánica", E1619="412 - Planificación", E1619="142 - Compras"), 25, 0)) +(IF(OR(S1619="GRADO ING. MECÁNICA", S1619="GRADO ING. ELÉCTRICA", S1619="GRADO DERECHO", S1619="GRADO ECONOMÍA", S1619="GRADO ING. TECNOLOGÍAS INDUSTRIALES"), 24, 0)) + (IF(AND(K1619&gt;=451, K1619&lt;=700), 23, 0)) + (IF(AND(AB1619&gt;=5, AB1619&lt;=8), 17, 0)) +(IF(_xludf.OR(_xludf.AND(AC1619&gt;=8, AC1619&lt;=10), _xludf.AND(AC1619&gt;=0, AC1619&lt;=5)), 16, 0)) + (IF(F1619="Madrid", 11, 0))))</f>
        <v>#NAME?</v>
      </c>
      <c r="AG1619" s="69"/>
      <c r="AH1619" s="71" t="s">
        <v>164</v>
      </c>
    </row>
    <row r="1620" spans="1:34" ht="15" customHeight="1" x14ac:dyDescent="0.3">
      <c r="A1620" s="66" t="s">
        <v>2598</v>
      </c>
      <c r="B1620" s="66" t="s">
        <v>4715</v>
      </c>
      <c r="C1620" s="33">
        <v>1619</v>
      </c>
      <c r="D1620" s="33" t="s">
        <v>5393</v>
      </c>
      <c r="E1620" s="34" t="s">
        <v>5314</v>
      </c>
      <c r="F1620" s="34" t="s">
        <v>18</v>
      </c>
      <c r="G1620" s="57">
        <v>45299</v>
      </c>
      <c r="H1620" s="57">
        <v>45664</v>
      </c>
      <c r="I1620" s="34">
        <f t="shared" si="75"/>
        <v>11</v>
      </c>
      <c r="J1620" s="34">
        <v>35</v>
      </c>
      <c r="K1620" s="36">
        <v>1200</v>
      </c>
      <c r="L1620" s="34" t="s">
        <v>29</v>
      </c>
      <c r="M1620" s="35">
        <v>36620</v>
      </c>
      <c r="N1620" s="37">
        <f>(YEAR(TablaMadre[[#This Row],[ALTA]])-YEAR(M1620))</f>
        <v>24</v>
      </c>
      <c r="O1620" s="34" t="s">
        <v>511</v>
      </c>
      <c r="P1620" s="34" t="s">
        <v>19</v>
      </c>
      <c r="Q1620" s="34" t="s">
        <v>733</v>
      </c>
      <c r="R1620" s="34" t="s">
        <v>21</v>
      </c>
      <c r="S1620" s="34" t="s">
        <v>297</v>
      </c>
      <c r="T1620" s="34"/>
      <c r="U1620" s="34"/>
      <c r="V1620" s="34" t="s">
        <v>163</v>
      </c>
      <c r="W1620" s="34" t="s">
        <v>28</v>
      </c>
      <c r="X1620" s="38" t="s">
        <v>173</v>
      </c>
      <c r="Y1620" s="62"/>
      <c r="Z1620" s="38" t="e">
        <f t="shared" si="76"/>
        <v>#NUM!</v>
      </c>
      <c r="AA1620" s="38"/>
      <c r="AB1620" s="34">
        <v>10</v>
      </c>
      <c r="AC1620" s="34">
        <v>10</v>
      </c>
      <c r="AD1620" s="38"/>
      <c r="AE1620" s="59" t="str">
        <f t="shared" si="77"/>
        <v>SÍ</v>
      </c>
      <c r="AF1620" s="38" t="e" cm="1">
        <f t="array" aca="1" ref="AF1620" ca="1">MIN(100, MAX(0, (IF(R1620="ESTUDIANTE", 31, 0)) + (IF(I1620&lt;=3, 30, IF(I1620&lt;=6, 20, 0))) +(IF(OR(E1620="413 - Control de Costes y Enlace Construcción", E1620="480 - Secretaría General del Consejo", E1620="132 - Civil y estructuras", E1620="136 - Mecánica", E1620="412 - Planificación", E1620="142 - Compras"), 25, 0)) +(IF(OR(S1620="GRADO ING. MECÁNICA", S1620="GRADO ING. ELÉCTRICA", S1620="GRADO DERECHO", S1620="GRADO ECONOMÍA", S1620="GRADO ING. TECNOLOGÍAS INDUSTRIALES"), 24, 0)) + (IF(AND(K1620&gt;=451, K1620&lt;=700), 23, 0)) + (IF(AND(AB1620&gt;=5, AB1620&lt;=8), 17, 0)) +(IF(_xludf.OR(_xludf.AND(AC1620&gt;=8, AC1620&lt;=10), _xludf.AND(AC1620&gt;=0, AC1620&lt;=5)), 16, 0)) + (IF(F1620="Madrid", 11, 0))))</f>
        <v>#NAME?</v>
      </c>
      <c r="AG1620" s="68"/>
      <c r="AH1620" s="71" t="s">
        <v>164</v>
      </c>
    </row>
    <row r="1621" spans="1:34" s="9" customFormat="1" ht="14.25" customHeight="1" x14ac:dyDescent="0.3">
      <c r="A1621" s="66" t="s">
        <v>2599</v>
      </c>
      <c r="B1621" s="66" t="s">
        <v>4716</v>
      </c>
      <c r="C1621" s="33">
        <v>1620</v>
      </c>
      <c r="D1621" s="33" t="s">
        <v>5394</v>
      </c>
      <c r="E1621" s="34" t="s">
        <v>5319</v>
      </c>
      <c r="F1621" s="34" t="s">
        <v>18</v>
      </c>
      <c r="G1621" s="57">
        <v>45299</v>
      </c>
      <c r="H1621" s="57">
        <v>45664</v>
      </c>
      <c r="I1621" s="34">
        <f t="shared" si="75"/>
        <v>11</v>
      </c>
      <c r="J1621" s="34">
        <v>35</v>
      </c>
      <c r="K1621" s="36">
        <v>900</v>
      </c>
      <c r="L1621" s="34" t="s">
        <v>17</v>
      </c>
      <c r="M1621" s="35">
        <v>36535</v>
      </c>
      <c r="N1621" s="37">
        <f>(YEAR(TablaMadre[[#This Row],[ALTA]])-YEAR(M1621))</f>
        <v>24</v>
      </c>
      <c r="O1621" s="34" t="s">
        <v>18</v>
      </c>
      <c r="P1621" s="34" t="s">
        <v>19</v>
      </c>
      <c r="Q1621" s="34" t="s">
        <v>798</v>
      </c>
      <c r="R1621" s="34" t="s">
        <v>21</v>
      </c>
      <c r="S1621" s="34" t="s">
        <v>297</v>
      </c>
      <c r="T1621" s="34"/>
      <c r="U1621" s="34"/>
      <c r="V1621" s="34" t="s">
        <v>84</v>
      </c>
      <c r="W1621" s="34" t="s">
        <v>28</v>
      </c>
      <c r="X1621" s="40" t="s">
        <v>173</v>
      </c>
      <c r="Y1621" s="63"/>
      <c r="Z1621" s="40" t="e">
        <f t="shared" si="76"/>
        <v>#NUM!</v>
      </c>
      <c r="AA1621" s="40"/>
      <c r="AB1621" s="34">
        <v>9</v>
      </c>
      <c r="AC1621" s="34">
        <v>10</v>
      </c>
      <c r="AD1621" s="40"/>
      <c r="AE1621" s="59" t="str">
        <f t="shared" si="77"/>
        <v>NO</v>
      </c>
      <c r="AF1621" s="40" t="e" cm="1">
        <f t="array" aca="1" ref="AF1621" ca="1">MIN(100, MAX(0, (IF(R1621="ESTUDIANTE", 31, 0)) + (IF(I1621&lt;=3, 30, IF(I1621&lt;=6, 20, 0))) +(IF(OR(E1621="413 - Control de Costes y Enlace Construcción", E1621="480 - Secretaría General del Consejo", E1621="132 - Civil y estructuras", E1621="136 - Mecánica", E1621="412 - Planificación", E1621="142 - Compras"), 25, 0)) +(IF(OR(S1621="GRADO ING. MECÁNICA", S1621="GRADO ING. ELÉCTRICA", S1621="GRADO DERECHO", S1621="GRADO ECONOMÍA", S1621="GRADO ING. TECNOLOGÍAS INDUSTRIALES"), 24, 0)) + (IF(AND(K1621&gt;=451, K1621&lt;=700), 23, 0)) + (IF(AND(AB1621&gt;=5, AB1621&lt;=8), 17, 0)) +(IF(_xludf.OR(_xludf.AND(AC1621&gt;=8, AC1621&lt;=10), _xludf.AND(AC1621&gt;=0, AC1621&lt;=5)), 16, 0)) + (IF(F1621="Madrid", 11, 0))))</f>
        <v>#NAME?</v>
      </c>
      <c r="AG1621" s="70"/>
      <c r="AH1621" s="71" t="s">
        <v>164</v>
      </c>
    </row>
    <row r="1622" spans="1:34" ht="15" customHeight="1" x14ac:dyDescent="0.3">
      <c r="A1622" s="66" t="s">
        <v>2600</v>
      </c>
      <c r="B1622" s="66" t="s">
        <v>4717</v>
      </c>
      <c r="C1622" s="33">
        <v>1621</v>
      </c>
      <c r="D1622" s="33" t="s">
        <v>5403</v>
      </c>
      <c r="E1622" s="34" t="s">
        <v>5273</v>
      </c>
      <c r="F1622" s="34" t="s">
        <v>18</v>
      </c>
      <c r="G1622" s="57">
        <v>45300</v>
      </c>
      <c r="H1622" s="57">
        <v>45481</v>
      </c>
      <c r="I1622" s="34">
        <f t="shared" si="75"/>
        <v>5</v>
      </c>
      <c r="J1622" s="34">
        <v>35</v>
      </c>
      <c r="K1622" s="36">
        <v>955</v>
      </c>
      <c r="L1622" s="34" t="s">
        <v>29</v>
      </c>
      <c r="M1622" s="35">
        <v>35188</v>
      </c>
      <c r="N1622" s="37">
        <f>(YEAR(TablaMadre[[#This Row],[ALTA]])-YEAR(M1622))</f>
        <v>28</v>
      </c>
      <c r="O1622" s="34" t="s">
        <v>165</v>
      </c>
      <c r="P1622" s="34" t="s">
        <v>165</v>
      </c>
      <c r="Q1622" s="34" t="s">
        <v>745</v>
      </c>
      <c r="R1622" s="34" t="s">
        <v>21</v>
      </c>
      <c r="S1622" s="34" t="s">
        <v>151</v>
      </c>
      <c r="T1622" s="34"/>
      <c r="U1622" s="34"/>
      <c r="V1622" s="34" t="s">
        <v>90</v>
      </c>
      <c r="W1622" s="34" t="s">
        <v>127</v>
      </c>
      <c r="X1622" s="38" t="s">
        <v>173</v>
      </c>
      <c r="Y1622" s="62"/>
      <c r="Z1622" s="38" t="e">
        <f t="shared" si="76"/>
        <v>#NUM!</v>
      </c>
      <c r="AA1622" s="38"/>
      <c r="AB1622" s="34">
        <v>8</v>
      </c>
      <c r="AC1622" s="34">
        <v>8</v>
      </c>
      <c r="AD1622" s="38"/>
      <c r="AE1622" s="59" t="str">
        <f t="shared" si="77"/>
        <v>SÍ</v>
      </c>
      <c r="AF1622" s="38" t="e" cm="1">
        <f t="array" aca="1" ref="AF1622" ca="1">MIN(100, MAX(0, (IF(R1622="ESTUDIANTE", 31, 0)) + (IF(I1622&lt;=3, 30, IF(I1622&lt;=6, 20, 0))) +(IF(OR(E1622="413 - Control de Costes y Enlace Construcción", E1622="480 - Secretaría General del Consejo", E1622="132 - Civil y estructuras", E1622="136 - Mecánica", E1622="412 - Planificación", E1622="142 - Compras"), 25, 0)) +(IF(OR(S1622="GRADO ING. MECÁNICA", S1622="GRADO ING. ELÉCTRICA", S1622="GRADO DERECHO", S1622="GRADO ECONOMÍA", S1622="GRADO ING. TECNOLOGÍAS INDUSTRIALES"), 24, 0)) + (IF(AND(K1622&gt;=451, K1622&lt;=700), 23, 0)) + (IF(AND(AB1622&gt;=5, AB1622&lt;=8), 17, 0)) +(IF(_xludf.OR(_xludf.AND(AC1622&gt;=8, AC1622&lt;=10), _xludf.AND(AC1622&gt;=0, AC1622&lt;=5)), 16, 0)) + (IF(F1622="Madrid", 11, 0))))</f>
        <v>#NAME?</v>
      </c>
      <c r="AG1622" s="68"/>
      <c r="AH1622" s="71" t="s">
        <v>164</v>
      </c>
    </row>
    <row r="1623" spans="1:34" ht="15" customHeight="1" x14ac:dyDescent="0.3">
      <c r="A1623" s="66" t="s">
        <v>2601</v>
      </c>
      <c r="B1623" s="66" t="s">
        <v>4718</v>
      </c>
      <c r="C1623" s="33">
        <v>1622</v>
      </c>
      <c r="D1623" s="33" t="s">
        <v>5404</v>
      </c>
      <c r="E1623" s="34" t="s">
        <v>5285</v>
      </c>
      <c r="F1623" s="34" t="s">
        <v>18</v>
      </c>
      <c r="G1623" s="57">
        <v>45301</v>
      </c>
      <c r="H1623" s="57">
        <v>45482</v>
      </c>
      <c r="I1623" s="34">
        <f t="shared" si="75"/>
        <v>5</v>
      </c>
      <c r="J1623" s="34">
        <v>35</v>
      </c>
      <c r="K1623" s="36">
        <v>875</v>
      </c>
      <c r="L1623" s="34" t="s">
        <v>29</v>
      </c>
      <c r="M1623" s="35">
        <v>34687</v>
      </c>
      <c r="N1623" s="37">
        <f>(YEAR(TablaMadre[[#This Row],[ALTA]])-YEAR(M1623))</f>
        <v>30</v>
      </c>
      <c r="O1623" s="34" t="s">
        <v>812</v>
      </c>
      <c r="P1623" s="34" t="s">
        <v>19</v>
      </c>
      <c r="Q1623" s="34" t="s">
        <v>151</v>
      </c>
      <c r="R1623" s="34" t="s">
        <v>21</v>
      </c>
      <c r="S1623" s="34" t="s">
        <v>151</v>
      </c>
      <c r="T1623" s="34"/>
      <c r="U1623" s="34"/>
      <c r="V1623" s="34" t="s">
        <v>90</v>
      </c>
      <c r="W1623" s="34" t="s">
        <v>28</v>
      </c>
      <c r="X1623" s="38" t="s">
        <v>173</v>
      </c>
      <c r="Y1623" s="62"/>
      <c r="Z1623" s="38" t="e">
        <f t="shared" si="76"/>
        <v>#NUM!</v>
      </c>
      <c r="AA1623" s="38"/>
      <c r="AB1623" s="34">
        <v>10</v>
      </c>
      <c r="AC1623" s="34">
        <v>9</v>
      </c>
      <c r="AD1623" s="38"/>
      <c r="AE1623" s="59" t="str">
        <f t="shared" si="77"/>
        <v>SÍ</v>
      </c>
      <c r="AF1623" s="38" t="e" cm="1">
        <f t="array" aca="1" ref="AF1623" ca="1">MIN(100, MAX(0, (IF(R1623="ESTUDIANTE", 31, 0)) + (IF(I1623&lt;=3, 30, IF(I1623&lt;=6, 20, 0))) +(IF(OR(E1623="413 - Control de Costes y Enlace Construcción", E1623="480 - Secretaría General del Consejo", E1623="132 - Civil y estructuras", E1623="136 - Mecánica", E1623="412 - Planificación", E1623="142 - Compras"), 25, 0)) +(IF(OR(S1623="GRADO ING. MECÁNICA", S1623="GRADO ING. ELÉCTRICA", S1623="GRADO DERECHO", S1623="GRADO ECONOMÍA", S1623="GRADO ING. TECNOLOGÍAS INDUSTRIALES"), 24, 0)) + (IF(AND(K1623&gt;=451, K1623&lt;=700), 23, 0)) + (IF(AND(AB1623&gt;=5, AB1623&lt;=8), 17, 0)) +(IF(_xludf.OR(_xludf.AND(AC1623&gt;=8, AC1623&lt;=10), _xludf.AND(AC1623&gt;=0, AC1623&lt;=5)), 16, 0)) + (IF(F1623="Madrid", 11, 0))))</f>
        <v>#NAME?</v>
      </c>
      <c r="AG1623" s="68"/>
      <c r="AH1623" s="71" t="s">
        <v>164</v>
      </c>
    </row>
    <row r="1624" spans="1:34" ht="14.4" x14ac:dyDescent="0.3">
      <c r="A1624" s="66" t="s">
        <v>2602</v>
      </c>
      <c r="B1624" s="66" t="s">
        <v>4719</v>
      </c>
      <c r="C1624" s="33">
        <v>1623</v>
      </c>
      <c r="D1624" s="33" t="s">
        <v>5405</v>
      </c>
      <c r="E1624" s="34" t="s">
        <v>5252</v>
      </c>
      <c r="F1624" s="34" t="s">
        <v>935</v>
      </c>
      <c r="G1624" s="57">
        <v>45306</v>
      </c>
      <c r="H1624" s="57">
        <v>45485</v>
      </c>
      <c r="I1624" s="34">
        <f t="shared" si="75"/>
        <v>5</v>
      </c>
      <c r="J1624" s="34">
        <v>35</v>
      </c>
      <c r="K1624" s="36">
        <v>875</v>
      </c>
      <c r="L1624" s="34" t="s">
        <v>17</v>
      </c>
      <c r="M1624" s="35">
        <v>36584</v>
      </c>
      <c r="N1624" s="37">
        <f>(YEAR(TablaMadre[[#This Row],[ALTA]])-YEAR(M1624))</f>
        <v>24</v>
      </c>
      <c r="O1624" s="34"/>
      <c r="P1624" s="34" t="s">
        <v>19</v>
      </c>
      <c r="Q1624" s="34" t="s">
        <v>750</v>
      </c>
      <c r="R1624" s="34" t="s">
        <v>21</v>
      </c>
      <c r="S1624" s="34" t="s">
        <v>136</v>
      </c>
      <c r="T1624" s="34"/>
      <c r="U1624" s="34"/>
      <c r="V1624" s="34" t="s">
        <v>310</v>
      </c>
      <c r="W1624" s="34" t="s">
        <v>28</v>
      </c>
      <c r="X1624" s="38" t="s">
        <v>173</v>
      </c>
      <c r="Y1624" s="62"/>
      <c r="Z1624" s="38" t="e">
        <f t="shared" si="76"/>
        <v>#NUM!</v>
      </c>
      <c r="AA1624" s="38"/>
      <c r="AB1624" s="34">
        <v>8</v>
      </c>
      <c r="AC1624" s="34">
        <v>9</v>
      </c>
      <c r="AD1624" s="38"/>
      <c r="AE1624" s="59" t="str">
        <f t="shared" si="77"/>
        <v>SÍ</v>
      </c>
      <c r="AF1624" s="38" t="e" cm="1">
        <f t="array" aca="1" ref="AF1624" ca="1">MIN(100, MAX(0, (IF(R1624="ESTUDIANTE", 31, 0)) + (IF(I1624&lt;=3, 30, IF(I1624&lt;=6, 20, 0))) +(IF(OR(E1624="413 - Control de Costes y Enlace Construcción", E1624="480 - Secretaría General del Consejo", E1624="132 - Civil y estructuras", E1624="136 - Mecánica", E1624="412 - Planificación", E1624="142 - Compras"), 25, 0)) +(IF(OR(S1624="GRADO ING. MECÁNICA", S1624="GRADO ING. ELÉCTRICA", S1624="GRADO DERECHO", S1624="GRADO ECONOMÍA", S1624="GRADO ING. TECNOLOGÍAS INDUSTRIALES"), 24, 0)) + (IF(AND(K1624&gt;=451, K1624&lt;=700), 23, 0)) + (IF(AND(AB1624&gt;=5, AB1624&lt;=8), 17, 0)) +(IF(_xludf.OR(_xludf.AND(AC1624&gt;=8, AC1624&lt;=10), _xludf.AND(AC1624&gt;=0, AC1624&lt;=5)), 16, 0)) + (IF(F1624="Madrid", 11, 0))))</f>
        <v>#NAME?</v>
      </c>
      <c r="AG1624" s="68"/>
      <c r="AH1624" s="71" t="s">
        <v>164</v>
      </c>
    </row>
    <row r="1625" spans="1:34" s="4" customFormat="1" ht="14.4" x14ac:dyDescent="0.3">
      <c r="A1625" s="66" t="s">
        <v>2603</v>
      </c>
      <c r="B1625" s="66" t="s">
        <v>4720</v>
      </c>
      <c r="C1625" s="33">
        <v>1624</v>
      </c>
      <c r="D1625" s="33" t="s">
        <v>5396</v>
      </c>
      <c r="E1625" s="34" t="s">
        <v>5324</v>
      </c>
      <c r="F1625" s="34" t="s">
        <v>18</v>
      </c>
      <c r="G1625" s="57">
        <v>45313</v>
      </c>
      <c r="H1625" s="57">
        <v>45494</v>
      </c>
      <c r="I1625" s="34">
        <f t="shared" si="75"/>
        <v>5</v>
      </c>
      <c r="J1625" s="34">
        <v>35</v>
      </c>
      <c r="K1625" s="36">
        <v>875</v>
      </c>
      <c r="L1625" s="34" t="s">
        <v>29</v>
      </c>
      <c r="M1625" s="35">
        <v>36835</v>
      </c>
      <c r="N1625" s="37">
        <f>(YEAR(TablaMadre[[#This Row],[ALTA]])-YEAR(M1625))</f>
        <v>24</v>
      </c>
      <c r="O1625" s="34" t="s">
        <v>18</v>
      </c>
      <c r="P1625" s="34" t="s">
        <v>19</v>
      </c>
      <c r="Q1625" s="34" t="s">
        <v>751</v>
      </c>
      <c r="R1625" s="34" t="s">
        <v>21</v>
      </c>
      <c r="S1625" s="34" t="s">
        <v>297</v>
      </c>
      <c r="T1625" s="34"/>
      <c r="U1625" s="34"/>
      <c r="V1625" s="34" t="s">
        <v>22</v>
      </c>
      <c r="W1625" s="34" t="s">
        <v>28</v>
      </c>
      <c r="X1625" s="34" t="s">
        <v>173</v>
      </c>
      <c r="Y1625" s="57"/>
      <c r="Z1625" s="34" t="e">
        <f t="shared" si="76"/>
        <v>#NUM!</v>
      </c>
      <c r="AA1625" s="34"/>
      <c r="AB1625" s="34">
        <v>9</v>
      </c>
      <c r="AC1625" s="34" t="s">
        <v>752</v>
      </c>
      <c r="AD1625" s="34"/>
      <c r="AE1625" s="59" t="str">
        <f t="shared" si="77"/>
        <v>NO</v>
      </c>
      <c r="AF1625" s="34" t="e" cm="1">
        <f t="array" aca="1" ref="AF1625" ca="1">MIN(100, MAX(0, (IF(R1625="ESTUDIANTE", 31, 0)) + (IF(I1625&lt;=3, 30, IF(I1625&lt;=6, 20, 0))) +(IF(OR(E1625="413 - Control de Costes y Enlace Construcción", E1625="480 - Secretaría General del Consejo", E1625="132 - Civil y estructuras", E1625="136 - Mecánica", E1625="412 - Planificación", E1625="142 - Compras"), 25, 0)) +(IF(OR(S1625="GRADO ING. MECÁNICA", S1625="GRADO ING. ELÉCTRICA", S1625="GRADO DERECHO", S1625="GRADO ECONOMÍA", S1625="GRADO ING. TECNOLOGÍAS INDUSTRIALES"), 24, 0)) + (IF(AND(K1625&gt;=451, K1625&lt;=700), 23, 0)) + (IF(AND(AB1625&gt;=5, AB1625&lt;=8), 17, 0)) +(IF(_xludf.OR(_xludf.AND(AC1625&gt;=8, AC1625&lt;=10), _xludf.AND(AC1625&gt;=0, AC1625&lt;=5)), 16, 0)) + (IF(F1625="Madrid", 11, 0))))</f>
        <v>#NAME?</v>
      </c>
      <c r="AG1625" s="69"/>
      <c r="AH1625" s="71" t="s">
        <v>164</v>
      </c>
    </row>
    <row r="1626" spans="1:34" s="4" customFormat="1" ht="15" customHeight="1" x14ac:dyDescent="0.3">
      <c r="A1626" s="66" t="s">
        <v>2604</v>
      </c>
      <c r="B1626" s="66" t="s">
        <v>4721</v>
      </c>
      <c r="C1626" s="33">
        <v>1625</v>
      </c>
      <c r="D1626" s="33" t="s">
        <v>5397</v>
      </c>
      <c r="E1626" s="34" t="s">
        <v>5241</v>
      </c>
      <c r="F1626" s="34" t="s">
        <v>931</v>
      </c>
      <c r="G1626" s="57">
        <v>45313</v>
      </c>
      <c r="H1626" s="57">
        <v>45494</v>
      </c>
      <c r="I1626" s="34">
        <f t="shared" si="75"/>
        <v>5</v>
      </c>
      <c r="J1626" s="34">
        <v>35</v>
      </c>
      <c r="K1626" s="36">
        <v>875</v>
      </c>
      <c r="L1626" s="34" t="s">
        <v>17</v>
      </c>
      <c r="M1626" s="35">
        <v>36345</v>
      </c>
      <c r="N1626" s="37">
        <f>(YEAR(TablaMadre[[#This Row],[ALTA]])-YEAR(M1626))</f>
        <v>25</v>
      </c>
      <c r="O1626" s="34"/>
      <c r="P1626" s="34" t="s">
        <v>19</v>
      </c>
      <c r="Q1626" s="34" t="s">
        <v>626</v>
      </c>
      <c r="R1626" s="34" t="s">
        <v>21</v>
      </c>
      <c r="S1626" s="34" t="s">
        <v>322</v>
      </c>
      <c r="T1626" s="34"/>
      <c r="U1626" s="34"/>
      <c r="V1626" s="34" t="s">
        <v>207</v>
      </c>
      <c r="W1626" s="34" t="s">
        <v>28</v>
      </c>
      <c r="X1626" s="34" t="s">
        <v>164</v>
      </c>
      <c r="Y1626" s="57">
        <v>45729</v>
      </c>
      <c r="Z1626" s="34">
        <f t="shared" si="76"/>
        <v>0</v>
      </c>
      <c r="AA1626" s="34"/>
      <c r="AB1626" s="34">
        <v>3</v>
      </c>
      <c r="AC1626" s="34" t="s">
        <v>752</v>
      </c>
      <c r="AD1626" s="34"/>
      <c r="AE1626" s="59" t="str">
        <f t="shared" si="77"/>
        <v>SÍ</v>
      </c>
      <c r="AF1626" s="34" t="e" cm="1">
        <f t="array" aca="1" ref="AF1626" ca="1">MIN(100, MAX(0, (IF(R1626="ESTUDIANTE", 31, 0)) + (IF(I1626&lt;=3, 30, IF(I1626&lt;=6, 20, 0))) +(IF(OR(E1626="413 - Control de Costes y Enlace Construcción", E1626="480 - Secretaría General del Consejo", E1626="132 - Civil y estructuras", E1626="136 - Mecánica", E1626="412 - Planificación", E1626="142 - Compras"), 25, 0)) +(IF(OR(S1626="GRADO ING. MECÁNICA", S1626="GRADO ING. ELÉCTRICA", S1626="GRADO DERECHO", S1626="GRADO ECONOMÍA", S1626="GRADO ING. TECNOLOGÍAS INDUSTRIALES"), 24, 0)) + (IF(AND(K1626&gt;=451, K1626&lt;=700), 23, 0)) + (IF(AND(AB1626&gt;=5, AB1626&lt;=8), 17, 0)) +(IF(_xludf.OR(_xludf.AND(AC1626&gt;=8, AC1626&lt;=10), _xludf.AND(AC1626&gt;=0, AC1626&lt;=5)), 16, 0)) + (IF(F1626="Madrid", 11, 0))))</f>
        <v>#NAME?</v>
      </c>
      <c r="AG1626" s="69"/>
      <c r="AH1626" s="71" t="s">
        <v>164</v>
      </c>
    </row>
    <row r="1627" spans="1:34" ht="15" customHeight="1" x14ac:dyDescent="0.3">
      <c r="A1627" s="66" t="s">
        <v>2605</v>
      </c>
      <c r="B1627" s="66" t="s">
        <v>4722</v>
      </c>
      <c r="C1627" s="33">
        <v>1626</v>
      </c>
      <c r="D1627" s="33" t="s">
        <v>5393</v>
      </c>
      <c r="E1627" s="34" t="s">
        <v>5236</v>
      </c>
      <c r="F1627" s="34" t="s">
        <v>931</v>
      </c>
      <c r="G1627" s="57">
        <v>45313</v>
      </c>
      <c r="H1627" s="57">
        <v>45494</v>
      </c>
      <c r="I1627" s="34">
        <f t="shared" si="75"/>
        <v>5</v>
      </c>
      <c r="J1627" s="34">
        <v>35</v>
      </c>
      <c r="K1627" s="36">
        <v>800</v>
      </c>
      <c r="L1627" s="34" t="s">
        <v>17</v>
      </c>
      <c r="M1627" s="35">
        <v>36731</v>
      </c>
      <c r="N1627" s="37">
        <f>(YEAR(TablaMadre[[#This Row],[ALTA]])-YEAR(M1627))</f>
        <v>24</v>
      </c>
      <c r="O1627" s="34"/>
      <c r="P1627" s="34" t="s">
        <v>19</v>
      </c>
      <c r="Q1627" s="34" t="s">
        <v>753</v>
      </c>
      <c r="R1627" s="34" t="s">
        <v>21</v>
      </c>
      <c r="S1627" s="34" t="s">
        <v>274</v>
      </c>
      <c r="T1627" s="34"/>
      <c r="U1627" s="34"/>
      <c r="V1627" s="34" t="s">
        <v>180</v>
      </c>
      <c r="W1627" s="34" t="s">
        <v>127</v>
      </c>
      <c r="X1627" s="38" t="s">
        <v>173</v>
      </c>
      <c r="Y1627" s="62"/>
      <c r="Z1627" s="38" t="e">
        <f t="shared" si="76"/>
        <v>#NUM!</v>
      </c>
      <c r="AA1627" s="38"/>
      <c r="AB1627" s="34">
        <v>8</v>
      </c>
      <c r="AC1627" s="34">
        <v>9</v>
      </c>
      <c r="AD1627" s="38"/>
      <c r="AE1627" s="59" t="str">
        <f t="shared" si="77"/>
        <v>SÍ</v>
      </c>
      <c r="AF1627" s="38" t="e" cm="1">
        <f t="array" aca="1" ref="AF1627" ca="1">MIN(100, MAX(0, (IF(R1627="ESTUDIANTE", 31, 0)) + (IF(I1627&lt;=3, 30, IF(I1627&lt;=6, 20, 0))) +(IF(OR(E1627="413 - Control de Costes y Enlace Construcción", E1627="480 - Secretaría General del Consejo", E1627="132 - Civil y estructuras", E1627="136 - Mecánica", E1627="412 - Planificación", E1627="142 - Compras"), 25, 0)) +(IF(OR(S1627="GRADO ING. MECÁNICA", S1627="GRADO ING. ELÉCTRICA", S1627="GRADO DERECHO", S1627="GRADO ECONOMÍA", S1627="GRADO ING. TECNOLOGÍAS INDUSTRIALES"), 24, 0)) + (IF(AND(K1627&gt;=451, K1627&lt;=700), 23, 0)) + (IF(AND(AB1627&gt;=5, AB1627&lt;=8), 17, 0)) +(IF(_xludf.OR(_xludf.AND(AC1627&gt;=8, AC1627&lt;=10), _xludf.AND(AC1627&gt;=0, AC1627&lt;=5)), 16, 0)) + (IF(F1627="Madrid", 11, 0))))</f>
        <v>#NAME?</v>
      </c>
      <c r="AG1627" s="68"/>
      <c r="AH1627" s="71" t="s">
        <v>164</v>
      </c>
    </row>
    <row r="1628" spans="1:34" ht="15" customHeight="1" x14ac:dyDescent="0.3">
      <c r="A1628" s="66" t="s">
        <v>2606</v>
      </c>
      <c r="B1628" s="66" t="s">
        <v>4723</v>
      </c>
      <c r="C1628" s="33">
        <v>1627</v>
      </c>
      <c r="D1628" s="33" t="s">
        <v>5394</v>
      </c>
      <c r="E1628" s="34" t="s">
        <v>5317</v>
      </c>
      <c r="F1628" s="34" t="s">
        <v>931</v>
      </c>
      <c r="G1628" s="57">
        <v>45313</v>
      </c>
      <c r="H1628" s="57">
        <v>45550</v>
      </c>
      <c r="I1628" s="34">
        <f t="shared" si="75"/>
        <v>7</v>
      </c>
      <c r="J1628" s="34">
        <v>35</v>
      </c>
      <c r="K1628" s="36">
        <v>875</v>
      </c>
      <c r="L1628" s="34" t="s">
        <v>17</v>
      </c>
      <c r="M1628" s="39">
        <v>36654</v>
      </c>
      <c r="N1628" s="37">
        <f>(YEAR(TablaMadre[[#This Row],[ALTA]])-YEAR(M1628))</f>
        <v>24</v>
      </c>
      <c r="O1628" s="34"/>
      <c r="P1628" s="34" t="s">
        <v>19</v>
      </c>
      <c r="Q1628" s="34" t="s">
        <v>627</v>
      </c>
      <c r="R1628" s="34" t="s">
        <v>21</v>
      </c>
      <c r="S1628" s="34" t="s">
        <v>627</v>
      </c>
      <c r="T1628" s="34"/>
      <c r="U1628" s="34"/>
      <c r="V1628" s="34" t="s">
        <v>182</v>
      </c>
      <c r="W1628" s="34" t="s">
        <v>28</v>
      </c>
      <c r="X1628" s="38" t="s">
        <v>173</v>
      </c>
      <c r="Y1628" s="62"/>
      <c r="Z1628" s="38" t="e">
        <f t="shared" si="76"/>
        <v>#NUM!</v>
      </c>
      <c r="AA1628" s="38"/>
      <c r="AB1628" s="34">
        <v>10</v>
      </c>
      <c r="AC1628" s="34">
        <v>9</v>
      </c>
      <c r="AD1628" s="38"/>
      <c r="AE1628" s="59" t="str">
        <f t="shared" si="77"/>
        <v>SÍ</v>
      </c>
      <c r="AF1628" s="38" t="e" cm="1">
        <f t="array" aca="1" ref="AF1628" ca="1">MIN(100, MAX(0, (IF(R1628="ESTUDIANTE", 31, 0)) + (IF(I1628&lt;=3, 30, IF(I1628&lt;=6, 20, 0))) +(IF(OR(E1628="413 - Control de Costes y Enlace Construcción", E1628="480 - Secretaría General del Consejo", E1628="132 - Civil y estructuras", E1628="136 - Mecánica", E1628="412 - Planificación", E1628="142 - Compras"), 25, 0)) +(IF(OR(S1628="GRADO ING. MECÁNICA", S1628="GRADO ING. ELÉCTRICA", S1628="GRADO DERECHO", S1628="GRADO ECONOMÍA", S1628="GRADO ING. TECNOLOGÍAS INDUSTRIALES"), 24, 0)) + (IF(AND(K1628&gt;=451, K1628&lt;=700), 23, 0)) + (IF(AND(AB1628&gt;=5, AB1628&lt;=8), 17, 0)) +(IF(_xludf.OR(_xludf.AND(AC1628&gt;=8, AC1628&lt;=10), _xludf.AND(AC1628&gt;=0, AC1628&lt;=5)), 16, 0)) + (IF(F1628="Madrid", 11, 0))))</f>
        <v>#NAME?</v>
      </c>
      <c r="AG1628" s="68"/>
      <c r="AH1628" s="71" t="s">
        <v>164</v>
      </c>
    </row>
    <row r="1629" spans="1:34" ht="15" customHeight="1" x14ac:dyDescent="0.3">
      <c r="A1629" s="66" t="s">
        <v>2607</v>
      </c>
      <c r="B1629" s="66" t="s">
        <v>4724</v>
      </c>
      <c r="C1629" s="33">
        <v>1628</v>
      </c>
      <c r="D1629" s="33" t="s">
        <v>5395</v>
      </c>
      <c r="E1629" s="34" t="s">
        <v>5324</v>
      </c>
      <c r="F1629" s="34" t="s">
        <v>18</v>
      </c>
      <c r="G1629" s="57">
        <v>45313</v>
      </c>
      <c r="H1629" s="57">
        <v>45678</v>
      </c>
      <c r="I1629" s="34">
        <f t="shared" si="75"/>
        <v>11</v>
      </c>
      <c r="J1629" s="34">
        <v>35</v>
      </c>
      <c r="K1629" s="36">
        <v>700</v>
      </c>
      <c r="L1629" s="34" t="s">
        <v>29</v>
      </c>
      <c r="M1629" s="35">
        <v>37315</v>
      </c>
      <c r="N1629" s="37">
        <f>(YEAR(TablaMadre[[#This Row],[ALTA]])-YEAR(M1629))</f>
        <v>22</v>
      </c>
      <c r="O1629" s="34" t="s">
        <v>205</v>
      </c>
      <c r="P1629" s="34" t="s">
        <v>19</v>
      </c>
      <c r="Q1629" s="34" t="s">
        <v>800</v>
      </c>
      <c r="R1629" s="58" t="s">
        <v>30</v>
      </c>
      <c r="S1629" s="34" t="s">
        <v>274</v>
      </c>
      <c r="T1629" s="34"/>
      <c r="U1629" s="34"/>
      <c r="V1629" s="34" t="s">
        <v>67</v>
      </c>
      <c r="W1629" s="34" t="s">
        <v>28</v>
      </c>
      <c r="X1629" s="38" t="s">
        <v>173</v>
      </c>
      <c r="Y1629" s="62"/>
      <c r="Z1629" s="38" t="e">
        <f t="shared" si="76"/>
        <v>#NUM!</v>
      </c>
      <c r="AA1629" s="38"/>
      <c r="AB1629" s="34">
        <v>10</v>
      </c>
      <c r="AC1629" s="34">
        <v>8</v>
      </c>
      <c r="AD1629" s="38"/>
      <c r="AE1629" s="59" t="str">
        <f t="shared" si="77"/>
        <v>SÍ</v>
      </c>
      <c r="AF1629" s="38" t="e" cm="1">
        <f t="array" aca="1" ref="AF1629" ca="1">MIN(100, MAX(0, (IF(R1629="ESTUDIANTE", 31, 0)) + (IF(I1629&lt;=3, 30, IF(I1629&lt;=6, 20, 0))) +(IF(OR(E1629="413 - Control de Costes y Enlace Construcción", E1629="480 - Secretaría General del Consejo", E1629="132 - Civil y estructuras", E1629="136 - Mecánica", E1629="412 - Planificación", E1629="142 - Compras"), 25, 0)) +(IF(OR(S1629="GRADO ING. MECÁNICA", S1629="GRADO ING. ELÉCTRICA", S1629="GRADO DERECHO", S1629="GRADO ECONOMÍA", S1629="GRADO ING. TECNOLOGÍAS INDUSTRIALES"), 24, 0)) + (IF(AND(K1629&gt;=451, K1629&lt;=700), 23, 0)) + (IF(AND(AB1629&gt;=5, AB1629&lt;=8), 17, 0)) +(IF(_xludf.OR(_xludf.AND(AC1629&gt;=8, AC1629&lt;=10), _xludf.AND(AC1629&gt;=0, AC1629&lt;=5)), 16, 0)) + (IF(F1629="Madrid", 11, 0))))</f>
        <v>#NAME?</v>
      </c>
      <c r="AG1629" s="68"/>
      <c r="AH1629" s="71" t="s">
        <v>164</v>
      </c>
    </row>
    <row r="1630" spans="1:34" s="4" customFormat="1" ht="15" customHeight="1" x14ac:dyDescent="0.3">
      <c r="A1630" s="66" t="s">
        <v>2608</v>
      </c>
      <c r="B1630" s="66" t="s">
        <v>4725</v>
      </c>
      <c r="C1630" s="33">
        <v>1629</v>
      </c>
      <c r="D1630" s="33" t="s">
        <v>5396</v>
      </c>
      <c r="E1630" s="34" t="s">
        <v>5219</v>
      </c>
      <c r="F1630" s="34" t="s">
        <v>931</v>
      </c>
      <c r="G1630" s="57">
        <v>45320</v>
      </c>
      <c r="H1630" s="57">
        <v>45457</v>
      </c>
      <c r="I1630" s="34">
        <f t="shared" si="75"/>
        <v>4</v>
      </c>
      <c r="J1630" s="34">
        <v>35</v>
      </c>
      <c r="K1630" s="36">
        <v>700</v>
      </c>
      <c r="L1630" s="34" t="s">
        <v>17</v>
      </c>
      <c r="M1630" s="35">
        <v>36990</v>
      </c>
      <c r="N1630" s="37">
        <f>(YEAR(TablaMadre[[#This Row],[ALTA]])-YEAR(M1630))</f>
        <v>23</v>
      </c>
      <c r="O1630" s="34"/>
      <c r="P1630" s="34" t="s">
        <v>19</v>
      </c>
      <c r="Q1630" s="34" t="s">
        <v>297</v>
      </c>
      <c r="R1630" s="58" t="s">
        <v>30</v>
      </c>
      <c r="S1630" s="34" t="s">
        <v>297</v>
      </c>
      <c r="T1630" s="34"/>
      <c r="U1630" s="34"/>
      <c r="V1630" s="34" t="s">
        <v>56</v>
      </c>
      <c r="W1630" s="34" t="s">
        <v>28</v>
      </c>
      <c r="X1630" s="34" t="s">
        <v>173</v>
      </c>
      <c r="Y1630" s="57"/>
      <c r="Z1630" s="34" t="e">
        <f t="shared" si="76"/>
        <v>#NUM!</v>
      </c>
      <c r="AA1630" s="34"/>
      <c r="AB1630" s="34">
        <v>10</v>
      </c>
      <c r="AC1630" s="34">
        <v>10</v>
      </c>
      <c r="AD1630" s="34"/>
      <c r="AE1630" s="59" t="str">
        <f t="shared" si="77"/>
        <v>SÍ</v>
      </c>
      <c r="AF1630" s="34" t="e" cm="1">
        <f t="array" aca="1" ref="AF1630" ca="1">MIN(100, MAX(0, (IF(R1630="ESTUDIANTE", 31, 0)) + (IF(I1630&lt;=3, 30, IF(I1630&lt;=6, 20, 0))) +(IF(OR(E1630="413 - Control de Costes y Enlace Construcción", E1630="480 - Secretaría General del Consejo", E1630="132 - Civil y estructuras", E1630="136 - Mecánica", E1630="412 - Planificación", E1630="142 - Compras"), 25, 0)) +(IF(OR(S1630="GRADO ING. MECÁNICA", S1630="GRADO ING. ELÉCTRICA", S1630="GRADO DERECHO", S1630="GRADO ECONOMÍA", S1630="GRADO ING. TECNOLOGÍAS INDUSTRIALES"), 24, 0)) + (IF(AND(K1630&gt;=451, K1630&lt;=700), 23, 0)) + (IF(AND(AB1630&gt;=5, AB1630&lt;=8), 17, 0)) +(IF(_xludf.OR(_xludf.AND(AC1630&gt;=8, AC1630&lt;=10), _xludf.AND(AC1630&gt;=0, AC1630&lt;=5)), 16, 0)) + (IF(F1630="Madrid", 11, 0))))</f>
        <v>#NAME?</v>
      </c>
      <c r="AG1630" s="69"/>
      <c r="AH1630" s="71" t="s">
        <v>164</v>
      </c>
    </row>
    <row r="1631" spans="1:34" ht="15" customHeight="1" x14ac:dyDescent="0.3">
      <c r="A1631" s="66" t="s">
        <v>2609</v>
      </c>
      <c r="B1631" s="66" t="s">
        <v>4726</v>
      </c>
      <c r="C1631" s="33">
        <v>1630</v>
      </c>
      <c r="D1631" s="33" t="s">
        <v>5397</v>
      </c>
      <c r="E1631" s="34" t="s">
        <v>5219</v>
      </c>
      <c r="F1631" s="34" t="s">
        <v>931</v>
      </c>
      <c r="G1631" s="57">
        <v>45320</v>
      </c>
      <c r="H1631" s="57">
        <v>45504</v>
      </c>
      <c r="I1631" s="34">
        <f t="shared" si="75"/>
        <v>6</v>
      </c>
      <c r="J1631" s="34">
        <v>35</v>
      </c>
      <c r="K1631" s="36">
        <v>700</v>
      </c>
      <c r="L1631" s="34" t="s">
        <v>17</v>
      </c>
      <c r="M1631" s="35">
        <v>34448</v>
      </c>
      <c r="N1631" s="37">
        <f>(YEAR(TablaMadre[[#This Row],[ALTA]])-YEAR(M1631))</f>
        <v>30</v>
      </c>
      <c r="O1631" s="34"/>
      <c r="P1631" s="34" t="s">
        <v>19</v>
      </c>
      <c r="Q1631" s="34" t="s">
        <v>151</v>
      </c>
      <c r="R1631" s="58" t="s">
        <v>30</v>
      </c>
      <c r="S1631" s="34" t="s">
        <v>151</v>
      </c>
      <c r="T1631" s="34"/>
      <c r="U1631" s="34"/>
      <c r="V1631" s="34" t="s">
        <v>69</v>
      </c>
      <c r="W1631" s="34" t="s">
        <v>28</v>
      </c>
      <c r="X1631" s="38" t="s">
        <v>173</v>
      </c>
      <c r="Y1631" s="62"/>
      <c r="Z1631" s="38" t="e">
        <f t="shared" si="76"/>
        <v>#NUM!</v>
      </c>
      <c r="AA1631" s="38"/>
      <c r="AB1631" s="34">
        <v>9</v>
      </c>
      <c r="AC1631" s="34">
        <v>9</v>
      </c>
      <c r="AD1631" s="38"/>
      <c r="AE1631" s="59" t="str">
        <f t="shared" si="77"/>
        <v>SÍ</v>
      </c>
      <c r="AF1631" s="38" t="e" cm="1">
        <f t="array" aca="1" ref="AF1631" ca="1">MIN(100, MAX(0, (IF(R1631="ESTUDIANTE", 31, 0)) + (IF(I1631&lt;=3, 30, IF(I1631&lt;=6, 20, 0))) +(IF(OR(E1631="413 - Control de Costes y Enlace Construcción", E1631="480 - Secretaría General del Consejo", E1631="132 - Civil y estructuras", E1631="136 - Mecánica", E1631="412 - Planificación", E1631="142 - Compras"), 25, 0)) +(IF(OR(S1631="GRADO ING. MECÁNICA", S1631="GRADO ING. ELÉCTRICA", S1631="GRADO DERECHO", S1631="GRADO ECONOMÍA", S1631="GRADO ING. TECNOLOGÍAS INDUSTRIALES"), 24, 0)) + (IF(AND(K1631&gt;=451, K1631&lt;=700), 23, 0)) + (IF(AND(AB1631&gt;=5, AB1631&lt;=8), 17, 0)) +(IF(_xludf.OR(_xludf.AND(AC1631&gt;=8, AC1631&lt;=10), _xludf.AND(AC1631&gt;=0, AC1631&lt;=5)), 16, 0)) + (IF(F1631="Madrid", 11, 0))))</f>
        <v>#NAME?</v>
      </c>
      <c r="AG1631" s="68"/>
      <c r="AH1631" s="71" t="s">
        <v>164</v>
      </c>
    </row>
    <row r="1632" spans="1:34" s="4" customFormat="1" ht="15" customHeight="1" x14ac:dyDescent="0.3">
      <c r="A1632" s="66" t="s">
        <v>2610</v>
      </c>
      <c r="B1632" s="66" t="s">
        <v>4727</v>
      </c>
      <c r="C1632" s="33">
        <v>1631</v>
      </c>
      <c r="D1632" s="33" t="s">
        <v>5398</v>
      </c>
      <c r="E1632" s="34" t="s">
        <v>5322</v>
      </c>
      <c r="F1632" s="34" t="s">
        <v>935</v>
      </c>
      <c r="G1632" s="57">
        <v>45323</v>
      </c>
      <c r="H1632" s="57">
        <v>45502</v>
      </c>
      <c r="I1632" s="34">
        <f t="shared" si="75"/>
        <v>5</v>
      </c>
      <c r="J1632" s="34">
        <v>35</v>
      </c>
      <c r="K1632" s="36">
        <v>875</v>
      </c>
      <c r="L1632" s="34" t="s">
        <v>17</v>
      </c>
      <c r="M1632" s="35">
        <v>36060</v>
      </c>
      <c r="N1632" s="37">
        <f>(YEAR(TablaMadre[[#This Row],[ALTA]])-YEAR(M1632))</f>
        <v>26</v>
      </c>
      <c r="O1632" s="34"/>
      <c r="P1632" s="34" t="s">
        <v>19</v>
      </c>
      <c r="Q1632" s="34" t="s">
        <v>756</v>
      </c>
      <c r="R1632" s="34" t="s">
        <v>21</v>
      </c>
      <c r="S1632" s="34" t="s">
        <v>322</v>
      </c>
      <c r="T1632" s="34"/>
      <c r="U1632" s="34"/>
      <c r="V1632" s="34" t="s">
        <v>310</v>
      </c>
      <c r="W1632" s="34" t="s">
        <v>28</v>
      </c>
      <c r="X1632" s="34" t="s">
        <v>173</v>
      </c>
      <c r="Y1632" s="57"/>
      <c r="Z1632" s="34" t="e">
        <f t="shared" si="76"/>
        <v>#NUM!</v>
      </c>
      <c r="AA1632" s="34"/>
      <c r="AB1632" s="34">
        <v>9</v>
      </c>
      <c r="AC1632" s="34">
        <v>9</v>
      </c>
      <c r="AD1632" s="34"/>
      <c r="AE1632" s="59" t="str">
        <f t="shared" si="77"/>
        <v>SÍ</v>
      </c>
      <c r="AF1632" s="34" t="e" cm="1">
        <f t="array" aca="1" ref="AF1632" ca="1">MIN(100, MAX(0, (IF(R1632="ESTUDIANTE", 31, 0)) + (IF(I1632&lt;=3, 30, IF(I1632&lt;=6, 20, 0))) +(IF(OR(E1632="413 - Control de Costes y Enlace Construcción", E1632="480 - Secretaría General del Consejo", E1632="132 - Civil y estructuras", E1632="136 - Mecánica", E1632="412 - Planificación", E1632="142 - Compras"), 25, 0)) +(IF(OR(S1632="GRADO ING. MECÁNICA", S1632="GRADO ING. ELÉCTRICA", S1632="GRADO DERECHO", S1632="GRADO ECONOMÍA", S1632="GRADO ING. TECNOLOGÍAS INDUSTRIALES"), 24, 0)) + (IF(AND(K1632&gt;=451, K1632&lt;=700), 23, 0)) + (IF(AND(AB1632&gt;=5, AB1632&lt;=8), 17, 0)) +(IF(_xludf.OR(_xludf.AND(AC1632&gt;=8, AC1632&lt;=10), _xludf.AND(AC1632&gt;=0, AC1632&lt;=5)), 16, 0)) + (IF(F1632="Madrid", 11, 0))))</f>
        <v>#NAME?</v>
      </c>
      <c r="AG1632" s="69"/>
      <c r="AH1632" s="71" t="s">
        <v>164</v>
      </c>
    </row>
    <row r="1633" spans="1:34" s="4" customFormat="1" ht="14.4" x14ac:dyDescent="0.3">
      <c r="A1633" s="66" t="s">
        <v>2611</v>
      </c>
      <c r="B1633" s="66" t="s">
        <v>4728</v>
      </c>
      <c r="C1633" s="33">
        <v>1632</v>
      </c>
      <c r="D1633" s="33" t="s">
        <v>5399</v>
      </c>
      <c r="E1633" s="34" t="s">
        <v>5246</v>
      </c>
      <c r="F1633" s="34" t="s">
        <v>935</v>
      </c>
      <c r="G1633" s="57">
        <v>45323</v>
      </c>
      <c r="H1633" s="57">
        <v>45502</v>
      </c>
      <c r="I1633" s="34">
        <f t="shared" si="75"/>
        <v>5</v>
      </c>
      <c r="J1633" s="34">
        <v>35</v>
      </c>
      <c r="K1633" s="36">
        <v>875</v>
      </c>
      <c r="L1633" s="34" t="s">
        <v>17</v>
      </c>
      <c r="M1633" s="35">
        <v>36542</v>
      </c>
      <c r="N1633" s="37">
        <f>(YEAR(TablaMadre[[#This Row],[ALTA]])-YEAR(M1633))</f>
        <v>24</v>
      </c>
      <c r="O1633" s="34"/>
      <c r="P1633" s="34" t="s">
        <v>19</v>
      </c>
      <c r="Q1633" s="34" t="s">
        <v>757</v>
      </c>
      <c r="R1633" s="34" t="s">
        <v>21</v>
      </c>
      <c r="S1633" s="34" t="s">
        <v>277</v>
      </c>
      <c r="T1633" s="34"/>
      <c r="U1633" s="34"/>
      <c r="V1633" s="34" t="s">
        <v>239</v>
      </c>
      <c r="W1633" s="34" t="s">
        <v>28</v>
      </c>
      <c r="X1633" s="34" t="s">
        <v>173</v>
      </c>
      <c r="Y1633" s="57"/>
      <c r="Z1633" s="34" t="e">
        <f t="shared" si="76"/>
        <v>#NUM!</v>
      </c>
      <c r="AA1633" s="34"/>
      <c r="AB1633" s="34">
        <v>8</v>
      </c>
      <c r="AC1633" s="34">
        <v>8</v>
      </c>
      <c r="AD1633" s="34"/>
      <c r="AE1633" s="59" t="str">
        <f t="shared" si="77"/>
        <v>SÍ</v>
      </c>
      <c r="AF1633" s="34" t="e" cm="1">
        <f t="array" aca="1" ref="AF1633" ca="1">MIN(100, MAX(0, (IF(R1633="ESTUDIANTE", 31, 0)) + (IF(I1633&lt;=3, 30, IF(I1633&lt;=6, 20, 0))) +(IF(OR(E1633="413 - Control de Costes y Enlace Construcción", E1633="480 - Secretaría General del Consejo", E1633="132 - Civil y estructuras", E1633="136 - Mecánica", E1633="412 - Planificación", E1633="142 - Compras"), 25, 0)) +(IF(OR(S1633="GRADO ING. MECÁNICA", S1633="GRADO ING. ELÉCTRICA", S1633="GRADO DERECHO", S1633="GRADO ECONOMÍA", S1633="GRADO ING. TECNOLOGÍAS INDUSTRIALES"), 24, 0)) + (IF(AND(K1633&gt;=451, K1633&lt;=700), 23, 0)) + (IF(AND(AB1633&gt;=5, AB1633&lt;=8), 17, 0)) +(IF(_xludf.OR(_xludf.AND(AC1633&gt;=8, AC1633&lt;=10), _xludf.AND(AC1633&gt;=0, AC1633&lt;=5)), 16, 0)) + (IF(F1633="Madrid", 11, 0))))</f>
        <v>#NAME?</v>
      </c>
      <c r="AG1633" s="69"/>
      <c r="AH1633" s="71" t="s">
        <v>164</v>
      </c>
    </row>
    <row r="1634" spans="1:34" s="4" customFormat="1" ht="14.4" x14ac:dyDescent="0.3">
      <c r="A1634" s="66" t="s">
        <v>2612</v>
      </c>
      <c r="B1634" s="66" t="s">
        <v>4729</v>
      </c>
      <c r="C1634" s="33">
        <v>1633</v>
      </c>
      <c r="D1634" s="33" t="s">
        <v>5400</v>
      </c>
      <c r="E1634" s="34" t="s">
        <v>5216</v>
      </c>
      <c r="F1634" s="34" t="s">
        <v>935</v>
      </c>
      <c r="G1634" s="57">
        <v>45323</v>
      </c>
      <c r="H1634" s="57">
        <v>45502</v>
      </c>
      <c r="I1634" s="34">
        <f t="shared" si="75"/>
        <v>5</v>
      </c>
      <c r="J1634" s="34">
        <v>35</v>
      </c>
      <c r="K1634" s="36">
        <v>875</v>
      </c>
      <c r="L1634" s="34" t="s">
        <v>17</v>
      </c>
      <c r="M1634" s="35">
        <v>36763</v>
      </c>
      <c r="N1634" s="37">
        <f>(YEAR(TablaMadre[[#This Row],[ALTA]])-YEAR(M1634))</f>
        <v>24</v>
      </c>
      <c r="O1634" s="34"/>
      <c r="P1634" s="34" t="s">
        <v>19</v>
      </c>
      <c r="Q1634" s="34" t="s">
        <v>626</v>
      </c>
      <c r="R1634" s="34" t="s">
        <v>21</v>
      </c>
      <c r="S1634" s="34" t="s">
        <v>322</v>
      </c>
      <c r="T1634" s="34"/>
      <c r="U1634" s="34"/>
      <c r="V1634" s="34" t="s">
        <v>310</v>
      </c>
      <c r="W1634" s="34" t="s">
        <v>28</v>
      </c>
      <c r="X1634" s="34" t="s">
        <v>173</v>
      </c>
      <c r="Y1634" s="57"/>
      <c r="Z1634" s="34" t="e">
        <f t="shared" si="76"/>
        <v>#NUM!</v>
      </c>
      <c r="AA1634" s="34"/>
      <c r="AB1634" s="34">
        <v>9</v>
      </c>
      <c r="AC1634" s="34">
        <v>9</v>
      </c>
      <c r="AD1634" s="34"/>
      <c r="AE1634" s="59" t="str">
        <f t="shared" si="77"/>
        <v>SÍ</v>
      </c>
      <c r="AF1634" s="34" t="e" cm="1">
        <f t="array" aca="1" ref="AF1634" ca="1">MIN(100, MAX(0, (IF(R1634="ESTUDIANTE", 31, 0)) + (IF(I1634&lt;=3, 30, IF(I1634&lt;=6, 20, 0))) +(IF(OR(E1634="413 - Control de Costes y Enlace Construcción", E1634="480 - Secretaría General del Consejo", E1634="132 - Civil y estructuras", E1634="136 - Mecánica", E1634="412 - Planificación", E1634="142 - Compras"), 25, 0)) +(IF(OR(S1634="GRADO ING. MECÁNICA", S1634="GRADO ING. ELÉCTRICA", S1634="GRADO DERECHO", S1634="GRADO ECONOMÍA", S1634="GRADO ING. TECNOLOGÍAS INDUSTRIALES"), 24, 0)) + (IF(AND(K1634&gt;=451, K1634&lt;=700), 23, 0)) + (IF(AND(AB1634&gt;=5, AB1634&lt;=8), 17, 0)) +(IF(_xludf.OR(_xludf.AND(AC1634&gt;=8, AC1634&lt;=10), _xludf.AND(AC1634&gt;=0, AC1634&lt;=5)), 16, 0)) + (IF(F1634="Madrid", 11, 0))))</f>
        <v>#NAME?</v>
      </c>
      <c r="AG1634" s="69"/>
      <c r="AH1634" s="71" t="s">
        <v>164</v>
      </c>
    </row>
    <row r="1635" spans="1:34" s="4" customFormat="1" ht="14.4" x14ac:dyDescent="0.3">
      <c r="A1635" s="66" t="s">
        <v>2613</v>
      </c>
      <c r="B1635" s="66" t="s">
        <v>4730</v>
      </c>
      <c r="C1635" s="33">
        <v>1634</v>
      </c>
      <c r="D1635" s="33" t="s">
        <v>5401</v>
      </c>
      <c r="E1635" s="34" t="s">
        <v>5356</v>
      </c>
      <c r="F1635" s="34" t="s">
        <v>18</v>
      </c>
      <c r="G1635" s="57">
        <v>45327</v>
      </c>
      <c r="H1635" s="57">
        <v>45508</v>
      </c>
      <c r="I1635" s="34">
        <f t="shared" si="75"/>
        <v>5</v>
      </c>
      <c r="J1635" s="34">
        <v>35</v>
      </c>
      <c r="K1635" s="36">
        <v>875</v>
      </c>
      <c r="L1635" s="34" t="s">
        <v>17</v>
      </c>
      <c r="M1635" s="35">
        <v>36710</v>
      </c>
      <c r="N1635" s="37">
        <f>(YEAR(TablaMadre[[#This Row],[ALTA]])-YEAR(M1635))</f>
        <v>24</v>
      </c>
      <c r="O1635" s="34" t="s">
        <v>18</v>
      </c>
      <c r="P1635" s="34" t="s">
        <v>19</v>
      </c>
      <c r="Q1635" s="34" t="s">
        <v>322</v>
      </c>
      <c r="R1635" s="34" t="s">
        <v>21</v>
      </c>
      <c r="S1635" s="34" t="s">
        <v>322</v>
      </c>
      <c r="T1635" s="34"/>
      <c r="U1635" s="34"/>
      <c r="V1635" s="34" t="s">
        <v>67</v>
      </c>
      <c r="W1635" s="34" t="s">
        <v>28</v>
      </c>
      <c r="X1635" s="34" t="s">
        <v>173</v>
      </c>
      <c r="Y1635" s="57"/>
      <c r="Z1635" s="34" t="e">
        <f t="shared" si="76"/>
        <v>#NUM!</v>
      </c>
      <c r="AA1635" s="34"/>
      <c r="AB1635" s="34">
        <v>9</v>
      </c>
      <c r="AC1635" s="34">
        <v>10</v>
      </c>
      <c r="AD1635" s="34"/>
      <c r="AE1635" s="59" t="str">
        <f t="shared" si="77"/>
        <v>NO</v>
      </c>
      <c r="AF1635" s="34" t="e" cm="1">
        <f t="array" aca="1" ref="AF1635" ca="1">MIN(100, MAX(0, (IF(R1635="ESTUDIANTE", 31, 0)) + (IF(I1635&lt;=3, 30, IF(I1635&lt;=6, 20, 0))) +(IF(OR(E1635="413 - Control de Costes y Enlace Construcción", E1635="480 - Secretaría General del Consejo", E1635="132 - Civil y estructuras", E1635="136 - Mecánica", E1635="412 - Planificación", E1635="142 - Compras"), 25, 0)) +(IF(OR(S1635="GRADO ING. MECÁNICA", S1635="GRADO ING. ELÉCTRICA", S1635="GRADO DERECHO", S1635="GRADO ECONOMÍA", S1635="GRADO ING. TECNOLOGÍAS INDUSTRIALES"), 24, 0)) + (IF(AND(K1635&gt;=451, K1635&lt;=700), 23, 0)) + (IF(AND(AB1635&gt;=5, AB1635&lt;=8), 17, 0)) +(IF(_xludf.OR(_xludf.AND(AC1635&gt;=8, AC1635&lt;=10), _xludf.AND(AC1635&gt;=0, AC1635&lt;=5)), 16, 0)) + (IF(F1635="Madrid", 11, 0))))</f>
        <v>#NAME?</v>
      </c>
      <c r="AG1635" s="69"/>
      <c r="AH1635" s="71" t="s">
        <v>164</v>
      </c>
    </row>
    <row r="1636" spans="1:34" s="4" customFormat="1" ht="14.4" x14ac:dyDescent="0.3">
      <c r="A1636" s="66" t="s">
        <v>2614</v>
      </c>
      <c r="B1636" s="66" t="s">
        <v>4731</v>
      </c>
      <c r="C1636" s="33">
        <v>1635</v>
      </c>
      <c r="D1636" s="33" t="s">
        <v>5402</v>
      </c>
      <c r="E1636" s="34" t="s">
        <v>5343</v>
      </c>
      <c r="F1636" s="34" t="s">
        <v>18</v>
      </c>
      <c r="G1636" s="57">
        <v>45327</v>
      </c>
      <c r="H1636" s="57">
        <v>45550</v>
      </c>
      <c r="I1636" s="34">
        <f t="shared" si="75"/>
        <v>7</v>
      </c>
      <c r="J1636" s="34">
        <v>35</v>
      </c>
      <c r="K1636" s="36">
        <v>700</v>
      </c>
      <c r="L1636" s="34" t="s">
        <v>17</v>
      </c>
      <c r="M1636" s="35">
        <v>36682</v>
      </c>
      <c r="N1636" s="37">
        <f>(YEAR(TablaMadre[[#This Row],[ALTA]])-YEAR(M1636))</f>
        <v>24</v>
      </c>
      <c r="O1636" s="34" t="s">
        <v>155</v>
      </c>
      <c r="P1636" s="34" t="s">
        <v>19</v>
      </c>
      <c r="Q1636" s="34" t="s">
        <v>136</v>
      </c>
      <c r="R1636" s="58" t="s">
        <v>30</v>
      </c>
      <c r="S1636" s="34" t="s">
        <v>136</v>
      </c>
      <c r="T1636" s="34"/>
      <c r="U1636" s="34"/>
      <c r="V1636" s="34" t="s">
        <v>22</v>
      </c>
      <c r="W1636" s="34" t="s">
        <v>28</v>
      </c>
      <c r="X1636" s="34" t="s">
        <v>173</v>
      </c>
      <c r="Y1636" s="57"/>
      <c r="Z1636" s="34" t="e">
        <f t="shared" si="76"/>
        <v>#NUM!</v>
      </c>
      <c r="AA1636" s="34"/>
      <c r="AB1636" s="34" t="s">
        <v>693</v>
      </c>
      <c r="AC1636" s="34">
        <v>10</v>
      </c>
      <c r="AD1636" s="34"/>
      <c r="AE1636" s="59" t="str">
        <f t="shared" si="77"/>
        <v>SÍ</v>
      </c>
      <c r="AF1636" s="34" t="e" cm="1">
        <f t="array" aca="1" ref="AF1636" ca="1">MIN(100, MAX(0, (IF(R1636="ESTUDIANTE", 31, 0)) + (IF(I1636&lt;=3, 30, IF(I1636&lt;=6, 20, 0))) +(IF(OR(E1636="413 - Control de Costes y Enlace Construcción", E1636="480 - Secretaría General del Consejo", E1636="132 - Civil y estructuras", E1636="136 - Mecánica", E1636="412 - Planificación", E1636="142 - Compras"), 25, 0)) +(IF(OR(S1636="GRADO ING. MECÁNICA", S1636="GRADO ING. ELÉCTRICA", S1636="GRADO DERECHO", S1636="GRADO ECONOMÍA", S1636="GRADO ING. TECNOLOGÍAS INDUSTRIALES"), 24, 0)) + (IF(AND(K1636&gt;=451, K1636&lt;=700), 23, 0)) + (IF(AND(AB1636&gt;=5, AB1636&lt;=8), 17, 0)) +(IF(_xludf.OR(_xludf.AND(AC1636&gt;=8, AC1636&lt;=10), _xludf.AND(AC1636&gt;=0, AC1636&lt;=5)), 16, 0)) + (IF(F1636="Madrid", 11, 0))))</f>
        <v>#NAME?</v>
      </c>
      <c r="AG1636" s="69"/>
      <c r="AH1636" s="71" t="s">
        <v>164</v>
      </c>
    </row>
    <row r="1637" spans="1:34" ht="14.4" x14ac:dyDescent="0.3">
      <c r="A1637" s="66" t="s">
        <v>2615</v>
      </c>
      <c r="B1637" s="66" t="s">
        <v>4732</v>
      </c>
      <c r="C1637" s="33">
        <v>1636</v>
      </c>
      <c r="D1637" s="33" t="s">
        <v>5393</v>
      </c>
      <c r="E1637" s="34" t="s">
        <v>5339</v>
      </c>
      <c r="F1637" s="34" t="s">
        <v>18</v>
      </c>
      <c r="G1637" s="57">
        <v>45327</v>
      </c>
      <c r="H1637" s="57">
        <v>45686</v>
      </c>
      <c r="I1637" s="34">
        <f t="shared" si="75"/>
        <v>11</v>
      </c>
      <c r="J1637" s="34">
        <v>35</v>
      </c>
      <c r="K1637" s="36">
        <v>900</v>
      </c>
      <c r="L1637" s="34" t="s">
        <v>29</v>
      </c>
      <c r="M1637" s="35">
        <v>36909</v>
      </c>
      <c r="N1637" s="37">
        <f>(YEAR(TablaMadre[[#This Row],[ALTA]])-YEAR(M1637))</f>
        <v>23</v>
      </c>
      <c r="O1637" s="34" t="s">
        <v>18</v>
      </c>
      <c r="P1637" s="34" t="s">
        <v>19</v>
      </c>
      <c r="Q1637" s="34" t="s">
        <v>136</v>
      </c>
      <c r="R1637" s="34" t="s">
        <v>21</v>
      </c>
      <c r="S1637" s="34" t="s">
        <v>136</v>
      </c>
      <c r="T1637" s="34"/>
      <c r="U1637" s="34"/>
      <c r="V1637" s="34" t="s">
        <v>67</v>
      </c>
      <c r="W1637" s="34" t="s">
        <v>28</v>
      </c>
      <c r="X1637" s="38" t="s">
        <v>173</v>
      </c>
      <c r="Y1637" s="62"/>
      <c r="Z1637" s="38" t="e">
        <f t="shared" si="76"/>
        <v>#NUM!</v>
      </c>
      <c r="AA1637" s="38"/>
      <c r="AB1637" s="34">
        <v>7</v>
      </c>
      <c r="AC1637" s="34">
        <v>10</v>
      </c>
      <c r="AD1637" s="38"/>
      <c r="AE1637" s="59" t="str">
        <f t="shared" si="77"/>
        <v>NO</v>
      </c>
      <c r="AF1637" s="38" t="e" cm="1">
        <f t="array" aca="1" ref="AF1637" ca="1">MIN(100, MAX(0, (IF(R1637="ESTUDIANTE", 31, 0)) + (IF(I1637&lt;=3, 30, IF(I1637&lt;=6, 20, 0))) +(IF(OR(E1637="413 - Control de Costes y Enlace Construcción", E1637="480 - Secretaría General del Consejo", E1637="132 - Civil y estructuras", E1637="136 - Mecánica", E1637="412 - Planificación", E1637="142 - Compras"), 25, 0)) +(IF(OR(S1637="GRADO ING. MECÁNICA", S1637="GRADO ING. ELÉCTRICA", S1637="GRADO DERECHO", S1637="GRADO ECONOMÍA", S1637="GRADO ING. TECNOLOGÍAS INDUSTRIALES"), 24, 0)) + (IF(AND(K1637&gt;=451, K1637&lt;=700), 23, 0)) + (IF(AND(AB1637&gt;=5, AB1637&lt;=8), 17, 0)) +(IF(_xludf.OR(_xludf.AND(AC1637&gt;=8, AC1637&lt;=10), _xludf.AND(AC1637&gt;=0, AC1637&lt;=5)), 16, 0)) + (IF(F1637="Madrid", 11, 0))))</f>
        <v>#NAME?</v>
      </c>
      <c r="AG1637" s="68"/>
      <c r="AH1637" s="71" t="s">
        <v>164</v>
      </c>
    </row>
    <row r="1638" spans="1:34" ht="14.4" x14ac:dyDescent="0.3">
      <c r="A1638" s="66" t="s">
        <v>2616</v>
      </c>
      <c r="B1638" s="66" t="s">
        <v>4733</v>
      </c>
      <c r="C1638" s="33">
        <v>1637</v>
      </c>
      <c r="D1638" s="33" t="s">
        <v>5394</v>
      </c>
      <c r="E1638" s="34" t="s">
        <v>5322</v>
      </c>
      <c r="F1638" s="34" t="s">
        <v>18</v>
      </c>
      <c r="G1638" s="57">
        <v>45327</v>
      </c>
      <c r="H1638" s="57">
        <v>45692</v>
      </c>
      <c r="I1638" s="34">
        <f t="shared" si="75"/>
        <v>11</v>
      </c>
      <c r="J1638" s="34">
        <v>35</v>
      </c>
      <c r="K1638" s="36">
        <v>700</v>
      </c>
      <c r="L1638" s="34" t="s">
        <v>17</v>
      </c>
      <c r="M1638" s="35">
        <v>37601</v>
      </c>
      <c r="N1638" s="37">
        <f>(YEAR(TablaMadre[[#This Row],[ALTA]])-YEAR(M1638))</f>
        <v>22</v>
      </c>
      <c r="O1638" s="34" t="s">
        <v>18</v>
      </c>
      <c r="P1638" s="34" t="s">
        <v>19</v>
      </c>
      <c r="Q1638" s="34" t="s">
        <v>136</v>
      </c>
      <c r="R1638" s="58" t="s">
        <v>30</v>
      </c>
      <c r="S1638" s="34" t="s">
        <v>136</v>
      </c>
      <c r="T1638" s="34"/>
      <c r="U1638" s="34"/>
      <c r="V1638" s="34" t="s">
        <v>40</v>
      </c>
      <c r="W1638" s="34" t="s">
        <v>28</v>
      </c>
      <c r="X1638" s="38" t="s">
        <v>173</v>
      </c>
      <c r="Y1638" s="62"/>
      <c r="Z1638" s="38" t="e">
        <f t="shared" si="76"/>
        <v>#NUM!</v>
      </c>
      <c r="AA1638" s="38"/>
      <c r="AB1638" s="34">
        <v>9</v>
      </c>
      <c r="AC1638" s="34">
        <v>7</v>
      </c>
      <c r="AD1638" s="38"/>
      <c r="AE1638" s="59" t="str">
        <f t="shared" si="77"/>
        <v>NO</v>
      </c>
      <c r="AF1638" s="38" t="e" cm="1">
        <f t="array" aca="1" ref="AF1638" ca="1">MIN(100, MAX(0, (IF(R1638="ESTUDIANTE", 31, 0)) + (IF(I1638&lt;=3, 30, IF(I1638&lt;=6, 20, 0))) +(IF(OR(E1638="413 - Control de Costes y Enlace Construcción", E1638="480 - Secretaría General del Consejo", E1638="132 - Civil y estructuras", E1638="136 - Mecánica", E1638="412 - Planificación", E1638="142 - Compras"), 25, 0)) +(IF(OR(S1638="GRADO ING. MECÁNICA", S1638="GRADO ING. ELÉCTRICA", S1638="GRADO DERECHO", S1638="GRADO ECONOMÍA", S1638="GRADO ING. TECNOLOGÍAS INDUSTRIALES"), 24, 0)) + (IF(AND(K1638&gt;=451, K1638&lt;=700), 23, 0)) + (IF(AND(AB1638&gt;=5, AB1638&lt;=8), 17, 0)) +(IF(_xludf.OR(_xludf.AND(AC1638&gt;=8, AC1638&lt;=10), _xludf.AND(AC1638&gt;=0, AC1638&lt;=5)), 16, 0)) + (IF(F1638="Madrid", 11, 0))))</f>
        <v>#NAME?</v>
      </c>
      <c r="AG1638" s="68"/>
      <c r="AH1638" s="71" t="s">
        <v>164</v>
      </c>
    </row>
    <row r="1639" spans="1:34" s="4" customFormat="1" ht="14.4" x14ac:dyDescent="0.3">
      <c r="A1639" s="66" t="s">
        <v>2509</v>
      </c>
      <c r="B1639" s="66" t="s">
        <v>4626</v>
      </c>
      <c r="C1639" s="33">
        <v>1638</v>
      </c>
      <c r="D1639" s="33" t="s">
        <v>5403</v>
      </c>
      <c r="E1639" s="34" t="s">
        <v>5222</v>
      </c>
      <c r="F1639" s="34" t="s">
        <v>18</v>
      </c>
      <c r="G1639" s="57">
        <v>45334</v>
      </c>
      <c r="H1639" s="57">
        <v>45499</v>
      </c>
      <c r="I1639" s="34">
        <f t="shared" si="75"/>
        <v>5</v>
      </c>
      <c r="J1639" s="34">
        <v>25</v>
      </c>
      <c r="K1639" s="36">
        <v>500</v>
      </c>
      <c r="L1639" s="34" t="s">
        <v>17</v>
      </c>
      <c r="M1639" s="35">
        <v>37348</v>
      </c>
      <c r="N1639" s="37">
        <f>(YEAR(TablaMadre[[#This Row],[ALTA]])-YEAR(M1639))</f>
        <v>22</v>
      </c>
      <c r="O1639" s="34" t="s">
        <v>948</v>
      </c>
      <c r="P1639" s="34" t="s">
        <v>19</v>
      </c>
      <c r="Q1639" s="34" t="s">
        <v>754</v>
      </c>
      <c r="R1639" s="58" t="s">
        <v>30</v>
      </c>
      <c r="S1639" s="34" t="s">
        <v>321</v>
      </c>
      <c r="T1639" s="34"/>
      <c r="U1639" s="34"/>
      <c r="V1639" s="34" t="s">
        <v>22</v>
      </c>
      <c r="W1639" s="34" t="s">
        <v>91</v>
      </c>
      <c r="X1639" s="34" t="s">
        <v>164</v>
      </c>
      <c r="Y1639" s="57"/>
      <c r="Z1639" s="34" t="e">
        <f t="shared" si="76"/>
        <v>#NUM!</v>
      </c>
      <c r="AA1639" s="34"/>
      <c r="AB1639" s="34">
        <v>7</v>
      </c>
      <c r="AC1639" s="34" t="s">
        <v>723</v>
      </c>
      <c r="AD1639" s="34"/>
      <c r="AE1639" s="59" t="str">
        <f t="shared" si="77"/>
        <v>SÍ</v>
      </c>
      <c r="AF1639" s="34" t="e" cm="1">
        <f t="array" aca="1" ref="AF1639" ca="1">MIN(100, MAX(0, (IF(R1639="ESTUDIANTE", 31, 0)) + (IF(I1639&lt;=3, 30, IF(I1639&lt;=6, 20, 0))) +(IF(OR(E1639="413 - Control de Costes y Enlace Construcción", E1639="480 - Secretaría General del Consejo", E1639="132 - Civil y estructuras", E1639="136 - Mecánica", E1639="412 - Planificación", E1639="142 - Compras"), 25, 0)) +(IF(OR(S1639="GRADO ING. MECÁNICA", S1639="GRADO ING. ELÉCTRICA", S1639="GRADO DERECHO", S1639="GRADO ECONOMÍA", S1639="GRADO ING. TECNOLOGÍAS INDUSTRIALES"), 24, 0)) + (IF(AND(K1639&gt;=451, K1639&lt;=700), 23, 0)) + (IF(AND(AB1639&gt;=5, AB1639&lt;=8), 17, 0)) +(IF(_xludf.OR(_xludf.AND(AC1639&gt;=8, AC1639&lt;=10), _xludf.AND(AC1639&gt;=0, AC1639&lt;=5)), 16, 0)) + (IF(F1639="Madrid", 11, 0))))</f>
        <v>#NAME?</v>
      </c>
      <c r="AG1639" s="69"/>
      <c r="AH1639" s="71" t="s">
        <v>164</v>
      </c>
    </row>
    <row r="1640" spans="1:34" s="4" customFormat="1" ht="14.4" x14ac:dyDescent="0.3">
      <c r="A1640" s="66" t="s">
        <v>2512</v>
      </c>
      <c r="B1640" s="66" t="s">
        <v>4629</v>
      </c>
      <c r="C1640" s="33">
        <v>1640</v>
      </c>
      <c r="D1640" s="33" t="s">
        <v>5404</v>
      </c>
      <c r="E1640" s="34" t="s">
        <v>5246</v>
      </c>
      <c r="F1640" s="34" t="s">
        <v>931</v>
      </c>
      <c r="G1640" s="57">
        <v>45334</v>
      </c>
      <c r="H1640" s="57">
        <v>45515</v>
      </c>
      <c r="I1640" s="34">
        <f t="shared" si="75"/>
        <v>5</v>
      </c>
      <c r="J1640" s="34">
        <v>25</v>
      </c>
      <c r="K1640" s="36">
        <v>500</v>
      </c>
      <c r="L1640" s="34" t="s">
        <v>17</v>
      </c>
      <c r="M1640" s="35">
        <v>37537</v>
      </c>
      <c r="N1640" s="37">
        <f>(YEAR(TablaMadre[[#This Row],[ALTA]])-YEAR(M1640))</f>
        <v>22</v>
      </c>
      <c r="O1640" s="34"/>
      <c r="P1640" s="34" t="s">
        <v>19</v>
      </c>
      <c r="Q1640" s="34" t="s">
        <v>644</v>
      </c>
      <c r="R1640" s="58" t="s">
        <v>30</v>
      </c>
      <c r="S1640" s="34" t="s">
        <v>277</v>
      </c>
      <c r="T1640" s="34"/>
      <c r="U1640" s="34"/>
      <c r="V1640" s="34" t="s">
        <v>22</v>
      </c>
      <c r="W1640" s="34" t="s">
        <v>91</v>
      </c>
      <c r="X1640" s="38" t="s">
        <v>164</v>
      </c>
      <c r="Y1640" s="62"/>
      <c r="Z1640" s="38" t="e">
        <f t="shared" si="76"/>
        <v>#NUM!</v>
      </c>
      <c r="AA1640" s="38"/>
      <c r="AB1640" s="34" t="s">
        <v>470</v>
      </c>
      <c r="AC1640" s="34">
        <v>8</v>
      </c>
      <c r="AD1640" s="38"/>
      <c r="AE1640" s="59" t="str">
        <f t="shared" si="77"/>
        <v>SÍ</v>
      </c>
      <c r="AF1640" s="34" t="e" cm="1">
        <f t="array" aca="1" ref="AF1640" ca="1">MIN(100, MAX(0, (IF(R1640="ESTUDIANTE", 31, 0)) + (IF(I1640&lt;=3, 30, IF(I1640&lt;=6, 20, 0))) +(IF(OR(E1640="413 - Control de Costes y Enlace Construcción", E1640="480 - Secretaría General del Consejo", E1640="132 - Civil y estructuras", E1640="136 - Mecánica", E1640="412 - Planificación", E1640="142 - Compras"), 25, 0)) +(IF(OR(S1640="GRADO ING. MECÁNICA", S1640="GRADO ING. ELÉCTRICA", S1640="GRADO DERECHO", S1640="GRADO ECONOMÍA", S1640="GRADO ING. TECNOLOGÍAS INDUSTRIALES"), 24, 0)) + (IF(AND(K1640&gt;=451, K1640&lt;=700), 23, 0)) + (IF(AND(AB1640&gt;=5, AB1640&lt;=8), 17, 0)) +(IF(_xludf.OR(_xludf.AND(AC1640&gt;=8, AC1640&lt;=10), _xludf.AND(AC1640&gt;=0, AC1640&lt;=5)), 16, 0)) + (IF(F1640="Madrid", 11, 0))))</f>
        <v>#NAME?</v>
      </c>
      <c r="AG1640" s="69"/>
      <c r="AH1640" s="71" t="s">
        <v>164</v>
      </c>
    </row>
    <row r="1641" spans="1:34" ht="14.4" x14ac:dyDescent="0.3">
      <c r="A1641" s="66" t="s">
        <v>2618</v>
      </c>
      <c r="B1641" s="66" t="s">
        <v>4735</v>
      </c>
      <c r="C1641" s="33">
        <v>1639</v>
      </c>
      <c r="D1641" s="33" t="s">
        <v>5405</v>
      </c>
      <c r="E1641" s="34" t="s">
        <v>5272</v>
      </c>
      <c r="F1641" s="34" t="s">
        <v>18</v>
      </c>
      <c r="G1641" s="57">
        <v>45334</v>
      </c>
      <c r="H1641" s="57">
        <v>45515</v>
      </c>
      <c r="I1641" s="34">
        <f t="shared" si="75"/>
        <v>5</v>
      </c>
      <c r="J1641" s="34">
        <v>30</v>
      </c>
      <c r="K1641" s="36">
        <v>750</v>
      </c>
      <c r="L1641" s="34" t="s">
        <v>17</v>
      </c>
      <c r="M1641" s="35">
        <v>37176</v>
      </c>
      <c r="N1641" s="37">
        <f>(YEAR(TablaMadre[[#This Row],[ALTA]])-YEAR(M1641))</f>
        <v>23</v>
      </c>
      <c r="O1641" s="34" t="s">
        <v>525</v>
      </c>
      <c r="P1641" s="34" t="s">
        <v>19</v>
      </c>
      <c r="Q1641" s="34" t="s">
        <v>428</v>
      </c>
      <c r="R1641" s="34" t="s">
        <v>21</v>
      </c>
      <c r="S1641" s="34" t="s">
        <v>297</v>
      </c>
      <c r="T1641" s="34"/>
      <c r="U1641" s="34"/>
      <c r="V1641" s="34" t="s">
        <v>40</v>
      </c>
      <c r="W1641" s="34" t="s">
        <v>28</v>
      </c>
      <c r="X1641" s="34" t="s">
        <v>173</v>
      </c>
      <c r="Y1641" s="57"/>
      <c r="Z1641" s="34" t="e">
        <f t="shared" si="76"/>
        <v>#NUM!</v>
      </c>
      <c r="AA1641" s="34"/>
      <c r="AB1641" s="34">
        <v>8</v>
      </c>
      <c r="AC1641" s="34">
        <v>9</v>
      </c>
      <c r="AD1641" s="34"/>
      <c r="AE1641" s="59" t="str">
        <f t="shared" si="77"/>
        <v>SÍ</v>
      </c>
      <c r="AF1641" s="38" t="e" cm="1">
        <f t="array" aca="1" ref="AF1641" ca="1">MIN(100, MAX(0, (IF(R1641="ESTUDIANTE", 31, 0)) + (IF(I1641&lt;=3, 30, IF(I1641&lt;=6, 20, 0))) +(IF(OR(E1641="413 - Control de Costes y Enlace Construcción", E1641="480 - Secretaría General del Consejo", E1641="132 - Civil y estructuras", E1641="136 - Mecánica", E1641="412 - Planificación", E1641="142 - Compras"), 25, 0)) +(IF(OR(S1641="GRADO ING. MECÁNICA", S1641="GRADO ING. ELÉCTRICA", S1641="GRADO DERECHO", S1641="GRADO ECONOMÍA", S1641="GRADO ING. TECNOLOGÍAS INDUSTRIALES"), 24, 0)) + (IF(AND(K1641&gt;=451, K1641&lt;=700), 23, 0)) + (IF(AND(AB1641&gt;=5, AB1641&lt;=8), 17, 0)) +(IF(_xludf.OR(_xludf.AND(AC1641&gt;=8, AC1641&lt;=10), _xludf.AND(AC1641&gt;=0, AC1641&lt;=5)), 16, 0)) + (IF(F1641="Madrid", 11, 0))))</f>
        <v>#NAME?</v>
      </c>
      <c r="AG1641" s="68"/>
      <c r="AH1641" s="71" t="s">
        <v>164</v>
      </c>
    </row>
    <row r="1642" spans="1:34" ht="14.4" x14ac:dyDescent="0.3">
      <c r="A1642" s="66" t="s">
        <v>2620</v>
      </c>
      <c r="B1642" s="66" t="s">
        <v>4737</v>
      </c>
      <c r="C1642" s="33">
        <v>1641</v>
      </c>
      <c r="D1642" s="33" t="s">
        <v>5396</v>
      </c>
      <c r="E1642" s="34" t="s">
        <v>5241</v>
      </c>
      <c r="F1642" s="34" t="s">
        <v>931</v>
      </c>
      <c r="G1642" s="57">
        <v>45334</v>
      </c>
      <c r="H1642" s="57">
        <v>45515</v>
      </c>
      <c r="I1642" s="34">
        <f t="shared" si="75"/>
        <v>5</v>
      </c>
      <c r="J1642" s="34">
        <v>35</v>
      </c>
      <c r="K1642" s="36">
        <v>875</v>
      </c>
      <c r="L1642" s="34" t="s">
        <v>29</v>
      </c>
      <c r="M1642" s="35">
        <v>36410</v>
      </c>
      <c r="N1642" s="37">
        <f>(YEAR(TablaMadre[[#This Row],[ALTA]])-YEAR(M1642))</f>
        <v>25</v>
      </c>
      <c r="O1642" s="34"/>
      <c r="P1642" s="34" t="s">
        <v>19</v>
      </c>
      <c r="Q1642" s="34" t="s">
        <v>758</v>
      </c>
      <c r="R1642" s="34" t="s">
        <v>21</v>
      </c>
      <c r="S1642" s="34" t="s">
        <v>307</v>
      </c>
      <c r="T1642" s="34"/>
      <c r="U1642" s="34"/>
      <c r="V1642" s="34" t="s">
        <v>67</v>
      </c>
      <c r="W1642" s="34" t="s">
        <v>28</v>
      </c>
      <c r="X1642" s="38" t="s">
        <v>173</v>
      </c>
      <c r="Y1642" s="62"/>
      <c r="Z1642" s="38" t="e">
        <f t="shared" si="76"/>
        <v>#NUM!</v>
      </c>
      <c r="AA1642" s="38"/>
      <c r="AB1642" s="34">
        <v>8</v>
      </c>
      <c r="AC1642" s="34">
        <v>5</v>
      </c>
      <c r="AD1642" s="38"/>
      <c r="AE1642" s="59" t="str">
        <f t="shared" si="77"/>
        <v>SÍ</v>
      </c>
      <c r="AF1642" s="38" t="e" cm="1">
        <f t="array" aca="1" ref="AF1642" ca="1">MIN(100, MAX(0, (IF(R1642="ESTUDIANTE", 31, 0)) + (IF(I1642&lt;=3, 30, IF(I1642&lt;=6, 20, 0))) +(IF(OR(E1642="413 - Control de Costes y Enlace Construcción", E1642="480 - Secretaría General del Consejo", E1642="132 - Civil y estructuras", E1642="136 - Mecánica", E1642="412 - Planificación", E1642="142 - Compras"), 25, 0)) +(IF(OR(S1642="GRADO ING. MECÁNICA", S1642="GRADO ING. ELÉCTRICA", S1642="GRADO DERECHO", S1642="GRADO ECONOMÍA", S1642="GRADO ING. TECNOLOGÍAS INDUSTRIALES"), 24, 0)) + (IF(AND(K1642&gt;=451, K1642&lt;=700), 23, 0)) + (IF(AND(AB1642&gt;=5, AB1642&lt;=8), 17, 0)) +(IF(_xludf.OR(_xludf.AND(AC1642&gt;=8, AC1642&lt;=10), _xludf.AND(AC1642&gt;=0, AC1642&lt;=5)), 16, 0)) + (IF(F1642="Madrid", 11, 0))))</f>
        <v>#NAME?</v>
      </c>
      <c r="AG1642" s="68"/>
      <c r="AH1642" s="71" t="s">
        <v>164</v>
      </c>
    </row>
    <row r="1643" spans="1:34" s="4" customFormat="1" ht="14.4" x14ac:dyDescent="0.3">
      <c r="A1643" s="66" t="s">
        <v>2621</v>
      </c>
      <c r="B1643" s="66" t="s">
        <v>4738</v>
      </c>
      <c r="C1643" s="33">
        <v>1642</v>
      </c>
      <c r="D1643" s="33" t="s">
        <v>5397</v>
      </c>
      <c r="E1643" s="34" t="s">
        <v>5241</v>
      </c>
      <c r="F1643" s="34" t="s">
        <v>931</v>
      </c>
      <c r="G1643" s="57">
        <v>45334</v>
      </c>
      <c r="H1643" s="57">
        <v>45515</v>
      </c>
      <c r="I1643" s="34">
        <f t="shared" si="75"/>
        <v>5</v>
      </c>
      <c r="J1643" s="34">
        <v>35</v>
      </c>
      <c r="K1643" s="36">
        <v>875</v>
      </c>
      <c r="L1643" s="34" t="s">
        <v>17</v>
      </c>
      <c r="M1643" s="35">
        <v>36782</v>
      </c>
      <c r="N1643" s="37">
        <f>(YEAR(TablaMadre[[#This Row],[ALTA]])-YEAR(M1643))</f>
        <v>24</v>
      </c>
      <c r="O1643" s="34"/>
      <c r="P1643" s="34" t="s">
        <v>19</v>
      </c>
      <c r="Q1643" s="34" t="s">
        <v>578</v>
      </c>
      <c r="R1643" s="34" t="s">
        <v>21</v>
      </c>
      <c r="S1643" s="34" t="s">
        <v>136</v>
      </c>
      <c r="T1643" s="34"/>
      <c r="U1643" s="34"/>
      <c r="V1643" s="34" t="s">
        <v>239</v>
      </c>
      <c r="W1643" s="34" t="s">
        <v>28</v>
      </c>
      <c r="X1643" s="34" t="s">
        <v>173</v>
      </c>
      <c r="Y1643" s="57"/>
      <c r="Z1643" s="34" t="e">
        <f t="shared" si="76"/>
        <v>#NUM!</v>
      </c>
      <c r="AA1643" s="34"/>
      <c r="AB1643" s="34">
        <v>9</v>
      </c>
      <c r="AC1643" s="34" t="s">
        <v>759</v>
      </c>
      <c r="AD1643" s="34"/>
      <c r="AE1643" s="59" t="str">
        <f t="shared" si="77"/>
        <v>SÍ</v>
      </c>
      <c r="AF1643" s="34" t="e" cm="1">
        <f t="array" aca="1" ref="AF1643" ca="1">MIN(100, MAX(0, (IF(R1643="ESTUDIANTE", 31, 0)) + (IF(I1643&lt;=3, 30, IF(I1643&lt;=6, 20, 0))) +(IF(OR(E1643="413 - Control de Costes y Enlace Construcción", E1643="480 - Secretaría General del Consejo", E1643="132 - Civil y estructuras", E1643="136 - Mecánica", E1643="412 - Planificación", E1643="142 - Compras"), 25, 0)) +(IF(OR(S1643="GRADO ING. MECÁNICA", S1643="GRADO ING. ELÉCTRICA", S1643="GRADO DERECHO", S1643="GRADO ECONOMÍA", S1643="GRADO ING. TECNOLOGÍAS INDUSTRIALES"), 24, 0)) + (IF(AND(K1643&gt;=451, K1643&lt;=700), 23, 0)) + (IF(AND(AB1643&gt;=5, AB1643&lt;=8), 17, 0)) +(IF(_xludf.OR(_xludf.AND(AC1643&gt;=8, AC1643&lt;=10), _xludf.AND(AC1643&gt;=0, AC1643&lt;=5)), 16, 0)) + (IF(F1643="Madrid", 11, 0))))</f>
        <v>#NAME?</v>
      </c>
      <c r="AG1643" s="69"/>
      <c r="AH1643" s="71" t="s">
        <v>164</v>
      </c>
    </row>
    <row r="1644" spans="1:34" ht="14.4" x14ac:dyDescent="0.3">
      <c r="A1644" s="66" t="s">
        <v>2622</v>
      </c>
      <c r="B1644" s="66" t="s">
        <v>4739</v>
      </c>
      <c r="C1644" s="33">
        <v>1643</v>
      </c>
      <c r="D1644" s="33" t="s">
        <v>5393</v>
      </c>
      <c r="E1644" s="34" t="s">
        <v>5241</v>
      </c>
      <c r="F1644" s="34" t="s">
        <v>931</v>
      </c>
      <c r="G1644" s="57">
        <v>45334</v>
      </c>
      <c r="H1644" s="57">
        <v>45515</v>
      </c>
      <c r="I1644" s="34">
        <f t="shared" si="75"/>
        <v>5</v>
      </c>
      <c r="J1644" s="34">
        <v>35</v>
      </c>
      <c r="K1644" s="36">
        <v>700</v>
      </c>
      <c r="L1644" s="34" t="s">
        <v>17</v>
      </c>
      <c r="M1644" s="35">
        <v>36901</v>
      </c>
      <c r="N1644" s="37">
        <f>(YEAR(TablaMadre[[#This Row],[ALTA]])-YEAR(M1644))</f>
        <v>23</v>
      </c>
      <c r="O1644" s="34"/>
      <c r="P1644" s="34" t="s">
        <v>19</v>
      </c>
      <c r="Q1644" s="34" t="s">
        <v>215</v>
      </c>
      <c r="R1644" s="58" t="s">
        <v>30</v>
      </c>
      <c r="S1644" s="34" t="s">
        <v>322</v>
      </c>
      <c r="T1644" s="34"/>
      <c r="U1644" s="34"/>
      <c r="V1644" s="34" t="s">
        <v>67</v>
      </c>
      <c r="W1644" s="34" t="s">
        <v>28</v>
      </c>
      <c r="X1644" s="38" t="s">
        <v>173</v>
      </c>
      <c r="Y1644" s="62"/>
      <c r="Z1644" s="38" t="e">
        <f t="shared" si="76"/>
        <v>#NUM!</v>
      </c>
      <c r="AA1644" s="38"/>
      <c r="AB1644" s="34">
        <v>9</v>
      </c>
      <c r="AC1644" s="34">
        <v>7</v>
      </c>
      <c r="AD1644" s="38"/>
      <c r="AE1644" s="59" t="str">
        <f t="shared" si="77"/>
        <v>SÍ</v>
      </c>
      <c r="AF1644" s="38" t="e" cm="1">
        <f t="array" aca="1" ref="AF1644" ca="1">MIN(100, MAX(0, (IF(R1644="ESTUDIANTE", 31, 0)) + (IF(I1644&lt;=3, 30, IF(I1644&lt;=6, 20, 0))) +(IF(OR(E1644="413 - Control de Costes y Enlace Construcción", E1644="480 - Secretaría General del Consejo", E1644="132 - Civil y estructuras", E1644="136 - Mecánica", E1644="412 - Planificación", E1644="142 - Compras"), 25, 0)) +(IF(OR(S1644="GRADO ING. MECÁNICA", S1644="GRADO ING. ELÉCTRICA", S1644="GRADO DERECHO", S1644="GRADO ECONOMÍA", S1644="GRADO ING. TECNOLOGÍAS INDUSTRIALES"), 24, 0)) + (IF(AND(K1644&gt;=451, K1644&lt;=700), 23, 0)) + (IF(AND(AB1644&gt;=5, AB1644&lt;=8), 17, 0)) +(IF(_xludf.OR(_xludf.AND(AC1644&gt;=8, AC1644&lt;=10), _xludf.AND(AC1644&gt;=0, AC1644&lt;=5)), 16, 0)) + (IF(F1644="Madrid", 11, 0))))</f>
        <v>#NAME?</v>
      </c>
      <c r="AG1644" s="68"/>
      <c r="AH1644" s="71" t="s">
        <v>164</v>
      </c>
    </row>
    <row r="1645" spans="1:34" ht="14.4" x14ac:dyDescent="0.3">
      <c r="A1645" s="66" t="s">
        <v>2623</v>
      </c>
      <c r="B1645" s="66" t="s">
        <v>4740</v>
      </c>
      <c r="C1645" s="33">
        <v>1644</v>
      </c>
      <c r="D1645" s="33" t="s">
        <v>5394</v>
      </c>
      <c r="E1645" s="34" t="s">
        <v>5345</v>
      </c>
      <c r="F1645" s="34" t="s">
        <v>18</v>
      </c>
      <c r="G1645" s="57">
        <v>45334</v>
      </c>
      <c r="H1645" s="57">
        <v>45515</v>
      </c>
      <c r="I1645" s="34">
        <f t="shared" si="75"/>
        <v>5</v>
      </c>
      <c r="J1645" s="34">
        <v>35</v>
      </c>
      <c r="K1645" s="36">
        <v>955</v>
      </c>
      <c r="L1645" s="34" t="s">
        <v>17</v>
      </c>
      <c r="M1645" s="35">
        <v>36407</v>
      </c>
      <c r="N1645" s="37">
        <f>(YEAR(TablaMadre[[#This Row],[ALTA]])-YEAR(M1645))</f>
        <v>25</v>
      </c>
      <c r="O1645" s="34" t="s">
        <v>18</v>
      </c>
      <c r="P1645" s="34" t="s">
        <v>19</v>
      </c>
      <c r="Q1645" s="34" t="s">
        <v>626</v>
      </c>
      <c r="R1645" s="34" t="s">
        <v>21</v>
      </c>
      <c r="S1645" s="34" t="s">
        <v>322</v>
      </c>
      <c r="T1645" s="34"/>
      <c r="U1645" s="34"/>
      <c r="V1645" s="34" t="s">
        <v>67</v>
      </c>
      <c r="W1645" s="34" t="s">
        <v>28</v>
      </c>
      <c r="X1645" s="38" t="s">
        <v>173</v>
      </c>
      <c r="Y1645" s="62"/>
      <c r="Z1645" s="38" t="e">
        <f t="shared" si="76"/>
        <v>#NUM!</v>
      </c>
      <c r="AA1645" s="38"/>
      <c r="AB1645" s="34">
        <v>9</v>
      </c>
      <c r="AC1645" s="34">
        <v>8</v>
      </c>
      <c r="AD1645" s="38"/>
      <c r="AE1645" s="59" t="str">
        <f t="shared" si="77"/>
        <v>NO</v>
      </c>
      <c r="AF1645" s="38" t="e" cm="1">
        <f t="array" aca="1" ref="AF1645" ca="1">MIN(100, MAX(0, (IF(R1645="ESTUDIANTE", 31, 0)) + (IF(I1645&lt;=3, 30, IF(I1645&lt;=6, 20, 0))) +(IF(OR(E1645="413 - Control de Costes y Enlace Construcción", E1645="480 - Secretaría General del Consejo", E1645="132 - Civil y estructuras", E1645="136 - Mecánica", E1645="412 - Planificación", E1645="142 - Compras"), 25, 0)) +(IF(OR(S1645="GRADO ING. MECÁNICA", S1645="GRADO ING. ELÉCTRICA", S1645="GRADO DERECHO", S1645="GRADO ECONOMÍA", S1645="GRADO ING. TECNOLOGÍAS INDUSTRIALES"), 24, 0)) + (IF(AND(K1645&gt;=451, K1645&lt;=700), 23, 0)) + (IF(AND(AB1645&gt;=5, AB1645&lt;=8), 17, 0)) +(IF(_xludf.OR(_xludf.AND(AC1645&gt;=8, AC1645&lt;=10), _xludf.AND(AC1645&gt;=0, AC1645&lt;=5)), 16, 0)) + (IF(F1645="Madrid", 11, 0))))</f>
        <v>#NAME?</v>
      </c>
      <c r="AG1645" s="68"/>
      <c r="AH1645" s="71" t="s">
        <v>164</v>
      </c>
    </row>
    <row r="1646" spans="1:34" ht="14.4" x14ac:dyDescent="0.3">
      <c r="A1646" s="66" t="s">
        <v>2624</v>
      </c>
      <c r="B1646" s="66" t="s">
        <v>4741</v>
      </c>
      <c r="C1646" s="33">
        <v>1645</v>
      </c>
      <c r="D1646" s="33" t="s">
        <v>5395</v>
      </c>
      <c r="E1646" s="34" t="s">
        <v>5354</v>
      </c>
      <c r="F1646" s="34" t="s">
        <v>18</v>
      </c>
      <c r="G1646" s="57">
        <v>45334</v>
      </c>
      <c r="H1646" s="57">
        <v>45688</v>
      </c>
      <c r="I1646" s="34">
        <f t="shared" si="75"/>
        <v>11</v>
      </c>
      <c r="J1646" s="34">
        <v>35</v>
      </c>
      <c r="K1646" s="36">
        <v>700</v>
      </c>
      <c r="L1646" s="34" t="s">
        <v>17</v>
      </c>
      <c r="M1646" s="35">
        <v>34870</v>
      </c>
      <c r="N1646" s="37">
        <f>(YEAR(TablaMadre[[#This Row],[ALTA]])-YEAR(M1646))</f>
        <v>29</v>
      </c>
      <c r="O1646" s="34" t="s">
        <v>99</v>
      </c>
      <c r="P1646" s="34" t="s">
        <v>19</v>
      </c>
      <c r="Q1646" s="34" t="s">
        <v>136</v>
      </c>
      <c r="R1646" s="58" t="s">
        <v>30</v>
      </c>
      <c r="S1646" s="34" t="s">
        <v>136</v>
      </c>
      <c r="T1646" s="34"/>
      <c r="U1646" s="34"/>
      <c r="V1646" s="34" t="s">
        <v>22</v>
      </c>
      <c r="W1646" s="34" t="s">
        <v>28</v>
      </c>
      <c r="X1646" s="38" t="s">
        <v>173</v>
      </c>
      <c r="Y1646" s="62"/>
      <c r="Z1646" s="38" t="e">
        <f t="shared" si="76"/>
        <v>#NUM!</v>
      </c>
      <c r="AA1646" s="38"/>
      <c r="AB1646" s="34">
        <v>9</v>
      </c>
      <c r="AC1646" s="34">
        <v>10</v>
      </c>
      <c r="AD1646" s="38"/>
      <c r="AE1646" s="59" t="str">
        <f t="shared" si="77"/>
        <v>SÍ</v>
      </c>
      <c r="AF1646" s="38" t="e" cm="1">
        <f t="array" aca="1" ref="AF1646" ca="1">MIN(100, MAX(0, (IF(R1646="ESTUDIANTE", 31, 0)) + (IF(I1646&lt;=3, 30, IF(I1646&lt;=6, 20, 0))) +(IF(OR(E1646="413 - Control de Costes y Enlace Construcción", E1646="480 - Secretaría General del Consejo", E1646="132 - Civil y estructuras", E1646="136 - Mecánica", E1646="412 - Planificación", E1646="142 - Compras"), 25, 0)) +(IF(OR(S1646="GRADO ING. MECÁNICA", S1646="GRADO ING. ELÉCTRICA", S1646="GRADO DERECHO", S1646="GRADO ECONOMÍA", S1646="GRADO ING. TECNOLOGÍAS INDUSTRIALES"), 24, 0)) + (IF(AND(K1646&gt;=451, K1646&lt;=700), 23, 0)) + (IF(AND(AB1646&gt;=5, AB1646&lt;=8), 17, 0)) +(IF(_xludf.OR(_xludf.AND(AC1646&gt;=8, AC1646&lt;=10), _xludf.AND(AC1646&gt;=0, AC1646&lt;=5)), 16, 0)) + (IF(F1646="Madrid", 11, 0))))</f>
        <v>#NAME?</v>
      </c>
      <c r="AG1646" s="68"/>
      <c r="AH1646" s="71" t="s">
        <v>164</v>
      </c>
    </row>
    <row r="1647" spans="1:34" s="4" customFormat="1" ht="14.4" x14ac:dyDescent="0.3">
      <c r="A1647" s="66" t="s">
        <v>2625</v>
      </c>
      <c r="B1647" s="66" t="s">
        <v>4742</v>
      </c>
      <c r="C1647" s="33">
        <v>1646</v>
      </c>
      <c r="D1647" s="33" t="s">
        <v>5396</v>
      </c>
      <c r="E1647" s="34" t="s">
        <v>5359</v>
      </c>
      <c r="F1647" s="34" t="s">
        <v>18</v>
      </c>
      <c r="G1647" s="57">
        <v>45334</v>
      </c>
      <c r="H1647" s="57">
        <v>45699</v>
      </c>
      <c r="I1647" s="34">
        <f t="shared" si="75"/>
        <v>11</v>
      </c>
      <c r="J1647" s="34">
        <v>35</v>
      </c>
      <c r="K1647" s="36">
        <v>900</v>
      </c>
      <c r="L1647" s="34" t="s">
        <v>17</v>
      </c>
      <c r="M1647" s="35">
        <v>36846</v>
      </c>
      <c r="N1647" s="37">
        <f>(YEAR(TablaMadre[[#This Row],[ALTA]])-YEAR(M1647))</f>
        <v>24</v>
      </c>
      <c r="O1647" s="34" t="s">
        <v>18</v>
      </c>
      <c r="P1647" s="34" t="s">
        <v>19</v>
      </c>
      <c r="Q1647" s="34" t="s">
        <v>429</v>
      </c>
      <c r="R1647" s="34" t="s">
        <v>21</v>
      </c>
      <c r="S1647" s="34" t="s">
        <v>429</v>
      </c>
      <c r="T1647" s="34"/>
      <c r="U1647" s="34"/>
      <c r="V1647" s="34" t="s">
        <v>40</v>
      </c>
      <c r="W1647" s="34" t="s">
        <v>28</v>
      </c>
      <c r="X1647" s="34" t="s">
        <v>173</v>
      </c>
      <c r="Y1647" s="57"/>
      <c r="Z1647" s="34" t="e">
        <f t="shared" si="76"/>
        <v>#NUM!</v>
      </c>
      <c r="AA1647" s="34"/>
      <c r="AB1647" s="34">
        <v>10</v>
      </c>
      <c r="AC1647" s="34">
        <v>10</v>
      </c>
      <c r="AD1647" s="34"/>
      <c r="AE1647" s="59" t="str">
        <f t="shared" si="77"/>
        <v>NO</v>
      </c>
      <c r="AF1647" s="34" t="e" cm="1">
        <f t="array" aca="1" ref="AF1647" ca="1">MIN(100, MAX(0, (IF(R1647="ESTUDIANTE", 31, 0)) + (IF(I1647&lt;=3, 30, IF(I1647&lt;=6, 20, 0))) +(IF(OR(E1647="413 - Control de Costes y Enlace Construcción", E1647="480 - Secretaría General del Consejo", E1647="132 - Civil y estructuras", E1647="136 - Mecánica", E1647="412 - Planificación", E1647="142 - Compras"), 25, 0)) +(IF(OR(S1647="GRADO ING. MECÁNICA", S1647="GRADO ING. ELÉCTRICA", S1647="GRADO DERECHO", S1647="GRADO ECONOMÍA", S1647="GRADO ING. TECNOLOGÍAS INDUSTRIALES"), 24, 0)) + (IF(AND(K1647&gt;=451, K1647&lt;=700), 23, 0)) + (IF(AND(AB1647&gt;=5, AB1647&lt;=8), 17, 0)) +(IF(_xludf.OR(_xludf.AND(AC1647&gt;=8, AC1647&lt;=10), _xludf.AND(AC1647&gt;=0, AC1647&lt;=5)), 16, 0)) + (IF(F1647="Madrid", 11, 0))))</f>
        <v>#NAME?</v>
      </c>
      <c r="AG1647" s="69"/>
      <c r="AH1647" s="71" t="s">
        <v>164</v>
      </c>
    </row>
    <row r="1648" spans="1:34" ht="14.4" x14ac:dyDescent="0.3">
      <c r="A1648" s="66" t="s">
        <v>2626</v>
      </c>
      <c r="B1648" s="66" t="s">
        <v>4743</v>
      </c>
      <c r="C1648" s="33">
        <v>1647</v>
      </c>
      <c r="D1648" s="33" t="s">
        <v>5397</v>
      </c>
      <c r="E1648" s="34" t="s">
        <v>5354</v>
      </c>
      <c r="F1648" s="34" t="s">
        <v>18</v>
      </c>
      <c r="G1648" s="57">
        <v>45334</v>
      </c>
      <c r="H1648" s="57">
        <v>45701</v>
      </c>
      <c r="I1648" s="34">
        <f t="shared" si="75"/>
        <v>12</v>
      </c>
      <c r="J1648" s="34">
        <v>35</v>
      </c>
      <c r="K1648" s="36">
        <v>700</v>
      </c>
      <c r="L1648" s="34" t="s">
        <v>29</v>
      </c>
      <c r="M1648" s="35">
        <v>36787</v>
      </c>
      <c r="N1648" s="37">
        <f>(YEAR(TablaMadre[[#This Row],[ALTA]])-YEAR(M1648))</f>
        <v>24</v>
      </c>
      <c r="O1648" s="34" t="s">
        <v>18</v>
      </c>
      <c r="P1648" s="34" t="s">
        <v>19</v>
      </c>
      <c r="Q1648" s="34" t="s">
        <v>297</v>
      </c>
      <c r="R1648" s="58" t="s">
        <v>30</v>
      </c>
      <c r="S1648" s="34" t="s">
        <v>297</v>
      </c>
      <c r="T1648" s="34"/>
      <c r="U1648" s="34"/>
      <c r="V1648" s="34" t="s">
        <v>40</v>
      </c>
      <c r="W1648" s="34" t="s">
        <v>28</v>
      </c>
      <c r="X1648" s="38" t="s">
        <v>173</v>
      </c>
      <c r="Y1648" s="62"/>
      <c r="Z1648" s="38" t="e">
        <f t="shared" si="76"/>
        <v>#NUM!</v>
      </c>
      <c r="AA1648" s="38"/>
      <c r="AB1648" s="34">
        <v>10</v>
      </c>
      <c r="AC1648" s="34">
        <v>9</v>
      </c>
      <c r="AD1648" s="38"/>
      <c r="AE1648" s="59" t="str">
        <f t="shared" si="77"/>
        <v>NO</v>
      </c>
      <c r="AF1648" s="38" t="e" cm="1">
        <f t="array" aca="1" ref="AF1648" ca="1">MIN(100, MAX(0, (IF(R1648="ESTUDIANTE", 31, 0)) + (IF(I1648&lt;=3, 30, IF(I1648&lt;=6, 20, 0))) +(IF(OR(E1648="413 - Control de Costes y Enlace Construcción", E1648="480 - Secretaría General del Consejo", E1648="132 - Civil y estructuras", E1648="136 - Mecánica", E1648="412 - Planificación", E1648="142 - Compras"), 25, 0)) +(IF(OR(S1648="GRADO ING. MECÁNICA", S1648="GRADO ING. ELÉCTRICA", S1648="GRADO DERECHO", S1648="GRADO ECONOMÍA", S1648="GRADO ING. TECNOLOGÍAS INDUSTRIALES"), 24, 0)) + (IF(AND(K1648&gt;=451, K1648&lt;=700), 23, 0)) + (IF(AND(AB1648&gt;=5, AB1648&lt;=8), 17, 0)) +(IF(_xludf.OR(_xludf.AND(AC1648&gt;=8, AC1648&lt;=10), _xludf.AND(AC1648&gt;=0, AC1648&lt;=5)), 16, 0)) + (IF(F1648="Madrid", 11, 0))))</f>
        <v>#NAME?</v>
      </c>
      <c r="AG1648" s="68"/>
      <c r="AH1648" s="71" t="s">
        <v>164</v>
      </c>
    </row>
    <row r="1649" spans="1:34" s="4" customFormat="1" ht="14.4" x14ac:dyDescent="0.3">
      <c r="A1649" s="66" t="s">
        <v>2627</v>
      </c>
      <c r="B1649" s="66" t="s">
        <v>4744</v>
      </c>
      <c r="C1649" s="33">
        <v>1648</v>
      </c>
      <c r="D1649" s="33" t="s">
        <v>5398</v>
      </c>
      <c r="E1649" s="34" t="s">
        <v>5246</v>
      </c>
      <c r="F1649" s="34" t="s">
        <v>931</v>
      </c>
      <c r="G1649" s="57">
        <v>45336</v>
      </c>
      <c r="H1649" s="57">
        <v>45580</v>
      </c>
      <c r="I1649" s="34">
        <f t="shared" si="75"/>
        <v>8</v>
      </c>
      <c r="J1649" s="34">
        <v>35</v>
      </c>
      <c r="K1649" s="36">
        <v>700</v>
      </c>
      <c r="L1649" s="34" t="s">
        <v>17</v>
      </c>
      <c r="M1649" s="35">
        <v>37130</v>
      </c>
      <c r="N1649" s="37">
        <f>(YEAR(TablaMadre[[#This Row],[ALTA]])-YEAR(M1649))</f>
        <v>23</v>
      </c>
      <c r="O1649" s="34"/>
      <c r="P1649" s="34" t="s">
        <v>19</v>
      </c>
      <c r="Q1649" s="34" t="s">
        <v>277</v>
      </c>
      <c r="R1649" s="58" t="s">
        <v>30</v>
      </c>
      <c r="S1649" s="34" t="s">
        <v>277</v>
      </c>
      <c r="T1649" s="34"/>
      <c r="U1649" s="34"/>
      <c r="V1649" s="34" t="s">
        <v>22</v>
      </c>
      <c r="W1649" s="34" t="s">
        <v>28</v>
      </c>
      <c r="X1649" s="34" t="s">
        <v>173</v>
      </c>
      <c r="Y1649" s="57"/>
      <c r="Z1649" s="34" t="e">
        <f t="shared" si="76"/>
        <v>#NUM!</v>
      </c>
      <c r="AA1649" s="34"/>
      <c r="AB1649" s="34">
        <v>4</v>
      </c>
      <c r="AC1649" s="34">
        <v>7</v>
      </c>
      <c r="AD1649" s="34"/>
      <c r="AE1649" s="59" t="str">
        <f t="shared" si="77"/>
        <v>SÍ</v>
      </c>
      <c r="AF1649" s="34" t="e" cm="1">
        <f t="array" aca="1" ref="AF1649" ca="1">MIN(100, MAX(0, (IF(R1649="ESTUDIANTE", 31, 0)) + (IF(I1649&lt;=3, 30, IF(I1649&lt;=6, 20, 0))) +(IF(OR(E1649="413 - Control de Costes y Enlace Construcción", E1649="480 - Secretaría General del Consejo", E1649="132 - Civil y estructuras", E1649="136 - Mecánica", E1649="412 - Planificación", E1649="142 - Compras"), 25, 0)) +(IF(OR(S1649="GRADO ING. MECÁNICA", S1649="GRADO ING. ELÉCTRICA", S1649="GRADO DERECHO", S1649="GRADO ECONOMÍA", S1649="GRADO ING. TECNOLOGÍAS INDUSTRIALES"), 24, 0)) + (IF(AND(K1649&gt;=451, K1649&lt;=700), 23, 0)) + (IF(AND(AB1649&gt;=5, AB1649&lt;=8), 17, 0)) +(IF(_xludf.OR(_xludf.AND(AC1649&gt;=8, AC1649&lt;=10), _xludf.AND(AC1649&gt;=0, AC1649&lt;=5)), 16, 0)) + (IF(F1649="Madrid", 11, 0))))</f>
        <v>#NAME?</v>
      </c>
      <c r="AG1649" s="69"/>
      <c r="AH1649" s="71" t="s">
        <v>164</v>
      </c>
    </row>
    <row r="1650" spans="1:34" ht="14.4" x14ac:dyDescent="0.3">
      <c r="A1650" s="66" t="s">
        <v>2514</v>
      </c>
      <c r="B1650" s="66" t="s">
        <v>4631</v>
      </c>
      <c r="C1650" s="33">
        <v>1650</v>
      </c>
      <c r="D1650" s="33" t="s">
        <v>5399</v>
      </c>
      <c r="E1650" s="34" t="s">
        <v>5285</v>
      </c>
      <c r="F1650" s="34" t="s">
        <v>931</v>
      </c>
      <c r="G1650" s="57">
        <v>45341</v>
      </c>
      <c r="H1650" s="57">
        <v>45522</v>
      </c>
      <c r="I1650" s="34">
        <f t="shared" si="75"/>
        <v>5</v>
      </c>
      <c r="J1650" s="34">
        <v>35</v>
      </c>
      <c r="K1650" s="36">
        <v>700</v>
      </c>
      <c r="L1650" s="34" t="s">
        <v>17</v>
      </c>
      <c r="M1650" s="35">
        <v>37556</v>
      </c>
      <c r="N1650" s="37">
        <f>(YEAR(TablaMadre[[#This Row],[ALTA]])-YEAR(M1650))</f>
        <v>22</v>
      </c>
      <c r="O1650" s="34"/>
      <c r="P1650" s="34" t="s">
        <v>19</v>
      </c>
      <c r="Q1650" s="34" t="s">
        <v>760</v>
      </c>
      <c r="R1650" s="58" t="s">
        <v>30</v>
      </c>
      <c r="S1650" s="34" t="s">
        <v>761</v>
      </c>
      <c r="T1650" s="34"/>
      <c r="U1650" s="34"/>
      <c r="V1650" s="34" t="s">
        <v>114</v>
      </c>
      <c r="W1650" s="34" t="s">
        <v>47</v>
      </c>
      <c r="X1650" s="34" t="s">
        <v>164</v>
      </c>
      <c r="Y1650" s="57"/>
      <c r="Z1650" s="34" t="e">
        <f t="shared" si="76"/>
        <v>#NUM!</v>
      </c>
      <c r="AA1650" s="34"/>
      <c r="AB1650" s="34">
        <v>6</v>
      </c>
      <c r="AC1650" s="34" t="s">
        <v>544</v>
      </c>
      <c r="AD1650" s="34"/>
      <c r="AE1650" s="59" t="str">
        <f t="shared" si="77"/>
        <v>SÍ</v>
      </c>
      <c r="AF1650" s="38" t="e" cm="1">
        <f t="array" aca="1" ref="AF1650" ca="1">MIN(100, MAX(0, (IF(R1650="ESTUDIANTE", 31, 0)) + (IF(I1650&lt;=3, 30, IF(I1650&lt;=6, 20, 0))) +(IF(OR(E1650="413 - Control de Costes y Enlace Construcción", E1650="480 - Secretaría General del Consejo", E1650="132 - Civil y estructuras", E1650="136 - Mecánica", E1650="412 - Planificación", E1650="142 - Compras"), 25, 0)) +(IF(OR(S1650="GRADO ING. MECÁNICA", S1650="GRADO ING. ELÉCTRICA", S1650="GRADO DERECHO", S1650="GRADO ECONOMÍA", S1650="GRADO ING. TECNOLOGÍAS INDUSTRIALES"), 24, 0)) + (IF(AND(K1650&gt;=451, K1650&lt;=700), 23, 0)) + (IF(AND(AB1650&gt;=5, AB1650&lt;=8), 17, 0)) +(IF(_xludf.OR(_xludf.AND(AC1650&gt;=8, AC1650&lt;=10), _xludf.AND(AC1650&gt;=0, AC1650&lt;=5)), 16, 0)) + (IF(F1650="Madrid", 11, 0))))</f>
        <v>#NAME?</v>
      </c>
      <c r="AG1650" s="68"/>
      <c r="AH1650" s="71" t="s">
        <v>164</v>
      </c>
    </row>
    <row r="1651" spans="1:34" s="4" customFormat="1" ht="14.4" x14ac:dyDescent="0.3">
      <c r="A1651" s="66" t="s">
        <v>2517</v>
      </c>
      <c r="B1651" s="66" t="s">
        <v>4634</v>
      </c>
      <c r="C1651" s="33">
        <v>1649</v>
      </c>
      <c r="D1651" s="33" t="s">
        <v>5400</v>
      </c>
      <c r="E1651" s="34" t="s">
        <v>5236</v>
      </c>
      <c r="F1651" s="34" t="s">
        <v>931</v>
      </c>
      <c r="G1651" s="57">
        <v>45341</v>
      </c>
      <c r="H1651" s="57">
        <v>45364</v>
      </c>
      <c r="I1651" s="34">
        <f t="shared" si="75"/>
        <v>0</v>
      </c>
      <c r="J1651" s="34">
        <v>25</v>
      </c>
      <c r="K1651" s="36" t="s">
        <v>34</v>
      </c>
      <c r="L1651" s="34" t="s">
        <v>29</v>
      </c>
      <c r="M1651" s="35">
        <v>37032</v>
      </c>
      <c r="N1651" s="37">
        <f>(YEAR(TablaMadre[[#This Row],[ALTA]])-YEAR(M1651))</f>
        <v>23</v>
      </c>
      <c r="O1651" s="34"/>
      <c r="P1651" s="34"/>
      <c r="Q1651" s="34" t="s">
        <v>699</v>
      </c>
      <c r="R1651" s="58" t="s">
        <v>30</v>
      </c>
      <c r="S1651" s="34" t="s">
        <v>354</v>
      </c>
      <c r="T1651" s="34"/>
      <c r="U1651" s="34"/>
      <c r="V1651" s="34" t="s">
        <v>40</v>
      </c>
      <c r="W1651" s="34" t="s">
        <v>23</v>
      </c>
      <c r="X1651" s="38" t="s">
        <v>164</v>
      </c>
      <c r="Y1651" s="62"/>
      <c r="Z1651" s="38" t="e">
        <f t="shared" si="76"/>
        <v>#NUM!</v>
      </c>
      <c r="AA1651" s="38"/>
      <c r="AB1651" s="34"/>
      <c r="AC1651" s="34"/>
      <c r="AD1651" s="38"/>
      <c r="AE1651" s="59" t="str">
        <f t="shared" si="77"/>
        <v>SÍ</v>
      </c>
      <c r="AF1651" s="34" t="e" cm="1">
        <f t="array" aca="1" ref="AF1651" ca="1">MIN(100, MAX(0, (IF(R1651="ESTUDIANTE", 31, 0)) + (IF(I1651&lt;=3, 30, IF(I1651&lt;=6, 20, 0))) +(IF(OR(E1651="413 - Control de Costes y Enlace Construcción", E1651="480 - Secretaría General del Consejo", E1651="132 - Civil y estructuras", E1651="136 - Mecánica", E1651="412 - Planificación", E1651="142 - Compras"), 25, 0)) +(IF(OR(S1651="GRADO ING. MECÁNICA", S1651="GRADO ING. ELÉCTRICA", S1651="GRADO DERECHO", S1651="GRADO ECONOMÍA", S1651="GRADO ING. TECNOLOGÍAS INDUSTRIALES"), 24, 0)) + (IF(AND(K1651&gt;=451, K1651&lt;=700), 23, 0)) + (IF(AND(AB1651&gt;=5, AB1651&lt;=8), 17, 0)) +(IF(_xludf.OR(_xludf.AND(AC1651&gt;=8, AC1651&lt;=10), _xludf.AND(AC1651&gt;=0, AC1651&lt;=5)), 16, 0)) + (IF(F1651="Madrid", 11, 0))))</f>
        <v>#NAME?</v>
      </c>
      <c r="AG1651" s="69"/>
      <c r="AH1651" s="71" t="s">
        <v>164</v>
      </c>
    </row>
    <row r="1652" spans="1:34" s="9" customFormat="1" ht="14.4" x14ac:dyDescent="0.3">
      <c r="A1652" s="66" t="s">
        <v>2630</v>
      </c>
      <c r="B1652" s="66" t="s">
        <v>4747</v>
      </c>
      <c r="C1652" s="33">
        <v>1651</v>
      </c>
      <c r="D1652" s="33" t="s">
        <v>5401</v>
      </c>
      <c r="E1652" s="34" t="s">
        <v>5219</v>
      </c>
      <c r="F1652" s="34" t="s">
        <v>18</v>
      </c>
      <c r="G1652" s="57">
        <v>45341</v>
      </c>
      <c r="H1652" s="57">
        <v>45522</v>
      </c>
      <c r="I1652" s="34">
        <f t="shared" si="75"/>
        <v>5</v>
      </c>
      <c r="J1652" s="34">
        <v>30</v>
      </c>
      <c r="K1652" s="36">
        <v>750</v>
      </c>
      <c r="L1652" s="34" t="s">
        <v>29</v>
      </c>
      <c r="M1652" s="35">
        <v>37109</v>
      </c>
      <c r="N1652" s="37">
        <f>(YEAR(TablaMadre[[#This Row],[ALTA]])-YEAR(M1652))</f>
        <v>23</v>
      </c>
      <c r="O1652" s="34" t="s">
        <v>558</v>
      </c>
      <c r="P1652" s="34" t="s">
        <v>19</v>
      </c>
      <c r="Q1652" s="34" t="s">
        <v>762</v>
      </c>
      <c r="R1652" s="34" t="s">
        <v>21</v>
      </c>
      <c r="S1652" s="34" t="s">
        <v>473</v>
      </c>
      <c r="T1652" s="34"/>
      <c r="U1652" s="34"/>
      <c r="V1652" s="34" t="s">
        <v>163</v>
      </c>
      <c r="W1652" s="34" t="s">
        <v>28</v>
      </c>
      <c r="X1652" s="40" t="s">
        <v>173</v>
      </c>
      <c r="Y1652" s="63"/>
      <c r="Z1652" s="40" t="e">
        <f t="shared" si="76"/>
        <v>#NUM!</v>
      </c>
      <c r="AA1652" s="40"/>
      <c r="AB1652" s="34">
        <v>9</v>
      </c>
      <c r="AC1652" s="34">
        <v>7</v>
      </c>
      <c r="AD1652" s="40"/>
      <c r="AE1652" s="59" t="str">
        <f t="shared" si="77"/>
        <v>SÍ</v>
      </c>
      <c r="AF1652" s="40" t="e" cm="1">
        <f t="array" aca="1" ref="AF1652" ca="1">MIN(100, MAX(0, (IF(R1652="ESTUDIANTE", 31, 0)) + (IF(I1652&lt;=3, 30, IF(I1652&lt;=6, 20, 0))) +(IF(OR(E1652="413 - Control de Costes y Enlace Construcción", E1652="480 - Secretaría General del Consejo", E1652="132 - Civil y estructuras", E1652="136 - Mecánica", E1652="412 - Planificación", E1652="142 - Compras"), 25, 0)) +(IF(OR(S1652="GRADO ING. MECÁNICA", S1652="GRADO ING. ELÉCTRICA", S1652="GRADO DERECHO", S1652="GRADO ECONOMÍA", S1652="GRADO ING. TECNOLOGÍAS INDUSTRIALES"), 24, 0)) + (IF(AND(K1652&gt;=451, K1652&lt;=700), 23, 0)) + (IF(AND(AB1652&gt;=5, AB1652&lt;=8), 17, 0)) +(IF(_xludf.OR(_xludf.AND(AC1652&gt;=8, AC1652&lt;=10), _xludf.AND(AC1652&gt;=0, AC1652&lt;=5)), 16, 0)) + (IF(F1652="Madrid", 11, 0))))</f>
        <v>#NAME?</v>
      </c>
      <c r="AG1652" s="70"/>
      <c r="AH1652" s="71" t="s">
        <v>164</v>
      </c>
    </row>
    <row r="1653" spans="1:34" ht="14.4" x14ac:dyDescent="0.3">
      <c r="A1653" s="66" t="s">
        <v>2631</v>
      </c>
      <c r="B1653" s="66" t="s">
        <v>4748</v>
      </c>
      <c r="C1653" s="33">
        <v>1652</v>
      </c>
      <c r="D1653" s="33" t="s">
        <v>5402</v>
      </c>
      <c r="E1653" s="34" t="s">
        <v>5324</v>
      </c>
      <c r="F1653" s="34" t="s">
        <v>18</v>
      </c>
      <c r="G1653" s="57">
        <v>45341</v>
      </c>
      <c r="H1653" s="57">
        <v>45643</v>
      </c>
      <c r="I1653" s="34">
        <f t="shared" si="75"/>
        <v>9</v>
      </c>
      <c r="J1653" s="34">
        <v>35</v>
      </c>
      <c r="K1653" s="36">
        <v>800</v>
      </c>
      <c r="L1653" s="34" t="s">
        <v>17</v>
      </c>
      <c r="M1653" s="35">
        <v>37505</v>
      </c>
      <c r="N1653" s="37">
        <f>(YEAR(TablaMadre[[#This Row],[ALTA]])-YEAR(M1653))</f>
        <v>22</v>
      </c>
      <c r="O1653" s="34" t="s">
        <v>18</v>
      </c>
      <c r="P1653" s="34" t="s">
        <v>19</v>
      </c>
      <c r="Q1653" s="34" t="s">
        <v>229</v>
      </c>
      <c r="R1653" s="34" t="s">
        <v>21</v>
      </c>
      <c r="S1653" s="34" t="s">
        <v>229</v>
      </c>
      <c r="T1653" s="34"/>
      <c r="U1653" s="34"/>
      <c r="V1653" s="34" t="s">
        <v>84</v>
      </c>
      <c r="W1653" s="34" t="s">
        <v>28</v>
      </c>
      <c r="X1653" s="38" t="s">
        <v>173</v>
      </c>
      <c r="Y1653" s="62"/>
      <c r="Z1653" s="38" t="e">
        <f t="shared" si="76"/>
        <v>#NUM!</v>
      </c>
      <c r="AA1653" s="38"/>
      <c r="AB1653" s="34">
        <v>10</v>
      </c>
      <c r="AC1653" s="34">
        <v>9</v>
      </c>
      <c r="AD1653" s="38"/>
      <c r="AE1653" s="59" t="str">
        <f t="shared" si="77"/>
        <v>NO</v>
      </c>
      <c r="AF1653" s="38" t="e" cm="1">
        <f t="array" aca="1" ref="AF1653" ca="1">MIN(100, MAX(0, (IF(R1653="ESTUDIANTE", 31, 0)) + (IF(I1653&lt;=3, 30, IF(I1653&lt;=6, 20, 0))) +(IF(OR(E1653="413 - Control de Costes y Enlace Construcción", E1653="480 - Secretaría General del Consejo", E1653="132 - Civil y estructuras", E1653="136 - Mecánica", E1653="412 - Planificación", E1653="142 - Compras"), 25, 0)) +(IF(OR(S1653="GRADO ING. MECÁNICA", S1653="GRADO ING. ELÉCTRICA", S1653="GRADO DERECHO", S1653="GRADO ECONOMÍA", S1653="GRADO ING. TECNOLOGÍAS INDUSTRIALES"), 24, 0)) + (IF(AND(K1653&gt;=451, K1653&lt;=700), 23, 0)) + (IF(AND(AB1653&gt;=5, AB1653&lt;=8), 17, 0)) +(IF(_xludf.OR(_xludf.AND(AC1653&gt;=8, AC1653&lt;=10), _xludf.AND(AC1653&gt;=0, AC1653&lt;=5)), 16, 0)) + (IF(F1653="Madrid", 11, 0))))</f>
        <v>#NAME?</v>
      </c>
      <c r="AG1653" s="68"/>
      <c r="AH1653" s="71" t="s">
        <v>164</v>
      </c>
    </row>
    <row r="1654" spans="1:34" s="4" customFormat="1" ht="14.4" x14ac:dyDescent="0.3">
      <c r="A1654" s="66" t="s">
        <v>2632</v>
      </c>
      <c r="B1654" s="66" t="s">
        <v>4749</v>
      </c>
      <c r="C1654" s="33">
        <v>1653</v>
      </c>
      <c r="D1654" s="33" t="s">
        <v>5393</v>
      </c>
      <c r="E1654" s="34" t="s">
        <v>5354</v>
      </c>
      <c r="F1654" s="34" t="s">
        <v>18</v>
      </c>
      <c r="G1654" s="57">
        <v>45341</v>
      </c>
      <c r="H1654" s="57">
        <v>45706</v>
      </c>
      <c r="I1654" s="34">
        <f t="shared" si="75"/>
        <v>11</v>
      </c>
      <c r="J1654" s="34">
        <v>35</v>
      </c>
      <c r="K1654" s="36">
        <v>900</v>
      </c>
      <c r="L1654" s="34" t="s">
        <v>29</v>
      </c>
      <c r="M1654" s="35">
        <v>37590</v>
      </c>
      <c r="N1654" s="37">
        <f>(YEAR(TablaMadre[[#This Row],[ALTA]])-YEAR(M1654))</f>
        <v>22</v>
      </c>
      <c r="O1654" s="34" t="s">
        <v>18</v>
      </c>
      <c r="P1654" s="34" t="s">
        <v>19</v>
      </c>
      <c r="Q1654" s="34" t="s">
        <v>136</v>
      </c>
      <c r="R1654" s="34" t="s">
        <v>21</v>
      </c>
      <c r="S1654" s="34" t="s">
        <v>136</v>
      </c>
      <c r="T1654" s="34"/>
      <c r="U1654" s="34"/>
      <c r="V1654" s="34" t="s">
        <v>22</v>
      </c>
      <c r="W1654" s="34" t="s">
        <v>28</v>
      </c>
      <c r="X1654" s="34" t="s">
        <v>173</v>
      </c>
      <c r="Y1654" s="57"/>
      <c r="Z1654" s="34" t="e">
        <f t="shared" si="76"/>
        <v>#NUM!</v>
      </c>
      <c r="AA1654" s="34"/>
      <c r="AB1654" s="34">
        <v>9</v>
      </c>
      <c r="AC1654" s="34">
        <v>10</v>
      </c>
      <c r="AD1654" s="34"/>
      <c r="AE1654" s="59" t="str">
        <f t="shared" si="77"/>
        <v>NO</v>
      </c>
      <c r="AF1654" s="34" t="e" cm="1">
        <f t="array" aca="1" ref="AF1654" ca="1">MIN(100, MAX(0, (IF(R1654="ESTUDIANTE", 31, 0)) + (IF(I1654&lt;=3, 30, IF(I1654&lt;=6, 20, 0))) +(IF(OR(E1654="413 - Control de Costes y Enlace Construcción", E1654="480 - Secretaría General del Consejo", E1654="132 - Civil y estructuras", E1654="136 - Mecánica", E1654="412 - Planificación", E1654="142 - Compras"), 25, 0)) +(IF(OR(S1654="GRADO ING. MECÁNICA", S1654="GRADO ING. ELÉCTRICA", S1654="GRADO DERECHO", S1654="GRADO ECONOMÍA", S1654="GRADO ING. TECNOLOGÍAS INDUSTRIALES"), 24, 0)) + (IF(AND(K1654&gt;=451, K1654&lt;=700), 23, 0)) + (IF(AND(AB1654&gt;=5, AB1654&lt;=8), 17, 0)) +(IF(_xludf.OR(_xludf.AND(AC1654&gt;=8, AC1654&lt;=10), _xludf.AND(AC1654&gt;=0, AC1654&lt;=5)), 16, 0)) + (IF(F1654="Madrid", 11, 0))))</f>
        <v>#NAME?</v>
      </c>
      <c r="AG1654" s="69"/>
      <c r="AH1654" s="71" t="s">
        <v>164</v>
      </c>
    </row>
    <row r="1655" spans="1:34" s="4" customFormat="1" ht="14.4" x14ac:dyDescent="0.3">
      <c r="A1655" s="66" t="s">
        <v>2633</v>
      </c>
      <c r="B1655" s="66" t="s">
        <v>4750</v>
      </c>
      <c r="C1655" s="33">
        <v>1654</v>
      </c>
      <c r="D1655" s="33" t="s">
        <v>5394</v>
      </c>
      <c r="E1655" s="34" t="s">
        <v>5317</v>
      </c>
      <c r="F1655" s="34" t="s">
        <v>18</v>
      </c>
      <c r="G1655" s="57">
        <v>45341</v>
      </c>
      <c r="H1655" s="57">
        <v>45716</v>
      </c>
      <c r="I1655" s="34">
        <f t="shared" si="75"/>
        <v>12</v>
      </c>
      <c r="J1655" s="34">
        <v>35</v>
      </c>
      <c r="K1655" s="36">
        <v>800</v>
      </c>
      <c r="L1655" s="34" t="s">
        <v>17</v>
      </c>
      <c r="M1655" s="35">
        <v>36665</v>
      </c>
      <c r="N1655" s="37">
        <f>(YEAR(TablaMadre[[#This Row],[ALTA]])-YEAR(M1655))</f>
        <v>24</v>
      </c>
      <c r="O1655" s="34" t="s">
        <v>70</v>
      </c>
      <c r="P1655" s="34" t="s">
        <v>19</v>
      </c>
      <c r="Q1655" s="34" t="s">
        <v>807</v>
      </c>
      <c r="R1655" s="34" t="s">
        <v>21</v>
      </c>
      <c r="S1655" s="34" t="s">
        <v>807</v>
      </c>
      <c r="T1655" s="34"/>
      <c r="U1655" s="34"/>
      <c r="V1655" s="34" t="s">
        <v>122</v>
      </c>
      <c r="W1655" s="34" t="s">
        <v>28</v>
      </c>
      <c r="X1655" s="34" t="s">
        <v>173</v>
      </c>
      <c r="Y1655" s="57"/>
      <c r="Z1655" s="34" t="e">
        <f t="shared" si="76"/>
        <v>#NUM!</v>
      </c>
      <c r="AA1655" s="34"/>
      <c r="AB1655" s="34">
        <v>10</v>
      </c>
      <c r="AC1655" s="34">
        <v>6</v>
      </c>
      <c r="AD1655" s="34"/>
      <c r="AE1655" s="59" t="str">
        <f t="shared" si="77"/>
        <v>SÍ</v>
      </c>
      <c r="AF1655" s="34" t="e" cm="1">
        <f t="array" aca="1" ref="AF1655" ca="1">MIN(100, MAX(0, (IF(R1655="ESTUDIANTE", 31, 0)) + (IF(I1655&lt;=3, 30, IF(I1655&lt;=6, 20, 0))) +(IF(OR(E1655="413 - Control de Costes y Enlace Construcción", E1655="480 - Secretaría General del Consejo", E1655="132 - Civil y estructuras", E1655="136 - Mecánica", E1655="412 - Planificación", E1655="142 - Compras"), 25, 0)) +(IF(OR(S1655="GRADO ING. MECÁNICA", S1655="GRADO ING. ELÉCTRICA", S1655="GRADO DERECHO", S1655="GRADO ECONOMÍA", S1655="GRADO ING. TECNOLOGÍAS INDUSTRIALES"), 24, 0)) + (IF(AND(K1655&gt;=451, K1655&lt;=700), 23, 0)) + (IF(AND(AB1655&gt;=5, AB1655&lt;=8), 17, 0)) +(IF(_xludf.OR(_xludf.AND(AC1655&gt;=8, AC1655&lt;=10), _xludf.AND(AC1655&gt;=0, AC1655&lt;=5)), 16, 0)) + (IF(F1655="Madrid", 11, 0))))</f>
        <v>#NAME?</v>
      </c>
      <c r="AG1655" s="69"/>
      <c r="AH1655" s="71" t="s">
        <v>164</v>
      </c>
    </row>
    <row r="1656" spans="1:34" s="4" customFormat="1" ht="14.4" x14ac:dyDescent="0.3">
      <c r="A1656" s="66" t="s">
        <v>2518</v>
      </c>
      <c r="B1656" s="66" t="s">
        <v>4635</v>
      </c>
      <c r="C1656" s="33">
        <v>1655</v>
      </c>
      <c r="D1656" s="33" t="s">
        <v>5403</v>
      </c>
      <c r="E1656" s="34" t="s">
        <v>5285</v>
      </c>
      <c r="F1656" s="34" t="s">
        <v>931</v>
      </c>
      <c r="G1656" s="57">
        <v>45343</v>
      </c>
      <c r="H1656" s="57">
        <v>45524</v>
      </c>
      <c r="I1656" s="34">
        <f t="shared" si="75"/>
        <v>5</v>
      </c>
      <c r="J1656" s="34">
        <v>25</v>
      </c>
      <c r="K1656" s="36">
        <v>625</v>
      </c>
      <c r="L1656" s="34" t="s">
        <v>29</v>
      </c>
      <c r="M1656" s="35">
        <v>36258</v>
      </c>
      <c r="N1656" s="37">
        <f>(YEAR(TablaMadre[[#This Row],[ALTA]])-YEAR(M1656))</f>
        <v>25</v>
      </c>
      <c r="O1656" s="34"/>
      <c r="P1656" s="34" t="s">
        <v>19</v>
      </c>
      <c r="Q1656" s="34" t="s">
        <v>626</v>
      </c>
      <c r="R1656" s="58" t="s">
        <v>30</v>
      </c>
      <c r="S1656" s="34" t="s">
        <v>322</v>
      </c>
      <c r="T1656" s="34"/>
      <c r="U1656" s="34"/>
      <c r="V1656" s="34" t="s">
        <v>22</v>
      </c>
      <c r="W1656" s="34" t="s">
        <v>23</v>
      </c>
      <c r="X1656" s="34" t="s">
        <v>164</v>
      </c>
      <c r="Y1656" s="57"/>
      <c r="Z1656" s="34" t="e">
        <f t="shared" si="76"/>
        <v>#NUM!</v>
      </c>
      <c r="AA1656" s="34"/>
      <c r="AB1656" s="34">
        <v>5</v>
      </c>
      <c r="AC1656" s="34">
        <v>1</v>
      </c>
      <c r="AD1656" s="34"/>
      <c r="AE1656" s="59" t="str">
        <f t="shared" si="77"/>
        <v>SÍ</v>
      </c>
      <c r="AF1656" s="34" t="e" cm="1">
        <f t="array" aca="1" ref="AF1656" ca="1">MIN(100, MAX(0, (IF(R1656="ESTUDIANTE", 31, 0)) + (IF(I1656&lt;=3, 30, IF(I1656&lt;=6, 20, 0))) +(IF(OR(E1656="413 - Control de Costes y Enlace Construcción", E1656="480 - Secretaría General del Consejo", E1656="132 - Civil y estructuras", E1656="136 - Mecánica", E1656="412 - Planificación", E1656="142 - Compras"), 25, 0)) +(IF(OR(S1656="GRADO ING. MECÁNICA", S1656="GRADO ING. ELÉCTRICA", S1656="GRADO DERECHO", S1656="GRADO ECONOMÍA", S1656="GRADO ING. TECNOLOGÍAS INDUSTRIALES"), 24, 0)) + (IF(AND(K1656&gt;=451, K1656&lt;=700), 23, 0)) + (IF(AND(AB1656&gt;=5, AB1656&lt;=8), 17, 0)) +(IF(_xludf.OR(_xludf.AND(AC1656&gt;=8, AC1656&lt;=10), _xludf.AND(AC1656&gt;=0, AC1656&lt;=5)), 16, 0)) + (IF(F1656="Madrid", 11, 0))))</f>
        <v>#NAME?</v>
      </c>
      <c r="AG1656" s="69"/>
      <c r="AH1656" s="71" t="s">
        <v>164</v>
      </c>
    </row>
    <row r="1657" spans="1:34" s="4" customFormat="1" ht="14.4" x14ac:dyDescent="0.3">
      <c r="A1657" s="66" t="s">
        <v>2635</v>
      </c>
      <c r="B1657" s="66" t="s">
        <v>4752</v>
      </c>
      <c r="C1657" s="33">
        <v>1656</v>
      </c>
      <c r="D1657" s="33" t="s">
        <v>5404</v>
      </c>
      <c r="E1657" s="34" t="s">
        <v>5285</v>
      </c>
      <c r="F1657" s="34" t="s">
        <v>18</v>
      </c>
      <c r="G1657" s="57">
        <v>45343</v>
      </c>
      <c r="H1657" s="57">
        <v>45675</v>
      </c>
      <c r="I1657" s="34">
        <f t="shared" si="75"/>
        <v>10</v>
      </c>
      <c r="J1657" s="34">
        <v>25</v>
      </c>
      <c r="K1657" s="36">
        <v>625</v>
      </c>
      <c r="L1657" s="34" t="s">
        <v>17</v>
      </c>
      <c r="M1657" s="35">
        <v>36170</v>
      </c>
      <c r="N1657" s="37">
        <f>(YEAR(TablaMadre[[#This Row],[ALTA]])-YEAR(M1657))</f>
        <v>25</v>
      </c>
      <c r="O1657" s="34" t="s">
        <v>18</v>
      </c>
      <c r="P1657" s="34" t="s">
        <v>19</v>
      </c>
      <c r="Q1657" s="34" t="s">
        <v>136</v>
      </c>
      <c r="R1657" s="58" t="s">
        <v>30</v>
      </c>
      <c r="S1657" s="34" t="s">
        <v>136</v>
      </c>
      <c r="T1657" s="34"/>
      <c r="U1657" s="34"/>
      <c r="V1657" s="34" t="s">
        <v>22</v>
      </c>
      <c r="W1657" s="34" t="s">
        <v>28</v>
      </c>
      <c r="X1657" s="34" t="s">
        <v>173</v>
      </c>
      <c r="Y1657" s="57"/>
      <c r="Z1657" s="34" t="e">
        <f t="shared" si="76"/>
        <v>#NUM!</v>
      </c>
      <c r="AA1657" s="34"/>
      <c r="AB1657" s="34">
        <v>8</v>
      </c>
      <c r="AC1657" s="34" t="s">
        <v>797</v>
      </c>
      <c r="AD1657" s="34"/>
      <c r="AE1657" s="59" t="str">
        <f t="shared" si="77"/>
        <v>NO</v>
      </c>
      <c r="AF1657" s="34" t="e" cm="1">
        <f t="array" aca="1" ref="AF1657" ca="1">MIN(100, MAX(0, (IF(R1657="ESTUDIANTE", 31, 0)) + (IF(I1657&lt;=3, 30, IF(I1657&lt;=6, 20, 0))) +(IF(OR(E1657="413 - Control de Costes y Enlace Construcción", E1657="480 - Secretaría General del Consejo", E1657="132 - Civil y estructuras", E1657="136 - Mecánica", E1657="412 - Planificación", E1657="142 - Compras"), 25, 0)) +(IF(OR(S1657="GRADO ING. MECÁNICA", S1657="GRADO ING. ELÉCTRICA", S1657="GRADO DERECHO", S1657="GRADO ECONOMÍA", S1657="GRADO ING. TECNOLOGÍAS INDUSTRIALES"), 24, 0)) + (IF(AND(K1657&gt;=451, K1657&lt;=700), 23, 0)) + (IF(AND(AB1657&gt;=5, AB1657&lt;=8), 17, 0)) +(IF(_xludf.OR(_xludf.AND(AC1657&gt;=8, AC1657&lt;=10), _xludf.AND(AC1657&gt;=0, AC1657&lt;=5)), 16, 0)) + (IF(F1657="Madrid", 11, 0))))</f>
        <v>#NAME?</v>
      </c>
      <c r="AG1657" s="69"/>
      <c r="AH1657" s="71" t="s">
        <v>164</v>
      </c>
    </row>
    <row r="1658" spans="1:34" s="4" customFormat="1" ht="14.4" x14ac:dyDescent="0.3">
      <c r="A1658" s="66" t="s">
        <v>2520</v>
      </c>
      <c r="B1658" s="66" t="s">
        <v>4637</v>
      </c>
      <c r="C1658" s="33">
        <v>1660</v>
      </c>
      <c r="D1658" s="33" t="s">
        <v>5405</v>
      </c>
      <c r="E1658" s="34" t="s">
        <v>5216</v>
      </c>
      <c r="F1658" s="34" t="s">
        <v>931</v>
      </c>
      <c r="G1658" s="57">
        <v>45348</v>
      </c>
      <c r="H1658" s="57">
        <v>45532</v>
      </c>
      <c r="I1658" s="34">
        <f t="shared" si="75"/>
        <v>6</v>
      </c>
      <c r="J1658" s="34">
        <v>35</v>
      </c>
      <c r="K1658" s="36">
        <v>750</v>
      </c>
      <c r="L1658" s="34" t="s">
        <v>29</v>
      </c>
      <c r="M1658" s="35">
        <v>37007</v>
      </c>
      <c r="N1658" s="37">
        <f>(YEAR(TablaMadre[[#This Row],[ALTA]])-YEAR(M1658))</f>
        <v>23</v>
      </c>
      <c r="O1658" s="34"/>
      <c r="P1658" s="34" t="s">
        <v>19</v>
      </c>
      <c r="Q1658" s="34" t="s">
        <v>297</v>
      </c>
      <c r="R1658" s="34" t="s">
        <v>21</v>
      </c>
      <c r="S1658" s="34" t="s">
        <v>297</v>
      </c>
      <c r="T1658" s="34"/>
      <c r="U1658" s="34"/>
      <c r="V1658" s="34" t="s">
        <v>22</v>
      </c>
      <c r="W1658" s="34" t="s">
        <v>91</v>
      </c>
      <c r="X1658" s="34" t="s">
        <v>164</v>
      </c>
      <c r="Y1658" s="57"/>
      <c r="Z1658" s="34" t="e">
        <f t="shared" si="76"/>
        <v>#NUM!</v>
      </c>
      <c r="AA1658" s="34"/>
      <c r="AB1658" s="34">
        <v>9</v>
      </c>
      <c r="AC1658" s="34" t="s">
        <v>723</v>
      </c>
      <c r="AD1658" s="34"/>
      <c r="AE1658" s="59" t="str">
        <f t="shared" si="77"/>
        <v>SÍ</v>
      </c>
      <c r="AF1658" s="34" t="e" cm="1">
        <f t="array" aca="1" ref="AF1658" ca="1">MIN(100, MAX(0, (IF(R1658="ESTUDIANTE", 31, 0)) + (IF(I1658&lt;=3, 30, IF(I1658&lt;=6, 20, 0))) +(IF(OR(E1658="413 - Control de Costes y Enlace Construcción", E1658="480 - Secretaría General del Consejo", E1658="132 - Civil y estructuras", E1658="136 - Mecánica", E1658="412 - Planificación", E1658="142 - Compras"), 25, 0)) +(IF(OR(S1658="GRADO ING. MECÁNICA", S1658="GRADO ING. ELÉCTRICA", S1658="GRADO DERECHO", S1658="GRADO ECONOMÍA", S1658="GRADO ING. TECNOLOGÍAS INDUSTRIALES"), 24, 0)) + (IF(AND(K1658&gt;=451, K1658&lt;=700), 23, 0)) + (IF(AND(AB1658&gt;=5, AB1658&lt;=8), 17, 0)) +(IF(_xludf.OR(_xludf.AND(AC1658&gt;=8, AC1658&lt;=10), _xludf.AND(AC1658&gt;=0, AC1658&lt;=5)), 16, 0)) + (IF(F1658="Madrid", 11, 0))))</f>
        <v>#NAME?</v>
      </c>
      <c r="AG1658" s="69"/>
      <c r="AH1658" s="71" t="s">
        <v>164</v>
      </c>
    </row>
    <row r="1659" spans="1:34" s="4" customFormat="1" ht="14.4" x14ac:dyDescent="0.3">
      <c r="A1659" s="66" t="s">
        <v>2636</v>
      </c>
      <c r="B1659" s="66" t="s">
        <v>4753</v>
      </c>
      <c r="C1659" s="33">
        <v>1657</v>
      </c>
      <c r="D1659" s="33" t="s">
        <v>5396</v>
      </c>
      <c r="E1659" s="34" t="s">
        <v>5356</v>
      </c>
      <c r="F1659" s="34" t="s">
        <v>18</v>
      </c>
      <c r="G1659" s="57">
        <v>45348</v>
      </c>
      <c r="H1659" s="57">
        <v>45529</v>
      </c>
      <c r="I1659" s="34">
        <f t="shared" si="75"/>
        <v>5</v>
      </c>
      <c r="J1659" s="34">
        <v>35</v>
      </c>
      <c r="K1659" s="36">
        <v>875</v>
      </c>
      <c r="L1659" s="34" t="s">
        <v>17</v>
      </c>
      <c r="M1659" s="35">
        <v>36605</v>
      </c>
      <c r="N1659" s="37">
        <f>(YEAR(TablaMadre[[#This Row],[ALTA]])-YEAR(M1659))</f>
        <v>24</v>
      </c>
      <c r="O1659" s="34" t="s">
        <v>511</v>
      </c>
      <c r="P1659" s="34" t="s">
        <v>19</v>
      </c>
      <c r="Q1659" s="34" t="s">
        <v>626</v>
      </c>
      <c r="R1659" s="34" t="s">
        <v>21</v>
      </c>
      <c r="S1659" s="34" t="s">
        <v>322</v>
      </c>
      <c r="T1659" s="34"/>
      <c r="U1659" s="34"/>
      <c r="V1659" s="34" t="s">
        <v>207</v>
      </c>
      <c r="W1659" s="34" t="s">
        <v>28</v>
      </c>
      <c r="X1659" s="34" t="s">
        <v>173</v>
      </c>
      <c r="Y1659" s="57"/>
      <c r="Z1659" s="34" t="e">
        <f t="shared" si="76"/>
        <v>#NUM!</v>
      </c>
      <c r="AA1659" s="34"/>
      <c r="AB1659" s="34">
        <v>7</v>
      </c>
      <c r="AC1659" s="34">
        <v>10</v>
      </c>
      <c r="AD1659" s="34"/>
      <c r="AE1659" s="59" t="str">
        <f t="shared" si="77"/>
        <v>SÍ</v>
      </c>
      <c r="AF1659" s="34" t="e" cm="1">
        <f t="array" aca="1" ref="AF1659" ca="1">MIN(100, MAX(0, (IF(R1659="ESTUDIANTE", 31, 0)) + (IF(I1659&lt;=3, 30, IF(I1659&lt;=6, 20, 0))) +(IF(OR(E1659="413 - Control de Costes y Enlace Construcción", E1659="480 - Secretaría General del Consejo", E1659="132 - Civil y estructuras", E1659="136 - Mecánica", E1659="412 - Planificación", E1659="142 - Compras"), 25, 0)) +(IF(OR(S1659="GRADO ING. MECÁNICA", S1659="GRADO ING. ELÉCTRICA", S1659="GRADO DERECHO", S1659="GRADO ECONOMÍA", S1659="GRADO ING. TECNOLOGÍAS INDUSTRIALES"), 24, 0)) + (IF(AND(K1659&gt;=451, K1659&lt;=700), 23, 0)) + (IF(AND(AB1659&gt;=5, AB1659&lt;=8), 17, 0)) +(IF(_xludf.OR(_xludf.AND(AC1659&gt;=8, AC1659&lt;=10), _xludf.AND(AC1659&gt;=0, AC1659&lt;=5)), 16, 0)) + (IF(F1659="Madrid", 11, 0))))</f>
        <v>#NAME?</v>
      </c>
      <c r="AG1659" s="69"/>
      <c r="AH1659" s="71" t="s">
        <v>164</v>
      </c>
    </row>
    <row r="1660" spans="1:34" s="4" customFormat="1" ht="14.4" x14ac:dyDescent="0.3">
      <c r="A1660" s="66" t="s">
        <v>2637</v>
      </c>
      <c r="B1660" s="66" t="s">
        <v>4754</v>
      </c>
      <c r="C1660" s="33">
        <v>1658</v>
      </c>
      <c r="D1660" s="33" t="s">
        <v>5397</v>
      </c>
      <c r="E1660" s="34" t="s">
        <v>5241</v>
      </c>
      <c r="F1660" s="34" t="s">
        <v>18</v>
      </c>
      <c r="G1660" s="57">
        <v>45348</v>
      </c>
      <c r="H1660" s="57">
        <v>45529</v>
      </c>
      <c r="I1660" s="34">
        <f t="shared" si="75"/>
        <v>5</v>
      </c>
      <c r="J1660" s="34">
        <v>35</v>
      </c>
      <c r="K1660" s="36">
        <v>700</v>
      </c>
      <c r="L1660" s="34" t="s">
        <v>17</v>
      </c>
      <c r="M1660" s="35">
        <v>36760</v>
      </c>
      <c r="N1660" s="37">
        <f>(YEAR(TablaMadre[[#This Row],[ALTA]])-YEAR(M1660))</f>
        <v>24</v>
      </c>
      <c r="O1660" s="34" t="s">
        <v>18</v>
      </c>
      <c r="P1660" s="34" t="s">
        <v>19</v>
      </c>
      <c r="Q1660" s="34" t="s">
        <v>764</v>
      </c>
      <c r="R1660" s="58" t="s">
        <v>30</v>
      </c>
      <c r="S1660" s="34" t="s">
        <v>307</v>
      </c>
      <c r="T1660" s="34"/>
      <c r="U1660" s="34"/>
      <c r="V1660" s="34" t="s">
        <v>22</v>
      </c>
      <c r="W1660" s="34" t="s">
        <v>28</v>
      </c>
      <c r="X1660" s="34" t="s">
        <v>173</v>
      </c>
      <c r="Y1660" s="57"/>
      <c r="Z1660" s="34" t="e">
        <f t="shared" si="76"/>
        <v>#NUM!</v>
      </c>
      <c r="AA1660" s="34"/>
      <c r="AB1660" s="34">
        <v>9</v>
      </c>
      <c r="AC1660" s="34">
        <v>9</v>
      </c>
      <c r="AD1660" s="34"/>
      <c r="AE1660" s="59" t="str">
        <f t="shared" si="77"/>
        <v>NO</v>
      </c>
      <c r="AF1660" s="34" t="e" cm="1">
        <f t="array" aca="1" ref="AF1660" ca="1">MIN(100, MAX(0, (IF(R1660="ESTUDIANTE", 31, 0)) + (IF(I1660&lt;=3, 30, IF(I1660&lt;=6, 20, 0))) +(IF(OR(E1660="413 - Control de Costes y Enlace Construcción", E1660="480 - Secretaría General del Consejo", E1660="132 - Civil y estructuras", E1660="136 - Mecánica", E1660="412 - Planificación", E1660="142 - Compras"), 25, 0)) +(IF(OR(S1660="GRADO ING. MECÁNICA", S1660="GRADO ING. ELÉCTRICA", S1660="GRADO DERECHO", S1660="GRADO ECONOMÍA", S1660="GRADO ING. TECNOLOGÍAS INDUSTRIALES"), 24, 0)) + (IF(AND(K1660&gt;=451, K1660&lt;=700), 23, 0)) + (IF(AND(AB1660&gt;=5, AB1660&lt;=8), 17, 0)) +(IF(_xludf.OR(_xludf.AND(AC1660&gt;=8, AC1660&lt;=10), _xludf.AND(AC1660&gt;=0, AC1660&lt;=5)), 16, 0)) + (IF(F1660="Madrid", 11, 0))))</f>
        <v>#NAME?</v>
      </c>
      <c r="AG1660" s="69"/>
      <c r="AH1660" s="71" t="s">
        <v>164</v>
      </c>
    </row>
    <row r="1661" spans="1:34" s="4" customFormat="1" ht="14.4" x14ac:dyDescent="0.3">
      <c r="A1661" s="66" t="s">
        <v>2638</v>
      </c>
      <c r="B1661" s="66" t="s">
        <v>4755</v>
      </c>
      <c r="C1661" s="33">
        <v>1659</v>
      </c>
      <c r="D1661" s="33" t="s">
        <v>5393</v>
      </c>
      <c r="E1661" s="34" t="s">
        <v>5241</v>
      </c>
      <c r="F1661" s="34" t="s">
        <v>18</v>
      </c>
      <c r="G1661" s="57">
        <v>45348</v>
      </c>
      <c r="H1661" s="57">
        <v>45529</v>
      </c>
      <c r="I1661" s="34">
        <f t="shared" si="75"/>
        <v>5</v>
      </c>
      <c r="J1661" s="34">
        <v>35</v>
      </c>
      <c r="K1661" s="36">
        <v>875</v>
      </c>
      <c r="L1661" s="34" t="s">
        <v>17</v>
      </c>
      <c r="M1661" s="35">
        <v>36540</v>
      </c>
      <c r="N1661" s="37">
        <f>(YEAR(TablaMadre[[#This Row],[ALTA]])-YEAR(M1661))</f>
        <v>24</v>
      </c>
      <c r="O1661" s="34" t="s">
        <v>18</v>
      </c>
      <c r="P1661" s="34" t="s">
        <v>19</v>
      </c>
      <c r="Q1661" s="34" t="s">
        <v>215</v>
      </c>
      <c r="R1661" s="34" t="s">
        <v>21</v>
      </c>
      <c r="S1661" s="34" t="s">
        <v>322</v>
      </c>
      <c r="T1661" s="34"/>
      <c r="U1661" s="34"/>
      <c r="V1661" s="34" t="s">
        <v>40</v>
      </c>
      <c r="W1661" s="34" t="s">
        <v>28</v>
      </c>
      <c r="X1661" s="34" t="s">
        <v>173</v>
      </c>
      <c r="Y1661" s="57"/>
      <c r="Z1661" s="34" t="e">
        <f t="shared" si="76"/>
        <v>#NUM!</v>
      </c>
      <c r="AA1661" s="34"/>
      <c r="AB1661" s="34">
        <v>9</v>
      </c>
      <c r="AC1661" s="34">
        <v>9</v>
      </c>
      <c r="AD1661" s="34"/>
      <c r="AE1661" s="59" t="str">
        <f t="shared" si="77"/>
        <v>NO</v>
      </c>
      <c r="AF1661" s="34" t="e" cm="1">
        <f t="array" aca="1" ref="AF1661" ca="1">MIN(100, MAX(0, (IF(R1661="ESTUDIANTE", 31, 0)) + (IF(I1661&lt;=3, 30, IF(I1661&lt;=6, 20, 0))) +(IF(OR(E1661="413 - Control de Costes y Enlace Construcción", E1661="480 - Secretaría General del Consejo", E1661="132 - Civil y estructuras", E1661="136 - Mecánica", E1661="412 - Planificación", E1661="142 - Compras"), 25, 0)) +(IF(OR(S1661="GRADO ING. MECÁNICA", S1661="GRADO ING. ELÉCTRICA", S1661="GRADO DERECHO", S1661="GRADO ECONOMÍA", S1661="GRADO ING. TECNOLOGÍAS INDUSTRIALES"), 24, 0)) + (IF(AND(K1661&gt;=451, K1661&lt;=700), 23, 0)) + (IF(AND(AB1661&gt;=5, AB1661&lt;=8), 17, 0)) +(IF(_xludf.OR(_xludf.AND(AC1661&gt;=8, AC1661&lt;=10), _xludf.AND(AC1661&gt;=0, AC1661&lt;=5)), 16, 0)) + (IF(F1661="Madrid", 11, 0))))</f>
        <v>#NAME?</v>
      </c>
      <c r="AG1661" s="69"/>
      <c r="AH1661" s="71" t="s">
        <v>164</v>
      </c>
    </row>
    <row r="1662" spans="1:34" s="4" customFormat="1" ht="14.4" x14ac:dyDescent="0.3">
      <c r="A1662" s="66" t="s">
        <v>2640</v>
      </c>
      <c r="B1662" s="66" t="s">
        <v>4757</v>
      </c>
      <c r="C1662" s="33">
        <v>1661</v>
      </c>
      <c r="D1662" s="33" t="s">
        <v>5394</v>
      </c>
      <c r="E1662" s="34" t="s">
        <v>5360</v>
      </c>
      <c r="F1662" s="34" t="s">
        <v>18</v>
      </c>
      <c r="G1662" s="57">
        <v>45348</v>
      </c>
      <c r="H1662" s="57">
        <v>45535</v>
      </c>
      <c r="I1662" s="34">
        <f t="shared" si="75"/>
        <v>6</v>
      </c>
      <c r="J1662" s="34">
        <v>30</v>
      </c>
      <c r="K1662" s="36">
        <v>600</v>
      </c>
      <c r="L1662" s="34" t="s">
        <v>17</v>
      </c>
      <c r="M1662" s="35">
        <v>37284</v>
      </c>
      <c r="N1662" s="37">
        <f>(YEAR(TablaMadre[[#This Row],[ALTA]])-YEAR(M1662))</f>
        <v>22</v>
      </c>
      <c r="O1662" s="34" t="s">
        <v>18</v>
      </c>
      <c r="P1662" s="34" t="s">
        <v>19</v>
      </c>
      <c r="Q1662" s="34" t="s">
        <v>644</v>
      </c>
      <c r="R1662" s="58" t="s">
        <v>30</v>
      </c>
      <c r="S1662" s="34" t="s">
        <v>321</v>
      </c>
      <c r="T1662" s="34"/>
      <c r="U1662" s="34"/>
      <c r="V1662" s="34" t="s">
        <v>22</v>
      </c>
      <c r="W1662" s="34" t="s">
        <v>28</v>
      </c>
      <c r="X1662" s="34" t="s">
        <v>173</v>
      </c>
      <c r="Y1662" s="57"/>
      <c r="Z1662" s="34" t="e">
        <f t="shared" si="76"/>
        <v>#NUM!</v>
      </c>
      <c r="AA1662" s="34"/>
      <c r="AB1662" s="34">
        <v>10</v>
      </c>
      <c r="AC1662" s="34">
        <v>9</v>
      </c>
      <c r="AD1662" s="34"/>
      <c r="AE1662" s="59" t="str">
        <f t="shared" si="77"/>
        <v>NO</v>
      </c>
      <c r="AF1662" s="34" t="e" cm="1">
        <f t="array" aca="1" ref="AF1662" ca="1">MIN(100, MAX(0, (IF(R1662="ESTUDIANTE", 31, 0)) + (IF(I1662&lt;=3, 30, IF(I1662&lt;=6, 20, 0))) +(IF(OR(E1662="413 - Control de Costes y Enlace Construcción", E1662="480 - Secretaría General del Consejo", E1662="132 - Civil y estructuras", E1662="136 - Mecánica", E1662="412 - Planificación", E1662="142 - Compras"), 25, 0)) +(IF(OR(S1662="GRADO ING. MECÁNICA", S1662="GRADO ING. ELÉCTRICA", S1662="GRADO DERECHO", S1662="GRADO ECONOMÍA", S1662="GRADO ING. TECNOLOGÍAS INDUSTRIALES"), 24, 0)) + (IF(AND(K1662&gt;=451, K1662&lt;=700), 23, 0)) + (IF(AND(AB1662&gt;=5, AB1662&lt;=8), 17, 0)) +(IF(_xludf.OR(_xludf.AND(AC1662&gt;=8, AC1662&lt;=10), _xludf.AND(AC1662&gt;=0, AC1662&lt;=5)), 16, 0)) + (IF(F1662="Madrid", 11, 0))))</f>
        <v>#NAME?</v>
      </c>
      <c r="AG1662" s="69"/>
      <c r="AH1662" s="71" t="s">
        <v>164</v>
      </c>
    </row>
    <row r="1663" spans="1:34" s="4" customFormat="1" ht="14.4" x14ac:dyDescent="0.3">
      <c r="A1663" s="66" t="s">
        <v>2641</v>
      </c>
      <c r="B1663" s="66" t="s">
        <v>4758</v>
      </c>
      <c r="C1663" s="33">
        <v>1662</v>
      </c>
      <c r="D1663" s="33" t="s">
        <v>5395</v>
      </c>
      <c r="E1663" s="34" t="s">
        <v>5343</v>
      </c>
      <c r="F1663" s="34" t="s">
        <v>18</v>
      </c>
      <c r="G1663" s="57">
        <v>45348</v>
      </c>
      <c r="H1663" s="57">
        <v>45697</v>
      </c>
      <c r="I1663" s="34">
        <f t="shared" si="75"/>
        <v>11</v>
      </c>
      <c r="J1663" s="34">
        <v>25</v>
      </c>
      <c r="K1663" s="36">
        <v>500</v>
      </c>
      <c r="L1663" s="34" t="s">
        <v>17</v>
      </c>
      <c r="M1663" s="35">
        <v>36759</v>
      </c>
      <c r="N1663" s="37">
        <f>(YEAR(TablaMadre[[#This Row],[ALTA]])-YEAR(M1663))</f>
        <v>24</v>
      </c>
      <c r="O1663" s="34" t="s">
        <v>18</v>
      </c>
      <c r="P1663" s="34" t="s">
        <v>19</v>
      </c>
      <c r="Q1663" s="34" t="s">
        <v>297</v>
      </c>
      <c r="R1663" s="58" t="s">
        <v>30</v>
      </c>
      <c r="S1663" s="34" t="s">
        <v>297</v>
      </c>
      <c r="T1663" s="34"/>
      <c r="U1663" s="34"/>
      <c r="V1663" s="34" t="s">
        <v>22</v>
      </c>
      <c r="W1663" s="34" t="s">
        <v>28</v>
      </c>
      <c r="X1663" s="34" t="s">
        <v>164</v>
      </c>
      <c r="Y1663" s="57">
        <v>45698</v>
      </c>
      <c r="Z1663" s="34">
        <f t="shared" si="76"/>
        <v>0</v>
      </c>
      <c r="AA1663" s="34"/>
      <c r="AB1663" s="34">
        <v>9</v>
      </c>
      <c r="AC1663" s="34">
        <v>10</v>
      </c>
      <c r="AD1663" s="34"/>
      <c r="AE1663" s="59" t="str">
        <f t="shared" si="77"/>
        <v>NO</v>
      </c>
      <c r="AF1663" s="34" t="e" cm="1">
        <f t="array" aca="1" ref="AF1663" ca="1">MIN(100, MAX(0, (IF(R1663="ESTUDIANTE", 31, 0)) + (IF(I1663&lt;=3, 30, IF(I1663&lt;=6, 20, 0))) +(IF(OR(E1663="413 - Control de Costes y Enlace Construcción", E1663="480 - Secretaría General del Consejo", E1663="132 - Civil y estructuras", E1663="136 - Mecánica", E1663="412 - Planificación", E1663="142 - Compras"), 25, 0)) +(IF(OR(S1663="GRADO ING. MECÁNICA", S1663="GRADO ING. ELÉCTRICA", S1663="GRADO DERECHO", S1663="GRADO ECONOMÍA", S1663="GRADO ING. TECNOLOGÍAS INDUSTRIALES"), 24, 0)) + (IF(AND(K1663&gt;=451, K1663&lt;=700), 23, 0)) + (IF(AND(AB1663&gt;=5, AB1663&lt;=8), 17, 0)) +(IF(_xludf.OR(_xludf.AND(AC1663&gt;=8, AC1663&lt;=10), _xludf.AND(AC1663&gt;=0, AC1663&lt;=5)), 16, 0)) + (IF(F1663="Madrid", 11, 0))))</f>
        <v>#NAME?</v>
      </c>
      <c r="AG1663" s="69"/>
      <c r="AH1663" s="71" t="s">
        <v>164</v>
      </c>
    </row>
    <row r="1664" spans="1:34" s="4" customFormat="1" ht="14.4" x14ac:dyDescent="0.3">
      <c r="A1664" s="66" t="s">
        <v>2642</v>
      </c>
      <c r="B1664" s="66" t="s">
        <v>4759</v>
      </c>
      <c r="C1664" s="33">
        <v>1663</v>
      </c>
      <c r="D1664" s="33" t="s">
        <v>5396</v>
      </c>
      <c r="E1664" s="34" t="s">
        <v>5216</v>
      </c>
      <c r="F1664" s="34" t="s">
        <v>18</v>
      </c>
      <c r="G1664" s="57">
        <v>45348</v>
      </c>
      <c r="H1664" s="57">
        <v>45713</v>
      </c>
      <c r="I1664" s="34">
        <f t="shared" si="75"/>
        <v>11</v>
      </c>
      <c r="J1664" s="34">
        <v>25</v>
      </c>
      <c r="K1664" s="36">
        <v>500</v>
      </c>
      <c r="L1664" s="34" t="s">
        <v>29</v>
      </c>
      <c r="M1664" s="35">
        <v>36622</v>
      </c>
      <c r="N1664" s="37">
        <f>(YEAR(TablaMadre[[#This Row],[ALTA]])-YEAR(M1664))</f>
        <v>24</v>
      </c>
      <c r="O1664" s="34" t="s">
        <v>18</v>
      </c>
      <c r="P1664" s="34" t="s">
        <v>19</v>
      </c>
      <c r="Q1664" s="34" t="s">
        <v>297</v>
      </c>
      <c r="R1664" s="58" t="s">
        <v>30</v>
      </c>
      <c r="S1664" s="34" t="s">
        <v>297</v>
      </c>
      <c r="T1664" s="34"/>
      <c r="U1664" s="34"/>
      <c r="V1664" s="34" t="s">
        <v>22</v>
      </c>
      <c r="W1664" s="34" t="s">
        <v>28</v>
      </c>
      <c r="X1664" s="34" t="s">
        <v>173</v>
      </c>
      <c r="Y1664" s="57"/>
      <c r="Z1664" s="34" t="e">
        <f t="shared" si="76"/>
        <v>#NUM!</v>
      </c>
      <c r="AA1664" s="34"/>
      <c r="AB1664" s="34">
        <v>7</v>
      </c>
      <c r="AC1664" s="34">
        <v>8</v>
      </c>
      <c r="AD1664" s="34"/>
      <c r="AE1664" s="59" t="str">
        <f t="shared" si="77"/>
        <v>NO</v>
      </c>
      <c r="AF1664" s="34" t="e" cm="1">
        <f t="array" aca="1" ref="AF1664" ca="1">MIN(100, MAX(0, (IF(R1664="ESTUDIANTE", 31, 0)) + (IF(I1664&lt;=3, 30, IF(I1664&lt;=6, 20, 0))) +(IF(OR(E1664="413 - Control de Costes y Enlace Construcción", E1664="480 - Secretaría General del Consejo", E1664="132 - Civil y estructuras", E1664="136 - Mecánica", E1664="412 - Planificación", E1664="142 - Compras"), 25, 0)) +(IF(OR(S1664="GRADO ING. MECÁNICA", S1664="GRADO ING. ELÉCTRICA", S1664="GRADO DERECHO", S1664="GRADO ECONOMÍA", S1664="GRADO ING. TECNOLOGÍAS INDUSTRIALES"), 24, 0)) + (IF(AND(K1664&gt;=451, K1664&lt;=700), 23, 0)) + (IF(AND(AB1664&gt;=5, AB1664&lt;=8), 17, 0)) +(IF(_xludf.OR(_xludf.AND(AC1664&gt;=8, AC1664&lt;=10), _xludf.AND(AC1664&gt;=0, AC1664&lt;=5)), 16, 0)) + (IF(F1664="Madrid", 11, 0))))</f>
        <v>#NAME?</v>
      </c>
      <c r="AG1664" s="69"/>
      <c r="AH1664" s="71" t="s">
        <v>164</v>
      </c>
    </row>
    <row r="1665" spans="1:34" s="4" customFormat="1" ht="14.4" x14ac:dyDescent="0.3">
      <c r="A1665" s="66" t="s">
        <v>2643</v>
      </c>
      <c r="B1665" s="66" t="s">
        <v>4760</v>
      </c>
      <c r="C1665" s="33">
        <v>1664</v>
      </c>
      <c r="D1665" s="33" t="s">
        <v>5397</v>
      </c>
      <c r="E1665" s="34" t="s">
        <v>5252</v>
      </c>
      <c r="F1665" s="34" t="s">
        <v>935</v>
      </c>
      <c r="G1665" s="57">
        <v>45350</v>
      </c>
      <c r="H1665" s="57">
        <v>45433</v>
      </c>
      <c r="I1665" s="34">
        <f t="shared" si="75"/>
        <v>2</v>
      </c>
      <c r="J1665" s="34">
        <v>40</v>
      </c>
      <c r="K1665" s="36">
        <v>0</v>
      </c>
      <c r="L1665" s="34" t="s">
        <v>29</v>
      </c>
      <c r="M1665" s="35">
        <v>36526</v>
      </c>
      <c r="N1665" s="37">
        <f>(YEAR(TablaMadre[[#This Row],[ALTA]])-YEAR(M1665))</f>
        <v>24</v>
      </c>
      <c r="O1665" s="34"/>
      <c r="P1665" s="34"/>
      <c r="Q1665" s="34" t="s">
        <v>359</v>
      </c>
      <c r="R1665" s="34" t="s">
        <v>30</v>
      </c>
      <c r="S1665" s="34" t="s">
        <v>26</v>
      </c>
      <c r="T1665" s="34"/>
      <c r="U1665" s="34"/>
      <c r="V1665" s="34" t="s">
        <v>27</v>
      </c>
      <c r="W1665" s="34" t="s">
        <v>28</v>
      </c>
      <c r="X1665" s="34" t="s">
        <v>173</v>
      </c>
      <c r="Y1665" s="57"/>
      <c r="Z1665" s="34" t="e">
        <f t="shared" si="76"/>
        <v>#NUM!</v>
      </c>
      <c r="AA1665" s="34"/>
      <c r="AB1665" s="34">
        <v>7</v>
      </c>
      <c r="AC1665" s="34">
        <v>9</v>
      </c>
      <c r="AD1665" s="34"/>
      <c r="AE1665" s="59" t="str">
        <f t="shared" si="77"/>
        <v>SÍ</v>
      </c>
      <c r="AF1665" s="34" t="e" cm="1">
        <f t="array" aca="1" ref="AF1665" ca="1">MIN(100, MAX(0, (IF(R1665="ESTUDIANTE", 31, 0)) + (IF(I1665&lt;=3, 30, IF(I1665&lt;=6, 20, 0))) +(IF(OR(E1665="413 - Control de Costes y Enlace Construcción", E1665="480 - Secretaría General del Consejo", E1665="132 - Civil y estructuras", E1665="136 - Mecánica", E1665="412 - Planificación", E1665="142 - Compras"), 25, 0)) +(IF(OR(S1665="GRADO ING. MECÁNICA", S1665="GRADO ING. ELÉCTRICA", S1665="GRADO DERECHO", S1665="GRADO ECONOMÍA", S1665="GRADO ING. TECNOLOGÍAS INDUSTRIALES"), 24, 0)) + (IF(AND(K1665&gt;=451, K1665&lt;=700), 23, 0)) + (IF(AND(AB1665&gt;=5, AB1665&lt;=8), 17, 0)) +(IF(_xludf.OR(_xludf.AND(AC1665&gt;=8, AC1665&lt;=10), _xludf.AND(AC1665&gt;=0, AC1665&lt;=5)), 16, 0)) + (IF(F1665="Madrid", 11, 0))))</f>
        <v>#NAME?</v>
      </c>
      <c r="AG1665" s="69"/>
      <c r="AH1665" s="71" t="s">
        <v>164</v>
      </c>
    </row>
    <row r="1666" spans="1:34" s="4" customFormat="1" ht="14.4" x14ac:dyDescent="0.3">
      <c r="A1666" s="66" t="s">
        <v>2644</v>
      </c>
      <c r="B1666" s="66" t="s">
        <v>4761</v>
      </c>
      <c r="C1666" s="33">
        <v>1665</v>
      </c>
      <c r="D1666" s="33" t="s">
        <v>5398</v>
      </c>
      <c r="E1666" s="34" t="s">
        <v>5285</v>
      </c>
      <c r="F1666" s="34" t="s">
        <v>935</v>
      </c>
      <c r="G1666" s="57">
        <v>45350</v>
      </c>
      <c r="H1666" s="57">
        <v>45433</v>
      </c>
      <c r="I1666" s="34">
        <f t="shared" ref="I1666:I1729" si="78">DATEDIF(G1666, H1666, "M")</f>
        <v>2</v>
      </c>
      <c r="J1666" s="34">
        <v>40</v>
      </c>
      <c r="K1666" s="36">
        <v>0</v>
      </c>
      <c r="L1666" s="34" t="s">
        <v>17</v>
      </c>
      <c r="M1666" s="35">
        <v>36526</v>
      </c>
      <c r="N1666" s="37">
        <f>(YEAR(TablaMadre[[#This Row],[ALTA]])-YEAR(M1666))</f>
        <v>24</v>
      </c>
      <c r="O1666" s="34"/>
      <c r="P1666" s="34"/>
      <c r="Q1666" s="34" t="s">
        <v>728</v>
      </c>
      <c r="R1666" s="34" t="s">
        <v>30</v>
      </c>
      <c r="S1666" s="34" t="s">
        <v>26</v>
      </c>
      <c r="T1666" s="34"/>
      <c r="U1666" s="34"/>
      <c r="V1666" s="34" t="s">
        <v>27</v>
      </c>
      <c r="W1666" s="34" t="s">
        <v>28</v>
      </c>
      <c r="X1666" s="34" t="s">
        <v>173</v>
      </c>
      <c r="Y1666" s="57"/>
      <c r="Z1666" s="34" t="e">
        <f t="shared" ref="Z1666:Z1729" si="79">DATEDIF(H1666, Y1666, "y")</f>
        <v>#NUM!</v>
      </c>
      <c r="AA1666" s="34"/>
      <c r="AB1666" s="34">
        <v>7</v>
      </c>
      <c r="AC1666" s="34">
        <v>10</v>
      </c>
      <c r="AD1666" s="34"/>
      <c r="AE1666" s="59" t="str">
        <f t="shared" si="77"/>
        <v>SÍ</v>
      </c>
      <c r="AF1666" s="34" t="e" cm="1">
        <f t="array" aca="1" ref="AF1666" ca="1">MIN(100, MAX(0, (IF(R1666="ESTUDIANTE", 31, 0)) + (IF(I1666&lt;=3, 30, IF(I1666&lt;=6, 20, 0))) +(IF(OR(E1666="413 - Control de Costes y Enlace Construcción", E1666="480 - Secretaría General del Consejo", E1666="132 - Civil y estructuras", E1666="136 - Mecánica", E1666="412 - Planificación", E1666="142 - Compras"), 25, 0)) +(IF(OR(S1666="GRADO ING. MECÁNICA", S1666="GRADO ING. ELÉCTRICA", S1666="GRADO DERECHO", S1666="GRADO ECONOMÍA", S1666="GRADO ING. TECNOLOGÍAS INDUSTRIALES"), 24, 0)) + (IF(AND(K1666&gt;=451, K1666&lt;=700), 23, 0)) + (IF(AND(AB1666&gt;=5, AB1666&lt;=8), 17, 0)) +(IF(_xludf.OR(_xludf.AND(AC1666&gt;=8, AC1666&lt;=10), _xludf.AND(AC1666&gt;=0, AC1666&lt;=5)), 16, 0)) + (IF(F1666="Madrid", 11, 0))))</f>
        <v>#NAME?</v>
      </c>
      <c r="AG1666" s="69"/>
      <c r="AH1666" s="71" t="s">
        <v>164</v>
      </c>
    </row>
    <row r="1667" spans="1:34" s="4" customFormat="1" ht="14.4" x14ac:dyDescent="0.3">
      <c r="A1667" s="66" t="s">
        <v>2645</v>
      </c>
      <c r="B1667" s="66" t="s">
        <v>4762</v>
      </c>
      <c r="C1667" s="33">
        <v>1666</v>
      </c>
      <c r="D1667" s="33" t="s">
        <v>5399</v>
      </c>
      <c r="E1667" s="34" t="s">
        <v>5246</v>
      </c>
      <c r="F1667" s="34" t="s">
        <v>935</v>
      </c>
      <c r="G1667" s="57">
        <v>45350</v>
      </c>
      <c r="H1667" s="57">
        <v>45433</v>
      </c>
      <c r="I1667" s="34">
        <f t="shared" si="78"/>
        <v>2</v>
      </c>
      <c r="J1667" s="34">
        <v>40</v>
      </c>
      <c r="K1667" s="36">
        <v>0</v>
      </c>
      <c r="L1667" s="34" t="s">
        <v>17</v>
      </c>
      <c r="M1667" s="35">
        <v>36526</v>
      </c>
      <c r="N1667" s="37">
        <f>(YEAR(TablaMadre[[#This Row],[ALTA]])-YEAR(M1667))</f>
        <v>24</v>
      </c>
      <c r="O1667" s="34"/>
      <c r="P1667" s="34"/>
      <c r="Q1667" s="34" t="s">
        <v>729</v>
      </c>
      <c r="R1667" s="34" t="s">
        <v>30</v>
      </c>
      <c r="S1667" s="34" t="s">
        <v>26</v>
      </c>
      <c r="T1667" s="34"/>
      <c r="U1667" s="34"/>
      <c r="V1667" s="34" t="s">
        <v>27</v>
      </c>
      <c r="W1667" s="34" t="s">
        <v>28</v>
      </c>
      <c r="X1667" s="34" t="s">
        <v>173</v>
      </c>
      <c r="Y1667" s="57"/>
      <c r="Z1667" s="34" t="e">
        <f t="shared" si="79"/>
        <v>#NUM!</v>
      </c>
      <c r="AA1667" s="34"/>
      <c r="AB1667" s="34" t="s">
        <v>693</v>
      </c>
      <c r="AC1667" s="34">
        <v>9</v>
      </c>
      <c r="AD1667" s="34"/>
      <c r="AE1667" s="59" t="str">
        <f t="shared" ref="AE1667:AE1730" si="80">IF(F1667=O1667, "NO", "SÍ")</f>
        <v>SÍ</v>
      </c>
      <c r="AF1667" s="34" t="e" cm="1">
        <f t="array" aca="1" ref="AF1667" ca="1">MIN(100, MAX(0, (IF(R1667="ESTUDIANTE", 31, 0)) + (IF(I1667&lt;=3, 30, IF(I1667&lt;=6, 20, 0))) +(IF(OR(E1667="413 - Control de Costes y Enlace Construcción", E1667="480 - Secretaría General del Consejo", E1667="132 - Civil y estructuras", E1667="136 - Mecánica", E1667="412 - Planificación", E1667="142 - Compras"), 25, 0)) +(IF(OR(S1667="GRADO ING. MECÁNICA", S1667="GRADO ING. ELÉCTRICA", S1667="GRADO DERECHO", S1667="GRADO ECONOMÍA", S1667="GRADO ING. TECNOLOGÍAS INDUSTRIALES"), 24, 0)) + (IF(AND(K1667&gt;=451, K1667&lt;=700), 23, 0)) + (IF(AND(AB1667&gt;=5, AB1667&lt;=8), 17, 0)) +(IF(_xludf.OR(_xludf.AND(AC1667&gt;=8, AC1667&lt;=10), _xludf.AND(AC1667&gt;=0, AC1667&lt;=5)), 16, 0)) + (IF(F1667="Madrid", 11, 0))))</f>
        <v>#NAME?</v>
      </c>
      <c r="AG1667" s="69"/>
      <c r="AH1667" s="71" t="s">
        <v>164</v>
      </c>
    </row>
    <row r="1668" spans="1:34" s="4" customFormat="1" ht="14.25" customHeight="1" x14ac:dyDescent="0.3">
      <c r="A1668" s="66" t="s">
        <v>2646</v>
      </c>
      <c r="B1668" s="66" t="s">
        <v>4763</v>
      </c>
      <c r="C1668" s="33">
        <v>1667</v>
      </c>
      <c r="D1668" s="33" t="s">
        <v>5400</v>
      </c>
      <c r="E1668" s="34" t="s">
        <v>5222</v>
      </c>
      <c r="F1668" s="34" t="s">
        <v>935</v>
      </c>
      <c r="G1668" s="57">
        <v>45350</v>
      </c>
      <c r="H1668" s="57">
        <v>45433</v>
      </c>
      <c r="I1668" s="34">
        <f t="shared" si="78"/>
        <v>2</v>
      </c>
      <c r="J1668" s="34">
        <v>40</v>
      </c>
      <c r="K1668" s="36">
        <v>0</v>
      </c>
      <c r="L1668" s="34" t="s">
        <v>29</v>
      </c>
      <c r="M1668" s="35">
        <v>36526</v>
      </c>
      <c r="N1668" s="37">
        <f>(YEAR(TablaMadre[[#This Row],[ALTA]])-YEAR(M1668))</f>
        <v>24</v>
      </c>
      <c r="O1668" s="34"/>
      <c r="P1668" s="34"/>
      <c r="Q1668" s="34" t="s">
        <v>697</v>
      </c>
      <c r="R1668" s="34" t="s">
        <v>30</v>
      </c>
      <c r="S1668" s="34" t="s">
        <v>26</v>
      </c>
      <c r="T1668" s="34"/>
      <c r="U1668" s="34"/>
      <c r="V1668" s="34" t="s">
        <v>27</v>
      </c>
      <c r="W1668" s="34" t="s">
        <v>28</v>
      </c>
      <c r="X1668" s="34" t="s">
        <v>173</v>
      </c>
      <c r="Y1668" s="57"/>
      <c r="Z1668" s="34" t="e">
        <f t="shared" si="79"/>
        <v>#NUM!</v>
      </c>
      <c r="AA1668" s="34"/>
      <c r="AB1668" s="34">
        <v>7</v>
      </c>
      <c r="AC1668" s="34" t="s">
        <v>730</v>
      </c>
      <c r="AD1668" s="34"/>
      <c r="AE1668" s="59" t="str">
        <f t="shared" si="80"/>
        <v>SÍ</v>
      </c>
      <c r="AF1668" s="34" t="e" cm="1">
        <f t="array" aca="1" ref="AF1668" ca="1">MIN(100, MAX(0, (IF(R1668="ESTUDIANTE", 31, 0)) + (IF(I1668&lt;=3, 30, IF(I1668&lt;=6, 20, 0))) +(IF(OR(E1668="413 - Control de Costes y Enlace Construcción", E1668="480 - Secretaría General del Consejo", E1668="132 - Civil y estructuras", E1668="136 - Mecánica", E1668="412 - Planificación", E1668="142 - Compras"), 25, 0)) +(IF(OR(S1668="GRADO ING. MECÁNICA", S1668="GRADO ING. ELÉCTRICA", S1668="GRADO DERECHO", S1668="GRADO ECONOMÍA", S1668="GRADO ING. TECNOLOGÍAS INDUSTRIALES"), 24, 0)) + (IF(AND(K1668&gt;=451, K1668&lt;=700), 23, 0)) + (IF(AND(AB1668&gt;=5, AB1668&lt;=8), 17, 0)) +(IF(_xludf.OR(_xludf.AND(AC1668&gt;=8, AC1668&lt;=10), _xludf.AND(AC1668&gt;=0, AC1668&lt;=5)), 16, 0)) + (IF(F1668="Madrid", 11, 0))))</f>
        <v>#NAME?</v>
      </c>
      <c r="AG1668" s="69"/>
      <c r="AH1668" s="71" t="s">
        <v>164</v>
      </c>
    </row>
    <row r="1669" spans="1:34" s="9" customFormat="1" ht="15.75" customHeight="1" x14ac:dyDescent="0.3">
      <c r="A1669" s="66" t="s">
        <v>2647</v>
      </c>
      <c r="B1669" s="66" t="s">
        <v>4764</v>
      </c>
      <c r="C1669" s="33">
        <v>1668</v>
      </c>
      <c r="D1669" s="33" t="s">
        <v>5401</v>
      </c>
      <c r="E1669" s="34" t="s">
        <v>5299</v>
      </c>
      <c r="F1669" s="34" t="s">
        <v>935</v>
      </c>
      <c r="G1669" s="57">
        <v>45350</v>
      </c>
      <c r="H1669" s="57">
        <v>45433</v>
      </c>
      <c r="I1669" s="34">
        <f t="shared" si="78"/>
        <v>2</v>
      </c>
      <c r="J1669" s="34">
        <v>40</v>
      </c>
      <c r="K1669" s="36">
        <v>0</v>
      </c>
      <c r="L1669" s="34" t="s">
        <v>17</v>
      </c>
      <c r="M1669" s="35">
        <v>36526</v>
      </c>
      <c r="N1669" s="37">
        <f>(YEAR(TablaMadre[[#This Row],[ALTA]])-YEAR(M1669))</f>
        <v>24</v>
      </c>
      <c r="O1669" s="34"/>
      <c r="P1669" s="34"/>
      <c r="Q1669" s="34" t="s">
        <v>731</v>
      </c>
      <c r="R1669" s="34" t="s">
        <v>30</v>
      </c>
      <c r="S1669" s="34" t="s">
        <v>26</v>
      </c>
      <c r="T1669" s="34"/>
      <c r="U1669" s="34"/>
      <c r="V1669" s="34" t="s">
        <v>27</v>
      </c>
      <c r="W1669" s="34" t="s">
        <v>28</v>
      </c>
      <c r="X1669" s="40" t="s">
        <v>164</v>
      </c>
      <c r="Y1669" s="63"/>
      <c r="Z1669" s="40" t="e">
        <f t="shared" si="79"/>
        <v>#NUM!</v>
      </c>
      <c r="AA1669" s="40"/>
      <c r="AB1669" s="34" t="s">
        <v>693</v>
      </c>
      <c r="AC1669" s="34">
        <v>8</v>
      </c>
      <c r="AD1669" s="40"/>
      <c r="AE1669" s="59" t="str">
        <f t="shared" si="80"/>
        <v>SÍ</v>
      </c>
      <c r="AF1669" s="40" t="e" cm="1">
        <f t="array" aca="1" ref="AF1669" ca="1">MIN(100, MAX(0, (IF(R1669="ESTUDIANTE", 31, 0)) + (IF(I1669&lt;=3, 30, IF(I1669&lt;=6, 20, 0))) +(IF(OR(E1669="413 - Control de Costes y Enlace Construcción", E1669="480 - Secretaría General del Consejo", E1669="132 - Civil y estructuras", E1669="136 - Mecánica", E1669="412 - Planificación", E1669="142 - Compras"), 25, 0)) +(IF(OR(S1669="GRADO ING. MECÁNICA", S1669="GRADO ING. ELÉCTRICA", S1669="GRADO DERECHO", S1669="GRADO ECONOMÍA", S1669="GRADO ING. TECNOLOGÍAS INDUSTRIALES"), 24, 0)) + (IF(AND(K1669&gt;=451, K1669&lt;=700), 23, 0)) + (IF(AND(AB1669&gt;=5, AB1669&lt;=8), 17, 0)) +(IF(_xludf.OR(_xludf.AND(AC1669&gt;=8, AC1669&lt;=10), _xludf.AND(AC1669&gt;=0, AC1669&lt;=5)), 16, 0)) + (IF(F1669="Madrid", 11, 0))))</f>
        <v>#NAME?</v>
      </c>
      <c r="AG1669" s="70"/>
      <c r="AH1669" s="71" t="s">
        <v>164</v>
      </c>
    </row>
    <row r="1670" spans="1:34" ht="14.4" x14ac:dyDescent="0.3">
      <c r="A1670" s="66" t="s">
        <v>2522</v>
      </c>
      <c r="B1670" s="66" t="s">
        <v>4639</v>
      </c>
      <c r="C1670" s="33">
        <v>1669</v>
      </c>
      <c r="D1670" s="33" t="s">
        <v>5402</v>
      </c>
      <c r="E1670" s="34" t="s">
        <v>5299</v>
      </c>
      <c r="F1670" s="34" t="s">
        <v>558</v>
      </c>
      <c r="G1670" s="57">
        <v>45352</v>
      </c>
      <c r="H1670" s="57">
        <v>45471</v>
      </c>
      <c r="I1670" s="34">
        <f t="shared" si="78"/>
        <v>3</v>
      </c>
      <c r="J1670" s="34">
        <v>25</v>
      </c>
      <c r="K1670" s="36">
        <v>500</v>
      </c>
      <c r="L1670" s="34" t="s">
        <v>29</v>
      </c>
      <c r="M1670" s="35">
        <v>36648</v>
      </c>
      <c r="N1670" s="37">
        <f>(YEAR(TablaMadre[[#This Row],[ALTA]])-YEAR(M1670))</f>
        <v>24</v>
      </c>
      <c r="O1670" s="34" t="s">
        <v>558</v>
      </c>
      <c r="P1670" s="34" t="s">
        <v>19</v>
      </c>
      <c r="Q1670" s="34" t="s">
        <v>738</v>
      </c>
      <c r="R1670" s="58" t="s">
        <v>30</v>
      </c>
      <c r="S1670" s="34" t="s">
        <v>280</v>
      </c>
      <c r="T1670" s="34"/>
      <c r="U1670" s="34"/>
      <c r="V1670" s="34" t="s">
        <v>310</v>
      </c>
      <c r="W1670" s="34" t="s">
        <v>380</v>
      </c>
      <c r="X1670" s="38" t="s">
        <v>173</v>
      </c>
      <c r="Y1670" s="62"/>
      <c r="Z1670" s="38" t="e">
        <f t="shared" si="79"/>
        <v>#NUM!</v>
      </c>
      <c r="AA1670" s="38"/>
      <c r="AB1670" s="34"/>
      <c r="AC1670" s="34"/>
      <c r="AD1670" s="38"/>
      <c r="AE1670" s="59" t="str">
        <f t="shared" si="80"/>
        <v>NO</v>
      </c>
      <c r="AF1670" s="38" t="e" cm="1">
        <f t="array" aca="1" ref="AF1670" ca="1">MIN(100, MAX(0, (IF(R1670="ESTUDIANTE", 31, 0)) + (IF(I1670&lt;=3, 30, IF(I1670&lt;=6, 20, 0))) +(IF(OR(E1670="413 - Control de Costes y Enlace Construcción", E1670="480 - Secretaría General del Consejo", E1670="132 - Civil y estructuras", E1670="136 - Mecánica", E1670="412 - Planificación", E1670="142 - Compras"), 25, 0)) +(IF(OR(S1670="GRADO ING. MECÁNICA", S1670="GRADO ING. ELÉCTRICA", S1670="GRADO DERECHO", S1670="GRADO ECONOMÍA", S1670="GRADO ING. TECNOLOGÍAS INDUSTRIALES"), 24, 0)) + (IF(AND(K1670&gt;=451, K1670&lt;=700), 23, 0)) + (IF(AND(AB1670&gt;=5, AB1670&lt;=8), 17, 0)) +(IF(_xludf.OR(_xludf.AND(AC1670&gt;=8, AC1670&lt;=10), _xludf.AND(AC1670&gt;=0, AC1670&lt;=5)), 16, 0)) + (IF(F1670="Madrid", 11, 0))))</f>
        <v>#NAME?</v>
      </c>
      <c r="AG1670" s="68"/>
      <c r="AH1670" s="71" t="s">
        <v>164</v>
      </c>
    </row>
    <row r="1671" spans="1:34" ht="14.4" x14ac:dyDescent="0.3">
      <c r="A1671" s="66" t="s">
        <v>2649</v>
      </c>
      <c r="B1671" s="66" t="s">
        <v>4766</v>
      </c>
      <c r="C1671" s="33">
        <v>1670</v>
      </c>
      <c r="D1671" s="33" t="s">
        <v>5393</v>
      </c>
      <c r="E1671" s="34" t="s">
        <v>5252</v>
      </c>
      <c r="F1671" s="34" t="s">
        <v>558</v>
      </c>
      <c r="G1671" s="57">
        <v>45352</v>
      </c>
      <c r="H1671" s="57">
        <v>45531</v>
      </c>
      <c r="I1671" s="34">
        <f t="shared" si="78"/>
        <v>5</v>
      </c>
      <c r="J1671" s="34">
        <v>35</v>
      </c>
      <c r="K1671" s="36">
        <v>955</v>
      </c>
      <c r="L1671" s="34" t="s">
        <v>17</v>
      </c>
      <c r="M1671" s="35">
        <v>36087</v>
      </c>
      <c r="N1671" s="37">
        <f>(YEAR(TablaMadre[[#This Row],[ALTA]])-YEAR(M1671))</f>
        <v>26</v>
      </c>
      <c r="O1671" s="34" t="s">
        <v>558</v>
      </c>
      <c r="P1671" s="34" t="s">
        <v>19</v>
      </c>
      <c r="Q1671" s="34" t="s">
        <v>750</v>
      </c>
      <c r="R1671" s="34" t="s">
        <v>21</v>
      </c>
      <c r="S1671" s="34" t="s">
        <v>136</v>
      </c>
      <c r="T1671" s="34"/>
      <c r="U1671" s="34"/>
      <c r="V1671" s="34" t="s">
        <v>310</v>
      </c>
      <c r="W1671" s="34" t="s">
        <v>28</v>
      </c>
      <c r="X1671" s="38" t="s">
        <v>173</v>
      </c>
      <c r="Y1671" s="62"/>
      <c r="Z1671" s="38" t="e">
        <f t="shared" si="79"/>
        <v>#NUM!</v>
      </c>
      <c r="AA1671" s="38"/>
      <c r="AB1671" s="34">
        <v>9</v>
      </c>
      <c r="AC1671" s="34">
        <v>9</v>
      </c>
      <c r="AD1671" s="38"/>
      <c r="AE1671" s="59" t="str">
        <f t="shared" si="80"/>
        <v>NO</v>
      </c>
      <c r="AF1671" s="38" t="e" cm="1">
        <f t="array" aca="1" ref="AF1671" ca="1">MIN(100, MAX(0, (IF(R1671="ESTUDIANTE", 31, 0)) + (IF(I1671&lt;=3, 30, IF(I1671&lt;=6, 20, 0))) +(IF(OR(E1671="413 - Control de Costes y Enlace Construcción", E1671="480 - Secretaría General del Consejo", E1671="132 - Civil y estructuras", E1671="136 - Mecánica", E1671="412 - Planificación", E1671="142 - Compras"), 25, 0)) +(IF(OR(S1671="GRADO ING. MECÁNICA", S1671="GRADO ING. ELÉCTRICA", S1671="GRADO DERECHO", S1671="GRADO ECONOMÍA", S1671="GRADO ING. TECNOLOGÍAS INDUSTRIALES"), 24, 0)) + (IF(AND(K1671&gt;=451, K1671&lt;=700), 23, 0)) + (IF(AND(AB1671&gt;=5, AB1671&lt;=8), 17, 0)) +(IF(_xludf.OR(_xludf.AND(AC1671&gt;=8, AC1671&lt;=10), _xludf.AND(AC1671&gt;=0, AC1671&lt;=5)), 16, 0)) + (IF(F1671="Madrid", 11, 0))))</f>
        <v>#NAME?</v>
      </c>
      <c r="AG1671" s="68"/>
      <c r="AH1671" s="71" t="s">
        <v>164</v>
      </c>
    </row>
    <row r="1672" spans="1:34" ht="15" customHeight="1" x14ac:dyDescent="0.3">
      <c r="A1672" s="66" t="s">
        <v>2650</v>
      </c>
      <c r="B1672" s="66" t="s">
        <v>4767</v>
      </c>
      <c r="C1672" s="33">
        <v>1671</v>
      </c>
      <c r="D1672" s="33" t="s">
        <v>5394</v>
      </c>
      <c r="E1672" s="34" t="s">
        <v>5252</v>
      </c>
      <c r="F1672" s="34" t="s">
        <v>558</v>
      </c>
      <c r="G1672" s="57">
        <v>45352</v>
      </c>
      <c r="H1672" s="57">
        <v>45531</v>
      </c>
      <c r="I1672" s="34">
        <f t="shared" si="78"/>
        <v>5</v>
      </c>
      <c r="J1672" s="34">
        <v>35</v>
      </c>
      <c r="K1672" s="36">
        <v>955</v>
      </c>
      <c r="L1672" s="34" t="s">
        <v>17</v>
      </c>
      <c r="M1672" s="35">
        <v>36499</v>
      </c>
      <c r="N1672" s="37">
        <f>(YEAR(TablaMadre[[#This Row],[ALTA]])-YEAR(M1672))</f>
        <v>25</v>
      </c>
      <c r="O1672" s="34" t="s">
        <v>575</v>
      </c>
      <c r="P1672" s="34" t="s">
        <v>19</v>
      </c>
      <c r="Q1672" s="34" t="s">
        <v>750</v>
      </c>
      <c r="R1672" s="34" t="s">
        <v>21</v>
      </c>
      <c r="S1672" s="34" t="s">
        <v>136</v>
      </c>
      <c r="T1672" s="34"/>
      <c r="U1672" s="34"/>
      <c r="V1672" s="34" t="s">
        <v>310</v>
      </c>
      <c r="W1672" s="34" t="s">
        <v>28</v>
      </c>
      <c r="X1672" s="38" t="s">
        <v>173</v>
      </c>
      <c r="Y1672" s="62"/>
      <c r="Z1672" s="38" t="e">
        <f t="shared" si="79"/>
        <v>#NUM!</v>
      </c>
      <c r="AA1672" s="38"/>
      <c r="AB1672" s="34">
        <v>9</v>
      </c>
      <c r="AC1672" s="34">
        <v>8</v>
      </c>
      <c r="AD1672" s="38"/>
      <c r="AE1672" s="59" t="str">
        <f t="shared" si="80"/>
        <v>SÍ</v>
      </c>
      <c r="AF1672" s="38" t="e" cm="1">
        <f t="array" aca="1" ref="AF1672" ca="1">MIN(100, MAX(0, (IF(R1672="ESTUDIANTE", 31, 0)) + (IF(I1672&lt;=3, 30, IF(I1672&lt;=6, 20, 0))) +(IF(OR(E1672="413 - Control de Costes y Enlace Construcción", E1672="480 - Secretaría General del Consejo", E1672="132 - Civil y estructuras", E1672="136 - Mecánica", E1672="412 - Planificación", E1672="142 - Compras"), 25, 0)) +(IF(OR(S1672="GRADO ING. MECÁNICA", S1672="GRADO ING. ELÉCTRICA", S1672="GRADO DERECHO", S1672="GRADO ECONOMÍA", S1672="GRADO ING. TECNOLOGÍAS INDUSTRIALES"), 24, 0)) + (IF(AND(K1672&gt;=451, K1672&lt;=700), 23, 0)) + (IF(AND(AB1672&gt;=5, AB1672&lt;=8), 17, 0)) +(IF(_xludf.OR(_xludf.AND(AC1672&gt;=8, AC1672&lt;=10), _xludf.AND(AC1672&gt;=0, AC1672&lt;=5)), 16, 0)) + (IF(F1672="Madrid", 11, 0))))</f>
        <v>#NAME?</v>
      </c>
      <c r="AG1672" s="68"/>
      <c r="AH1672" s="71" t="s">
        <v>164</v>
      </c>
    </row>
    <row r="1673" spans="1:34" ht="15" customHeight="1" x14ac:dyDescent="0.3">
      <c r="A1673" s="66" t="s">
        <v>2651</v>
      </c>
      <c r="B1673" s="66" t="s">
        <v>4768</v>
      </c>
      <c r="C1673" s="33">
        <v>1672</v>
      </c>
      <c r="D1673" s="33" t="s">
        <v>5403</v>
      </c>
      <c r="E1673" s="34" t="s">
        <v>5219</v>
      </c>
      <c r="F1673" s="34" t="s">
        <v>558</v>
      </c>
      <c r="G1673" s="57">
        <v>45352</v>
      </c>
      <c r="H1673" s="57">
        <v>45531</v>
      </c>
      <c r="I1673" s="34">
        <f t="shared" si="78"/>
        <v>5</v>
      </c>
      <c r="J1673" s="34">
        <v>35</v>
      </c>
      <c r="K1673" s="36">
        <v>875</v>
      </c>
      <c r="L1673" s="34" t="s">
        <v>29</v>
      </c>
      <c r="M1673" s="35">
        <v>35466</v>
      </c>
      <c r="N1673" s="37">
        <f>(YEAR(TablaMadre[[#This Row],[ALTA]])-YEAR(M1673))</f>
        <v>27</v>
      </c>
      <c r="O1673" s="34" t="s">
        <v>558</v>
      </c>
      <c r="P1673" s="34" t="s">
        <v>19</v>
      </c>
      <c r="Q1673" s="34" t="s">
        <v>765</v>
      </c>
      <c r="R1673" s="34" t="s">
        <v>21</v>
      </c>
      <c r="S1673" s="34" t="s">
        <v>322</v>
      </c>
      <c r="T1673" s="34"/>
      <c r="U1673" s="34"/>
      <c r="V1673" s="34" t="s">
        <v>310</v>
      </c>
      <c r="W1673" s="34" t="s">
        <v>28</v>
      </c>
      <c r="X1673" s="38" t="s">
        <v>173</v>
      </c>
      <c r="Y1673" s="62"/>
      <c r="Z1673" s="38" t="e">
        <f t="shared" si="79"/>
        <v>#NUM!</v>
      </c>
      <c r="AA1673" s="38"/>
      <c r="AB1673" s="34">
        <v>9</v>
      </c>
      <c r="AC1673" s="34">
        <v>10</v>
      </c>
      <c r="AD1673" s="38"/>
      <c r="AE1673" s="59" t="str">
        <f t="shared" si="80"/>
        <v>NO</v>
      </c>
      <c r="AF1673" s="38" t="e" cm="1">
        <f t="array" aca="1" ref="AF1673" ca="1">MIN(100, MAX(0, (IF(R1673="ESTUDIANTE", 31, 0)) + (IF(I1673&lt;=3, 30, IF(I1673&lt;=6, 20, 0))) +(IF(OR(E1673="413 - Control de Costes y Enlace Construcción", E1673="480 - Secretaría General del Consejo", E1673="132 - Civil y estructuras", E1673="136 - Mecánica", E1673="412 - Planificación", E1673="142 - Compras"), 25, 0)) +(IF(OR(S1673="GRADO ING. MECÁNICA", S1673="GRADO ING. ELÉCTRICA", S1673="GRADO DERECHO", S1673="GRADO ECONOMÍA", S1673="GRADO ING. TECNOLOGÍAS INDUSTRIALES"), 24, 0)) + (IF(AND(K1673&gt;=451, K1673&lt;=700), 23, 0)) + (IF(AND(AB1673&gt;=5, AB1673&lt;=8), 17, 0)) +(IF(_xludf.OR(_xludf.AND(AC1673&gt;=8, AC1673&lt;=10), _xludf.AND(AC1673&gt;=0, AC1673&lt;=5)), 16, 0)) + (IF(F1673="Madrid", 11, 0))))</f>
        <v>#NAME?</v>
      </c>
      <c r="AG1673" s="68"/>
      <c r="AH1673" s="71" t="s">
        <v>164</v>
      </c>
    </row>
    <row r="1674" spans="1:34" ht="14.4" x14ac:dyDescent="0.3">
      <c r="A1674" s="66" t="s">
        <v>2652</v>
      </c>
      <c r="B1674" s="66" t="s">
        <v>4769</v>
      </c>
      <c r="C1674" s="33">
        <v>1673</v>
      </c>
      <c r="D1674" s="33" t="s">
        <v>5404</v>
      </c>
      <c r="E1674" s="34" t="s">
        <v>5246</v>
      </c>
      <c r="F1674" s="34" t="s">
        <v>558</v>
      </c>
      <c r="G1674" s="57">
        <v>45352</v>
      </c>
      <c r="H1674" s="57">
        <v>45531</v>
      </c>
      <c r="I1674" s="34">
        <f t="shared" si="78"/>
        <v>5</v>
      </c>
      <c r="J1674" s="34">
        <v>35</v>
      </c>
      <c r="K1674" s="36">
        <v>875</v>
      </c>
      <c r="L1674" s="34" t="s">
        <v>29</v>
      </c>
      <c r="M1674" s="35">
        <v>34509</v>
      </c>
      <c r="N1674" s="37">
        <f>(YEAR(TablaMadre[[#This Row],[ALTA]])-YEAR(M1674))</f>
        <v>30</v>
      </c>
      <c r="O1674" s="34" t="s">
        <v>558</v>
      </c>
      <c r="P1674" s="34" t="s">
        <v>19</v>
      </c>
      <c r="Q1674" s="34" t="s">
        <v>766</v>
      </c>
      <c r="R1674" s="34" t="s">
        <v>21</v>
      </c>
      <c r="S1674" s="34" t="s">
        <v>322</v>
      </c>
      <c r="T1674" s="34"/>
      <c r="U1674" s="34"/>
      <c r="V1674" s="34" t="s">
        <v>310</v>
      </c>
      <c r="W1674" s="34" t="s">
        <v>28</v>
      </c>
      <c r="X1674" s="38" t="s">
        <v>173</v>
      </c>
      <c r="Y1674" s="62"/>
      <c r="Z1674" s="38" t="e">
        <f t="shared" si="79"/>
        <v>#NUM!</v>
      </c>
      <c r="AA1674" s="38"/>
      <c r="AB1674" s="34">
        <v>8</v>
      </c>
      <c r="AC1674" s="34">
        <v>7</v>
      </c>
      <c r="AD1674" s="38"/>
      <c r="AE1674" s="59" t="str">
        <f t="shared" si="80"/>
        <v>NO</v>
      </c>
      <c r="AF1674" s="38" t="e" cm="1">
        <f t="array" aca="1" ref="AF1674" ca="1">MIN(100, MAX(0, (IF(R1674="ESTUDIANTE", 31, 0)) + (IF(I1674&lt;=3, 30, IF(I1674&lt;=6, 20, 0))) +(IF(OR(E1674="413 - Control de Costes y Enlace Construcción", E1674="480 - Secretaría General del Consejo", E1674="132 - Civil y estructuras", E1674="136 - Mecánica", E1674="412 - Planificación", E1674="142 - Compras"), 25, 0)) +(IF(OR(S1674="GRADO ING. MECÁNICA", S1674="GRADO ING. ELÉCTRICA", S1674="GRADO DERECHO", S1674="GRADO ECONOMÍA", S1674="GRADO ING. TECNOLOGÍAS INDUSTRIALES"), 24, 0)) + (IF(AND(K1674&gt;=451, K1674&lt;=700), 23, 0)) + (IF(AND(AB1674&gt;=5, AB1674&lt;=8), 17, 0)) +(IF(_xludf.OR(_xludf.AND(AC1674&gt;=8, AC1674&lt;=10), _xludf.AND(AC1674&gt;=0, AC1674&lt;=5)), 16, 0)) + (IF(F1674="Madrid", 11, 0))))</f>
        <v>#NAME?</v>
      </c>
      <c r="AG1674" s="68"/>
      <c r="AH1674" s="71" t="s">
        <v>164</v>
      </c>
    </row>
    <row r="1675" spans="1:34" ht="14.4" x14ac:dyDescent="0.3">
      <c r="A1675" s="66" t="s">
        <v>2653</v>
      </c>
      <c r="B1675" s="66" t="s">
        <v>4770</v>
      </c>
      <c r="C1675" s="33">
        <v>1674</v>
      </c>
      <c r="D1675" s="33" t="s">
        <v>5405</v>
      </c>
      <c r="E1675" s="34" t="s">
        <v>5216</v>
      </c>
      <c r="F1675" s="34" t="s">
        <v>558</v>
      </c>
      <c r="G1675" s="57">
        <v>45352</v>
      </c>
      <c r="H1675" s="57">
        <v>45531</v>
      </c>
      <c r="I1675" s="34">
        <f t="shared" si="78"/>
        <v>5</v>
      </c>
      <c r="J1675" s="34">
        <v>35</v>
      </c>
      <c r="K1675" s="36">
        <v>955</v>
      </c>
      <c r="L1675" s="34" t="s">
        <v>29</v>
      </c>
      <c r="M1675" s="35">
        <v>36838</v>
      </c>
      <c r="N1675" s="37">
        <f>(YEAR(TablaMadre[[#This Row],[ALTA]])-YEAR(M1675))</f>
        <v>24</v>
      </c>
      <c r="O1675" s="34" t="s">
        <v>558</v>
      </c>
      <c r="P1675" s="34" t="s">
        <v>19</v>
      </c>
      <c r="Q1675" s="34" t="s">
        <v>399</v>
      </c>
      <c r="R1675" s="34" t="s">
        <v>21</v>
      </c>
      <c r="S1675" s="34" t="s">
        <v>322</v>
      </c>
      <c r="T1675" s="34"/>
      <c r="U1675" s="34"/>
      <c r="V1675" s="34" t="s">
        <v>310</v>
      </c>
      <c r="W1675" s="34" t="s">
        <v>28</v>
      </c>
      <c r="X1675" s="38" t="s">
        <v>173</v>
      </c>
      <c r="Y1675" s="62"/>
      <c r="Z1675" s="38" t="e">
        <f t="shared" si="79"/>
        <v>#NUM!</v>
      </c>
      <c r="AA1675" s="38"/>
      <c r="AB1675" s="34">
        <v>9</v>
      </c>
      <c r="AC1675" s="34">
        <v>7</v>
      </c>
      <c r="AD1675" s="38"/>
      <c r="AE1675" s="59" t="str">
        <f t="shared" si="80"/>
        <v>NO</v>
      </c>
      <c r="AF1675" s="38" t="e" cm="1">
        <f t="array" aca="1" ref="AF1675" ca="1">MIN(100, MAX(0, (IF(R1675="ESTUDIANTE", 31, 0)) + (IF(I1675&lt;=3, 30, IF(I1675&lt;=6, 20, 0))) +(IF(OR(E1675="413 - Control de Costes y Enlace Construcción", E1675="480 - Secretaría General del Consejo", E1675="132 - Civil y estructuras", E1675="136 - Mecánica", E1675="412 - Planificación", E1675="142 - Compras"), 25, 0)) +(IF(OR(S1675="GRADO ING. MECÁNICA", S1675="GRADO ING. ELÉCTRICA", S1675="GRADO DERECHO", S1675="GRADO ECONOMÍA", S1675="GRADO ING. TECNOLOGÍAS INDUSTRIALES"), 24, 0)) + (IF(AND(K1675&gt;=451, K1675&lt;=700), 23, 0)) + (IF(AND(AB1675&gt;=5, AB1675&lt;=8), 17, 0)) +(IF(_xludf.OR(_xludf.AND(AC1675&gt;=8, AC1675&lt;=10), _xludf.AND(AC1675&gt;=0, AC1675&lt;=5)), 16, 0)) + (IF(F1675="Madrid", 11, 0))))</f>
        <v>#NAME?</v>
      </c>
      <c r="AG1675" s="68"/>
      <c r="AH1675" s="71" t="s">
        <v>164</v>
      </c>
    </row>
    <row r="1676" spans="1:34" ht="14.4" x14ac:dyDescent="0.3">
      <c r="A1676" s="66" t="s">
        <v>2654</v>
      </c>
      <c r="B1676" s="66" t="s">
        <v>4771</v>
      </c>
      <c r="C1676" s="33">
        <v>1675</v>
      </c>
      <c r="D1676" s="33" t="s">
        <v>5396</v>
      </c>
      <c r="E1676" s="34" t="s">
        <v>5272</v>
      </c>
      <c r="F1676" s="34" t="s">
        <v>18</v>
      </c>
      <c r="G1676" s="57">
        <v>45355</v>
      </c>
      <c r="H1676" s="57">
        <v>45476</v>
      </c>
      <c r="I1676" s="34">
        <f t="shared" si="78"/>
        <v>3</v>
      </c>
      <c r="J1676" s="34">
        <v>35</v>
      </c>
      <c r="K1676" s="36">
        <v>875</v>
      </c>
      <c r="L1676" s="34" t="s">
        <v>17</v>
      </c>
      <c r="M1676" s="35">
        <v>35879</v>
      </c>
      <c r="N1676" s="37">
        <f>(YEAR(TablaMadre[[#This Row],[ALTA]])-YEAR(M1676))</f>
        <v>26</v>
      </c>
      <c r="O1676" s="34" t="s">
        <v>18</v>
      </c>
      <c r="P1676" s="34" t="s">
        <v>19</v>
      </c>
      <c r="Q1676" s="34" t="s">
        <v>297</v>
      </c>
      <c r="R1676" s="34" t="s">
        <v>21</v>
      </c>
      <c r="S1676" s="34" t="s">
        <v>297</v>
      </c>
      <c r="T1676" s="34"/>
      <c r="U1676" s="34"/>
      <c r="V1676" s="34" t="s">
        <v>56</v>
      </c>
      <c r="W1676" s="34" t="s">
        <v>28</v>
      </c>
      <c r="X1676" s="38" t="s">
        <v>173</v>
      </c>
      <c r="Y1676" s="62"/>
      <c r="Z1676" s="38" t="e">
        <f t="shared" si="79"/>
        <v>#NUM!</v>
      </c>
      <c r="AA1676" s="38"/>
      <c r="AB1676" s="34">
        <v>8</v>
      </c>
      <c r="AC1676" s="34">
        <v>10</v>
      </c>
      <c r="AD1676" s="38"/>
      <c r="AE1676" s="59" t="str">
        <f t="shared" si="80"/>
        <v>NO</v>
      </c>
      <c r="AF1676" s="38" t="e" cm="1">
        <f t="array" aca="1" ref="AF1676" ca="1">MIN(100, MAX(0, (IF(R1676="ESTUDIANTE", 31, 0)) + (IF(I1676&lt;=3, 30, IF(I1676&lt;=6, 20, 0))) +(IF(OR(E1676="413 - Control de Costes y Enlace Construcción", E1676="480 - Secretaría General del Consejo", E1676="132 - Civil y estructuras", E1676="136 - Mecánica", E1676="412 - Planificación", E1676="142 - Compras"), 25, 0)) +(IF(OR(S1676="GRADO ING. MECÁNICA", S1676="GRADO ING. ELÉCTRICA", S1676="GRADO DERECHO", S1676="GRADO ECONOMÍA", S1676="GRADO ING. TECNOLOGÍAS INDUSTRIALES"), 24, 0)) + (IF(AND(K1676&gt;=451, K1676&lt;=700), 23, 0)) + (IF(AND(AB1676&gt;=5, AB1676&lt;=8), 17, 0)) +(IF(_xludf.OR(_xludf.AND(AC1676&gt;=8, AC1676&lt;=10), _xludf.AND(AC1676&gt;=0, AC1676&lt;=5)), 16, 0)) + (IF(F1676="Madrid", 11, 0))))</f>
        <v>#NAME?</v>
      </c>
      <c r="AG1676" s="68"/>
      <c r="AH1676" s="71" t="s">
        <v>164</v>
      </c>
    </row>
    <row r="1677" spans="1:34" s="4" customFormat="1" ht="14.4" x14ac:dyDescent="0.3">
      <c r="A1677" s="66" t="s">
        <v>2655</v>
      </c>
      <c r="B1677" s="66" t="s">
        <v>4772</v>
      </c>
      <c r="C1677" s="33">
        <v>1676</v>
      </c>
      <c r="D1677" s="33" t="s">
        <v>5397</v>
      </c>
      <c r="E1677" s="34" t="s">
        <v>5272</v>
      </c>
      <c r="F1677" s="34" t="s">
        <v>217</v>
      </c>
      <c r="G1677" s="57">
        <v>45355</v>
      </c>
      <c r="H1677" s="57">
        <v>45535</v>
      </c>
      <c r="I1677" s="34">
        <f t="shared" si="78"/>
        <v>5</v>
      </c>
      <c r="J1677" s="34">
        <v>35</v>
      </c>
      <c r="K1677" s="36">
        <v>875</v>
      </c>
      <c r="L1677" s="34" t="s">
        <v>17</v>
      </c>
      <c r="M1677" s="35">
        <v>36853</v>
      </c>
      <c r="N1677" s="37">
        <f>(YEAR(TablaMadre[[#This Row],[ALTA]])-YEAR(M1677))</f>
        <v>24</v>
      </c>
      <c r="O1677" s="34" t="s">
        <v>217</v>
      </c>
      <c r="P1677" s="34" t="s">
        <v>19</v>
      </c>
      <c r="Q1677" s="34" t="s">
        <v>297</v>
      </c>
      <c r="R1677" s="34" t="s">
        <v>21</v>
      </c>
      <c r="S1677" s="34" t="s">
        <v>297</v>
      </c>
      <c r="T1677" s="34"/>
      <c r="U1677" s="34"/>
      <c r="V1677" s="34" t="s">
        <v>107</v>
      </c>
      <c r="W1677" s="34" t="s">
        <v>28</v>
      </c>
      <c r="X1677" s="34" t="s">
        <v>173</v>
      </c>
      <c r="Y1677" s="57"/>
      <c r="Z1677" s="34" t="e">
        <f t="shared" si="79"/>
        <v>#NUM!</v>
      </c>
      <c r="AA1677" s="34"/>
      <c r="AB1677" s="34">
        <v>10</v>
      </c>
      <c r="AC1677" s="34">
        <v>9</v>
      </c>
      <c r="AD1677" s="34"/>
      <c r="AE1677" s="59" t="str">
        <f t="shared" si="80"/>
        <v>NO</v>
      </c>
      <c r="AF1677" s="34" t="e" cm="1">
        <f t="array" aca="1" ref="AF1677" ca="1">MIN(100, MAX(0, (IF(R1677="ESTUDIANTE", 31, 0)) + (IF(I1677&lt;=3, 30, IF(I1677&lt;=6, 20, 0))) +(IF(OR(E1677="413 - Control de Costes y Enlace Construcción", E1677="480 - Secretaría General del Consejo", E1677="132 - Civil y estructuras", E1677="136 - Mecánica", E1677="412 - Planificación", E1677="142 - Compras"), 25, 0)) +(IF(OR(S1677="GRADO ING. MECÁNICA", S1677="GRADO ING. ELÉCTRICA", S1677="GRADO DERECHO", S1677="GRADO ECONOMÍA", S1677="GRADO ING. TECNOLOGÍAS INDUSTRIALES"), 24, 0)) + (IF(AND(K1677&gt;=451, K1677&lt;=700), 23, 0)) + (IF(AND(AB1677&gt;=5, AB1677&lt;=8), 17, 0)) +(IF(_xludf.OR(_xludf.AND(AC1677&gt;=8, AC1677&lt;=10), _xludf.AND(AC1677&gt;=0, AC1677&lt;=5)), 16, 0)) + (IF(F1677="Madrid", 11, 0))))</f>
        <v>#NAME?</v>
      </c>
      <c r="AG1677" s="69"/>
      <c r="AH1677" s="71" t="s">
        <v>164</v>
      </c>
    </row>
    <row r="1678" spans="1:34" s="4" customFormat="1" ht="14.4" x14ac:dyDescent="0.3">
      <c r="A1678" s="66" t="s">
        <v>2656</v>
      </c>
      <c r="B1678" s="66" t="s">
        <v>4773</v>
      </c>
      <c r="C1678" s="33">
        <v>1677</v>
      </c>
      <c r="D1678" s="33" t="s">
        <v>5393</v>
      </c>
      <c r="E1678" s="34" t="s">
        <v>5219</v>
      </c>
      <c r="F1678" s="34" t="s">
        <v>18</v>
      </c>
      <c r="G1678" s="57">
        <v>45355</v>
      </c>
      <c r="H1678" s="57">
        <v>45535</v>
      </c>
      <c r="I1678" s="34">
        <f t="shared" si="78"/>
        <v>5</v>
      </c>
      <c r="J1678" s="34">
        <v>35</v>
      </c>
      <c r="K1678" s="36">
        <v>955</v>
      </c>
      <c r="L1678" s="34" t="s">
        <v>17</v>
      </c>
      <c r="M1678" s="35">
        <v>36206</v>
      </c>
      <c r="N1678" s="37">
        <f>(YEAR(TablaMadre[[#This Row],[ALTA]])-YEAR(M1678))</f>
        <v>25</v>
      </c>
      <c r="O1678" s="34" t="s">
        <v>18</v>
      </c>
      <c r="P1678" s="34" t="s">
        <v>19</v>
      </c>
      <c r="Q1678" s="34" t="s">
        <v>770</v>
      </c>
      <c r="R1678" s="34" t="s">
        <v>21</v>
      </c>
      <c r="S1678" s="34" t="s">
        <v>297</v>
      </c>
      <c r="T1678" s="34"/>
      <c r="U1678" s="34"/>
      <c r="V1678" s="34" t="s">
        <v>56</v>
      </c>
      <c r="W1678" s="34" t="s">
        <v>28</v>
      </c>
      <c r="X1678" s="34" t="s">
        <v>173</v>
      </c>
      <c r="Y1678" s="57"/>
      <c r="Z1678" s="34" t="e">
        <f t="shared" si="79"/>
        <v>#NUM!</v>
      </c>
      <c r="AA1678" s="34"/>
      <c r="AB1678" s="34" t="s">
        <v>693</v>
      </c>
      <c r="AC1678" s="34">
        <v>9</v>
      </c>
      <c r="AD1678" s="34"/>
      <c r="AE1678" s="59" t="str">
        <f t="shared" si="80"/>
        <v>NO</v>
      </c>
      <c r="AF1678" s="34" t="e" cm="1">
        <f t="array" aca="1" ref="AF1678" ca="1">MIN(100, MAX(0, (IF(R1678="ESTUDIANTE", 31, 0)) + (IF(I1678&lt;=3, 30, IF(I1678&lt;=6, 20, 0))) +(IF(OR(E1678="413 - Control de Costes y Enlace Construcción", E1678="480 - Secretaría General del Consejo", E1678="132 - Civil y estructuras", E1678="136 - Mecánica", E1678="412 - Planificación", E1678="142 - Compras"), 25, 0)) +(IF(OR(S1678="GRADO ING. MECÁNICA", S1678="GRADO ING. ELÉCTRICA", S1678="GRADO DERECHO", S1678="GRADO ECONOMÍA", S1678="GRADO ING. TECNOLOGÍAS INDUSTRIALES"), 24, 0)) + (IF(AND(K1678&gt;=451, K1678&lt;=700), 23, 0)) + (IF(AND(AB1678&gt;=5, AB1678&lt;=8), 17, 0)) +(IF(_xludf.OR(_xludf.AND(AC1678&gt;=8, AC1678&lt;=10), _xludf.AND(AC1678&gt;=0, AC1678&lt;=5)), 16, 0)) + (IF(F1678="Madrid", 11, 0))))</f>
        <v>#NAME?</v>
      </c>
      <c r="AG1678" s="69"/>
      <c r="AH1678" s="71" t="s">
        <v>164</v>
      </c>
    </row>
    <row r="1679" spans="1:34" s="4" customFormat="1" ht="14.4" x14ac:dyDescent="0.3">
      <c r="A1679" s="66" t="s">
        <v>2657</v>
      </c>
      <c r="B1679" s="66" t="s">
        <v>4774</v>
      </c>
      <c r="C1679" s="33">
        <v>1678</v>
      </c>
      <c r="D1679" s="33" t="s">
        <v>5394</v>
      </c>
      <c r="E1679" s="34" t="s">
        <v>5216</v>
      </c>
      <c r="F1679" s="34" t="s">
        <v>18</v>
      </c>
      <c r="G1679" s="57">
        <v>45355</v>
      </c>
      <c r="H1679" s="57">
        <v>45538</v>
      </c>
      <c r="I1679" s="34">
        <f t="shared" si="78"/>
        <v>5</v>
      </c>
      <c r="J1679" s="34">
        <v>35</v>
      </c>
      <c r="K1679" s="36">
        <v>725</v>
      </c>
      <c r="L1679" s="34" t="s">
        <v>29</v>
      </c>
      <c r="M1679" s="35">
        <v>37854</v>
      </c>
      <c r="N1679" s="37">
        <f>(YEAR(TablaMadre[[#This Row],[ALTA]])-YEAR(M1679))</f>
        <v>21</v>
      </c>
      <c r="O1679" s="34" t="s">
        <v>18</v>
      </c>
      <c r="P1679" s="34" t="s">
        <v>19</v>
      </c>
      <c r="Q1679" s="34" t="s">
        <v>675</v>
      </c>
      <c r="R1679" s="34" t="s">
        <v>21</v>
      </c>
      <c r="S1679" s="34" t="s">
        <v>26</v>
      </c>
      <c r="T1679" s="34"/>
      <c r="U1679" s="34"/>
      <c r="V1679" s="34" t="s">
        <v>27</v>
      </c>
      <c r="W1679" s="34" t="s">
        <v>28</v>
      </c>
      <c r="X1679" s="34" t="s">
        <v>173</v>
      </c>
      <c r="Y1679" s="57"/>
      <c r="Z1679" s="34" t="e">
        <f t="shared" si="79"/>
        <v>#NUM!</v>
      </c>
      <c r="AA1679" s="34"/>
      <c r="AB1679" s="34">
        <v>9</v>
      </c>
      <c r="AC1679" s="34">
        <v>8</v>
      </c>
      <c r="AD1679" s="34"/>
      <c r="AE1679" s="59" t="str">
        <f t="shared" si="80"/>
        <v>NO</v>
      </c>
      <c r="AF1679" s="34" t="e" cm="1">
        <f t="array" aca="1" ref="AF1679" ca="1">MIN(100, MAX(0, (IF(R1679="ESTUDIANTE", 31, 0)) + (IF(I1679&lt;=3, 30, IF(I1679&lt;=6, 20, 0))) +(IF(OR(E1679="413 - Control de Costes y Enlace Construcción", E1679="480 - Secretaría General del Consejo", E1679="132 - Civil y estructuras", E1679="136 - Mecánica", E1679="412 - Planificación", E1679="142 - Compras"), 25, 0)) +(IF(OR(S1679="GRADO ING. MECÁNICA", S1679="GRADO ING. ELÉCTRICA", S1679="GRADO DERECHO", S1679="GRADO ECONOMÍA", S1679="GRADO ING. TECNOLOGÍAS INDUSTRIALES"), 24, 0)) + (IF(AND(K1679&gt;=451, K1679&lt;=700), 23, 0)) + (IF(AND(AB1679&gt;=5, AB1679&lt;=8), 17, 0)) +(IF(_xludf.OR(_xludf.AND(AC1679&gt;=8, AC1679&lt;=10), _xludf.AND(AC1679&gt;=0, AC1679&lt;=5)), 16, 0)) + (IF(F1679="Madrid", 11, 0))))</f>
        <v>#NAME?</v>
      </c>
      <c r="AG1679" s="69"/>
      <c r="AH1679" s="71" t="s">
        <v>164</v>
      </c>
    </row>
    <row r="1680" spans="1:34" ht="14.4" x14ac:dyDescent="0.3">
      <c r="A1680" s="66" t="s">
        <v>2658</v>
      </c>
      <c r="B1680" s="66" t="s">
        <v>4775</v>
      </c>
      <c r="C1680" s="33">
        <v>1679</v>
      </c>
      <c r="D1680" s="33" t="s">
        <v>5395</v>
      </c>
      <c r="E1680" s="34" t="s">
        <v>5361</v>
      </c>
      <c r="F1680" s="34" t="s">
        <v>18</v>
      </c>
      <c r="G1680" s="57">
        <v>45355</v>
      </c>
      <c r="H1680" s="57">
        <v>45626</v>
      </c>
      <c r="I1680" s="34">
        <f t="shared" si="78"/>
        <v>8</v>
      </c>
      <c r="J1680" s="34">
        <v>35</v>
      </c>
      <c r="K1680" s="36">
        <v>700</v>
      </c>
      <c r="L1680" s="34" t="s">
        <v>17</v>
      </c>
      <c r="M1680" s="35">
        <v>35078</v>
      </c>
      <c r="N1680" s="37">
        <f>(YEAR(TablaMadre[[#This Row],[ALTA]])-YEAR(M1680))</f>
        <v>28</v>
      </c>
      <c r="O1680" s="34" t="s">
        <v>176</v>
      </c>
      <c r="P1680" s="34" t="s">
        <v>19</v>
      </c>
      <c r="Q1680" s="34" t="s">
        <v>297</v>
      </c>
      <c r="R1680" s="58" t="s">
        <v>30</v>
      </c>
      <c r="S1680" s="34" t="s">
        <v>297</v>
      </c>
      <c r="T1680" s="34"/>
      <c r="U1680" s="34"/>
      <c r="V1680" s="34" t="s">
        <v>122</v>
      </c>
      <c r="W1680" s="34" t="s">
        <v>28</v>
      </c>
      <c r="X1680" s="38" t="s">
        <v>173</v>
      </c>
      <c r="Y1680" s="62"/>
      <c r="Z1680" s="38" t="e">
        <f t="shared" si="79"/>
        <v>#NUM!</v>
      </c>
      <c r="AA1680" s="38"/>
      <c r="AB1680" s="34">
        <v>10</v>
      </c>
      <c r="AC1680" s="34">
        <v>10</v>
      </c>
      <c r="AD1680" s="38"/>
      <c r="AE1680" s="59" t="str">
        <f t="shared" si="80"/>
        <v>SÍ</v>
      </c>
      <c r="AF1680" s="38" t="e" cm="1">
        <f t="array" aca="1" ref="AF1680" ca="1">MIN(100, MAX(0, (IF(R1680="ESTUDIANTE", 31, 0)) + (IF(I1680&lt;=3, 30, IF(I1680&lt;=6, 20, 0))) +(IF(OR(E1680="413 - Control de Costes y Enlace Construcción", E1680="480 - Secretaría General del Consejo", E1680="132 - Civil y estructuras", E1680="136 - Mecánica", E1680="412 - Planificación", E1680="142 - Compras"), 25, 0)) +(IF(OR(S1680="GRADO ING. MECÁNICA", S1680="GRADO ING. ELÉCTRICA", S1680="GRADO DERECHO", S1680="GRADO ECONOMÍA", S1680="GRADO ING. TECNOLOGÍAS INDUSTRIALES"), 24, 0)) + (IF(AND(K1680&gt;=451, K1680&lt;=700), 23, 0)) + (IF(AND(AB1680&gt;=5, AB1680&lt;=8), 17, 0)) +(IF(_xludf.OR(_xludf.AND(AC1680&gt;=8, AC1680&lt;=10), _xludf.AND(AC1680&gt;=0, AC1680&lt;=5)), 16, 0)) + (IF(F1680="Madrid", 11, 0))))</f>
        <v>#NAME?</v>
      </c>
      <c r="AG1680" s="68"/>
      <c r="AH1680" s="71" t="s">
        <v>164</v>
      </c>
    </row>
    <row r="1681" spans="1:34" s="4" customFormat="1" ht="14.4" x14ac:dyDescent="0.3">
      <c r="A1681" s="66" t="s">
        <v>2659</v>
      </c>
      <c r="B1681" s="66" t="s">
        <v>4776</v>
      </c>
      <c r="C1681" s="33">
        <v>1680</v>
      </c>
      <c r="D1681" s="33" t="s">
        <v>5396</v>
      </c>
      <c r="E1681" s="34" t="s">
        <v>5216</v>
      </c>
      <c r="F1681" s="34" t="s">
        <v>18</v>
      </c>
      <c r="G1681" s="57">
        <v>45355</v>
      </c>
      <c r="H1681" s="57">
        <v>45716</v>
      </c>
      <c r="I1681" s="34">
        <f t="shared" si="78"/>
        <v>11</v>
      </c>
      <c r="J1681" s="34">
        <v>35</v>
      </c>
      <c r="K1681" s="36">
        <v>900</v>
      </c>
      <c r="L1681" s="34" t="s">
        <v>17</v>
      </c>
      <c r="M1681" s="35">
        <v>35439</v>
      </c>
      <c r="N1681" s="37">
        <f>(YEAR(TablaMadre[[#This Row],[ALTA]])-YEAR(M1681))</f>
        <v>27</v>
      </c>
      <c r="O1681" s="34" t="s">
        <v>153</v>
      </c>
      <c r="P1681" s="34" t="s">
        <v>19</v>
      </c>
      <c r="Q1681" s="34" t="s">
        <v>297</v>
      </c>
      <c r="R1681" s="34" t="s">
        <v>21</v>
      </c>
      <c r="S1681" s="34" t="s">
        <v>297</v>
      </c>
      <c r="T1681" s="34"/>
      <c r="U1681" s="34"/>
      <c r="V1681" s="34" t="s">
        <v>22</v>
      </c>
      <c r="W1681" s="34" t="s">
        <v>28</v>
      </c>
      <c r="X1681" s="34" t="s">
        <v>173</v>
      </c>
      <c r="Y1681" s="57"/>
      <c r="Z1681" s="34" t="e">
        <f t="shared" si="79"/>
        <v>#NUM!</v>
      </c>
      <c r="AA1681" s="34"/>
      <c r="AB1681" s="34">
        <v>9</v>
      </c>
      <c r="AC1681" s="34">
        <v>8</v>
      </c>
      <c r="AD1681" s="34"/>
      <c r="AE1681" s="59" t="str">
        <f t="shared" si="80"/>
        <v>SÍ</v>
      </c>
      <c r="AF1681" s="34" t="e" cm="1">
        <f t="array" aca="1" ref="AF1681" ca="1">MIN(100, MAX(0, (IF(R1681="ESTUDIANTE", 31, 0)) + (IF(I1681&lt;=3, 30, IF(I1681&lt;=6, 20, 0))) +(IF(OR(E1681="413 - Control de Costes y Enlace Construcción", E1681="480 - Secretaría General del Consejo", E1681="132 - Civil y estructuras", E1681="136 - Mecánica", E1681="412 - Planificación", E1681="142 - Compras"), 25, 0)) +(IF(OR(S1681="GRADO ING. MECÁNICA", S1681="GRADO ING. ELÉCTRICA", S1681="GRADO DERECHO", S1681="GRADO ECONOMÍA", S1681="GRADO ING. TECNOLOGÍAS INDUSTRIALES"), 24, 0)) + (IF(AND(K1681&gt;=451, K1681&lt;=700), 23, 0)) + (IF(AND(AB1681&gt;=5, AB1681&lt;=8), 17, 0)) +(IF(_xludf.OR(_xludf.AND(AC1681&gt;=8, AC1681&lt;=10), _xludf.AND(AC1681&gt;=0, AC1681&lt;=5)), 16, 0)) + (IF(F1681="Madrid", 11, 0))))</f>
        <v>#NAME?</v>
      </c>
      <c r="AG1681" s="69"/>
      <c r="AH1681" s="71" t="s">
        <v>164</v>
      </c>
    </row>
    <row r="1682" spans="1:34" s="4" customFormat="1" ht="14.4" x14ac:dyDescent="0.3">
      <c r="A1682" s="66" t="s">
        <v>2660</v>
      </c>
      <c r="B1682" s="66" t="s">
        <v>4777</v>
      </c>
      <c r="C1682" s="33">
        <v>1681</v>
      </c>
      <c r="D1682" s="33" t="s">
        <v>5397</v>
      </c>
      <c r="E1682" s="34" t="s">
        <v>5219</v>
      </c>
      <c r="F1682" s="34" t="s">
        <v>18</v>
      </c>
      <c r="G1682" s="57">
        <v>45355</v>
      </c>
      <c r="H1682" s="57">
        <v>45716</v>
      </c>
      <c r="I1682" s="34">
        <f t="shared" si="78"/>
        <v>11</v>
      </c>
      <c r="J1682" s="34">
        <v>30</v>
      </c>
      <c r="K1682" s="36">
        <v>750</v>
      </c>
      <c r="L1682" s="34" t="s">
        <v>17</v>
      </c>
      <c r="M1682" s="35">
        <v>37289</v>
      </c>
      <c r="N1682" s="37">
        <f>(YEAR(TablaMadre[[#This Row],[ALTA]])-YEAR(M1682))</f>
        <v>22</v>
      </c>
      <c r="O1682" s="34" t="s">
        <v>18</v>
      </c>
      <c r="P1682" s="34" t="s">
        <v>19</v>
      </c>
      <c r="Q1682" s="34" t="s">
        <v>297</v>
      </c>
      <c r="R1682" s="34" t="s">
        <v>21</v>
      </c>
      <c r="S1682" s="34" t="s">
        <v>297</v>
      </c>
      <c r="T1682" s="34"/>
      <c r="U1682" s="34"/>
      <c r="V1682" s="34" t="s">
        <v>56</v>
      </c>
      <c r="W1682" s="34" t="s">
        <v>28</v>
      </c>
      <c r="X1682" s="34" t="s">
        <v>173</v>
      </c>
      <c r="Y1682" s="57"/>
      <c r="Z1682" s="34" t="e">
        <f t="shared" si="79"/>
        <v>#NUM!</v>
      </c>
      <c r="AA1682" s="34"/>
      <c r="AB1682" s="34">
        <v>10</v>
      </c>
      <c r="AC1682" s="34">
        <v>10</v>
      </c>
      <c r="AD1682" s="34"/>
      <c r="AE1682" s="59" t="str">
        <f t="shared" si="80"/>
        <v>NO</v>
      </c>
      <c r="AF1682" s="34" t="e" cm="1">
        <f t="array" aca="1" ref="AF1682" ca="1">MIN(100, MAX(0, (IF(R1682="ESTUDIANTE", 31, 0)) + (IF(I1682&lt;=3, 30, IF(I1682&lt;=6, 20, 0))) +(IF(OR(E1682="413 - Control de Costes y Enlace Construcción", E1682="480 - Secretaría General del Consejo", E1682="132 - Civil y estructuras", E1682="136 - Mecánica", E1682="412 - Planificación", E1682="142 - Compras"), 25, 0)) +(IF(OR(S1682="GRADO ING. MECÁNICA", S1682="GRADO ING. ELÉCTRICA", S1682="GRADO DERECHO", S1682="GRADO ECONOMÍA", S1682="GRADO ING. TECNOLOGÍAS INDUSTRIALES"), 24, 0)) + (IF(AND(K1682&gt;=451, K1682&lt;=700), 23, 0)) + (IF(AND(AB1682&gt;=5, AB1682&lt;=8), 17, 0)) +(IF(_xludf.OR(_xludf.AND(AC1682&gt;=8, AC1682&lt;=10), _xludf.AND(AC1682&gt;=0, AC1682&lt;=5)), 16, 0)) + (IF(F1682="Madrid", 11, 0))))</f>
        <v>#NAME?</v>
      </c>
      <c r="AG1682" s="69"/>
      <c r="AH1682" s="71" t="s">
        <v>164</v>
      </c>
    </row>
    <row r="1683" spans="1:34" s="4" customFormat="1" ht="14.4" x14ac:dyDescent="0.3">
      <c r="A1683" s="66" t="s">
        <v>2661</v>
      </c>
      <c r="B1683" s="66" t="s">
        <v>4778</v>
      </c>
      <c r="C1683" s="33">
        <v>1682</v>
      </c>
      <c r="D1683" s="33" t="s">
        <v>5398</v>
      </c>
      <c r="E1683" s="34" t="s">
        <v>5216</v>
      </c>
      <c r="F1683" s="34" t="s">
        <v>18</v>
      </c>
      <c r="G1683" s="57">
        <v>45355</v>
      </c>
      <c r="H1683" s="57">
        <v>45716</v>
      </c>
      <c r="I1683" s="34">
        <f t="shared" si="78"/>
        <v>11</v>
      </c>
      <c r="J1683" s="34">
        <v>35</v>
      </c>
      <c r="K1683" s="36">
        <v>1200</v>
      </c>
      <c r="L1683" s="34" t="s">
        <v>17</v>
      </c>
      <c r="M1683" s="35">
        <v>36150</v>
      </c>
      <c r="N1683" s="37">
        <f>(YEAR(TablaMadre[[#This Row],[ALTA]])-YEAR(M1683))</f>
        <v>26</v>
      </c>
      <c r="O1683" s="34" t="s">
        <v>105</v>
      </c>
      <c r="P1683" s="34" t="s">
        <v>19</v>
      </c>
      <c r="Q1683" s="34" t="s">
        <v>428</v>
      </c>
      <c r="R1683" s="34" t="s">
        <v>21</v>
      </c>
      <c r="S1683" s="34" t="s">
        <v>297</v>
      </c>
      <c r="T1683" s="34"/>
      <c r="U1683" s="34"/>
      <c r="V1683" s="34" t="s">
        <v>22</v>
      </c>
      <c r="W1683" s="34" t="s">
        <v>28</v>
      </c>
      <c r="X1683" s="34" t="s">
        <v>173</v>
      </c>
      <c r="Y1683" s="57"/>
      <c r="Z1683" s="34" t="e">
        <f t="shared" si="79"/>
        <v>#NUM!</v>
      </c>
      <c r="AA1683" s="34"/>
      <c r="AB1683" s="34">
        <v>10</v>
      </c>
      <c r="AC1683" s="34">
        <v>8</v>
      </c>
      <c r="AD1683" s="34"/>
      <c r="AE1683" s="59" t="str">
        <f t="shared" si="80"/>
        <v>SÍ</v>
      </c>
      <c r="AF1683" s="34" t="e" cm="1">
        <f t="array" aca="1" ref="AF1683" ca="1">MIN(100, MAX(0, (IF(R1683="ESTUDIANTE", 31, 0)) + (IF(I1683&lt;=3, 30, IF(I1683&lt;=6, 20, 0))) +(IF(OR(E1683="413 - Control de Costes y Enlace Construcción", E1683="480 - Secretaría General del Consejo", E1683="132 - Civil y estructuras", E1683="136 - Mecánica", E1683="412 - Planificación", E1683="142 - Compras"), 25, 0)) +(IF(OR(S1683="GRADO ING. MECÁNICA", S1683="GRADO ING. ELÉCTRICA", S1683="GRADO DERECHO", S1683="GRADO ECONOMÍA", S1683="GRADO ING. TECNOLOGÍAS INDUSTRIALES"), 24, 0)) + (IF(AND(K1683&gt;=451, K1683&lt;=700), 23, 0)) + (IF(AND(AB1683&gt;=5, AB1683&lt;=8), 17, 0)) +(IF(_xludf.OR(_xludf.AND(AC1683&gt;=8, AC1683&lt;=10), _xludf.AND(AC1683&gt;=0, AC1683&lt;=5)), 16, 0)) + (IF(F1683="Madrid", 11, 0))))</f>
        <v>#NAME?</v>
      </c>
      <c r="AG1683" s="69"/>
      <c r="AH1683" s="71" t="s">
        <v>164</v>
      </c>
    </row>
    <row r="1684" spans="1:34" s="4" customFormat="1" ht="14.1" customHeight="1" x14ac:dyDescent="0.3">
      <c r="A1684" s="66" t="s">
        <v>2662</v>
      </c>
      <c r="B1684" s="66" t="s">
        <v>4779</v>
      </c>
      <c r="C1684" s="33">
        <v>1683</v>
      </c>
      <c r="D1684" s="33" t="s">
        <v>5399</v>
      </c>
      <c r="E1684" s="34" t="s">
        <v>5222</v>
      </c>
      <c r="F1684" s="34" t="s">
        <v>18</v>
      </c>
      <c r="G1684" s="57">
        <v>45358</v>
      </c>
      <c r="H1684" s="57">
        <v>45746</v>
      </c>
      <c r="I1684" s="34">
        <f t="shared" si="78"/>
        <v>12</v>
      </c>
      <c r="J1684" s="34">
        <v>35</v>
      </c>
      <c r="K1684" s="36">
        <v>700</v>
      </c>
      <c r="L1684" s="34" t="s">
        <v>17</v>
      </c>
      <c r="M1684" s="35">
        <v>35878</v>
      </c>
      <c r="N1684" s="37">
        <f>(YEAR(TablaMadre[[#This Row],[ALTA]])-YEAR(M1684))</f>
        <v>26</v>
      </c>
      <c r="O1684" s="34" t="s">
        <v>18</v>
      </c>
      <c r="P1684" s="34" t="s">
        <v>19</v>
      </c>
      <c r="Q1684" s="34" t="s">
        <v>297</v>
      </c>
      <c r="R1684" s="34" t="s">
        <v>30</v>
      </c>
      <c r="S1684" s="34" t="s">
        <v>297</v>
      </c>
      <c r="T1684" s="34" t="s">
        <v>806</v>
      </c>
      <c r="U1684" s="34" t="str">
        <f>SUBSTITUTE($T1684, "INGUN", "/")</f>
        <v>N/A</v>
      </c>
      <c r="V1684" s="34" t="s">
        <v>22</v>
      </c>
      <c r="W1684" s="34" t="s">
        <v>28</v>
      </c>
      <c r="X1684" s="34" t="s">
        <v>173</v>
      </c>
      <c r="Y1684" s="57"/>
      <c r="Z1684" s="34" t="e">
        <f t="shared" si="79"/>
        <v>#NUM!</v>
      </c>
      <c r="AA1684" s="34"/>
      <c r="AB1684" s="34">
        <v>8</v>
      </c>
      <c r="AC1684" s="34">
        <v>8</v>
      </c>
      <c r="AD1684" s="34"/>
      <c r="AE1684" s="59" t="str">
        <f t="shared" si="80"/>
        <v>NO</v>
      </c>
      <c r="AF1684" s="34" t="e" cm="1">
        <f t="array" aca="1" ref="AF1684" ca="1">MIN(100, MAX(0, (IF(R1684="ESTUDIANTE", 31, 0)) + (IF(I1684&lt;=3, 30, IF(I1684&lt;=6, 20, 0))) +(IF(OR(E1684="413 - Control de Costes y Enlace Construcción", E1684="480 - Secretaría General del Consejo", E1684="132 - Civil y estructuras", E1684="136 - Mecánica", E1684="412 - Planificación", E1684="142 - Compras"), 25, 0)) +(IF(OR(S1684="GRADO ING. MECÁNICA", S1684="GRADO ING. ELÉCTRICA", S1684="GRADO DERECHO", S1684="GRADO ECONOMÍA", S1684="GRADO ING. TECNOLOGÍAS INDUSTRIALES"), 24, 0)) + (IF(AND(K1684&gt;=451, K1684&lt;=700), 23, 0)) + (IF(AND(AB1684&gt;=5, AB1684&lt;=8), 17, 0)) +(IF(_xludf.OR(_xludf.AND(AC1684&gt;=8, AC1684&lt;=10), _xludf.AND(AC1684&gt;=0, AC1684&lt;=5)), 16, 0)) + (IF(F1684="Madrid", 11, 0))))</f>
        <v>#NAME?</v>
      </c>
      <c r="AG1684" s="69"/>
      <c r="AH1684" s="71" t="s">
        <v>164</v>
      </c>
    </row>
    <row r="1685" spans="1:34" s="4" customFormat="1" ht="14.4" x14ac:dyDescent="0.3">
      <c r="A1685" s="66" t="s">
        <v>2523</v>
      </c>
      <c r="B1685" s="66" t="s">
        <v>4640</v>
      </c>
      <c r="C1685" s="33">
        <v>1690</v>
      </c>
      <c r="D1685" s="33" t="s">
        <v>5400</v>
      </c>
      <c r="E1685" s="34" t="s">
        <v>5285</v>
      </c>
      <c r="F1685" s="34" t="s">
        <v>18</v>
      </c>
      <c r="G1685" s="57">
        <v>45362</v>
      </c>
      <c r="H1685" s="57">
        <v>45545</v>
      </c>
      <c r="I1685" s="34">
        <f t="shared" si="78"/>
        <v>5</v>
      </c>
      <c r="J1685" s="34">
        <v>35</v>
      </c>
      <c r="K1685" s="36">
        <v>700</v>
      </c>
      <c r="L1685" s="34" t="s">
        <v>17</v>
      </c>
      <c r="M1685" s="35">
        <v>37611</v>
      </c>
      <c r="N1685" s="37">
        <f>(YEAR(TablaMadre[[#This Row],[ALTA]])-YEAR(M1685))</f>
        <v>22</v>
      </c>
      <c r="O1685" s="34" t="s">
        <v>18</v>
      </c>
      <c r="P1685" s="34" t="s">
        <v>19</v>
      </c>
      <c r="Q1685" s="34" t="s">
        <v>777</v>
      </c>
      <c r="R1685" s="58" t="s">
        <v>30</v>
      </c>
      <c r="S1685" s="34" t="s">
        <v>761</v>
      </c>
      <c r="T1685" s="34"/>
      <c r="U1685" s="34" t="s">
        <v>30</v>
      </c>
      <c r="V1685" s="34" t="s">
        <v>114</v>
      </c>
      <c r="W1685" s="34" t="s">
        <v>91</v>
      </c>
      <c r="X1685" s="34" t="s">
        <v>164</v>
      </c>
      <c r="Y1685" s="57"/>
      <c r="Z1685" s="34" t="e">
        <f t="shared" si="79"/>
        <v>#NUM!</v>
      </c>
      <c r="AA1685" s="34"/>
      <c r="AB1685" s="34">
        <v>5</v>
      </c>
      <c r="AC1685" s="34" t="s">
        <v>778</v>
      </c>
      <c r="AD1685" s="34"/>
      <c r="AE1685" s="59" t="str">
        <f t="shared" si="80"/>
        <v>NO</v>
      </c>
      <c r="AF1685" s="34" t="e" cm="1">
        <f t="array" aca="1" ref="AF1685" ca="1">MIN(100, MAX(0, (IF(R1685="ESTUDIANTE", 31, 0)) + (IF(I1685&lt;=3, 30, IF(I1685&lt;=6, 20, 0))) +(IF(OR(E1685="413 - Control de Costes y Enlace Construcción", E1685="480 - Secretaría General del Consejo", E1685="132 - Civil y estructuras", E1685="136 - Mecánica", E1685="412 - Planificación", E1685="142 - Compras"), 25, 0)) +(IF(OR(S1685="GRADO ING. MECÁNICA", S1685="GRADO ING. ELÉCTRICA", S1685="GRADO DERECHO", S1685="GRADO ECONOMÍA", S1685="GRADO ING. TECNOLOGÍAS INDUSTRIALES"), 24, 0)) + (IF(AND(K1685&gt;=451, K1685&lt;=700), 23, 0)) + (IF(AND(AB1685&gt;=5, AB1685&lt;=8), 17, 0)) +(IF(_xludf.OR(_xludf.AND(AC1685&gt;=8, AC1685&lt;=10), _xludf.AND(AC1685&gt;=0, AC1685&lt;=5)), 16, 0)) + (IF(F1685="Madrid", 11, 0))))</f>
        <v>#NAME?</v>
      </c>
      <c r="AG1685" s="69"/>
      <c r="AH1685" s="71" t="s">
        <v>164</v>
      </c>
    </row>
    <row r="1686" spans="1:34" s="4" customFormat="1" ht="14.4" x14ac:dyDescent="0.3">
      <c r="A1686" s="66" t="s">
        <v>2525</v>
      </c>
      <c r="B1686" s="66" t="s">
        <v>4642</v>
      </c>
      <c r="C1686" s="33">
        <v>1686</v>
      </c>
      <c r="D1686" s="33" t="s">
        <v>5401</v>
      </c>
      <c r="E1686" s="34" t="s">
        <v>5359</v>
      </c>
      <c r="F1686" s="34" t="s">
        <v>18</v>
      </c>
      <c r="G1686" s="57">
        <v>45362</v>
      </c>
      <c r="H1686" s="57">
        <v>45535</v>
      </c>
      <c r="I1686" s="34">
        <f t="shared" si="78"/>
        <v>5</v>
      </c>
      <c r="J1686" s="34">
        <v>25</v>
      </c>
      <c r="K1686" s="36">
        <v>500</v>
      </c>
      <c r="L1686" s="34" t="s">
        <v>17</v>
      </c>
      <c r="M1686" s="35">
        <v>37294</v>
      </c>
      <c r="N1686" s="37">
        <f>(YEAR(TablaMadre[[#This Row],[ALTA]])-YEAR(M1686))</f>
        <v>22</v>
      </c>
      <c r="O1686" s="34" t="s">
        <v>18</v>
      </c>
      <c r="P1686" s="34" t="s">
        <v>19</v>
      </c>
      <c r="Q1686" s="34" t="s">
        <v>322</v>
      </c>
      <c r="R1686" s="58" t="s">
        <v>30</v>
      </c>
      <c r="S1686" s="34" t="s">
        <v>322</v>
      </c>
      <c r="T1686" s="34"/>
      <c r="U1686" s="34" t="s">
        <v>30</v>
      </c>
      <c r="V1686" s="34" t="s">
        <v>137</v>
      </c>
      <c r="W1686" s="34" t="s">
        <v>91</v>
      </c>
      <c r="X1686" s="34" t="s">
        <v>164</v>
      </c>
      <c r="Y1686" s="57"/>
      <c r="Z1686" s="34" t="e">
        <f t="shared" si="79"/>
        <v>#NUM!</v>
      </c>
      <c r="AA1686" s="34"/>
      <c r="AB1686" s="34">
        <v>10</v>
      </c>
      <c r="AC1686" s="34">
        <v>9</v>
      </c>
      <c r="AD1686" s="34"/>
      <c r="AE1686" s="59" t="str">
        <f t="shared" si="80"/>
        <v>NO</v>
      </c>
      <c r="AF1686" s="34" t="e" cm="1">
        <f t="array" aca="1" ref="AF1686" ca="1">MIN(100, MAX(0, (IF(R1686="ESTUDIANTE", 31, 0)) + (IF(I1686&lt;=3, 30, IF(I1686&lt;=6, 20, 0))) +(IF(OR(E1686="413 - Control de Costes y Enlace Construcción", E1686="480 - Secretaría General del Consejo", E1686="132 - Civil y estructuras", E1686="136 - Mecánica", E1686="412 - Planificación", E1686="142 - Compras"), 25, 0)) +(IF(OR(S1686="GRADO ING. MECÁNICA", S1686="GRADO ING. ELÉCTRICA", S1686="GRADO DERECHO", S1686="GRADO ECONOMÍA", S1686="GRADO ING. TECNOLOGÍAS INDUSTRIALES"), 24, 0)) + (IF(AND(K1686&gt;=451, K1686&lt;=700), 23, 0)) + (IF(AND(AB1686&gt;=5, AB1686&lt;=8), 17, 0)) +(IF(_xludf.OR(_xludf.AND(AC1686&gt;=8, AC1686&lt;=10), _xludf.AND(AC1686&gt;=0, AC1686&lt;=5)), 16, 0)) + (IF(F1686="Madrid", 11, 0))))</f>
        <v>#NAME?</v>
      </c>
      <c r="AG1686" s="69"/>
      <c r="AH1686" s="71" t="s">
        <v>164</v>
      </c>
    </row>
    <row r="1687" spans="1:34" s="4" customFormat="1" ht="14.4" x14ac:dyDescent="0.3">
      <c r="A1687" s="66" t="s">
        <v>2663</v>
      </c>
      <c r="B1687" s="66" t="s">
        <v>4780</v>
      </c>
      <c r="C1687" s="33">
        <v>1684</v>
      </c>
      <c r="D1687" s="33" t="s">
        <v>5402</v>
      </c>
      <c r="E1687" s="34" t="s">
        <v>5241</v>
      </c>
      <c r="F1687" s="34" t="s">
        <v>18</v>
      </c>
      <c r="G1687" s="57">
        <v>45362</v>
      </c>
      <c r="H1687" s="57">
        <v>45535</v>
      </c>
      <c r="I1687" s="34">
        <f t="shared" si="78"/>
        <v>5</v>
      </c>
      <c r="J1687" s="34">
        <v>35</v>
      </c>
      <c r="K1687" s="36">
        <v>875</v>
      </c>
      <c r="L1687" s="34" t="s">
        <v>29</v>
      </c>
      <c r="M1687" s="35">
        <v>36600</v>
      </c>
      <c r="N1687" s="37">
        <f>(YEAR(TablaMadre[[#This Row],[ALTA]])-YEAR(M1687))</f>
        <v>24</v>
      </c>
      <c r="O1687" s="34" t="s">
        <v>411</v>
      </c>
      <c r="P1687" s="34" t="s">
        <v>19</v>
      </c>
      <c r="Q1687" s="34" t="s">
        <v>428</v>
      </c>
      <c r="R1687" s="34" t="s">
        <v>21</v>
      </c>
      <c r="S1687" s="34" t="s">
        <v>297</v>
      </c>
      <c r="T1687" s="34"/>
      <c r="U1687" s="34" t="s">
        <v>30</v>
      </c>
      <c r="V1687" s="34" t="s">
        <v>22</v>
      </c>
      <c r="W1687" s="34" t="s">
        <v>28</v>
      </c>
      <c r="X1687" s="34" t="s">
        <v>173</v>
      </c>
      <c r="Y1687" s="57"/>
      <c r="Z1687" s="34" t="e">
        <f t="shared" si="79"/>
        <v>#NUM!</v>
      </c>
      <c r="AA1687" s="34"/>
      <c r="AB1687" s="34">
        <v>7</v>
      </c>
      <c r="AC1687" s="34">
        <v>10</v>
      </c>
      <c r="AD1687" s="34"/>
      <c r="AE1687" s="59" t="str">
        <f t="shared" si="80"/>
        <v>SÍ</v>
      </c>
      <c r="AF1687" s="34" t="e" cm="1">
        <f t="array" aca="1" ref="AF1687" ca="1">MIN(100, MAX(0, (IF(R1687="ESTUDIANTE", 31, 0)) + (IF(I1687&lt;=3, 30, IF(I1687&lt;=6, 20, 0))) +(IF(OR(E1687="413 - Control de Costes y Enlace Construcción", E1687="480 - Secretaría General del Consejo", E1687="132 - Civil y estructuras", E1687="136 - Mecánica", E1687="412 - Planificación", E1687="142 - Compras"), 25, 0)) +(IF(OR(S1687="GRADO ING. MECÁNICA", S1687="GRADO ING. ELÉCTRICA", S1687="GRADO DERECHO", S1687="GRADO ECONOMÍA", S1687="GRADO ING. TECNOLOGÍAS INDUSTRIALES"), 24, 0)) + (IF(AND(K1687&gt;=451, K1687&lt;=700), 23, 0)) + (IF(AND(AB1687&gt;=5, AB1687&lt;=8), 17, 0)) +(IF(_xludf.OR(_xludf.AND(AC1687&gt;=8, AC1687&lt;=10), _xludf.AND(AC1687&gt;=0, AC1687&lt;=5)), 16, 0)) + (IF(F1687="Madrid", 11, 0))))</f>
        <v>#NAME?</v>
      </c>
      <c r="AG1687" s="69"/>
      <c r="AH1687" s="71" t="s">
        <v>164</v>
      </c>
    </row>
    <row r="1688" spans="1:34" ht="14.4" x14ac:dyDescent="0.3">
      <c r="A1688" s="66" t="s">
        <v>2664</v>
      </c>
      <c r="B1688" s="66" t="s">
        <v>4781</v>
      </c>
      <c r="C1688" s="33">
        <v>1685</v>
      </c>
      <c r="D1688" s="33" t="s">
        <v>5393</v>
      </c>
      <c r="E1688" s="34" t="s">
        <v>5285</v>
      </c>
      <c r="F1688" s="34" t="s">
        <v>18</v>
      </c>
      <c r="G1688" s="57">
        <v>45362</v>
      </c>
      <c r="H1688" s="57">
        <v>45535</v>
      </c>
      <c r="I1688" s="34">
        <f t="shared" si="78"/>
        <v>5</v>
      </c>
      <c r="J1688" s="34">
        <v>35</v>
      </c>
      <c r="K1688" s="36">
        <v>875</v>
      </c>
      <c r="L1688" s="34" t="s">
        <v>29</v>
      </c>
      <c r="M1688" s="35">
        <v>37219</v>
      </c>
      <c r="N1688" s="37">
        <f>(YEAR(TablaMadre[[#This Row],[ALTA]])-YEAR(M1688))</f>
        <v>23</v>
      </c>
      <c r="O1688" s="34" t="s">
        <v>18</v>
      </c>
      <c r="P1688" s="34" t="s">
        <v>19</v>
      </c>
      <c r="Q1688" s="34" t="s">
        <v>771</v>
      </c>
      <c r="R1688" s="34" t="s">
        <v>21</v>
      </c>
      <c r="S1688" s="34" t="s">
        <v>322</v>
      </c>
      <c r="T1688" s="34"/>
      <c r="U1688" s="34" t="s">
        <v>30</v>
      </c>
      <c r="V1688" s="34" t="s">
        <v>67</v>
      </c>
      <c r="W1688" s="34" t="s">
        <v>28</v>
      </c>
      <c r="X1688" s="34" t="s">
        <v>173</v>
      </c>
      <c r="Y1688" s="57"/>
      <c r="Z1688" s="34" t="e">
        <f t="shared" si="79"/>
        <v>#NUM!</v>
      </c>
      <c r="AA1688" s="34"/>
      <c r="AB1688" s="34">
        <v>9</v>
      </c>
      <c r="AC1688" s="34">
        <v>9</v>
      </c>
      <c r="AD1688" s="34"/>
      <c r="AE1688" s="59" t="str">
        <f t="shared" si="80"/>
        <v>NO</v>
      </c>
      <c r="AF1688" s="38" t="e" cm="1">
        <f t="array" aca="1" ref="AF1688" ca="1">MIN(100, MAX(0, (IF(R1688="ESTUDIANTE", 31, 0)) + (IF(I1688&lt;=3, 30, IF(I1688&lt;=6, 20, 0))) +(IF(OR(E1688="413 - Control de Costes y Enlace Construcción", E1688="480 - Secretaría General del Consejo", E1688="132 - Civil y estructuras", E1688="136 - Mecánica", E1688="412 - Planificación", E1688="142 - Compras"), 25, 0)) +(IF(OR(S1688="GRADO ING. MECÁNICA", S1688="GRADO ING. ELÉCTRICA", S1688="GRADO DERECHO", S1688="GRADO ECONOMÍA", S1688="GRADO ING. TECNOLOGÍAS INDUSTRIALES"), 24, 0)) + (IF(AND(K1688&gt;=451, K1688&lt;=700), 23, 0)) + (IF(AND(AB1688&gt;=5, AB1688&lt;=8), 17, 0)) +(IF(_xludf.OR(_xludf.AND(AC1688&gt;=8, AC1688&lt;=10), _xludf.AND(AC1688&gt;=0, AC1688&lt;=5)), 16, 0)) + (IF(F1688="Madrid", 11, 0))))</f>
        <v>#NAME?</v>
      </c>
      <c r="AG1688" s="68"/>
      <c r="AH1688" s="71" t="s">
        <v>164</v>
      </c>
    </row>
    <row r="1689" spans="1:34" s="4" customFormat="1" ht="14.4" x14ac:dyDescent="0.3">
      <c r="A1689" s="66" t="s">
        <v>2666</v>
      </c>
      <c r="B1689" s="66" t="s">
        <v>4783</v>
      </c>
      <c r="C1689" s="33">
        <v>1687</v>
      </c>
      <c r="D1689" s="33" t="s">
        <v>5394</v>
      </c>
      <c r="E1689" s="34" t="s">
        <v>5362</v>
      </c>
      <c r="F1689" s="34" t="s">
        <v>18</v>
      </c>
      <c r="G1689" s="57">
        <v>45362</v>
      </c>
      <c r="H1689" s="57">
        <v>45535</v>
      </c>
      <c r="I1689" s="34">
        <f t="shared" si="78"/>
        <v>5</v>
      </c>
      <c r="J1689" s="34">
        <v>35</v>
      </c>
      <c r="K1689" s="36">
        <v>700</v>
      </c>
      <c r="L1689" s="34" t="s">
        <v>29</v>
      </c>
      <c r="M1689" s="35">
        <v>36809</v>
      </c>
      <c r="N1689" s="37">
        <f>(YEAR(TablaMadre[[#This Row],[ALTA]])-YEAR(M1689))</f>
        <v>24</v>
      </c>
      <c r="O1689" s="34" t="s">
        <v>18</v>
      </c>
      <c r="P1689" s="34" t="s">
        <v>19</v>
      </c>
      <c r="Q1689" s="34" t="s">
        <v>215</v>
      </c>
      <c r="R1689" s="58" t="s">
        <v>30</v>
      </c>
      <c r="S1689" s="34" t="s">
        <v>322</v>
      </c>
      <c r="T1689" s="34"/>
      <c r="U1689" s="34" t="s">
        <v>21</v>
      </c>
      <c r="V1689" s="34" t="s">
        <v>22</v>
      </c>
      <c r="W1689" s="34" t="s">
        <v>28</v>
      </c>
      <c r="X1689" s="38" t="s">
        <v>173</v>
      </c>
      <c r="Y1689" s="62"/>
      <c r="Z1689" s="38" t="e">
        <f t="shared" si="79"/>
        <v>#NUM!</v>
      </c>
      <c r="AA1689" s="38"/>
      <c r="AB1689" s="34">
        <v>9</v>
      </c>
      <c r="AC1689" s="34">
        <v>10</v>
      </c>
      <c r="AD1689" s="38"/>
      <c r="AE1689" s="59" t="str">
        <f t="shared" si="80"/>
        <v>NO</v>
      </c>
      <c r="AF1689" s="34" t="e" cm="1">
        <f t="array" aca="1" ref="AF1689" ca="1">MIN(100, MAX(0, (IF(R1689="ESTUDIANTE", 31, 0)) + (IF(I1689&lt;=3, 30, IF(I1689&lt;=6, 20, 0))) +(IF(OR(E1689="413 - Control de Costes y Enlace Construcción", E1689="480 - Secretaría General del Consejo", E1689="132 - Civil y estructuras", E1689="136 - Mecánica", E1689="412 - Planificación", E1689="142 - Compras"), 25, 0)) +(IF(OR(S1689="GRADO ING. MECÁNICA", S1689="GRADO ING. ELÉCTRICA", S1689="GRADO DERECHO", S1689="GRADO ECONOMÍA", S1689="GRADO ING. TECNOLOGÍAS INDUSTRIALES"), 24, 0)) + (IF(AND(K1689&gt;=451, K1689&lt;=700), 23, 0)) + (IF(AND(AB1689&gt;=5, AB1689&lt;=8), 17, 0)) +(IF(_xludf.OR(_xludf.AND(AC1689&gt;=8, AC1689&lt;=10), _xludf.AND(AC1689&gt;=0, AC1689&lt;=5)), 16, 0)) + (IF(F1689="Madrid", 11, 0))))</f>
        <v>#NAME?</v>
      </c>
      <c r="AG1689" s="69"/>
      <c r="AH1689" s="71" t="s">
        <v>164</v>
      </c>
    </row>
    <row r="1690" spans="1:34" s="4" customFormat="1" ht="14.4" x14ac:dyDescent="0.3">
      <c r="A1690" s="66" t="s">
        <v>2667</v>
      </c>
      <c r="B1690" s="66" t="s">
        <v>4784</v>
      </c>
      <c r="C1690" s="33">
        <v>1688</v>
      </c>
      <c r="D1690" s="33" t="s">
        <v>5403</v>
      </c>
      <c r="E1690" s="34" t="s">
        <v>5285</v>
      </c>
      <c r="F1690" s="34" t="s">
        <v>18</v>
      </c>
      <c r="G1690" s="57">
        <v>45362</v>
      </c>
      <c r="H1690" s="57">
        <v>45535</v>
      </c>
      <c r="I1690" s="34">
        <f t="shared" si="78"/>
        <v>5</v>
      </c>
      <c r="J1690" s="34">
        <v>35</v>
      </c>
      <c r="K1690" s="36">
        <v>875</v>
      </c>
      <c r="L1690" s="34" t="s">
        <v>17</v>
      </c>
      <c r="M1690" s="35">
        <v>36839</v>
      </c>
      <c r="N1690" s="37">
        <f>(YEAR(TablaMadre[[#This Row],[ALTA]])-YEAR(M1690))</f>
        <v>24</v>
      </c>
      <c r="O1690" s="34" t="s">
        <v>18</v>
      </c>
      <c r="P1690" s="34" t="s">
        <v>19</v>
      </c>
      <c r="Q1690" s="34" t="s">
        <v>771</v>
      </c>
      <c r="R1690" s="34" t="s">
        <v>21</v>
      </c>
      <c r="S1690" s="34" t="s">
        <v>136</v>
      </c>
      <c r="T1690" s="34"/>
      <c r="U1690" s="34" t="s">
        <v>30</v>
      </c>
      <c r="V1690" s="34" t="s">
        <v>67</v>
      </c>
      <c r="W1690" s="34" t="s">
        <v>28</v>
      </c>
      <c r="X1690" s="34" t="s">
        <v>173</v>
      </c>
      <c r="Y1690" s="57"/>
      <c r="Z1690" s="34" t="e">
        <f t="shared" si="79"/>
        <v>#NUM!</v>
      </c>
      <c r="AA1690" s="34"/>
      <c r="AB1690" s="34">
        <v>10</v>
      </c>
      <c r="AC1690" s="34">
        <v>9</v>
      </c>
      <c r="AD1690" s="34"/>
      <c r="AE1690" s="59" t="str">
        <f t="shared" si="80"/>
        <v>NO</v>
      </c>
      <c r="AF1690" s="34" t="e" cm="1">
        <f t="array" aca="1" ref="AF1690" ca="1">MIN(100, MAX(0, (IF(R1690="ESTUDIANTE", 31, 0)) + (IF(I1690&lt;=3, 30, IF(I1690&lt;=6, 20, 0))) +(IF(OR(E1690="413 - Control de Costes y Enlace Construcción", E1690="480 - Secretaría General del Consejo", E1690="132 - Civil y estructuras", E1690="136 - Mecánica", E1690="412 - Planificación", E1690="142 - Compras"), 25, 0)) +(IF(OR(S1690="GRADO ING. MECÁNICA", S1690="GRADO ING. ELÉCTRICA", S1690="GRADO DERECHO", S1690="GRADO ECONOMÍA", S1690="GRADO ING. TECNOLOGÍAS INDUSTRIALES"), 24, 0)) + (IF(AND(K1690&gt;=451, K1690&lt;=700), 23, 0)) + (IF(AND(AB1690&gt;=5, AB1690&lt;=8), 17, 0)) +(IF(_xludf.OR(_xludf.AND(AC1690&gt;=8, AC1690&lt;=10), _xludf.AND(AC1690&gt;=0, AC1690&lt;=5)), 16, 0)) + (IF(F1690="Madrid", 11, 0))))</f>
        <v>#NAME?</v>
      </c>
      <c r="AG1690" s="69"/>
      <c r="AH1690" s="71" t="s">
        <v>164</v>
      </c>
    </row>
    <row r="1691" spans="1:34" s="4" customFormat="1" ht="14.4" x14ac:dyDescent="0.3">
      <c r="A1691" s="66" t="s">
        <v>2668</v>
      </c>
      <c r="B1691" s="66" t="s">
        <v>4785</v>
      </c>
      <c r="C1691" s="33">
        <v>1689</v>
      </c>
      <c r="D1691" s="33" t="s">
        <v>5404</v>
      </c>
      <c r="E1691" s="34" t="s">
        <v>5241</v>
      </c>
      <c r="F1691" s="34" t="s">
        <v>18</v>
      </c>
      <c r="G1691" s="57">
        <v>45362</v>
      </c>
      <c r="H1691" s="57">
        <v>45535</v>
      </c>
      <c r="I1691" s="34">
        <f t="shared" si="78"/>
        <v>5</v>
      </c>
      <c r="J1691" s="34">
        <v>35</v>
      </c>
      <c r="K1691" s="36">
        <v>875</v>
      </c>
      <c r="L1691" s="34" t="s">
        <v>17</v>
      </c>
      <c r="M1691" s="35">
        <v>37002</v>
      </c>
      <c r="N1691" s="37">
        <f>(YEAR(TablaMadre[[#This Row],[ALTA]])-YEAR(M1691))</f>
        <v>23</v>
      </c>
      <c r="O1691" s="34" t="s">
        <v>18</v>
      </c>
      <c r="P1691" s="34" t="s">
        <v>19</v>
      </c>
      <c r="Q1691" s="34" t="s">
        <v>297</v>
      </c>
      <c r="R1691" s="34" t="s">
        <v>21</v>
      </c>
      <c r="S1691" s="34" t="s">
        <v>297</v>
      </c>
      <c r="T1691" s="34"/>
      <c r="U1691" s="34" t="s">
        <v>42</v>
      </c>
      <c r="V1691" s="34" t="s">
        <v>40</v>
      </c>
      <c r="W1691" s="34" t="s">
        <v>28</v>
      </c>
      <c r="X1691" s="34" t="s">
        <v>173</v>
      </c>
      <c r="Y1691" s="57"/>
      <c r="Z1691" s="34" t="e">
        <f t="shared" si="79"/>
        <v>#NUM!</v>
      </c>
      <c r="AA1691" s="34"/>
      <c r="AB1691" s="34">
        <v>9</v>
      </c>
      <c r="AC1691" s="34">
        <v>10</v>
      </c>
      <c r="AD1691" s="34"/>
      <c r="AE1691" s="59" t="str">
        <f t="shared" si="80"/>
        <v>NO</v>
      </c>
      <c r="AF1691" s="34" t="e" cm="1">
        <f t="array" aca="1" ref="AF1691" ca="1">MIN(100, MAX(0, (IF(R1691="ESTUDIANTE", 31, 0)) + (IF(I1691&lt;=3, 30, IF(I1691&lt;=6, 20, 0))) +(IF(OR(E1691="413 - Control de Costes y Enlace Construcción", E1691="480 - Secretaría General del Consejo", E1691="132 - Civil y estructuras", E1691="136 - Mecánica", E1691="412 - Planificación", E1691="142 - Compras"), 25, 0)) +(IF(OR(S1691="GRADO ING. MECÁNICA", S1691="GRADO ING. ELÉCTRICA", S1691="GRADO DERECHO", S1691="GRADO ECONOMÍA", S1691="GRADO ING. TECNOLOGÍAS INDUSTRIALES"), 24, 0)) + (IF(AND(K1691&gt;=451, K1691&lt;=700), 23, 0)) + (IF(AND(AB1691&gt;=5, AB1691&lt;=8), 17, 0)) +(IF(_xludf.OR(_xludf.AND(AC1691&gt;=8, AC1691&lt;=10), _xludf.AND(AC1691&gt;=0, AC1691&lt;=5)), 16, 0)) + (IF(F1691="Madrid", 11, 0))))</f>
        <v>#NAME?</v>
      </c>
      <c r="AG1691" s="69"/>
      <c r="AH1691" s="71" t="s">
        <v>164</v>
      </c>
    </row>
    <row r="1692" spans="1:34" ht="14.4" x14ac:dyDescent="0.3">
      <c r="A1692" s="66" t="s">
        <v>2670</v>
      </c>
      <c r="B1692" s="66" t="s">
        <v>4787</v>
      </c>
      <c r="C1692" s="33">
        <v>1691</v>
      </c>
      <c r="D1692" s="33" t="s">
        <v>5405</v>
      </c>
      <c r="E1692" s="34" t="s">
        <v>5219</v>
      </c>
      <c r="F1692" s="34" t="s">
        <v>18</v>
      </c>
      <c r="G1692" s="57">
        <v>45362</v>
      </c>
      <c r="H1692" s="57">
        <v>45726</v>
      </c>
      <c r="I1692" s="34">
        <f t="shared" si="78"/>
        <v>11</v>
      </c>
      <c r="J1692" s="34">
        <v>35</v>
      </c>
      <c r="K1692" s="36">
        <v>700</v>
      </c>
      <c r="L1692" s="34" t="s">
        <v>29</v>
      </c>
      <c r="M1692" s="35">
        <v>36594</v>
      </c>
      <c r="N1692" s="37">
        <f>(YEAR(TablaMadre[[#This Row],[ALTA]])-YEAR(M1692))</f>
        <v>24</v>
      </c>
      <c r="O1692" s="34" t="s">
        <v>153</v>
      </c>
      <c r="P1692" s="34" t="s">
        <v>282</v>
      </c>
      <c r="Q1692" s="34" t="s">
        <v>297</v>
      </c>
      <c r="R1692" s="58" t="s">
        <v>30</v>
      </c>
      <c r="S1692" s="34" t="s">
        <v>297</v>
      </c>
      <c r="T1692" s="34"/>
      <c r="U1692" s="34" t="s">
        <v>21</v>
      </c>
      <c r="V1692" s="34" t="s">
        <v>40</v>
      </c>
      <c r="W1692" s="34" t="s">
        <v>28</v>
      </c>
      <c r="X1692" s="38" t="s">
        <v>173</v>
      </c>
      <c r="Y1692" s="62"/>
      <c r="Z1692" s="38" t="e">
        <f t="shared" si="79"/>
        <v>#NUM!</v>
      </c>
      <c r="AA1692" s="38"/>
      <c r="AB1692" s="34">
        <v>10</v>
      </c>
      <c r="AC1692" s="34">
        <v>9</v>
      </c>
      <c r="AD1692" s="38"/>
      <c r="AE1692" s="59" t="str">
        <f t="shared" si="80"/>
        <v>SÍ</v>
      </c>
      <c r="AF1692" s="38" t="e" cm="1">
        <f t="array" aca="1" ref="AF1692" ca="1">MIN(100, MAX(0, (IF(R1692="ESTUDIANTE", 31, 0)) + (IF(I1692&lt;=3, 30, IF(I1692&lt;=6, 20, 0))) +(IF(OR(E1692="413 - Control de Costes y Enlace Construcción", E1692="480 - Secretaría General del Consejo", E1692="132 - Civil y estructuras", E1692="136 - Mecánica", E1692="412 - Planificación", E1692="142 - Compras"), 25, 0)) +(IF(OR(S1692="GRADO ING. MECÁNICA", S1692="GRADO ING. ELÉCTRICA", S1692="GRADO DERECHO", S1692="GRADO ECONOMÍA", S1692="GRADO ING. TECNOLOGÍAS INDUSTRIALES"), 24, 0)) + (IF(AND(K1692&gt;=451, K1692&lt;=700), 23, 0)) + (IF(AND(AB1692&gt;=5, AB1692&lt;=8), 17, 0)) +(IF(_xludf.OR(_xludf.AND(AC1692&gt;=8, AC1692&lt;=10), _xludf.AND(AC1692&gt;=0, AC1692&lt;=5)), 16, 0)) + (IF(F1692="Madrid", 11, 0))))</f>
        <v>#NAME?</v>
      </c>
      <c r="AG1692" s="68"/>
      <c r="AH1692" s="71" t="s">
        <v>164</v>
      </c>
    </row>
    <row r="1693" spans="1:34" s="4" customFormat="1" ht="14.4" x14ac:dyDescent="0.3">
      <c r="A1693" s="66" t="s">
        <v>2671</v>
      </c>
      <c r="B1693" s="66" t="s">
        <v>4788</v>
      </c>
      <c r="C1693" s="33">
        <v>1692</v>
      </c>
      <c r="D1693" s="33" t="s">
        <v>5396</v>
      </c>
      <c r="E1693" s="34" t="s">
        <v>5256</v>
      </c>
      <c r="F1693" s="34" t="s">
        <v>18</v>
      </c>
      <c r="G1693" s="57">
        <v>45362</v>
      </c>
      <c r="H1693" s="57">
        <v>45726</v>
      </c>
      <c r="I1693" s="34">
        <f t="shared" si="78"/>
        <v>11</v>
      </c>
      <c r="J1693" s="34">
        <v>35</v>
      </c>
      <c r="K1693" s="36">
        <v>900</v>
      </c>
      <c r="L1693" s="34" t="s">
        <v>17</v>
      </c>
      <c r="M1693" s="35">
        <v>36478</v>
      </c>
      <c r="N1693" s="37">
        <f>(YEAR(TablaMadre[[#This Row],[ALTA]])-YEAR(M1693))</f>
        <v>25</v>
      </c>
      <c r="O1693" s="34" t="s">
        <v>249</v>
      </c>
      <c r="P1693" s="34" t="s">
        <v>19</v>
      </c>
      <c r="Q1693" s="34" t="s">
        <v>813</v>
      </c>
      <c r="R1693" s="34" t="s">
        <v>21</v>
      </c>
      <c r="S1693" s="34" t="s">
        <v>297</v>
      </c>
      <c r="T1693" s="34"/>
      <c r="U1693" s="34" t="s">
        <v>21</v>
      </c>
      <c r="V1693" s="34" t="s">
        <v>22</v>
      </c>
      <c r="W1693" s="34" t="s">
        <v>28</v>
      </c>
      <c r="X1693" s="34" t="s">
        <v>173</v>
      </c>
      <c r="Y1693" s="57"/>
      <c r="Z1693" s="34" t="e">
        <f t="shared" si="79"/>
        <v>#NUM!</v>
      </c>
      <c r="AA1693" s="34"/>
      <c r="AB1693" s="34">
        <v>8</v>
      </c>
      <c r="AC1693" s="34">
        <v>9</v>
      </c>
      <c r="AD1693" s="34"/>
      <c r="AE1693" s="59" t="str">
        <f t="shared" si="80"/>
        <v>SÍ</v>
      </c>
      <c r="AF1693" s="34" t="e" cm="1">
        <f t="array" aca="1" ref="AF1693" ca="1">MIN(100, MAX(0, (IF(R1693="ESTUDIANTE", 31, 0)) + (IF(I1693&lt;=3, 30, IF(I1693&lt;=6, 20, 0))) +(IF(OR(E1693="413 - Control de Costes y Enlace Construcción", E1693="480 - Secretaría General del Consejo", E1693="132 - Civil y estructuras", E1693="136 - Mecánica", E1693="412 - Planificación", E1693="142 - Compras"), 25, 0)) +(IF(OR(S1693="GRADO ING. MECÁNICA", S1693="GRADO ING. ELÉCTRICA", S1693="GRADO DERECHO", S1693="GRADO ECONOMÍA", S1693="GRADO ING. TECNOLOGÍAS INDUSTRIALES"), 24, 0)) + (IF(AND(K1693&gt;=451, K1693&lt;=700), 23, 0)) + (IF(AND(AB1693&gt;=5, AB1693&lt;=8), 17, 0)) +(IF(_xludf.OR(_xludf.AND(AC1693&gt;=8, AC1693&lt;=10), _xludf.AND(AC1693&gt;=0, AC1693&lt;=5)), 16, 0)) + (IF(F1693="Madrid", 11, 0))))</f>
        <v>#NAME?</v>
      </c>
      <c r="AG1693" s="69"/>
      <c r="AH1693" s="71" t="s">
        <v>164</v>
      </c>
    </row>
    <row r="1694" spans="1:34" s="4" customFormat="1" ht="14.4" x14ac:dyDescent="0.3">
      <c r="A1694" s="66" t="s">
        <v>2672</v>
      </c>
      <c r="B1694" s="66" t="s">
        <v>4789</v>
      </c>
      <c r="C1694" s="33">
        <v>1693</v>
      </c>
      <c r="D1694" s="33" t="s">
        <v>5397</v>
      </c>
      <c r="E1694" s="34" t="s">
        <v>5285</v>
      </c>
      <c r="F1694" s="34" t="s">
        <v>936</v>
      </c>
      <c r="G1694" s="57">
        <v>45364</v>
      </c>
      <c r="H1694" s="57">
        <v>45447</v>
      </c>
      <c r="I1694" s="34">
        <f t="shared" si="78"/>
        <v>2</v>
      </c>
      <c r="J1694" s="34">
        <v>40</v>
      </c>
      <c r="K1694" s="36">
        <v>0</v>
      </c>
      <c r="L1694" s="34" t="s">
        <v>17</v>
      </c>
      <c r="M1694" s="35">
        <v>36526</v>
      </c>
      <c r="N1694" s="37">
        <f>(YEAR(TablaMadre[[#This Row],[ALTA]])-YEAR(M1694))</f>
        <v>24</v>
      </c>
      <c r="O1694" s="34"/>
      <c r="P1694" s="34"/>
      <c r="Q1694" s="34" t="s">
        <v>728</v>
      </c>
      <c r="R1694" s="34" t="s">
        <v>30</v>
      </c>
      <c r="S1694" s="34" t="s">
        <v>26</v>
      </c>
      <c r="T1694" s="34"/>
      <c r="U1694" s="34" t="s">
        <v>42</v>
      </c>
      <c r="V1694" s="34" t="s">
        <v>27</v>
      </c>
      <c r="W1694" s="34" t="s">
        <v>127</v>
      </c>
      <c r="X1694" s="34" t="s">
        <v>173</v>
      </c>
      <c r="Y1694" s="57"/>
      <c r="Z1694" s="34" t="e">
        <f t="shared" si="79"/>
        <v>#NUM!</v>
      </c>
      <c r="AA1694" s="34"/>
      <c r="AB1694" s="34">
        <v>10</v>
      </c>
      <c r="AC1694" s="34">
        <v>8</v>
      </c>
      <c r="AD1694" s="34"/>
      <c r="AE1694" s="59" t="str">
        <f t="shared" si="80"/>
        <v>SÍ</v>
      </c>
      <c r="AF1694" s="34" t="e" cm="1">
        <f t="array" aca="1" ref="AF1694" ca="1">MIN(100, MAX(0, (IF(R1694="ESTUDIANTE", 31, 0)) + (IF(I1694&lt;=3, 30, IF(I1694&lt;=6, 20, 0))) +(IF(OR(E1694="413 - Control de Costes y Enlace Construcción", E1694="480 - Secretaría General del Consejo", E1694="132 - Civil y estructuras", E1694="136 - Mecánica", E1694="412 - Planificación", E1694="142 - Compras"), 25, 0)) +(IF(OR(S1694="GRADO ING. MECÁNICA", S1694="GRADO ING. ELÉCTRICA", S1694="GRADO DERECHO", S1694="GRADO ECONOMÍA", S1694="GRADO ING. TECNOLOGÍAS INDUSTRIALES"), 24, 0)) + (IF(AND(K1694&gt;=451, K1694&lt;=700), 23, 0)) + (IF(AND(AB1694&gt;=5, AB1694&lt;=8), 17, 0)) +(IF(_xludf.OR(_xludf.AND(AC1694&gt;=8, AC1694&lt;=10), _xludf.AND(AC1694&gt;=0, AC1694&lt;=5)), 16, 0)) + (IF(F1694="Madrid", 11, 0))))</f>
        <v>#NAME?</v>
      </c>
      <c r="AG1694" s="69"/>
      <c r="AH1694" s="71" t="s">
        <v>164</v>
      </c>
    </row>
    <row r="1695" spans="1:34" s="4" customFormat="1" ht="14.4" x14ac:dyDescent="0.3">
      <c r="A1695" s="66" t="s">
        <v>2673</v>
      </c>
      <c r="B1695" s="66" t="s">
        <v>4790</v>
      </c>
      <c r="C1695" s="33">
        <v>1694</v>
      </c>
      <c r="D1695" s="33" t="s">
        <v>5393</v>
      </c>
      <c r="E1695" s="34" t="s">
        <v>5252</v>
      </c>
      <c r="F1695" s="34" t="s">
        <v>931</v>
      </c>
      <c r="G1695" s="57">
        <v>45369</v>
      </c>
      <c r="H1695" s="57">
        <v>45448</v>
      </c>
      <c r="I1695" s="34">
        <f t="shared" si="78"/>
        <v>2</v>
      </c>
      <c r="J1695" s="34">
        <v>40</v>
      </c>
      <c r="K1695" s="36">
        <v>0</v>
      </c>
      <c r="L1695" s="34" t="s">
        <v>29</v>
      </c>
      <c r="M1695" s="35">
        <v>36526</v>
      </c>
      <c r="N1695" s="37">
        <f>(YEAR(TablaMadre[[#This Row],[ALTA]])-YEAR(M1695))</f>
        <v>24</v>
      </c>
      <c r="O1695" s="34"/>
      <c r="P1695" s="34"/>
      <c r="Q1695" s="34" t="s">
        <v>359</v>
      </c>
      <c r="R1695" s="34" t="s">
        <v>30</v>
      </c>
      <c r="S1695" s="34" t="s">
        <v>26</v>
      </c>
      <c r="T1695" s="34"/>
      <c r="U1695" s="34" t="s">
        <v>30</v>
      </c>
      <c r="V1695" s="34" t="s">
        <v>27</v>
      </c>
      <c r="W1695" s="34" t="s">
        <v>28</v>
      </c>
      <c r="X1695" s="34" t="s">
        <v>173</v>
      </c>
      <c r="Y1695" s="57"/>
      <c r="Z1695" s="34" t="e">
        <f t="shared" si="79"/>
        <v>#NUM!</v>
      </c>
      <c r="AA1695" s="34"/>
      <c r="AB1695" s="34">
        <v>7</v>
      </c>
      <c r="AC1695" s="34">
        <v>9</v>
      </c>
      <c r="AD1695" s="34"/>
      <c r="AE1695" s="59" t="str">
        <f t="shared" si="80"/>
        <v>SÍ</v>
      </c>
      <c r="AF1695" s="34" t="e" cm="1">
        <f t="array" aca="1" ref="AF1695" ca="1">MIN(100, MAX(0, (IF(R1695="ESTUDIANTE", 31, 0)) + (IF(I1695&lt;=3, 30, IF(I1695&lt;=6, 20, 0))) +(IF(OR(E1695="413 - Control de Costes y Enlace Construcción", E1695="480 - Secretaría General del Consejo", E1695="132 - Civil y estructuras", E1695="136 - Mecánica", E1695="412 - Planificación", E1695="142 - Compras"), 25, 0)) +(IF(OR(S1695="GRADO ING. MECÁNICA", S1695="GRADO ING. ELÉCTRICA", S1695="GRADO DERECHO", S1695="GRADO ECONOMÍA", S1695="GRADO ING. TECNOLOGÍAS INDUSTRIALES"), 24, 0)) + (IF(AND(K1695&gt;=451, K1695&lt;=700), 23, 0)) + (IF(AND(AB1695&gt;=5, AB1695&lt;=8), 17, 0)) +(IF(_xludf.OR(_xludf.AND(AC1695&gt;=8, AC1695&lt;=10), _xludf.AND(AC1695&gt;=0, AC1695&lt;=5)), 16, 0)) + (IF(F1695="Madrid", 11, 0))))</f>
        <v>#NAME?</v>
      </c>
      <c r="AG1695" s="69"/>
      <c r="AH1695" s="71" t="s">
        <v>164</v>
      </c>
    </row>
    <row r="1696" spans="1:34" s="4" customFormat="1" ht="15.75" customHeight="1" x14ac:dyDescent="0.3">
      <c r="A1696" s="66" t="s">
        <v>2674</v>
      </c>
      <c r="B1696" s="66" t="s">
        <v>4791</v>
      </c>
      <c r="C1696" s="33">
        <v>1695</v>
      </c>
      <c r="D1696" s="33" t="s">
        <v>5394</v>
      </c>
      <c r="E1696" s="34" t="s">
        <v>5252</v>
      </c>
      <c r="F1696" s="34" t="s">
        <v>931</v>
      </c>
      <c r="G1696" s="57">
        <v>45369</v>
      </c>
      <c r="H1696" s="57">
        <v>45448</v>
      </c>
      <c r="I1696" s="34">
        <f t="shared" si="78"/>
        <v>2</v>
      </c>
      <c r="J1696" s="34">
        <v>40</v>
      </c>
      <c r="K1696" s="36">
        <v>0</v>
      </c>
      <c r="L1696" s="34" t="s">
        <v>17</v>
      </c>
      <c r="M1696" s="35">
        <v>36526</v>
      </c>
      <c r="N1696" s="37">
        <f>(YEAR(TablaMadre[[#This Row],[ALTA]])-YEAR(M1696))</f>
        <v>24</v>
      </c>
      <c r="O1696" s="34"/>
      <c r="P1696" s="34"/>
      <c r="Q1696" s="34" t="s">
        <v>735</v>
      </c>
      <c r="R1696" s="34" t="s">
        <v>30</v>
      </c>
      <c r="S1696" s="34" t="s">
        <v>26</v>
      </c>
      <c r="T1696" s="34"/>
      <c r="U1696" s="34" t="s">
        <v>30</v>
      </c>
      <c r="V1696" s="34" t="s">
        <v>27</v>
      </c>
      <c r="W1696" s="34" t="s">
        <v>127</v>
      </c>
      <c r="X1696" s="34" t="s">
        <v>173</v>
      </c>
      <c r="Y1696" s="57"/>
      <c r="Z1696" s="34" t="e">
        <f t="shared" si="79"/>
        <v>#NUM!</v>
      </c>
      <c r="AA1696" s="34"/>
      <c r="AB1696" s="34" t="s">
        <v>693</v>
      </c>
      <c r="AC1696" s="34">
        <v>6</v>
      </c>
      <c r="AD1696" s="34"/>
      <c r="AE1696" s="59" t="str">
        <f t="shared" si="80"/>
        <v>SÍ</v>
      </c>
      <c r="AF1696" s="34" t="e" cm="1">
        <f t="array" aca="1" ref="AF1696" ca="1">MIN(100, MAX(0, (IF(R1696="ESTUDIANTE", 31, 0)) + (IF(I1696&lt;=3, 30, IF(I1696&lt;=6, 20, 0))) +(IF(OR(E1696="413 - Control de Costes y Enlace Construcción", E1696="480 - Secretaría General del Consejo", E1696="132 - Civil y estructuras", E1696="136 - Mecánica", E1696="412 - Planificación", E1696="142 - Compras"), 25, 0)) +(IF(OR(S1696="GRADO ING. MECÁNICA", S1696="GRADO ING. ELÉCTRICA", S1696="GRADO DERECHO", S1696="GRADO ECONOMÍA", S1696="GRADO ING. TECNOLOGÍAS INDUSTRIALES"), 24, 0)) + (IF(AND(K1696&gt;=451, K1696&lt;=700), 23, 0)) + (IF(AND(AB1696&gt;=5, AB1696&lt;=8), 17, 0)) +(IF(_xludf.OR(_xludf.AND(AC1696&gt;=8, AC1696&lt;=10), _xludf.AND(AC1696&gt;=0, AC1696&lt;=5)), 16, 0)) + (IF(F1696="Madrid", 11, 0))))</f>
        <v>#NAME?</v>
      </c>
      <c r="AG1696" s="69"/>
      <c r="AH1696" s="71" t="s">
        <v>164</v>
      </c>
    </row>
    <row r="1697" spans="1:34" s="4" customFormat="1" ht="14.25" customHeight="1" x14ac:dyDescent="0.3">
      <c r="A1697" s="66" t="s">
        <v>2675</v>
      </c>
      <c r="B1697" s="66" t="s">
        <v>4792</v>
      </c>
      <c r="C1697" s="33">
        <v>1696</v>
      </c>
      <c r="D1697" s="33" t="s">
        <v>5395</v>
      </c>
      <c r="E1697" s="34" t="s">
        <v>5252</v>
      </c>
      <c r="F1697" s="34" t="s">
        <v>931</v>
      </c>
      <c r="G1697" s="57">
        <v>45369</v>
      </c>
      <c r="H1697" s="57">
        <v>45448</v>
      </c>
      <c r="I1697" s="34">
        <f t="shared" si="78"/>
        <v>2</v>
      </c>
      <c r="J1697" s="34">
        <v>40</v>
      </c>
      <c r="K1697" s="36">
        <v>0</v>
      </c>
      <c r="L1697" s="34" t="s">
        <v>17</v>
      </c>
      <c r="M1697" s="35">
        <v>36526</v>
      </c>
      <c r="N1697" s="37">
        <f>(YEAR(TablaMadre[[#This Row],[ALTA]])-YEAR(M1697))</f>
        <v>24</v>
      </c>
      <c r="O1697" s="34"/>
      <c r="P1697" s="34"/>
      <c r="Q1697" s="34" t="s">
        <v>735</v>
      </c>
      <c r="R1697" s="34" t="s">
        <v>30</v>
      </c>
      <c r="S1697" s="34" t="s">
        <v>26</v>
      </c>
      <c r="T1697" s="34"/>
      <c r="U1697" s="34" t="s">
        <v>30</v>
      </c>
      <c r="V1697" s="34" t="s">
        <v>27</v>
      </c>
      <c r="W1697" s="34" t="s">
        <v>127</v>
      </c>
      <c r="X1697" s="34" t="s">
        <v>173</v>
      </c>
      <c r="Y1697" s="57"/>
      <c r="Z1697" s="34" t="e">
        <f t="shared" si="79"/>
        <v>#NUM!</v>
      </c>
      <c r="AA1697" s="34"/>
      <c r="AB1697" s="34">
        <v>9</v>
      </c>
      <c r="AC1697" s="34">
        <v>5</v>
      </c>
      <c r="AD1697" s="34"/>
      <c r="AE1697" s="59" t="str">
        <f t="shared" si="80"/>
        <v>SÍ</v>
      </c>
      <c r="AF1697" s="34" t="e" cm="1">
        <f t="array" aca="1" ref="AF1697" ca="1">MIN(100, MAX(0, (IF(R1697="ESTUDIANTE", 31, 0)) + (IF(I1697&lt;=3, 30, IF(I1697&lt;=6, 20, 0))) +(IF(OR(E1697="413 - Control de Costes y Enlace Construcción", E1697="480 - Secretaría General del Consejo", E1697="132 - Civil y estructuras", E1697="136 - Mecánica", E1697="412 - Planificación", E1697="142 - Compras"), 25, 0)) +(IF(OR(S1697="GRADO ING. MECÁNICA", S1697="GRADO ING. ELÉCTRICA", S1697="GRADO DERECHO", S1697="GRADO ECONOMÍA", S1697="GRADO ING. TECNOLOGÍAS INDUSTRIALES"), 24, 0)) + (IF(AND(K1697&gt;=451, K1697&lt;=700), 23, 0)) + (IF(AND(AB1697&gt;=5, AB1697&lt;=8), 17, 0)) +(IF(_xludf.OR(_xludf.AND(AC1697&gt;=8, AC1697&lt;=10), _xludf.AND(AC1697&gt;=0, AC1697&lt;=5)), 16, 0)) + (IF(F1697="Madrid", 11, 0))))</f>
        <v>#NAME?</v>
      </c>
      <c r="AG1697" s="69"/>
      <c r="AH1697" s="71" t="s">
        <v>164</v>
      </c>
    </row>
    <row r="1698" spans="1:34" s="4" customFormat="1" ht="14.25" customHeight="1" x14ac:dyDescent="0.3">
      <c r="A1698" s="66" t="s">
        <v>2676</v>
      </c>
      <c r="B1698" s="66" t="s">
        <v>4793</v>
      </c>
      <c r="C1698" s="33">
        <v>1697</v>
      </c>
      <c r="D1698" s="33" t="s">
        <v>5396</v>
      </c>
      <c r="E1698" s="34" t="s">
        <v>5246</v>
      </c>
      <c r="F1698" s="34" t="s">
        <v>931</v>
      </c>
      <c r="G1698" s="57">
        <v>45369</v>
      </c>
      <c r="H1698" s="57">
        <v>45448</v>
      </c>
      <c r="I1698" s="34">
        <f t="shared" si="78"/>
        <v>2</v>
      </c>
      <c r="J1698" s="34">
        <v>40</v>
      </c>
      <c r="K1698" s="36">
        <v>0</v>
      </c>
      <c r="L1698" s="34" t="s">
        <v>29</v>
      </c>
      <c r="M1698" s="35">
        <v>36526</v>
      </c>
      <c r="N1698" s="37">
        <f>(YEAR(TablaMadre[[#This Row],[ALTA]])-YEAR(M1698))</f>
        <v>24</v>
      </c>
      <c r="O1698" s="34"/>
      <c r="P1698" s="34"/>
      <c r="Q1698" s="34" t="s">
        <v>359</v>
      </c>
      <c r="R1698" s="34" t="s">
        <v>30</v>
      </c>
      <c r="S1698" s="34" t="s">
        <v>26</v>
      </c>
      <c r="T1698" s="34"/>
      <c r="U1698" s="34" t="s">
        <v>42</v>
      </c>
      <c r="V1698" s="34" t="s">
        <v>27</v>
      </c>
      <c r="W1698" s="34" t="s">
        <v>28</v>
      </c>
      <c r="X1698" s="34" t="s">
        <v>173</v>
      </c>
      <c r="Y1698" s="57"/>
      <c r="Z1698" s="34" t="e">
        <f t="shared" si="79"/>
        <v>#NUM!</v>
      </c>
      <c r="AA1698" s="34"/>
      <c r="AB1698" s="34">
        <v>9</v>
      </c>
      <c r="AC1698" s="34">
        <v>8</v>
      </c>
      <c r="AD1698" s="34"/>
      <c r="AE1698" s="59" t="str">
        <f t="shared" si="80"/>
        <v>SÍ</v>
      </c>
      <c r="AF1698" s="34" t="e" cm="1">
        <f t="array" aca="1" ref="AF1698" ca="1">MIN(100, MAX(0, (IF(R1698="ESTUDIANTE", 31, 0)) + (IF(I1698&lt;=3, 30, IF(I1698&lt;=6, 20, 0))) +(IF(OR(E1698="413 - Control de Costes y Enlace Construcción", E1698="480 - Secretaría General del Consejo", E1698="132 - Civil y estructuras", E1698="136 - Mecánica", E1698="412 - Planificación", E1698="142 - Compras"), 25, 0)) +(IF(OR(S1698="GRADO ING. MECÁNICA", S1698="GRADO ING. ELÉCTRICA", S1698="GRADO DERECHO", S1698="GRADO ECONOMÍA", S1698="GRADO ING. TECNOLOGÍAS INDUSTRIALES"), 24, 0)) + (IF(AND(K1698&gt;=451, K1698&lt;=700), 23, 0)) + (IF(AND(AB1698&gt;=5, AB1698&lt;=8), 17, 0)) +(IF(_xludf.OR(_xludf.AND(AC1698&gt;=8, AC1698&lt;=10), _xludf.AND(AC1698&gt;=0, AC1698&lt;=5)), 16, 0)) + (IF(F1698="Madrid", 11, 0))))</f>
        <v>#NAME?</v>
      </c>
      <c r="AG1698" s="69"/>
      <c r="AH1698" s="71" t="s">
        <v>164</v>
      </c>
    </row>
    <row r="1699" spans="1:34" s="4" customFormat="1" ht="14.25" customHeight="1" x14ac:dyDescent="0.3">
      <c r="A1699" s="66" t="s">
        <v>2677</v>
      </c>
      <c r="B1699" s="66" t="s">
        <v>4794</v>
      </c>
      <c r="C1699" s="33">
        <v>1698</v>
      </c>
      <c r="D1699" s="33" t="s">
        <v>5397</v>
      </c>
      <c r="E1699" s="34" t="s">
        <v>5252</v>
      </c>
      <c r="F1699" s="34" t="s">
        <v>931</v>
      </c>
      <c r="G1699" s="57">
        <v>45369</v>
      </c>
      <c r="H1699" s="57">
        <v>45457</v>
      </c>
      <c r="I1699" s="34">
        <f t="shared" si="78"/>
        <v>2</v>
      </c>
      <c r="J1699" s="34">
        <v>35</v>
      </c>
      <c r="K1699" s="36">
        <v>0</v>
      </c>
      <c r="L1699" s="34" t="s">
        <v>29</v>
      </c>
      <c r="M1699" s="35">
        <v>36526</v>
      </c>
      <c r="N1699" s="37">
        <f>(YEAR(TablaMadre[[#This Row],[ALTA]])-YEAR(M1699))</f>
        <v>24</v>
      </c>
      <c r="O1699" s="34"/>
      <c r="P1699" s="34"/>
      <c r="Q1699" s="34" t="s">
        <v>736</v>
      </c>
      <c r="R1699" s="34" t="s">
        <v>30</v>
      </c>
      <c r="S1699" s="34" t="s">
        <v>26</v>
      </c>
      <c r="T1699" s="34"/>
      <c r="U1699" s="34" t="s">
        <v>42</v>
      </c>
      <c r="V1699" s="34" t="s">
        <v>27</v>
      </c>
      <c r="W1699" s="34" t="s">
        <v>28</v>
      </c>
      <c r="X1699" s="34" t="s">
        <v>173</v>
      </c>
      <c r="Y1699" s="57"/>
      <c r="Z1699" s="34" t="e">
        <f t="shared" si="79"/>
        <v>#NUM!</v>
      </c>
      <c r="AA1699" s="34"/>
      <c r="AB1699" s="34">
        <v>6</v>
      </c>
      <c r="AC1699" s="34">
        <v>10</v>
      </c>
      <c r="AD1699" s="34"/>
      <c r="AE1699" s="59" t="str">
        <f t="shared" si="80"/>
        <v>SÍ</v>
      </c>
      <c r="AF1699" s="34" t="e" cm="1">
        <f t="array" aca="1" ref="AF1699" ca="1">MIN(100, MAX(0, (IF(R1699="ESTUDIANTE", 31, 0)) + (IF(I1699&lt;=3, 30, IF(I1699&lt;=6, 20, 0))) +(IF(OR(E1699="413 - Control de Costes y Enlace Construcción", E1699="480 - Secretaría General del Consejo", E1699="132 - Civil y estructuras", E1699="136 - Mecánica", E1699="412 - Planificación", E1699="142 - Compras"), 25, 0)) +(IF(OR(S1699="GRADO ING. MECÁNICA", S1699="GRADO ING. ELÉCTRICA", S1699="GRADO DERECHO", S1699="GRADO ECONOMÍA", S1699="GRADO ING. TECNOLOGÍAS INDUSTRIALES"), 24, 0)) + (IF(AND(K1699&gt;=451, K1699&lt;=700), 23, 0)) + (IF(AND(AB1699&gt;=5, AB1699&lt;=8), 17, 0)) +(IF(_xludf.OR(_xludf.AND(AC1699&gt;=8, AC1699&lt;=10), _xludf.AND(AC1699&gt;=0, AC1699&lt;=5)), 16, 0)) + (IF(F1699="Madrid", 11, 0))))</f>
        <v>#NAME?</v>
      </c>
      <c r="AG1699" s="69"/>
      <c r="AH1699" s="71" t="s">
        <v>164</v>
      </c>
    </row>
    <row r="1700" spans="1:34" s="4" customFormat="1" ht="14.25" customHeight="1" x14ac:dyDescent="0.3">
      <c r="A1700" s="66" t="s">
        <v>2678</v>
      </c>
      <c r="B1700" s="66" t="s">
        <v>4795</v>
      </c>
      <c r="C1700" s="33">
        <v>1699</v>
      </c>
      <c r="D1700" s="33" t="s">
        <v>5398</v>
      </c>
      <c r="E1700" s="34" t="s">
        <v>5252</v>
      </c>
      <c r="F1700" s="34" t="s">
        <v>931</v>
      </c>
      <c r="G1700" s="57">
        <v>45369</v>
      </c>
      <c r="H1700" s="57">
        <v>45457</v>
      </c>
      <c r="I1700" s="34">
        <f t="shared" si="78"/>
        <v>2</v>
      </c>
      <c r="J1700" s="34">
        <v>35</v>
      </c>
      <c r="K1700" s="36">
        <v>0</v>
      </c>
      <c r="L1700" s="34" t="s">
        <v>17</v>
      </c>
      <c r="M1700" s="35">
        <v>36526</v>
      </c>
      <c r="N1700" s="37">
        <f>(YEAR(TablaMadre[[#This Row],[ALTA]])-YEAR(M1700))</f>
        <v>24</v>
      </c>
      <c r="O1700" s="34"/>
      <c r="P1700" s="34"/>
      <c r="Q1700" s="34" t="s">
        <v>736</v>
      </c>
      <c r="R1700" s="34" t="s">
        <v>30</v>
      </c>
      <c r="S1700" s="34" t="s">
        <v>26</v>
      </c>
      <c r="T1700" s="34"/>
      <c r="U1700" s="34" t="s">
        <v>21</v>
      </c>
      <c r="V1700" s="34" t="s">
        <v>27</v>
      </c>
      <c r="W1700" s="34" t="s">
        <v>28</v>
      </c>
      <c r="X1700" s="34" t="s">
        <v>173</v>
      </c>
      <c r="Y1700" s="57"/>
      <c r="Z1700" s="34" t="e">
        <f t="shared" si="79"/>
        <v>#NUM!</v>
      </c>
      <c r="AA1700" s="34"/>
      <c r="AB1700" s="34" t="s">
        <v>693</v>
      </c>
      <c r="AC1700" s="34">
        <v>6</v>
      </c>
      <c r="AD1700" s="34"/>
      <c r="AE1700" s="59" t="str">
        <f t="shared" si="80"/>
        <v>SÍ</v>
      </c>
      <c r="AF1700" s="34" t="e" cm="1">
        <f t="array" aca="1" ref="AF1700" ca="1">MIN(100, MAX(0, (IF(R1700="ESTUDIANTE", 31, 0)) + (IF(I1700&lt;=3, 30, IF(I1700&lt;=6, 20, 0))) +(IF(OR(E1700="413 - Control de Costes y Enlace Construcción", E1700="480 - Secretaría General del Consejo", E1700="132 - Civil y estructuras", E1700="136 - Mecánica", E1700="412 - Planificación", E1700="142 - Compras"), 25, 0)) +(IF(OR(S1700="GRADO ING. MECÁNICA", S1700="GRADO ING. ELÉCTRICA", S1700="GRADO DERECHO", S1700="GRADO ECONOMÍA", S1700="GRADO ING. TECNOLOGÍAS INDUSTRIALES"), 24, 0)) + (IF(AND(K1700&gt;=451, K1700&lt;=700), 23, 0)) + (IF(AND(AB1700&gt;=5, AB1700&lt;=8), 17, 0)) +(IF(_xludf.OR(_xludf.AND(AC1700&gt;=8, AC1700&lt;=10), _xludf.AND(AC1700&gt;=0, AC1700&lt;=5)), 16, 0)) + (IF(F1700="Madrid", 11, 0))))</f>
        <v>#NAME?</v>
      </c>
      <c r="AG1700" s="69"/>
      <c r="AH1700" s="71" t="s">
        <v>164</v>
      </c>
    </row>
    <row r="1701" spans="1:34" s="4" customFormat="1" ht="14.25" customHeight="1" x14ac:dyDescent="0.3">
      <c r="A1701" s="66" t="s">
        <v>2679</v>
      </c>
      <c r="B1701" s="66" t="s">
        <v>4796</v>
      </c>
      <c r="C1701" s="33">
        <v>1700</v>
      </c>
      <c r="D1701" s="33" t="s">
        <v>5399</v>
      </c>
      <c r="E1701" s="34" t="s">
        <v>5241</v>
      </c>
      <c r="F1701" s="34" t="s">
        <v>18</v>
      </c>
      <c r="G1701" s="57">
        <v>45369</v>
      </c>
      <c r="H1701" s="57">
        <v>45535</v>
      </c>
      <c r="I1701" s="34">
        <f t="shared" si="78"/>
        <v>5</v>
      </c>
      <c r="J1701" s="34">
        <v>35</v>
      </c>
      <c r="K1701" s="36">
        <v>875</v>
      </c>
      <c r="L1701" s="34" t="s">
        <v>17</v>
      </c>
      <c r="M1701" s="35">
        <v>36719</v>
      </c>
      <c r="N1701" s="37">
        <f>(YEAR(TablaMadre[[#This Row],[ALTA]])-YEAR(M1701))</f>
        <v>24</v>
      </c>
      <c r="O1701" s="34" t="s">
        <v>217</v>
      </c>
      <c r="P1701" s="34" t="s">
        <v>19</v>
      </c>
      <c r="Q1701" s="34" t="s">
        <v>399</v>
      </c>
      <c r="R1701" s="34" t="s">
        <v>21</v>
      </c>
      <c r="S1701" s="34" t="s">
        <v>322</v>
      </c>
      <c r="T1701" s="34"/>
      <c r="U1701" s="34" t="s">
        <v>42</v>
      </c>
      <c r="V1701" s="34" t="s">
        <v>137</v>
      </c>
      <c r="W1701" s="34" t="s">
        <v>28</v>
      </c>
      <c r="X1701" s="34" t="s">
        <v>173</v>
      </c>
      <c r="Y1701" s="57"/>
      <c r="Z1701" s="34" t="e">
        <f t="shared" si="79"/>
        <v>#NUM!</v>
      </c>
      <c r="AA1701" s="34"/>
      <c r="AB1701" s="34">
        <v>10</v>
      </c>
      <c r="AC1701" s="34" t="s">
        <v>772</v>
      </c>
      <c r="AD1701" s="34"/>
      <c r="AE1701" s="59" t="str">
        <f t="shared" si="80"/>
        <v>SÍ</v>
      </c>
      <c r="AF1701" s="34" t="e" cm="1">
        <f t="array" aca="1" ref="AF1701" ca="1">MIN(100, MAX(0, (IF(R1701="ESTUDIANTE", 31, 0)) + (IF(I1701&lt;=3, 30, IF(I1701&lt;=6, 20, 0))) +(IF(OR(E1701="413 - Control de Costes y Enlace Construcción", E1701="480 - Secretaría General del Consejo", E1701="132 - Civil y estructuras", E1701="136 - Mecánica", E1701="412 - Planificación", E1701="142 - Compras"), 25, 0)) +(IF(OR(S1701="GRADO ING. MECÁNICA", S1701="GRADO ING. ELÉCTRICA", S1701="GRADO DERECHO", S1701="GRADO ECONOMÍA", S1701="GRADO ING. TECNOLOGÍAS INDUSTRIALES"), 24, 0)) + (IF(AND(K1701&gt;=451, K1701&lt;=700), 23, 0)) + (IF(AND(AB1701&gt;=5, AB1701&lt;=8), 17, 0)) +(IF(_xludf.OR(_xludf.AND(AC1701&gt;=8, AC1701&lt;=10), _xludf.AND(AC1701&gt;=0, AC1701&lt;=5)), 16, 0)) + (IF(F1701="Madrid", 11, 0))))</f>
        <v>#NAME?</v>
      </c>
      <c r="AG1701" s="69"/>
      <c r="AH1701" s="71" t="s">
        <v>164</v>
      </c>
    </row>
    <row r="1702" spans="1:34" s="4" customFormat="1" ht="14.4" x14ac:dyDescent="0.3">
      <c r="A1702" s="66" t="s">
        <v>2680</v>
      </c>
      <c r="B1702" s="66" t="s">
        <v>4797</v>
      </c>
      <c r="C1702" s="33">
        <v>1701</v>
      </c>
      <c r="D1702" s="33" t="s">
        <v>5400</v>
      </c>
      <c r="E1702" s="34" t="s">
        <v>5313</v>
      </c>
      <c r="F1702" s="34" t="s">
        <v>931</v>
      </c>
      <c r="G1702" s="57">
        <v>45370</v>
      </c>
      <c r="H1702" s="57">
        <v>45448</v>
      </c>
      <c r="I1702" s="34">
        <f t="shared" si="78"/>
        <v>2</v>
      </c>
      <c r="J1702" s="34">
        <v>40</v>
      </c>
      <c r="K1702" s="36">
        <v>0</v>
      </c>
      <c r="L1702" s="34" t="s">
        <v>17</v>
      </c>
      <c r="M1702" s="35">
        <v>36526</v>
      </c>
      <c r="N1702" s="37">
        <f>(YEAR(TablaMadre[[#This Row],[ALTA]])-YEAR(M1702))</f>
        <v>24</v>
      </c>
      <c r="O1702" s="34"/>
      <c r="P1702" s="34"/>
      <c r="Q1702" s="34" t="s">
        <v>734</v>
      </c>
      <c r="R1702" s="34" t="s">
        <v>30</v>
      </c>
      <c r="S1702" s="34" t="s">
        <v>26</v>
      </c>
      <c r="T1702" s="34"/>
      <c r="U1702" s="34" t="s">
        <v>21</v>
      </c>
      <c r="V1702" s="34" t="s">
        <v>27</v>
      </c>
      <c r="W1702" s="34" t="s">
        <v>28</v>
      </c>
      <c r="X1702" s="34" t="s">
        <v>173</v>
      </c>
      <c r="Y1702" s="57"/>
      <c r="Z1702" s="34" t="e">
        <f t="shared" si="79"/>
        <v>#NUM!</v>
      </c>
      <c r="AA1702" s="34"/>
      <c r="AB1702" s="34" t="s">
        <v>693</v>
      </c>
      <c r="AC1702" s="34">
        <v>5</v>
      </c>
      <c r="AD1702" s="34"/>
      <c r="AE1702" s="59" t="str">
        <f t="shared" si="80"/>
        <v>SÍ</v>
      </c>
      <c r="AF1702" s="34" t="e" cm="1">
        <f t="array" aca="1" ref="AF1702" ca="1">MIN(100, MAX(0, (IF(R1702="ESTUDIANTE", 31, 0)) + (IF(I1702&lt;=3, 30, IF(I1702&lt;=6, 20, 0))) +(IF(OR(E1702="413 - Control de Costes y Enlace Construcción", E1702="480 - Secretaría General del Consejo", E1702="132 - Civil y estructuras", E1702="136 - Mecánica", E1702="412 - Planificación", E1702="142 - Compras"), 25, 0)) +(IF(OR(S1702="GRADO ING. MECÁNICA", S1702="GRADO ING. ELÉCTRICA", S1702="GRADO DERECHO", S1702="GRADO ECONOMÍA", S1702="GRADO ING. TECNOLOGÍAS INDUSTRIALES"), 24, 0)) + (IF(AND(K1702&gt;=451, K1702&lt;=700), 23, 0)) + (IF(AND(AB1702&gt;=5, AB1702&lt;=8), 17, 0)) +(IF(_xludf.OR(_xludf.AND(AC1702&gt;=8, AC1702&lt;=10), _xludf.AND(AC1702&gt;=0, AC1702&lt;=5)), 16, 0)) + (IF(F1702="Madrid", 11, 0))))</f>
        <v>#NAME?</v>
      </c>
      <c r="AG1702" s="69"/>
      <c r="AH1702" s="71" t="s">
        <v>164</v>
      </c>
    </row>
    <row r="1703" spans="1:34" ht="14.4" x14ac:dyDescent="0.3">
      <c r="A1703" s="66" t="s">
        <v>2681</v>
      </c>
      <c r="B1703" s="66" t="s">
        <v>4798</v>
      </c>
      <c r="C1703" s="33">
        <v>1702</v>
      </c>
      <c r="D1703" s="33" t="s">
        <v>5401</v>
      </c>
      <c r="E1703" s="34" t="s">
        <v>5313</v>
      </c>
      <c r="F1703" s="34" t="s">
        <v>931</v>
      </c>
      <c r="G1703" s="57">
        <v>45370</v>
      </c>
      <c r="H1703" s="57">
        <v>45448</v>
      </c>
      <c r="I1703" s="34">
        <f t="shared" si="78"/>
        <v>2</v>
      </c>
      <c r="J1703" s="34">
        <v>40</v>
      </c>
      <c r="K1703" s="36">
        <v>0</v>
      </c>
      <c r="L1703" s="34" t="s">
        <v>17</v>
      </c>
      <c r="M1703" s="35">
        <v>36526</v>
      </c>
      <c r="N1703" s="37">
        <f>(YEAR(TablaMadre[[#This Row],[ALTA]])-YEAR(M1703))</f>
        <v>24</v>
      </c>
      <c r="O1703" s="34"/>
      <c r="P1703" s="34"/>
      <c r="Q1703" s="34" t="s">
        <v>734</v>
      </c>
      <c r="R1703" s="34" t="s">
        <v>30</v>
      </c>
      <c r="S1703" s="34" t="s">
        <v>26</v>
      </c>
      <c r="T1703" s="34"/>
      <c r="U1703" s="34" t="s">
        <v>30</v>
      </c>
      <c r="V1703" s="34" t="s">
        <v>27</v>
      </c>
      <c r="W1703" s="34" t="s">
        <v>28</v>
      </c>
      <c r="X1703" s="38" t="s">
        <v>164</v>
      </c>
      <c r="Y1703" s="62">
        <v>45834</v>
      </c>
      <c r="Z1703" s="38">
        <f t="shared" si="79"/>
        <v>1</v>
      </c>
      <c r="AA1703" s="38"/>
      <c r="AB1703" s="34" t="s">
        <v>693</v>
      </c>
      <c r="AC1703" s="34">
        <v>2</v>
      </c>
      <c r="AD1703" s="38"/>
      <c r="AE1703" s="59" t="str">
        <f t="shared" si="80"/>
        <v>SÍ</v>
      </c>
      <c r="AF1703" s="38" t="e" cm="1">
        <f t="array" aca="1" ref="AF1703" ca="1">MIN(100, MAX(0, (IF(R1703="ESTUDIANTE", 31, 0)) + (IF(I1703&lt;=3, 30, IF(I1703&lt;=6, 20, 0))) +(IF(OR(E1703="413 - Control de Costes y Enlace Construcción", E1703="480 - Secretaría General del Consejo", E1703="132 - Civil y estructuras", E1703="136 - Mecánica", E1703="412 - Planificación", E1703="142 - Compras"), 25, 0)) +(IF(OR(S1703="GRADO ING. MECÁNICA", S1703="GRADO ING. ELÉCTRICA", S1703="GRADO DERECHO", S1703="GRADO ECONOMÍA", S1703="GRADO ING. TECNOLOGÍAS INDUSTRIALES"), 24, 0)) + (IF(AND(K1703&gt;=451, K1703&lt;=700), 23, 0)) + (IF(AND(AB1703&gt;=5, AB1703&lt;=8), 17, 0)) +(IF(_xludf.OR(_xludf.AND(AC1703&gt;=8, AC1703&lt;=10), _xludf.AND(AC1703&gt;=0, AC1703&lt;=5)), 16, 0)) + (IF(F1703="Madrid", 11, 0))))</f>
        <v>#NAME?</v>
      </c>
      <c r="AG1703" s="68"/>
      <c r="AH1703" s="71" t="s">
        <v>164</v>
      </c>
    </row>
    <row r="1704" spans="1:34" s="4" customFormat="1" ht="14.4" x14ac:dyDescent="0.3">
      <c r="A1704" s="66" t="s">
        <v>3000</v>
      </c>
      <c r="B1704" s="66" t="s">
        <v>5117</v>
      </c>
      <c r="C1704" s="33">
        <v>1703</v>
      </c>
      <c r="D1704" s="33" t="s">
        <v>5402</v>
      </c>
      <c r="E1704" s="34" t="s">
        <v>5236</v>
      </c>
      <c r="F1704" s="34" t="s">
        <v>931</v>
      </c>
      <c r="G1704" s="57">
        <v>45370</v>
      </c>
      <c r="H1704" s="57">
        <v>45448</v>
      </c>
      <c r="I1704" s="34">
        <f t="shared" si="78"/>
        <v>2</v>
      </c>
      <c r="J1704" s="34">
        <v>40</v>
      </c>
      <c r="K1704" s="36">
        <v>0</v>
      </c>
      <c r="L1704" s="34" t="s">
        <v>17</v>
      </c>
      <c r="M1704" s="35">
        <v>36526</v>
      </c>
      <c r="N1704" s="37">
        <f>(YEAR(TablaMadre[[#This Row],[ALTA]])-YEAR(M1704))</f>
        <v>24</v>
      </c>
      <c r="O1704" s="34"/>
      <c r="P1704" s="34"/>
      <c r="Q1704" s="34" t="s">
        <v>735</v>
      </c>
      <c r="R1704" s="34" t="s">
        <v>30</v>
      </c>
      <c r="S1704" s="34" t="s">
        <v>26</v>
      </c>
      <c r="T1704" s="34"/>
      <c r="U1704" s="34" t="s">
        <v>21</v>
      </c>
      <c r="V1704" s="34" t="s">
        <v>27</v>
      </c>
      <c r="W1704" s="34" t="s">
        <v>23</v>
      </c>
      <c r="X1704" s="34" t="s">
        <v>164</v>
      </c>
      <c r="Y1704" s="57"/>
      <c r="Z1704" s="34" t="e">
        <f t="shared" si="79"/>
        <v>#NUM!</v>
      </c>
      <c r="AA1704" s="34"/>
      <c r="AB1704" s="34" t="s">
        <v>719</v>
      </c>
      <c r="AC1704" s="34"/>
      <c r="AD1704" s="34"/>
      <c r="AE1704" s="59" t="str">
        <f t="shared" si="80"/>
        <v>SÍ</v>
      </c>
      <c r="AF1704" s="34" t="e" cm="1">
        <f t="array" aca="1" ref="AF1704" ca="1">MIN(100, MAX(0, (IF(R1704="ESTUDIANTE", 31, 0)) + (IF(I1704&lt;=3, 30, IF(I1704&lt;=6, 20, 0))) +(IF(OR(E1704="413 - Control de Costes y Enlace Construcción", E1704="480 - Secretaría General del Consejo", E1704="132 - Civil y estructuras", E1704="136 - Mecánica", E1704="412 - Planificación", E1704="142 - Compras"), 25, 0)) +(IF(OR(S1704="GRADO ING. MECÁNICA", S1704="GRADO ING. ELÉCTRICA", S1704="GRADO DERECHO", S1704="GRADO ECONOMÍA", S1704="GRADO ING. TECNOLOGÍAS INDUSTRIALES"), 24, 0)) + (IF(AND(K1704&gt;=451, K1704&lt;=700), 23, 0)) + (IF(AND(AB1704&gt;=5, AB1704&lt;=8), 17, 0)) +(IF(_xludf.OR(_xludf.AND(AC1704&gt;=8, AC1704&lt;=10), _xludf.AND(AC1704&gt;=0, AC1704&lt;=5)), 16, 0)) + (IF(F1704="Madrid", 11, 0))))</f>
        <v>#NAME?</v>
      </c>
      <c r="AG1704" s="69"/>
      <c r="AH1704" s="71" t="s">
        <v>164</v>
      </c>
    </row>
    <row r="1705" spans="1:34" s="7" customFormat="1" ht="14.4" x14ac:dyDescent="0.3">
      <c r="A1705" s="66" t="s">
        <v>3001</v>
      </c>
      <c r="B1705" s="66" t="s">
        <v>5118</v>
      </c>
      <c r="C1705" s="33">
        <v>1704</v>
      </c>
      <c r="D1705" s="33" t="s">
        <v>5393</v>
      </c>
      <c r="E1705" s="34" t="s">
        <v>5236</v>
      </c>
      <c r="F1705" s="34" t="s">
        <v>931</v>
      </c>
      <c r="G1705" s="57">
        <v>45370</v>
      </c>
      <c r="H1705" s="57">
        <v>45448</v>
      </c>
      <c r="I1705" s="34">
        <f t="shared" si="78"/>
        <v>2</v>
      </c>
      <c r="J1705" s="34">
        <v>40</v>
      </c>
      <c r="K1705" s="36">
        <v>0</v>
      </c>
      <c r="L1705" s="34" t="s">
        <v>17</v>
      </c>
      <c r="M1705" s="35">
        <v>36526</v>
      </c>
      <c r="N1705" s="37">
        <f>(YEAR(TablaMadre[[#This Row],[ALTA]])-YEAR(M1705))</f>
        <v>24</v>
      </c>
      <c r="O1705" s="34"/>
      <c r="P1705" s="34"/>
      <c r="Q1705" s="34" t="s">
        <v>735</v>
      </c>
      <c r="R1705" s="34" t="s">
        <v>30</v>
      </c>
      <c r="S1705" s="34" t="s">
        <v>26</v>
      </c>
      <c r="T1705" s="34"/>
      <c r="U1705" s="34" t="s">
        <v>30</v>
      </c>
      <c r="V1705" s="34" t="s">
        <v>27</v>
      </c>
      <c r="W1705" s="34" t="s">
        <v>23</v>
      </c>
      <c r="X1705" s="34" t="s">
        <v>164</v>
      </c>
      <c r="Y1705" s="57"/>
      <c r="Z1705" s="34" t="e">
        <f t="shared" si="79"/>
        <v>#NUM!</v>
      </c>
      <c r="AA1705" s="34"/>
      <c r="AB1705" s="34" t="s">
        <v>719</v>
      </c>
      <c r="AC1705" s="34"/>
      <c r="AD1705" s="34"/>
      <c r="AE1705" s="59" t="str">
        <f t="shared" si="80"/>
        <v>SÍ</v>
      </c>
      <c r="AF1705" s="34" t="e" cm="1">
        <f t="array" aca="1" ref="AF1705" ca="1">MIN(100, MAX(0, (IF(R1705="ESTUDIANTE", 31, 0)) + (IF(I1705&lt;=3, 30, IF(I1705&lt;=6, 20, 0))) +(IF(OR(E1705="413 - Control de Costes y Enlace Construcción", E1705="480 - Secretaría General del Consejo", E1705="132 - Civil y estructuras", E1705="136 - Mecánica", E1705="412 - Planificación", E1705="142 - Compras"), 25, 0)) +(IF(OR(S1705="GRADO ING. MECÁNICA", S1705="GRADO ING. ELÉCTRICA", S1705="GRADO DERECHO", S1705="GRADO ECONOMÍA", S1705="GRADO ING. TECNOLOGÍAS INDUSTRIALES"), 24, 0)) + (IF(AND(K1705&gt;=451, K1705&lt;=700), 23, 0)) + (IF(AND(AB1705&gt;=5, AB1705&lt;=8), 17, 0)) +(IF(_xludf.OR(_xludf.AND(AC1705&gt;=8, AC1705&lt;=10), _xludf.AND(AC1705&gt;=0, AC1705&lt;=5)), 16, 0)) + (IF(F1705="Madrid", 11, 0))))</f>
        <v>#NAME?</v>
      </c>
      <c r="AG1705" s="69"/>
      <c r="AH1705" s="71" t="s">
        <v>164</v>
      </c>
    </row>
    <row r="1706" spans="1:34" s="4" customFormat="1" ht="14.4" x14ac:dyDescent="0.3">
      <c r="A1706" s="66" t="s">
        <v>2684</v>
      </c>
      <c r="B1706" s="66" t="s">
        <v>4801</v>
      </c>
      <c r="C1706" s="33">
        <v>1705</v>
      </c>
      <c r="D1706" s="33" t="s">
        <v>5394</v>
      </c>
      <c r="E1706" s="34" t="s">
        <v>5312</v>
      </c>
      <c r="F1706" s="34" t="s">
        <v>18</v>
      </c>
      <c r="G1706" s="57">
        <v>45371</v>
      </c>
      <c r="H1706" s="57">
        <v>45716</v>
      </c>
      <c r="I1706" s="34">
        <f t="shared" si="78"/>
        <v>11</v>
      </c>
      <c r="J1706" s="34">
        <v>35</v>
      </c>
      <c r="K1706" s="36">
        <v>700</v>
      </c>
      <c r="L1706" s="34" t="s">
        <v>17</v>
      </c>
      <c r="M1706" s="35">
        <v>35376</v>
      </c>
      <c r="N1706" s="37">
        <f>(YEAR(TablaMadre[[#This Row],[ALTA]])-YEAR(M1706))</f>
        <v>28</v>
      </c>
      <c r="O1706" s="34" t="s">
        <v>18</v>
      </c>
      <c r="P1706" s="34" t="s">
        <v>19</v>
      </c>
      <c r="Q1706" s="34" t="s">
        <v>644</v>
      </c>
      <c r="R1706" s="58" t="s">
        <v>30</v>
      </c>
      <c r="S1706" s="34" t="s">
        <v>321</v>
      </c>
      <c r="T1706" s="34"/>
      <c r="U1706" s="34" t="s">
        <v>21</v>
      </c>
      <c r="V1706" s="34" t="s">
        <v>22</v>
      </c>
      <c r="W1706" s="34" t="s">
        <v>28</v>
      </c>
      <c r="X1706" s="34" t="s">
        <v>164</v>
      </c>
      <c r="Y1706" s="57">
        <v>45926</v>
      </c>
      <c r="Z1706" s="34">
        <f t="shared" si="79"/>
        <v>0</v>
      </c>
      <c r="AA1706" s="34"/>
      <c r="AB1706" s="34">
        <v>9</v>
      </c>
      <c r="AC1706" s="34">
        <v>9</v>
      </c>
      <c r="AD1706" s="34"/>
      <c r="AE1706" s="59" t="str">
        <f t="shared" si="80"/>
        <v>NO</v>
      </c>
      <c r="AF1706" s="34" t="e" cm="1">
        <f t="array" aca="1" ref="AF1706" ca="1">MIN(100, MAX(0, (IF(R1706="ESTUDIANTE", 31, 0)) + (IF(I1706&lt;=3, 30, IF(I1706&lt;=6, 20, 0))) +(IF(OR(E1706="413 - Control de Costes y Enlace Construcción", E1706="480 - Secretaría General del Consejo", E1706="132 - Civil y estructuras", E1706="136 - Mecánica", E1706="412 - Planificación", E1706="142 - Compras"), 25, 0)) +(IF(OR(S1706="GRADO ING. MECÁNICA", S1706="GRADO ING. ELÉCTRICA", S1706="GRADO DERECHO", S1706="GRADO ECONOMÍA", S1706="GRADO ING. TECNOLOGÍAS INDUSTRIALES"), 24, 0)) + (IF(AND(K1706&gt;=451, K1706&lt;=700), 23, 0)) + (IF(AND(AB1706&gt;=5, AB1706&lt;=8), 17, 0)) +(IF(_xludf.OR(_xludf.AND(AC1706&gt;=8, AC1706&lt;=10), _xludf.AND(AC1706&gt;=0, AC1706&lt;=5)), 16, 0)) + (IF(F1706="Madrid", 11, 0))))</f>
        <v>#NAME?</v>
      </c>
      <c r="AG1706" s="69"/>
      <c r="AH1706" s="71" t="s">
        <v>164</v>
      </c>
    </row>
    <row r="1707" spans="1:34" s="4" customFormat="1" ht="14.4" x14ac:dyDescent="0.3">
      <c r="A1707" s="66" t="s">
        <v>2685</v>
      </c>
      <c r="B1707" s="66" t="s">
        <v>4802</v>
      </c>
      <c r="C1707" s="33">
        <v>1706</v>
      </c>
      <c r="D1707" s="33" t="s">
        <v>5403</v>
      </c>
      <c r="E1707" s="34" t="s">
        <v>5327</v>
      </c>
      <c r="F1707" s="34" t="s">
        <v>18</v>
      </c>
      <c r="G1707" s="57">
        <v>45371</v>
      </c>
      <c r="H1707" s="57">
        <v>45735</v>
      </c>
      <c r="I1707" s="34">
        <f t="shared" si="78"/>
        <v>11</v>
      </c>
      <c r="J1707" s="34">
        <v>25</v>
      </c>
      <c r="K1707" s="36">
        <v>500</v>
      </c>
      <c r="L1707" s="34" t="s">
        <v>29</v>
      </c>
      <c r="M1707" s="35">
        <v>38296</v>
      </c>
      <c r="N1707" s="37">
        <f>(YEAR(TablaMadre[[#This Row],[ALTA]])-YEAR(M1707))</f>
        <v>20</v>
      </c>
      <c r="O1707" s="34" t="s">
        <v>18</v>
      </c>
      <c r="P1707" s="34" t="s">
        <v>19</v>
      </c>
      <c r="Q1707" s="34" t="s">
        <v>354</v>
      </c>
      <c r="R1707" s="58" t="s">
        <v>30</v>
      </c>
      <c r="S1707" s="34" t="s">
        <v>354</v>
      </c>
      <c r="T1707" s="34" t="s">
        <v>806</v>
      </c>
      <c r="U1707" s="34" t="str">
        <f>SUBSTITUTE($T1707, "INGUN", "/")</f>
        <v>N/A</v>
      </c>
      <c r="V1707" s="34" t="s">
        <v>163</v>
      </c>
      <c r="W1707" s="34" t="s">
        <v>28</v>
      </c>
      <c r="X1707" s="34" t="s">
        <v>173</v>
      </c>
      <c r="Y1707" s="57"/>
      <c r="Z1707" s="34" t="e">
        <f t="shared" si="79"/>
        <v>#NUM!</v>
      </c>
      <c r="AA1707" s="34"/>
      <c r="AB1707" s="34">
        <v>10</v>
      </c>
      <c r="AC1707" s="34">
        <v>10</v>
      </c>
      <c r="AD1707" s="34"/>
      <c r="AE1707" s="59" t="str">
        <f t="shared" si="80"/>
        <v>NO</v>
      </c>
      <c r="AF1707" s="34" t="e" cm="1">
        <f t="array" aca="1" ref="AF1707" ca="1">MIN(100, MAX(0, (IF(R1707="ESTUDIANTE", 31, 0)) + (IF(I1707&lt;=3, 30, IF(I1707&lt;=6, 20, 0))) +(IF(OR(E1707="413 - Control de Costes y Enlace Construcción", E1707="480 - Secretaría General del Consejo", E1707="132 - Civil y estructuras", E1707="136 - Mecánica", E1707="412 - Planificación", E1707="142 - Compras"), 25, 0)) +(IF(OR(S1707="GRADO ING. MECÁNICA", S1707="GRADO ING. ELÉCTRICA", S1707="GRADO DERECHO", S1707="GRADO ECONOMÍA", S1707="GRADO ING. TECNOLOGÍAS INDUSTRIALES"), 24, 0)) + (IF(AND(K1707&gt;=451, K1707&lt;=700), 23, 0)) + (IF(AND(AB1707&gt;=5, AB1707&lt;=8), 17, 0)) +(IF(_xludf.OR(_xludf.AND(AC1707&gt;=8, AC1707&lt;=10), _xludf.AND(AC1707&gt;=0, AC1707&lt;=5)), 16, 0)) + (IF(F1707="Madrid", 11, 0))))</f>
        <v>#NAME?</v>
      </c>
      <c r="AG1707" s="69"/>
      <c r="AH1707" s="71" t="s">
        <v>164</v>
      </c>
    </row>
    <row r="1708" spans="1:34" ht="14.4" x14ac:dyDescent="0.3">
      <c r="A1708" s="66" t="s">
        <v>2686</v>
      </c>
      <c r="B1708" s="66" t="s">
        <v>4803</v>
      </c>
      <c r="C1708" s="33">
        <v>1707</v>
      </c>
      <c r="D1708" s="33" t="s">
        <v>5404</v>
      </c>
      <c r="E1708" s="34" t="s">
        <v>5246</v>
      </c>
      <c r="F1708" s="34" t="s">
        <v>931</v>
      </c>
      <c r="G1708" s="57">
        <v>45384</v>
      </c>
      <c r="H1708" s="57">
        <v>45448</v>
      </c>
      <c r="I1708" s="34">
        <f t="shared" si="78"/>
        <v>2</v>
      </c>
      <c r="J1708" s="34">
        <v>40</v>
      </c>
      <c r="K1708" s="36">
        <v>0</v>
      </c>
      <c r="L1708" s="34" t="s">
        <v>29</v>
      </c>
      <c r="M1708" s="35">
        <v>36526</v>
      </c>
      <c r="N1708" s="37">
        <f>(YEAR(TablaMadre[[#This Row],[ALTA]])-YEAR(M1708))</f>
        <v>24</v>
      </c>
      <c r="O1708" s="34"/>
      <c r="P1708" s="34"/>
      <c r="Q1708" s="34" t="s">
        <v>729</v>
      </c>
      <c r="R1708" s="34" t="s">
        <v>30</v>
      </c>
      <c r="S1708" s="34" t="s">
        <v>26</v>
      </c>
      <c r="T1708" s="34"/>
      <c r="U1708" s="34" t="s">
        <v>30</v>
      </c>
      <c r="V1708" s="34" t="s">
        <v>27</v>
      </c>
      <c r="W1708" s="34" t="s">
        <v>28</v>
      </c>
      <c r="X1708" s="38" t="s">
        <v>164</v>
      </c>
      <c r="Y1708" s="62"/>
      <c r="Z1708" s="38" t="e">
        <f t="shared" si="79"/>
        <v>#NUM!</v>
      </c>
      <c r="AA1708" s="38"/>
      <c r="AB1708" s="34">
        <v>9</v>
      </c>
      <c r="AC1708" s="34">
        <v>10</v>
      </c>
      <c r="AD1708" s="38"/>
      <c r="AE1708" s="59" t="str">
        <f t="shared" si="80"/>
        <v>SÍ</v>
      </c>
      <c r="AF1708" s="38" t="e" cm="1">
        <f t="array" aca="1" ref="AF1708" ca="1">MIN(100, MAX(0, (IF(R1708="ESTUDIANTE", 31, 0)) + (IF(I1708&lt;=3, 30, IF(I1708&lt;=6, 20, 0))) +(IF(OR(E1708="413 - Control de Costes y Enlace Construcción", E1708="480 - Secretaría General del Consejo", E1708="132 - Civil y estructuras", E1708="136 - Mecánica", E1708="412 - Planificación", E1708="142 - Compras"), 25, 0)) +(IF(OR(S1708="GRADO ING. MECÁNICA", S1708="GRADO ING. ELÉCTRICA", S1708="GRADO DERECHO", S1708="GRADO ECONOMÍA", S1708="GRADO ING. TECNOLOGÍAS INDUSTRIALES"), 24, 0)) + (IF(AND(K1708&gt;=451, K1708&lt;=700), 23, 0)) + (IF(AND(AB1708&gt;=5, AB1708&lt;=8), 17, 0)) +(IF(_xludf.OR(_xludf.AND(AC1708&gt;=8, AC1708&lt;=10), _xludf.AND(AC1708&gt;=0, AC1708&lt;=5)), 16, 0)) + (IF(F1708="Madrid", 11, 0))))</f>
        <v>#NAME?</v>
      </c>
      <c r="AG1708" s="68"/>
      <c r="AH1708" s="71" t="s">
        <v>164</v>
      </c>
    </row>
    <row r="1709" spans="1:34" s="4" customFormat="1" ht="14.4" x14ac:dyDescent="0.3">
      <c r="A1709" s="66" t="s">
        <v>2687</v>
      </c>
      <c r="B1709" s="66" t="s">
        <v>4804</v>
      </c>
      <c r="C1709" s="33">
        <v>1708</v>
      </c>
      <c r="D1709" s="33" t="s">
        <v>5405</v>
      </c>
      <c r="E1709" s="34" t="s">
        <v>5246</v>
      </c>
      <c r="F1709" s="34" t="s">
        <v>931</v>
      </c>
      <c r="G1709" s="57">
        <v>45384</v>
      </c>
      <c r="H1709" s="57">
        <v>45448</v>
      </c>
      <c r="I1709" s="34">
        <f t="shared" si="78"/>
        <v>2</v>
      </c>
      <c r="J1709" s="34">
        <v>40</v>
      </c>
      <c r="K1709" s="36">
        <v>0</v>
      </c>
      <c r="L1709" s="34" t="s">
        <v>17</v>
      </c>
      <c r="M1709" s="35">
        <v>36526</v>
      </c>
      <c r="N1709" s="37">
        <f>(YEAR(TablaMadre[[#This Row],[ALTA]])-YEAR(M1709))</f>
        <v>24</v>
      </c>
      <c r="O1709" s="34"/>
      <c r="P1709" s="34"/>
      <c r="Q1709" s="34" t="s">
        <v>729</v>
      </c>
      <c r="R1709" s="34" t="s">
        <v>30</v>
      </c>
      <c r="S1709" s="34" t="s">
        <v>26</v>
      </c>
      <c r="T1709" s="34"/>
      <c r="U1709" s="34" t="s">
        <v>30</v>
      </c>
      <c r="V1709" s="34" t="s">
        <v>27</v>
      </c>
      <c r="W1709" s="34" t="s">
        <v>127</v>
      </c>
      <c r="X1709" s="34" t="s">
        <v>173</v>
      </c>
      <c r="Y1709" s="57"/>
      <c r="Z1709" s="34" t="e">
        <f t="shared" si="79"/>
        <v>#NUM!</v>
      </c>
      <c r="AA1709" s="34"/>
      <c r="AB1709" s="34" t="s">
        <v>693</v>
      </c>
      <c r="AC1709" s="34">
        <v>10</v>
      </c>
      <c r="AD1709" s="34"/>
      <c r="AE1709" s="59" t="str">
        <f t="shared" si="80"/>
        <v>SÍ</v>
      </c>
      <c r="AF1709" s="34" t="e" cm="1">
        <f t="array" aca="1" ref="AF1709" ca="1">MIN(100, MAX(0, (IF(R1709="ESTUDIANTE", 31, 0)) + (IF(I1709&lt;=3, 30, IF(I1709&lt;=6, 20, 0))) +(IF(OR(E1709="413 - Control de Costes y Enlace Construcción", E1709="480 - Secretaría General del Consejo", E1709="132 - Civil y estructuras", E1709="136 - Mecánica", E1709="412 - Planificación", E1709="142 - Compras"), 25, 0)) +(IF(OR(S1709="GRADO ING. MECÁNICA", S1709="GRADO ING. ELÉCTRICA", S1709="GRADO DERECHO", S1709="GRADO ECONOMÍA", S1709="GRADO ING. TECNOLOGÍAS INDUSTRIALES"), 24, 0)) + (IF(AND(K1709&gt;=451, K1709&lt;=700), 23, 0)) + (IF(AND(AB1709&gt;=5, AB1709&lt;=8), 17, 0)) +(IF(_xludf.OR(_xludf.AND(AC1709&gt;=8, AC1709&lt;=10), _xludf.AND(AC1709&gt;=0, AC1709&lt;=5)), 16, 0)) + (IF(F1709="Madrid", 11, 0))))</f>
        <v>#NAME?</v>
      </c>
      <c r="AG1709" s="69"/>
      <c r="AH1709" s="71" t="s">
        <v>164</v>
      </c>
    </row>
    <row r="1710" spans="1:34" s="4" customFormat="1" ht="14.4" x14ac:dyDescent="0.3">
      <c r="A1710" s="66" t="s">
        <v>2688</v>
      </c>
      <c r="B1710" s="66" t="s">
        <v>4805</v>
      </c>
      <c r="C1710" s="33">
        <v>1709</v>
      </c>
      <c r="D1710" s="33" t="s">
        <v>5396</v>
      </c>
      <c r="E1710" s="34" t="s">
        <v>5233</v>
      </c>
      <c r="F1710" s="34" t="s">
        <v>931</v>
      </c>
      <c r="G1710" s="57">
        <v>45384</v>
      </c>
      <c r="H1710" s="57">
        <v>45453</v>
      </c>
      <c r="I1710" s="34">
        <f t="shared" si="78"/>
        <v>2</v>
      </c>
      <c r="J1710" s="34">
        <v>40</v>
      </c>
      <c r="K1710" s="36">
        <v>0</v>
      </c>
      <c r="L1710" s="34" t="s">
        <v>17</v>
      </c>
      <c r="M1710" s="35">
        <v>36526</v>
      </c>
      <c r="N1710" s="37">
        <f>(YEAR(TablaMadre[[#This Row],[ALTA]])-YEAR(M1710))</f>
        <v>24</v>
      </c>
      <c r="O1710" s="34"/>
      <c r="P1710" s="34"/>
      <c r="Q1710" s="34" t="s">
        <v>359</v>
      </c>
      <c r="R1710" s="34" t="s">
        <v>30</v>
      </c>
      <c r="S1710" s="34" t="s">
        <v>26</v>
      </c>
      <c r="T1710" s="34"/>
      <c r="U1710" s="34" t="s">
        <v>30</v>
      </c>
      <c r="V1710" s="34" t="s">
        <v>27</v>
      </c>
      <c r="W1710" s="34" t="s">
        <v>28</v>
      </c>
      <c r="X1710" s="34" t="s">
        <v>164</v>
      </c>
      <c r="Y1710" s="57">
        <v>45672</v>
      </c>
      <c r="Z1710" s="34">
        <f t="shared" si="79"/>
        <v>0</v>
      </c>
      <c r="AA1710" s="34"/>
      <c r="AB1710" s="34">
        <v>7</v>
      </c>
      <c r="AC1710" s="34" t="s">
        <v>730</v>
      </c>
      <c r="AD1710" s="34"/>
      <c r="AE1710" s="59" t="str">
        <f t="shared" si="80"/>
        <v>SÍ</v>
      </c>
      <c r="AF1710" s="34" t="e" cm="1">
        <f t="array" aca="1" ref="AF1710" ca="1">MIN(100, MAX(0, (IF(R1710="ESTUDIANTE", 31, 0)) + (IF(I1710&lt;=3, 30, IF(I1710&lt;=6, 20, 0))) +(IF(OR(E1710="413 - Control de Costes y Enlace Construcción", E1710="480 - Secretaría General del Consejo", E1710="132 - Civil y estructuras", E1710="136 - Mecánica", E1710="412 - Planificación", E1710="142 - Compras"), 25, 0)) +(IF(OR(S1710="GRADO ING. MECÁNICA", S1710="GRADO ING. ELÉCTRICA", S1710="GRADO DERECHO", S1710="GRADO ECONOMÍA", S1710="GRADO ING. TECNOLOGÍAS INDUSTRIALES"), 24, 0)) + (IF(AND(K1710&gt;=451, K1710&lt;=700), 23, 0)) + (IF(AND(AB1710&gt;=5, AB1710&lt;=8), 17, 0)) +(IF(_xludf.OR(_xludf.AND(AC1710&gt;=8, AC1710&lt;=10), _xludf.AND(AC1710&gt;=0, AC1710&lt;=5)), 16, 0)) + (IF(F1710="Madrid", 11, 0))))</f>
        <v>#NAME?</v>
      </c>
      <c r="AG1710" s="69"/>
      <c r="AH1710" s="71" t="s">
        <v>164</v>
      </c>
    </row>
    <row r="1711" spans="1:34" s="4" customFormat="1" ht="14.4" x14ac:dyDescent="0.3">
      <c r="A1711" s="66" t="s">
        <v>2689</v>
      </c>
      <c r="B1711" s="66" t="s">
        <v>4806</v>
      </c>
      <c r="C1711" s="33">
        <v>1710</v>
      </c>
      <c r="D1711" s="33" t="s">
        <v>5397</v>
      </c>
      <c r="E1711" s="34" t="s">
        <v>5222</v>
      </c>
      <c r="F1711" s="34" t="s">
        <v>931</v>
      </c>
      <c r="G1711" s="57">
        <v>45384</v>
      </c>
      <c r="H1711" s="57">
        <v>45453</v>
      </c>
      <c r="I1711" s="34">
        <f t="shared" si="78"/>
        <v>2</v>
      </c>
      <c r="J1711" s="34">
        <v>40</v>
      </c>
      <c r="K1711" s="36">
        <v>0</v>
      </c>
      <c r="L1711" s="34" t="s">
        <v>17</v>
      </c>
      <c r="M1711" s="35">
        <v>36526</v>
      </c>
      <c r="N1711" s="37">
        <f>(YEAR(TablaMadre[[#This Row],[ALTA]])-YEAR(M1711))</f>
        <v>24</v>
      </c>
      <c r="O1711" s="34"/>
      <c r="P1711" s="34"/>
      <c r="Q1711" s="34" t="s">
        <v>697</v>
      </c>
      <c r="R1711" s="34" t="s">
        <v>30</v>
      </c>
      <c r="S1711" s="34" t="s">
        <v>26</v>
      </c>
      <c r="T1711" s="34"/>
      <c r="U1711" s="34" t="s">
        <v>30</v>
      </c>
      <c r="V1711" s="34" t="s">
        <v>27</v>
      </c>
      <c r="W1711" s="34" t="s">
        <v>28</v>
      </c>
      <c r="X1711" s="34" t="s">
        <v>173</v>
      </c>
      <c r="Y1711" s="57"/>
      <c r="Z1711" s="34" t="e">
        <f t="shared" si="79"/>
        <v>#NUM!</v>
      </c>
      <c r="AA1711" s="34"/>
      <c r="AB1711" s="34">
        <v>10</v>
      </c>
      <c r="AC1711" s="34">
        <v>7</v>
      </c>
      <c r="AD1711" s="34"/>
      <c r="AE1711" s="59" t="str">
        <f t="shared" si="80"/>
        <v>SÍ</v>
      </c>
      <c r="AF1711" s="34" t="e" cm="1">
        <f t="array" aca="1" ref="AF1711" ca="1">MIN(100, MAX(0, (IF(R1711="ESTUDIANTE", 31, 0)) + (IF(I1711&lt;=3, 30, IF(I1711&lt;=6, 20, 0))) +(IF(OR(E1711="413 - Control de Costes y Enlace Construcción", E1711="480 - Secretaría General del Consejo", E1711="132 - Civil y estructuras", E1711="136 - Mecánica", E1711="412 - Planificación", E1711="142 - Compras"), 25, 0)) +(IF(OR(S1711="GRADO ING. MECÁNICA", S1711="GRADO ING. ELÉCTRICA", S1711="GRADO DERECHO", S1711="GRADO ECONOMÍA", S1711="GRADO ING. TECNOLOGÍAS INDUSTRIALES"), 24, 0)) + (IF(AND(K1711&gt;=451, K1711&lt;=700), 23, 0)) + (IF(AND(AB1711&gt;=5, AB1711&lt;=8), 17, 0)) +(IF(_xludf.OR(_xludf.AND(AC1711&gt;=8, AC1711&lt;=10), _xludf.AND(AC1711&gt;=0, AC1711&lt;=5)), 16, 0)) + (IF(F1711="Madrid", 11, 0))))</f>
        <v>#NAME?</v>
      </c>
      <c r="AG1711" s="69"/>
      <c r="AH1711" s="71" t="s">
        <v>164</v>
      </c>
    </row>
    <row r="1712" spans="1:34" ht="14.4" x14ac:dyDescent="0.3">
      <c r="A1712" s="66" t="s">
        <v>2690</v>
      </c>
      <c r="B1712" s="66" t="s">
        <v>4807</v>
      </c>
      <c r="C1712" s="33">
        <v>1711</v>
      </c>
      <c r="D1712" s="33" t="s">
        <v>5393</v>
      </c>
      <c r="E1712" s="34" t="s">
        <v>5306</v>
      </c>
      <c r="F1712" s="34" t="s">
        <v>931</v>
      </c>
      <c r="G1712" s="57">
        <v>45384</v>
      </c>
      <c r="H1712" s="57">
        <v>45453</v>
      </c>
      <c r="I1712" s="34">
        <f t="shared" si="78"/>
        <v>2</v>
      </c>
      <c r="J1712" s="34">
        <v>40</v>
      </c>
      <c r="K1712" s="36">
        <v>0</v>
      </c>
      <c r="L1712" s="34" t="s">
        <v>17</v>
      </c>
      <c r="M1712" s="35">
        <v>36526</v>
      </c>
      <c r="N1712" s="37">
        <f>(YEAR(TablaMadre[[#This Row],[ALTA]])-YEAR(M1712))</f>
        <v>24</v>
      </c>
      <c r="O1712" s="34"/>
      <c r="P1712" s="34"/>
      <c r="Q1712" s="34" t="s">
        <v>359</v>
      </c>
      <c r="R1712" s="34" t="s">
        <v>30</v>
      </c>
      <c r="S1712" s="34" t="s">
        <v>26</v>
      </c>
      <c r="T1712" s="34"/>
      <c r="U1712" s="34" t="s">
        <v>30</v>
      </c>
      <c r="V1712" s="34" t="s">
        <v>27</v>
      </c>
      <c r="W1712" s="34" t="s">
        <v>28</v>
      </c>
      <c r="X1712" s="38" t="s">
        <v>173</v>
      </c>
      <c r="Y1712" s="62"/>
      <c r="Z1712" s="38" t="e">
        <f t="shared" si="79"/>
        <v>#NUM!</v>
      </c>
      <c r="AA1712" s="38"/>
      <c r="AB1712" s="34" t="s">
        <v>693</v>
      </c>
      <c r="AC1712" s="34">
        <v>10</v>
      </c>
      <c r="AD1712" s="38"/>
      <c r="AE1712" s="59" t="str">
        <f t="shared" si="80"/>
        <v>SÍ</v>
      </c>
      <c r="AF1712" s="38" t="e" cm="1">
        <f t="array" aca="1" ref="AF1712" ca="1">MIN(100, MAX(0, (IF(R1712="ESTUDIANTE", 31, 0)) + (IF(I1712&lt;=3, 30, IF(I1712&lt;=6, 20, 0))) +(IF(OR(E1712="413 - Control de Costes y Enlace Construcción", E1712="480 - Secretaría General del Consejo", E1712="132 - Civil y estructuras", E1712="136 - Mecánica", E1712="412 - Planificación", E1712="142 - Compras"), 25, 0)) +(IF(OR(S1712="GRADO ING. MECÁNICA", S1712="GRADO ING. ELÉCTRICA", S1712="GRADO DERECHO", S1712="GRADO ECONOMÍA", S1712="GRADO ING. TECNOLOGÍAS INDUSTRIALES"), 24, 0)) + (IF(AND(K1712&gt;=451, K1712&lt;=700), 23, 0)) + (IF(AND(AB1712&gt;=5, AB1712&lt;=8), 17, 0)) +(IF(_xludf.OR(_xludf.AND(AC1712&gt;=8, AC1712&lt;=10), _xludf.AND(AC1712&gt;=0, AC1712&lt;=5)), 16, 0)) + (IF(F1712="Madrid", 11, 0))))</f>
        <v>#NAME?</v>
      </c>
      <c r="AG1712" s="68"/>
      <c r="AH1712" s="71" t="s">
        <v>164</v>
      </c>
    </row>
    <row r="1713" spans="1:34" s="4" customFormat="1" ht="14.4" x14ac:dyDescent="0.3">
      <c r="A1713" s="66" t="s">
        <v>2691</v>
      </c>
      <c r="B1713" s="66" t="s">
        <v>4808</v>
      </c>
      <c r="C1713" s="33">
        <v>1712</v>
      </c>
      <c r="D1713" s="33" t="s">
        <v>5394</v>
      </c>
      <c r="E1713" s="34" t="s">
        <v>5299</v>
      </c>
      <c r="F1713" s="34" t="s">
        <v>931</v>
      </c>
      <c r="G1713" s="57">
        <v>45384</v>
      </c>
      <c r="H1713" s="57">
        <v>45453</v>
      </c>
      <c r="I1713" s="34">
        <f t="shared" si="78"/>
        <v>2</v>
      </c>
      <c r="J1713" s="34">
        <v>40</v>
      </c>
      <c r="K1713" s="36">
        <v>0</v>
      </c>
      <c r="L1713" s="34" t="s">
        <v>17</v>
      </c>
      <c r="M1713" s="35">
        <v>36526</v>
      </c>
      <c r="N1713" s="37">
        <f>(YEAR(TablaMadre[[#This Row],[ALTA]])-YEAR(M1713))</f>
        <v>24</v>
      </c>
      <c r="O1713" s="34"/>
      <c r="P1713" s="34"/>
      <c r="Q1713" s="34" t="s">
        <v>731</v>
      </c>
      <c r="R1713" s="34" t="s">
        <v>30</v>
      </c>
      <c r="S1713" s="34" t="s">
        <v>26</v>
      </c>
      <c r="T1713" s="34"/>
      <c r="U1713" s="34" t="s">
        <v>30</v>
      </c>
      <c r="V1713" s="34" t="s">
        <v>27</v>
      </c>
      <c r="W1713" s="34" t="s">
        <v>28</v>
      </c>
      <c r="X1713" s="34" t="s">
        <v>173</v>
      </c>
      <c r="Y1713" s="57"/>
      <c r="Z1713" s="34" t="e">
        <f t="shared" si="79"/>
        <v>#NUM!</v>
      </c>
      <c r="AA1713" s="34"/>
      <c r="AB1713" s="34">
        <v>10</v>
      </c>
      <c r="AC1713" s="34">
        <v>9</v>
      </c>
      <c r="AD1713" s="34"/>
      <c r="AE1713" s="59" t="str">
        <f t="shared" si="80"/>
        <v>SÍ</v>
      </c>
      <c r="AF1713" s="34" t="e" cm="1">
        <f t="array" aca="1" ref="AF1713" ca="1">MIN(100, MAX(0, (IF(R1713="ESTUDIANTE", 31, 0)) + (IF(I1713&lt;=3, 30, IF(I1713&lt;=6, 20, 0))) +(IF(OR(E1713="413 - Control de Costes y Enlace Construcción", E1713="480 - Secretaría General del Consejo", E1713="132 - Civil y estructuras", E1713="136 - Mecánica", E1713="412 - Planificación", E1713="142 - Compras"), 25, 0)) +(IF(OR(S1713="GRADO ING. MECÁNICA", S1713="GRADO ING. ELÉCTRICA", S1713="GRADO DERECHO", S1713="GRADO ECONOMÍA", S1713="GRADO ING. TECNOLOGÍAS INDUSTRIALES"), 24, 0)) + (IF(AND(K1713&gt;=451, K1713&lt;=700), 23, 0)) + (IF(AND(AB1713&gt;=5, AB1713&lt;=8), 17, 0)) +(IF(_xludf.OR(_xludf.AND(AC1713&gt;=8, AC1713&lt;=10), _xludf.AND(AC1713&gt;=0, AC1713&lt;=5)), 16, 0)) + (IF(F1713="Madrid", 11, 0))))</f>
        <v>#NAME?</v>
      </c>
      <c r="AG1713" s="69"/>
      <c r="AH1713" s="71" t="s">
        <v>164</v>
      </c>
    </row>
    <row r="1714" spans="1:34" s="4" customFormat="1" ht="14.4" x14ac:dyDescent="0.3">
      <c r="A1714" s="66" t="s">
        <v>2693</v>
      </c>
      <c r="B1714" s="66" t="s">
        <v>4810</v>
      </c>
      <c r="C1714" s="33">
        <v>1714</v>
      </c>
      <c r="D1714" s="33" t="s">
        <v>5395</v>
      </c>
      <c r="E1714" s="34" t="s">
        <v>5285</v>
      </c>
      <c r="F1714" s="34" t="s">
        <v>931</v>
      </c>
      <c r="G1714" s="57">
        <v>45384</v>
      </c>
      <c r="H1714" s="57">
        <v>45454</v>
      </c>
      <c r="I1714" s="34">
        <f t="shared" si="78"/>
        <v>2</v>
      </c>
      <c r="J1714" s="34">
        <v>40</v>
      </c>
      <c r="K1714" s="36">
        <v>0</v>
      </c>
      <c r="L1714" s="34" t="s">
        <v>29</v>
      </c>
      <c r="M1714" s="35">
        <v>36526</v>
      </c>
      <c r="N1714" s="37">
        <f>(YEAR(TablaMadre[[#This Row],[ALTA]])-YEAR(M1714))</f>
        <v>24</v>
      </c>
      <c r="O1714" s="34"/>
      <c r="P1714" s="34"/>
      <c r="Q1714" s="34" t="s">
        <v>360</v>
      </c>
      <c r="R1714" s="34" t="s">
        <v>30</v>
      </c>
      <c r="S1714" s="34" t="s">
        <v>26</v>
      </c>
      <c r="T1714" s="34"/>
      <c r="U1714" s="34" t="s">
        <v>30</v>
      </c>
      <c r="V1714" s="34" t="s">
        <v>27</v>
      </c>
      <c r="W1714" s="34" t="s">
        <v>28</v>
      </c>
      <c r="X1714" s="34" t="s">
        <v>164</v>
      </c>
      <c r="Y1714" s="57"/>
      <c r="Z1714" s="34" t="e">
        <f t="shared" si="79"/>
        <v>#NUM!</v>
      </c>
      <c r="AA1714" s="34"/>
      <c r="AB1714" s="34">
        <v>9</v>
      </c>
      <c r="AC1714" s="34">
        <v>10</v>
      </c>
      <c r="AD1714" s="34"/>
      <c r="AE1714" s="59" t="str">
        <f t="shared" si="80"/>
        <v>SÍ</v>
      </c>
      <c r="AF1714" s="34" t="e" cm="1">
        <f t="array" aca="1" ref="AF1714" ca="1">MIN(100, MAX(0, (IF(R1714="ESTUDIANTE", 31, 0)) + (IF(I1714&lt;=3, 30, IF(I1714&lt;=6, 20, 0))) +(IF(OR(E1714="413 - Control de Costes y Enlace Construcción", E1714="480 - Secretaría General del Consejo", E1714="132 - Civil y estructuras", E1714="136 - Mecánica", E1714="412 - Planificación", E1714="142 - Compras"), 25, 0)) +(IF(OR(S1714="GRADO ING. MECÁNICA", S1714="GRADO ING. ELÉCTRICA", S1714="GRADO DERECHO", S1714="GRADO ECONOMÍA", S1714="GRADO ING. TECNOLOGÍAS INDUSTRIALES"), 24, 0)) + (IF(AND(K1714&gt;=451, K1714&lt;=700), 23, 0)) + (IF(AND(AB1714&gt;=5, AB1714&lt;=8), 17, 0)) +(IF(_xludf.OR(_xludf.AND(AC1714&gt;=8, AC1714&lt;=10), _xludf.AND(AC1714&gt;=0, AC1714&lt;=5)), 16, 0)) + (IF(F1714="Madrid", 11, 0))))</f>
        <v>#NAME?</v>
      </c>
      <c r="AG1714" s="69"/>
      <c r="AH1714" s="71" t="s">
        <v>164</v>
      </c>
    </row>
    <row r="1715" spans="1:34" s="4" customFormat="1" ht="14.4" x14ac:dyDescent="0.3">
      <c r="A1715" s="66" t="s">
        <v>3004</v>
      </c>
      <c r="B1715" s="66" t="s">
        <v>5121</v>
      </c>
      <c r="C1715" s="33">
        <v>1713</v>
      </c>
      <c r="D1715" s="33" t="s">
        <v>5396</v>
      </c>
      <c r="E1715" s="34" t="s">
        <v>5216</v>
      </c>
      <c r="F1715" s="34" t="s">
        <v>931</v>
      </c>
      <c r="G1715" s="57">
        <v>45384</v>
      </c>
      <c r="H1715" s="57">
        <v>45454</v>
      </c>
      <c r="I1715" s="34">
        <f t="shared" si="78"/>
        <v>2</v>
      </c>
      <c r="J1715" s="34">
        <v>40</v>
      </c>
      <c r="K1715" s="36">
        <v>0</v>
      </c>
      <c r="L1715" s="34" t="s">
        <v>29</v>
      </c>
      <c r="M1715" s="35">
        <v>36526</v>
      </c>
      <c r="N1715" s="37">
        <f>(YEAR(TablaMadre[[#This Row],[ALTA]])-YEAR(M1715))</f>
        <v>24</v>
      </c>
      <c r="O1715" s="34"/>
      <c r="P1715" s="34"/>
      <c r="Q1715" s="34" t="s">
        <v>675</v>
      </c>
      <c r="R1715" s="34" t="s">
        <v>30</v>
      </c>
      <c r="S1715" s="34" t="s">
        <v>26</v>
      </c>
      <c r="T1715" s="34"/>
      <c r="U1715" s="34" t="s">
        <v>30</v>
      </c>
      <c r="V1715" s="34" t="s">
        <v>27</v>
      </c>
      <c r="W1715" s="34" t="s">
        <v>23</v>
      </c>
      <c r="X1715" s="34" t="s">
        <v>164</v>
      </c>
      <c r="Y1715" s="57"/>
      <c r="Z1715" s="34" t="e">
        <f t="shared" si="79"/>
        <v>#NUM!</v>
      </c>
      <c r="AA1715" s="34"/>
      <c r="AB1715" s="34" t="s">
        <v>719</v>
      </c>
      <c r="AC1715" s="34"/>
      <c r="AD1715" s="34"/>
      <c r="AE1715" s="59" t="str">
        <f t="shared" si="80"/>
        <v>SÍ</v>
      </c>
      <c r="AF1715" s="34" t="e" cm="1">
        <f t="array" aca="1" ref="AF1715" ca="1">MIN(100, MAX(0, (IF(R1715="ESTUDIANTE", 31, 0)) + (IF(I1715&lt;=3, 30, IF(I1715&lt;=6, 20, 0))) +(IF(OR(E1715="413 - Control de Costes y Enlace Construcción", E1715="480 - Secretaría General del Consejo", E1715="132 - Civil y estructuras", E1715="136 - Mecánica", E1715="412 - Planificación", E1715="142 - Compras"), 25, 0)) +(IF(OR(S1715="GRADO ING. MECÁNICA", S1715="GRADO ING. ELÉCTRICA", S1715="GRADO DERECHO", S1715="GRADO ECONOMÍA", S1715="GRADO ING. TECNOLOGÍAS INDUSTRIALES"), 24, 0)) + (IF(AND(K1715&gt;=451, K1715&lt;=700), 23, 0)) + (IF(AND(AB1715&gt;=5, AB1715&lt;=8), 17, 0)) +(IF(_xludf.OR(_xludf.AND(AC1715&gt;=8, AC1715&lt;=10), _xludf.AND(AC1715&gt;=0, AC1715&lt;=5)), 16, 0)) + (IF(F1715="Madrid", 11, 0))))</f>
        <v>#NAME?</v>
      </c>
      <c r="AG1715" s="69"/>
      <c r="AH1715" s="71" t="s">
        <v>164</v>
      </c>
    </row>
    <row r="1716" spans="1:34" s="4" customFormat="1" ht="14.4" x14ac:dyDescent="0.3">
      <c r="A1716" s="66" t="s">
        <v>3005</v>
      </c>
      <c r="B1716" s="66" t="s">
        <v>5122</v>
      </c>
      <c r="C1716" s="33">
        <v>1715</v>
      </c>
      <c r="D1716" s="33" t="s">
        <v>5397</v>
      </c>
      <c r="E1716" s="34" t="s">
        <v>5328</v>
      </c>
      <c r="F1716" s="34" t="s">
        <v>931</v>
      </c>
      <c r="G1716" s="57">
        <v>45384</v>
      </c>
      <c r="H1716" s="57">
        <v>45454</v>
      </c>
      <c r="I1716" s="34">
        <f t="shared" si="78"/>
        <v>2</v>
      </c>
      <c r="J1716" s="34">
        <v>40</v>
      </c>
      <c r="K1716" s="36">
        <v>0</v>
      </c>
      <c r="L1716" s="34" t="s">
        <v>17</v>
      </c>
      <c r="M1716" s="35">
        <v>36526</v>
      </c>
      <c r="N1716" s="37">
        <f>(YEAR(TablaMadre[[#This Row],[ALTA]])-YEAR(M1716))</f>
        <v>24</v>
      </c>
      <c r="O1716" s="34"/>
      <c r="P1716" s="34"/>
      <c r="Q1716" s="34" t="s">
        <v>555</v>
      </c>
      <c r="R1716" s="34" t="s">
        <v>30</v>
      </c>
      <c r="S1716" s="34" t="s">
        <v>26</v>
      </c>
      <c r="T1716" s="34"/>
      <c r="U1716" s="34" t="s">
        <v>21</v>
      </c>
      <c r="V1716" s="34" t="s">
        <v>27</v>
      </c>
      <c r="W1716" s="34" t="s">
        <v>23</v>
      </c>
      <c r="X1716" s="34" t="s">
        <v>974</v>
      </c>
      <c r="Y1716" s="57"/>
      <c r="Z1716" s="34" t="e">
        <f t="shared" si="79"/>
        <v>#NUM!</v>
      </c>
      <c r="AA1716" s="34"/>
      <c r="AB1716" s="34" t="s">
        <v>719</v>
      </c>
      <c r="AC1716" s="34"/>
      <c r="AD1716" s="34"/>
      <c r="AE1716" s="59" t="str">
        <f t="shared" si="80"/>
        <v>SÍ</v>
      </c>
      <c r="AF1716" s="34" t="e" cm="1">
        <f t="array" aca="1" ref="AF1716" ca="1">MIN(100, MAX(0, (IF(R1716="ESTUDIANTE", 31, 0)) + (IF(I1716&lt;=3, 30, IF(I1716&lt;=6, 20, 0))) +(IF(OR(E1716="413 - Control de Costes y Enlace Construcción", E1716="480 - Secretaría General del Consejo", E1716="132 - Civil y estructuras", E1716="136 - Mecánica", E1716="412 - Planificación", E1716="142 - Compras"), 25, 0)) +(IF(OR(S1716="GRADO ING. MECÁNICA", S1716="GRADO ING. ELÉCTRICA", S1716="GRADO DERECHO", S1716="GRADO ECONOMÍA", S1716="GRADO ING. TECNOLOGÍAS INDUSTRIALES"), 24, 0)) + (IF(AND(K1716&gt;=451, K1716&lt;=700), 23, 0)) + (IF(AND(AB1716&gt;=5, AB1716&lt;=8), 17, 0)) +(IF(_xludf.OR(_xludf.AND(AC1716&gt;=8, AC1716&lt;=10), _xludf.AND(AC1716&gt;=0, AC1716&lt;=5)), 16, 0)) + (IF(F1716="Madrid", 11, 0))))</f>
        <v>#NAME?</v>
      </c>
      <c r="AG1716" s="69"/>
      <c r="AH1716" s="71" t="s">
        <v>164</v>
      </c>
    </row>
    <row r="1717" spans="1:34" s="4" customFormat="1" ht="14.4" x14ac:dyDescent="0.3">
      <c r="A1717" s="66" t="s">
        <v>2531</v>
      </c>
      <c r="B1717" s="66" t="s">
        <v>4648</v>
      </c>
      <c r="C1717" s="33">
        <v>1716</v>
      </c>
      <c r="D1717" s="33" t="s">
        <v>5398</v>
      </c>
      <c r="E1717" s="34" t="s">
        <v>5317</v>
      </c>
      <c r="F1717" s="34" t="s">
        <v>931</v>
      </c>
      <c r="G1717" s="57">
        <v>45390</v>
      </c>
      <c r="H1717" s="57">
        <v>45422</v>
      </c>
      <c r="I1717" s="34">
        <f t="shared" si="78"/>
        <v>1</v>
      </c>
      <c r="J1717" s="34">
        <v>35</v>
      </c>
      <c r="K1717" s="36">
        <v>875</v>
      </c>
      <c r="L1717" s="34" t="s">
        <v>17</v>
      </c>
      <c r="M1717" s="35">
        <v>35964</v>
      </c>
      <c r="N1717" s="37">
        <f>(YEAR(TablaMadre[[#This Row],[ALTA]])-YEAR(M1717))</f>
        <v>26</v>
      </c>
      <c r="O1717" s="34"/>
      <c r="P1717" s="34" t="s">
        <v>19</v>
      </c>
      <c r="Q1717" s="34" t="s">
        <v>215</v>
      </c>
      <c r="R1717" s="34" t="s">
        <v>21</v>
      </c>
      <c r="S1717" s="34" t="s">
        <v>322</v>
      </c>
      <c r="T1717" s="34"/>
      <c r="U1717" s="34" t="s">
        <v>42</v>
      </c>
      <c r="V1717" s="34" t="s">
        <v>67</v>
      </c>
      <c r="W1717" s="34" t="s">
        <v>47</v>
      </c>
      <c r="X1717" s="34" t="s">
        <v>164</v>
      </c>
      <c r="Y1717" s="57"/>
      <c r="Z1717" s="34" t="e">
        <f t="shared" si="79"/>
        <v>#NUM!</v>
      </c>
      <c r="AA1717" s="34"/>
      <c r="AB1717" s="34" t="s">
        <v>719</v>
      </c>
      <c r="AC1717" s="34" t="s">
        <v>723</v>
      </c>
      <c r="AD1717" s="34"/>
      <c r="AE1717" s="59" t="str">
        <f t="shared" si="80"/>
        <v>SÍ</v>
      </c>
      <c r="AF1717" s="34" t="e" cm="1">
        <f t="array" aca="1" ref="AF1717" ca="1">MIN(100, MAX(0, (IF(R1717="ESTUDIANTE", 31, 0)) + (IF(I1717&lt;=3, 30, IF(I1717&lt;=6, 20, 0))) +(IF(OR(E1717="413 - Control de Costes y Enlace Construcción", E1717="480 - Secretaría General del Consejo", E1717="132 - Civil y estructuras", E1717="136 - Mecánica", E1717="412 - Planificación", E1717="142 - Compras"), 25, 0)) +(IF(OR(S1717="GRADO ING. MECÁNICA", S1717="GRADO ING. ELÉCTRICA", S1717="GRADO DERECHO", S1717="GRADO ECONOMÍA", S1717="GRADO ING. TECNOLOGÍAS INDUSTRIALES"), 24, 0)) + (IF(AND(K1717&gt;=451, K1717&lt;=700), 23, 0)) + (IF(AND(AB1717&gt;=5, AB1717&lt;=8), 17, 0)) +(IF(_xludf.OR(_xludf.AND(AC1717&gt;=8, AC1717&lt;=10), _xludf.AND(AC1717&gt;=0, AC1717&lt;=5)), 16, 0)) + (IF(F1717="Madrid", 11, 0))))</f>
        <v>#NAME?</v>
      </c>
      <c r="AG1717" s="69"/>
      <c r="AH1717" s="71" t="s">
        <v>164</v>
      </c>
    </row>
    <row r="1718" spans="1:34" ht="14.4" x14ac:dyDescent="0.3">
      <c r="A1718" s="66" t="s">
        <v>2533</v>
      </c>
      <c r="B1718" s="66" t="s">
        <v>4650</v>
      </c>
      <c r="C1718" s="33">
        <v>1717</v>
      </c>
      <c r="D1718" s="33" t="s">
        <v>5399</v>
      </c>
      <c r="E1718" s="34" t="s">
        <v>5285</v>
      </c>
      <c r="F1718" s="34" t="s">
        <v>18</v>
      </c>
      <c r="G1718" s="57">
        <v>45390</v>
      </c>
      <c r="H1718" s="57">
        <v>45550</v>
      </c>
      <c r="I1718" s="34">
        <f t="shared" si="78"/>
        <v>5</v>
      </c>
      <c r="J1718" s="34">
        <v>35</v>
      </c>
      <c r="K1718" s="36">
        <v>700</v>
      </c>
      <c r="L1718" s="34" t="s">
        <v>17</v>
      </c>
      <c r="M1718" s="35">
        <v>36965</v>
      </c>
      <c r="N1718" s="37">
        <f>(YEAR(TablaMadre[[#This Row],[ALTA]])-YEAR(M1718))</f>
        <v>23</v>
      </c>
      <c r="O1718" s="34" t="s">
        <v>18</v>
      </c>
      <c r="P1718" s="34" t="s">
        <v>19</v>
      </c>
      <c r="Q1718" s="34" t="s">
        <v>473</v>
      </c>
      <c r="R1718" s="58" t="s">
        <v>30</v>
      </c>
      <c r="S1718" s="34" t="s">
        <v>473</v>
      </c>
      <c r="T1718" s="34"/>
      <c r="U1718" s="34" t="s">
        <v>30</v>
      </c>
      <c r="V1718" s="34" t="s">
        <v>114</v>
      </c>
      <c r="W1718" s="34" t="s">
        <v>181</v>
      </c>
      <c r="X1718" s="38" t="s">
        <v>164</v>
      </c>
      <c r="Y1718" s="62"/>
      <c r="Z1718" s="38" t="e">
        <f t="shared" si="79"/>
        <v>#NUM!</v>
      </c>
      <c r="AA1718" s="38"/>
      <c r="AB1718" s="34" t="s">
        <v>776</v>
      </c>
      <c r="AC1718" s="34" t="s">
        <v>778</v>
      </c>
      <c r="AD1718" s="38"/>
      <c r="AE1718" s="59" t="str">
        <f t="shared" si="80"/>
        <v>NO</v>
      </c>
      <c r="AF1718" s="38" t="e" cm="1">
        <f t="array" aca="1" ref="AF1718" ca="1">MIN(100, MAX(0, (IF(R1718="ESTUDIANTE", 31, 0)) + (IF(I1718&lt;=3, 30, IF(I1718&lt;=6, 20, 0))) +(IF(OR(E1718="413 - Control de Costes y Enlace Construcción", E1718="480 - Secretaría General del Consejo", E1718="132 - Civil y estructuras", E1718="136 - Mecánica", E1718="412 - Planificación", E1718="142 - Compras"), 25, 0)) +(IF(OR(S1718="GRADO ING. MECÁNICA", S1718="GRADO ING. ELÉCTRICA", S1718="GRADO DERECHO", S1718="GRADO ECONOMÍA", S1718="GRADO ING. TECNOLOGÍAS INDUSTRIALES"), 24, 0)) + (IF(AND(K1718&gt;=451, K1718&lt;=700), 23, 0)) + (IF(AND(AB1718&gt;=5, AB1718&lt;=8), 17, 0)) +(IF(_xludf.OR(_xludf.AND(AC1718&gt;=8, AC1718&lt;=10), _xludf.AND(AC1718&gt;=0, AC1718&lt;=5)), 16, 0)) + (IF(F1718="Madrid", 11, 0))))</f>
        <v>#NAME?</v>
      </c>
      <c r="AG1718" s="68"/>
      <c r="AH1718" s="71" t="s">
        <v>164</v>
      </c>
    </row>
    <row r="1719" spans="1:34" ht="14.25" customHeight="1" x14ac:dyDescent="0.3">
      <c r="A1719" s="66" t="s">
        <v>2547</v>
      </c>
      <c r="B1719" s="66" t="s">
        <v>4664</v>
      </c>
      <c r="C1719" s="33">
        <v>1718</v>
      </c>
      <c r="D1719" s="33" t="s">
        <v>5400</v>
      </c>
      <c r="E1719" s="34" t="s">
        <v>5285</v>
      </c>
      <c r="F1719" s="34" t="s">
        <v>118</v>
      </c>
      <c r="G1719" s="57">
        <v>45390</v>
      </c>
      <c r="H1719" s="57">
        <v>45565</v>
      </c>
      <c r="I1719" s="34">
        <f t="shared" si="78"/>
        <v>5</v>
      </c>
      <c r="J1719" s="34">
        <v>25</v>
      </c>
      <c r="K1719" s="36">
        <v>500</v>
      </c>
      <c r="L1719" s="34" t="s">
        <v>17</v>
      </c>
      <c r="M1719" s="35">
        <v>37170</v>
      </c>
      <c r="N1719" s="37">
        <f>(YEAR(TablaMadre[[#This Row],[ALTA]])-YEAR(M1719))</f>
        <v>23</v>
      </c>
      <c r="O1719" s="34" t="s">
        <v>118</v>
      </c>
      <c r="P1719" s="34" t="s">
        <v>19</v>
      </c>
      <c r="Q1719" s="34" t="s">
        <v>136</v>
      </c>
      <c r="R1719" s="58" t="s">
        <v>30</v>
      </c>
      <c r="S1719" s="34" t="s">
        <v>136</v>
      </c>
      <c r="T1719" s="34"/>
      <c r="U1719" s="34" t="s">
        <v>30</v>
      </c>
      <c r="V1719" s="34" t="s">
        <v>37</v>
      </c>
      <c r="W1719" s="34" t="s">
        <v>91</v>
      </c>
      <c r="X1719" s="38" t="s">
        <v>173</v>
      </c>
      <c r="Y1719" s="62"/>
      <c r="Z1719" s="38" t="e">
        <f t="shared" si="79"/>
        <v>#NUM!</v>
      </c>
      <c r="AA1719" s="38"/>
      <c r="AB1719" s="34">
        <v>9</v>
      </c>
      <c r="AC1719" s="34">
        <v>9</v>
      </c>
      <c r="AD1719" s="38"/>
      <c r="AE1719" s="59" t="str">
        <f t="shared" si="80"/>
        <v>NO</v>
      </c>
      <c r="AF1719" s="38" t="e" cm="1">
        <f t="array" aca="1" ref="AF1719" ca="1">MIN(100, MAX(0, (IF(R1719="ESTUDIANTE", 31, 0)) + (IF(I1719&lt;=3, 30, IF(I1719&lt;=6, 20, 0))) +(IF(OR(E1719="413 - Control de Costes y Enlace Construcción", E1719="480 - Secretaría General del Consejo", E1719="132 - Civil y estructuras", E1719="136 - Mecánica", E1719="412 - Planificación", E1719="142 - Compras"), 25, 0)) +(IF(OR(S1719="GRADO ING. MECÁNICA", S1719="GRADO ING. ELÉCTRICA", S1719="GRADO DERECHO", S1719="GRADO ECONOMÍA", S1719="GRADO ING. TECNOLOGÍAS INDUSTRIALES"), 24, 0)) + (IF(AND(K1719&gt;=451, K1719&lt;=700), 23, 0)) + (IF(AND(AB1719&gt;=5, AB1719&lt;=8), 17, 0)) +(IF(_xludf.OR(_xludf.AND(AC1719&gt;=8, AC1719&lt;=10), _xludf.AND(AC1719&gt;=0, AC1719&lt;=5)), 16, 0)) + (IF(F1719="Madrid", 11, 0))))</f>
        <v>#NAME?</v>
      </c>
      <c r="AG1719" s="68"/>
      <c r="AH1719" s="71" t="s">
        <v>164</v>
      </c>
    </row>
    <row r="1720" spans="1:34" s="4" customFormat="1" ht="16.5" customHeight="1" x14ac:dyDescent="0.3">
      <c r="A1720" s="66" t="s">
        <v>2698</v>
      </c>
      <c r="B1720" s="66" t="s">
        <v>4815</v>
      </c>
      <c r="C1720" s="33">
        <v>1719</v>
      </c>
      <c r="D1720" s="33" t="s">
        <v>5401</v>
      </c>
      <c r="E1720" s="34" t="s">
        <v>5285</v>
      </c>
      <c r="F1720" s="34" t="s">
        <v>118</v>
      </c>
      <c r="G1720" s="57">
        <v>45390</v>
      </c>
      <c r="H1720" s="57">
        <v>45754</v>
      </c>
      <c r="I1720" s="34">
        <f t="shared" si="78"/>
        <v>11</v>
      </c>
      <c r="J1720" s="34">
        <v>35</v>
      </c>
      <c r="K1720" s="36">
        <v>700</v>
      </c>
      <c r="L1720" s="34" t="s">
        <v>29</v>
      </c>
      <c r="M1720" s="35">
        <v>36031</v>
      </c>
      <c r="N1720" s="37">
        <f>(YEAR(TablaMadre[[#This Row],[ALTA]])-YEAR(M1720))</f>
        <v>26</v>
      </c>
      <c r="O1720" s="34" t="s">
        <v>118</v>
      </c>
      <c r="P1720" s="34" t="s">
        <v>19</v>
      </c>
      <c r="Q1720" s="34" t="s">
        <v>151</v>
      </c>
      <c r="R1720" s="58" t="s">
        <v>30</v>
      </c>
      <c r="S1720" s="34" t="s">
        <v>151</v>
      </c>
      <c r="T1720" s="34" t="s">
        <v>824</v>
      </c>
      <c r="U1720" s="34" t="s">
        <v>30</v>
      </c>
      <c r="V1720" s="34" t="s">
        <v>37</v>
      </c>
      <c r="W1720" s="34" t="s">
        <v>28</v>
      </c>
      <c r="X1720" s="34" t="s">
        <v>173</v>
      </c>
      <c r="Y1720" s="57"/>
      <c r="Z1720" s="34" t="e">
        <f t="shared" si="79"/>
        <v>#NUM!</v>
      </c>
      <c r="AA1720" s="34"/>
      <c r="AB1720" s="34">
        <v>9</v>
      </c>
      <c r="AC1720" s="34">
        <v>8</v>
      </c>
      <c r="AD1720" s="34"/>
      <c r="AE1720" s="59" t="str">
        <f t="shared" si="80"/>
        <v>NO</v>
      </c>
      <c r="AF1720" s="34" t="e" cm="1">
        <f t="array" aca="1" ref="AF1720" ca="1">MIN(100, MAX(0, (IF(R1720="ESTUDIANTE", 31, 0)) + (IF(I1720&lt;=3, 30, IF(I1720&lt;=6, 20, 0))) +(IF(OR(E1720="413 - Control de Costes y Enlace Construcción", E1720="480 - Secretaría General del Consejo", E1720="132 - Civil y estructuras", E1720="136 - Mecánica", E1720="412 - Planificación", E1720="142 - Compras"), 25, 0)) +(IF(OR(S1720="GRADO ING. MECÁNICA", S1720="GRADO ING. ELÉCTRICA", S1720="GRADO DERECHO", S1720="GRADO ECONOMÍA", S1720="GRADO ING. TECNOLOGÍAS INDUSTRIALES"), 24, 0)) + (IF(AND(K1720&gt;=451, K1720&lt;=700), 23, 0)) + (IF(AND(AB1720&gt;=5, AB1720&lt;=8), 17, 0)) +(IF(_xludf.OR(_xludf.AND(AC1720&gt;=8, AC1720&lt;=10), _xludf.AND(AC1720&gt;=0, AC1720&lt;=5)), 16, 0)) + (IF(F1720="Madrid", 11, 0))))</f>
        <v>#NAME?</v>
      </c>
      <c r="AG1720" s="69"/>
      <c r="AH1720" s="71" t="s">
        <v>164</v>
      </c>
    </row>
    <row r="1721" spans="1:34" s="4" customFormat="1" ht="15.75" customHeight="1" x14ac:dyDescent="0.3">
      <c r="A1721" s="66" t="s">
        <v>2699</v>
      </c>
      <c r="B1721" s="66" t="s">
        <v>4816</v>
      </c>
      <c r="C1721" s="33">
        <v>1720</v>
      </c>
      <c r="D1721" s="33" t="s">
        <v>5402</v>
      </c>
      <c r="E1721" s="34" t="s">
        <v>5285</v>
      </c>
      <c r="F1721" s="34" t="s">
        <v>18</v>
      </c>
      <c r="G1721" s="57">
        <v>45390</v>
      </c>
      <c r="H1721" s="57">
        <v>45754</v>
      </c>
      <c r="I1721" s="34">
        <f t="shared" si="78"/>
        <v>11</v>
      </c>
      <c r="J1721" s="34">
        <v>35</v>
      </c>
      <c r="K1721" s="36">
        <v>700</v>
      </c>
      <c r="L1721" s="34" t="s">
        <v>17</v>
      </c>
      <c r="M1721" s="35">
        <v>37464</v>
      </c>
      <c r="N1721" s="37">
        <f>(YEAR(TablaMadre[[#This Row],[ALTA]])-YEAR(M1721))</f>
        <v>22</v>
      </c>
      <c r="O1721" s="34" t="s">
        <v>18</v>
      </c>
      <c r="P1721" s="34" t="s">
        <v>19</v>
      </c>
      <c r="Q1721" s="34" t="s">
        <v>136</v>
      </c>
      <c r="R1721" s="34" t="s">
        <v>30</v>
      </c>
      <c r="S1721" s="34" t="s">
        <v>136</v>
      </c>
      <c r="T1721" s="34" t="s">
        <v>806</v>
      </c>
      <c r="U1721" s="34" t="str">
        <f>SUBSTITUTE($T1721, "INGUN", "/")</f>
        <v>N/A</v>
      </c>
      <c r="V1721" s="34" t="s">
        <v>40</v>
      </c>
      <c r="W1721" s="34" t="s">
        <v>28</v>
      </c>
      <c r="X1721" s="34" t="s">
        <v>173</v>
      </c>
      <c r="Y1721" s="57"/>
      <c r="Z1721" s="34" t="e">
        <f t="shared" si="79"/>
        <v>#NUM!</v>
      </c>
      <c r="AA1721" s="34"/>
      <c r="AB1721" s="34">
        <v>6</v>
      </c>
      <c r="AC1721" s="34">
        <v>10</v>
      </c>
      <c r="AD1721" s="34"/>
      <c r="AE1721" s="59" t="str">
        <f t="shared" si="80"/>
        <v>NO</v>
      </c>
      <c r="AF1721" s="34" t="e" cm="1">
        <f t="array" aca="1" ref="AF1721" ca="1">MIN(100, MAX(0, (IF(R1721="ESTUDIANTE", 31, 0)) + (IF(I1721&lt;=3, 30, IF(I1721&lt;=6, 20, 0))) +(IF(OR(E1721="413 - Control de Costes y Enlace Construcción", E1721="480 - Secretaría General del Consejo", E1721="132 - Civil y estructuras", E1721="136 - Mecánica", E1721="412 - Planificación", E1721="142 - Compras"), 25, 0)) +(IF(OR(S1721="GRADO ING. MECÁNICA", S1721="GRADO ING. ELÉCTRICA", S1721="GRADO DERECHO", S1721="GRADO ECONOMÍA", S1721="GRADO ING. TECNOLOGÍAS INDUSTRIALES"), 24, 0)) + (IF(AND(K1721&gt;=451, K1721&lt;=700), 23, 0)) + (IF(AND(AB1721&gt;=5, AB1721&lt;=8), 17, 0)) +(IF(_xludf.OR(_xludf.AND(AC1721&gt;=8, AC1721&lt;=10), _xludf.AND(AC1721&gt;=0, AC1721&lt;=5)), 16, 0)) + (IF(F1721="Madrid", 11, 0))))</f>
        <v>#NAME?</v>
      </c>
      <c r="AG1721" s="69"/>
      <c r="AH1721" s="71" t="s">
        <v>164</v>
      </c>
    </row>
    <row r="1722" spans="1:34" s="4" customFormat="1" ht="14.4" x14ac:dyDescent="0.3">
      <c r="A1722" s="66" t="s">
        <v>2558</v>
      </c>
      <c r="B1722" s="66" t="s">
        <v>4675</v>
      </c>
      <c r="C1722" s="33">
        <v>1721</v>
      </c>
      <c r="D1722" s="33" t="s">
        <v>5393</v>
      </c>
      <c r="E1722" s="34" t="s">
        <v>5360</v>
      </c>
      <c r="F1722" s="34" t="s">
        <v>18</v>
      </c>
      <c r="G1722" s="57">
        <v>45397</v>
      </c>
      <c r="H1722" s="57">
        <v>45535</v>
      </c>
      <c r="I1722" s="34">
        <f t="shared" si="78"/>
        <v>4</v>
      </c>
      <c r="J1722" s="34">
        <v>25</v>
      </c>
      <c r="K1722" s="36">
        <v>500</v>
      </c>
      <c r="L1722" s="34" t="s">
        <v>17</v>
      </c>
      <c r="M1722" s="35">
        <v>36577</v>
      </c>
      <c r="N1722" s="37">
        <f>(YEAR(TablaMadre[[#This Row],[ALTA]])-YEAR(M1722))</f>
        <v>24</v>
      </c>
      <c r="O1722" s="34" t="s">
        <v>152</v>
      </c>
      <c r="P1722" s="34" t="s">
        <v>152</v>
      </c>
      <c r="Q1722" s="34" t="s">
        <v>435</v>
      </c>
      <c r="R1722" s="58" t="s">
        <v>30</v>
      </c>
      <c r="S1722" s="34" t="s">
        <v>435</v>
      </c>
      <c r="T1722" s="34"/>
      <c r="U1722" s="34" t="s">
        <v>30</v>
      </c>
      <c r="V1722" s="34" t="s">
        <v>22</v>
      </c>
      <c r="W1722" s="34" t="s">
        <v>181</v>
      </c>
      <c r="X1722" s="34" t="s">
        <v>164</v>
      </c>
      <c r="Y1722" s="57"/>
      <c r="Z1722" s="34" t="e">
        <f t="shared" si="79"/>
        <v>#NUM!</v>
      </c>
      <c r="AA1722" s="34"/>
      <c r="AB1722" s="34">
        <v>10</v>
      </c>
      <c r="AC1722" s="34" t="s">
        <v>544</v>
      </c>
      <c r="AD1722" s="34"/>
      <c r="AE1722" s="59" t="str">
        <f t="shared" si="80"/>
        <v>SÍ</v>
      </c>
      <c r="AF1722" s="34" t="e" cm="1">
        <f t="array" aca="1" ref="AF1722" ca="1">MIN(100, MAX(0, (IF(R1722="ESTUDIANTE", 31, 0)) + (IF(I1722&lt;=3, 30, IF(I1722&lt;=6, 20, 0))) +(IF(OR(E1722="413 - Control de Costes y Enlace Construcción", E1722="480 - Secretaría General del Consejo", E1722="132 - Civil y estructuras", E1722="136 - Mecánica", E1722="412 - Planificación", E1722="142 - Compras"), 25, 0)) +(IF(OR(S1722="GRADO ING. MECÁNICA", S1722="GRADO ING. ELÉCTRICA", S1722="GRADO DERECHO", S1722="GRADO ECONOMÍA", S1722="GRADO ING. TECNOLOGÍAS INDUSTRIALES"), 24, 0)) + (IF(AND(K1722&gt;=451, K1722&lt;=700), 23, 0)) + (IF(AND(AB1722&gt;=5, AB1722&lt;=8), 17, 0)) +(IF(_xludf.OR(_xludf.AND(AC1722&gt;=8, AC1722&lt;=10), _xludf.AND(AC1722&gt;=0, AC1722&lt;=5)), 16, 0)) + (IF(F1722="Madrid", 11, 0))))</f>
        <v>#NAME?</v>
      </c>
      <c r="AG1722" s="69"/>
      <c r="AH1722" s="71" t="s">
        <v>164</v>
      </c>
    </row>
    <row r="1723" spans="1:34" ht="14.4" x14ac:dyDescent="0.3">
      <c r="A1723" s="66" t="s">
        <v>2701</v>
      </c>
      <c r="B1723" s="66" t="s">
        <v>4818</v>
      </c>
      <c r="C1723" s="33">
        <v>1722</v>
      </c>
      <c r="D1723" s="33" t="s">
        <v>5394</v>
      </c>
      <c r="E1723" s="34" t="s">
        <v>5363</v>
      </c>
      <c r="F1723" s="34" t="s">
        <v>18</v>
      </c>
      <c r="G1723" s="57">
        <v>45397</v>
      </c>
      <c r="H1723" s="57">
        <v>45579</v>
      </c>
      <c r="I1723" s="34">
        <f t="shared" si="78"/>
        <v>5</v>
      </c>
      <c r="J1723" s="34">
        <v>35</v>
      </c>
      <c r="K1723" s="36">
        <v>900</v>
      </c>
      <c r="L1723" s="34" t="s">
        <v>29</v>
      </c>
      <c r="M1723" s="35">
        <v>37279</v>
      </c>
      <c r="N1723" s="37">
        <f>(YEAR(TablaMadre[[#This Row],[ALTA]])-YEAR(M1723))</f>
        <v>22</v>
      </c>
      <c r="O1723" s="34" t="s">
        <v>18</v>
      </c>
      <c r="P1723" s="34" t="s">
        <v>19</v>
      </c>
      <c r="Q1723" s="34" t="s">
        <v>297</v>
      </c>
      <c r="R1723" s="34" t="s">
        <v>21</v>
      </c>
      <c r="S1723" s="34" t="s">
        <v>297</v>
      </c>
      <c r="T1723" s="34"/>
      <c r="U1723" s="34" t="s">
        <v>30</v>
      </c>
      <c r="V1723" s="34" t="s">
        <v>56</v>
      </c>
      <c r="W1723" s="34" t="s">
        <v>28</v>
      </c>
      <c r="X1723" s="38" t="s">
        <v>173</v>
      </c>
      <c r="Y1723" s="62"/>
      <c r="Z1723" s="38" t="e">
        <f t="shared" si="79"/>
        <v>#NUM!</v>
      </c>
      <c r="AA1723" s="38"/>
      <c r="AB1723" s="34">
        <v>9</v>
      </c>
      <c r="AC1723" s="34">
        <v>10</v>
      </c>
      <c r="AD1723" s="38"/>
      <c r="AE1723" s="59" t="str">
        <f t="shared" si="80"/>
        <v>NO</v>
      </c>
      <c r="AF1723" s="38" t="e" cm="1">
        <f t="array" aca="1" ref="AF1723" ca="1">MIN(100, MAX(0, (IF(R1723="ESTUDIANTE", 31, 0)) + (IF(I1723&lt;=3, 30, IF(I1723&lt;=6, 20, 0))) +(IF(OR(E1723="413 - Control de Costes y Enlace Construcción", E1723="480 - Secretaría General del Consejo", E1723="132 - Civil y estructuras", E1723="136 - Mecánica", E1723="412 - Planificación", E1723="142 - Compras"), 25, 0)) +(IF(OR(S1723="GRADO ING. MECÁNICA", S1723="GRADO ING. ELÉCTRICA", S1723="GRADO DERECHO", S1723="GRADO ECONOMÍA", S1723="GRADO ING. TECNOLOGÍAS INDUSTRIALES"), 24, 0)) + (IF(AND(K1723&gt;=451, K1723&lt;=700), 23, 0)) + (IF(AND(AB1723&gt;=5, AB1723&lt;=8), 17, 0)) +(IF(_xludf.OR(_xludf.AND(AC1723&gt;=8, AC1723&lt;=10), _xludf.AND(AC1723&gt;=0, AC1723&lt;=5)), 16, 0)) + (IF(F1723="Madrid", 11, 0))))</f>
        <v>#NAME?</v>
      </c>
      <c r="AG1723" s="68"/>
      <c r="AH1723" s="71" t="s">
        <v>164</v>
      </c>
    </row>
    <row r="1724" spans="1:34" s="4" customFormat="1" ht="14.4" x14ac:dyDescent="0.3">
      <c r="A1724" s="66" t="s">
        <v>2702</v>
      </c>
      <c r="B1724" s="66" t="s">
        <v>4819</v>
      </c>
      <c r="C1724" s="33">
        <v>1723</v>
      </c>
      <c r="D1724" s="33" t="s">
        <v>5403</v>
      </c>
      <c r="E1724" s="34" t="s">
        <v>5273</v>
      </c>
      <c r="F1724" s="34" t="s">
        <v>18</v>
      </c>
      <c r="G1724" s="57">
        <v>45397</v>
      </c>
      <c r="H1724" s="57">
        <v>45761</v>
      </c>
      <c r="I1724" s="34">
        <f t="shared" si="78"/>
        <v>11</v>
      </c>
      <c r="J1724" s="34">
        <v>35</v>
      </c>
      <c r="K1724" s="36">
        <v>900</v>
      </c>
      <c r="L1724" s="34" t="s">
        <v>17</v>
      </c>
      <c r="M1724" s="35">
        <v>36619</v>
      </c>
      <c r="N1724" s="37">
        <f>(YEAR(TablaMadre[[#This Row],[ALTA]])-YEAR(M1724))</f>
        <v>24</v>
      </c>
      <c r="O1724" s="34" t="s">
        <v>18</v>
      </c>
      <c r="P1724" s="34" t="s">
        <v>19</v>
      </c>
      <c r="Q1724" s="34" t="s">
        <v>826</v>
      </c>
      <c r="R1724" s="34" t="s">
        <v>21</v>
      </c>
      <c r="S1724" s="34" t="s">
        <v>136</v>
      </c>
      <c r="T1724" s="34" t="s">
        <v>806</v>
      </c>
      <c r="U1724" s="34" t="str">
        <f>SUBSTITUTE($T1724, "INGUN", "/")</f>
        <v>N/A</v>
      </c>
      <c r="V1724" s="34" t="s">
        <v>74</v>
      </c>
      <c r="W1724" s="34" t="s">
        <v>28</v>
      </c>
      <c r="X1724" s="34" t="s">
        <v>164</v>
      </c>
      <c r="Y1724" s="57">
        <v>45890</v>
      </c>
      <c r="Z1724" s="34">
        <f t="shared" si="79"/>
        <v>0</v>
      </c>
      <c r="AA1724" s="34"/>
      <c r="AB1724" s="34">
        <v>9</v>
      </c>
      <c r="AC1724" s="34">
        <v>4</v>
      </c>
      <c r="AD1724" s="34"/>
      <c r="AE1724" s="59" t="str">
        <f t="shared" si="80"/>
        <v>NO</v>
      </c>
      <c r="AF1724" s="34" t="e" cm="1">
        <f t="array" aca="1" ref="AF1724" ca="1">MIN(100, MAX(0, (IF(R1724="ESTUDIANTE", 31, 0)) + (IF(I1724&lt;=3, 30, IF(I1724&lt;=6, 20, 0))) +(IF(OR(E1724="413 - Control de Costes y Enlace Construcción", E1724="480 - Secretaría General del Consejo", E1724="132 - Civil y estructuras", E1724="136 - Mecánica", E1724="412 - Planificación", E1724="142 - Compras"), 25, 0)) +(IF(OR(S1724="GRADO ING. MECÁNICA", S1724="GRADO ING. ELÉCTRICA", S1724="GRADO DERECHO", S1724="GRADO ECONOMÍA", S1724="GRADO ING. TECNOLOGÍAS INDUSTRIALES"), 24, 0)) + (IF(AND(K1724&gt;=451, K1724&lt;=700), 23, 0)) + (IF(AND(AB1724&gt;=5, AB1724&lt;=8), 17, 0)) +(IF(_xludf.OR(_xludf.AND(AC1724&gt;=8, AC1724&lt;=10), _xludf.AND(AC1724&gt;=0, AC1724&lt;=5)), 16, 0)) + (IF(F1724="Madrid", 11, 0))))</f>
        <v>#NAME?</v>
      </c>
      <c r="AG1724" s="69"/>
      <c r="AH1724" s="71" t="s">
        <v>164</v>
      </c>
    </row>
    <row r="1725" spans="1:34" s="4" customFormat="1" ht="14.4" x14ac:dyDescent="0.3">
      <c r="A1725" s="66" t="s">
        <v>2703</v>
      </c>
      <c r="B1725" s="66" t="s">
        <v>4820</v>
      </c>
      <c r="C1725" s="33">
        <v>1724</v>
      </c>
      <c r="D1725" s="33" t="s">
        <v>5404</v>
      </c>
      <c r="E1725" s="34" t="s">
        <v>5297</v>
      </c>
      <c r="F1725" s="34" t="s">
        <v>18</v>
      </c>
      <c r="G1725" s="57">
        <v>45397</v>
      </c>
      <c r="H1725" s="57">
        <v>45838</v>
      </c>
      <c r="I1725" s="34">
        <f t="shared" si="78"/>
        <v>14</v>
      </c>
      <c r="J1725" s="34">
        <v>35</v>
      </c>
      <c r="K1725" s="36">
        <v>700</v>
      </c>
      <c r="L1725" s="34" t="s">
        <v>17</v>
      </c>
      <c r="M1725" s="35">
        <v>36475</v>
      </c>
      <c r="N1725" s="37">
        <f>(YEAR(TablaMadre[[#This Row],[ALTA]])-YEAR(M1725))</f>
        <v>25</v>
      </c>
      <c r="O1725" s="34" t="s">
        <v>18</v>
      </c>
      <c r="P1725" s="34" t="s">
        <v>19</v>
      </c>
      <c r="Q1725" s="34" t="s">
        <v>852</v>
      </c>
      <c r="R1725" s="34" t="s">
        <v>30</v>
      </c>
      <c r="S1725" s="34" t="s">
        <v>280</v>
      </c>
      <c r="T1725" s="34" t="s">
        <v>806</v>
      </c>
      <c r="U1725" s="34" t="str">
        <f>SUBSTITUTE($T1725, "INGUN", "/")</f>
        <v>N/A</v>
      </c>
      <c r="V1725" s="34" t="s">
        <v>40</v>
      </c>
      <c r="W1725" s="34" t="s">
        <v>28</v>
      </c>
      <c r="X1725" s="34" t="s">
        <v>173</v>
      </c>
      <c r="Y1725" s="57"/>
      <c r="Z1725" s="34" t="e">
        <f t="shared" si="79"/>
        <v>#NUM!</v>
      </c>
      <c r="AA1725" s="34"/>
      <c r="AB1725" s="34">
        <v>2</v>
      </c>
      <c r="AC1725" s="34" t="s">
        <v>853</v>
      </c>
      <c r="AD1725" s="34"/>
      <c r="AE1725" s="59" t="str">
        <f t="shared" si="80"/>
        <v>NO</v>
      </c>
      <c r="AF1725" s="34" t="e" cm="1">
        <f t="array" aca="1" ref="AF1725" ca="1">MIN(100, MAX(0, (IF(R1725="ESTUDIANTE", 31, 0)) + (IF(I1725&lt;=3, 30, IF(I1725&lt;=6, 20, 0))) +(IF(OR(E1725="413 - Control de Costes y Enlace Construcción", E1725="480 - Secretaría General del Consejo", E1725="132 - Civil y estructuras", E1725="136 - Mecánica", E1725="412 - Planificación", E1725="142 - Compras"), 25, 0)) +(IF(OR(S1725="GRADO ING. MECÁNICA", S1725="GRADO ING. ELÉCTRICA", S1725="GRADO DERECHO", S1725="GRADO ECONOMÍA", S1725="GRADO ING. TECNOLOGÍAS INDUSTRIALES"), 24, 0)) + (IF(AND(K1725&gt;=451, K1725&lt;=700), 23, 0)) + (IF(AND(AB1725&gt;=5, AB1725&lt;=8), 17, 0)) +(IF(_xludf.OR(_xludf.AND(AC1725&gt;=8, AC1725&lt;=10), _xludf.AND(AC1725&gt;=0, AC1725&lt;=5)), 16, 0)) + (IF(F1725="Madrid", 11, 0))))</f>
        <v>#NAME?</v>
      </c>
      <c r="AG1725" s="69"/>
      <c r="AH1725" s="71" t="s">
        <v>164</v>
      </c>
    </row>
    <row r="1726" spans="1:34" ht="14.4" x14ac:dyDescent="0.3">
      <c r="A1726" s="66" t="s">
        <v>2704</v>
      </c>
      <c r="B1726" s="66" t="s">
        <v>4821</v>
      </c>
      <c r="C1726" s="33">
        <v>1725</v>
      </c>
      <c r="D1726" s="33" t="s">
        <v>5405</v>
      </c>
      <c r="E1726" s="34" t="s">
        <v>5363</v>
      </c>
      <c r="F1726" s="34" t="s">
        <v>18</v>
      </c>
      <c r="G1726" s="57">
        <v>45404</v>
      </c>
      <c r="H1726" s="57">
        <v>45586</v>
      </c>
      <c r="I1726" s="34">
        <f t="shared" si="78"/>
        <v>5</v>
      </c>
      <c r="J1726" s="34">
        <v>35</v>
      </c>
      <c r="K1726" s="36">
        <v>900</v>
      </c>
      <c r="L1726" s="34" t="s">
        <v>29</v>
      </c>
      <c r="M1726" s="35">
        <v>36057</v>
      </c>
      <c r="N1726" s="37">
        <f>(YEAR(TablaMadre[[#This Row],[ALTA]])-YEAR(M1726))</f>
        <v>26</v>
      </c>
      <c r="O1726" s="34" t="s">
        <v>191</v>
      </c>
      <c r="P1726" s="34" t="s">
        <v>19</v>
      </c>
      <c r="Q1726" s="34" t="s">
        <v>297</v>
      </c>
      <c r="R1726" s="34" t="s">
        <v>21</v>
      </c>
      <c r="S1726" s="34" t="s">
        <v>297</v>
      </c>
      <c r="T1726" s="34"/>
      <c r="U1726" s="34" t="s">
        <v>42</v>
      </c>
      <c r="V1726" s="34" t="s">
        <v>56</v>
      </c>
      <c r="W1726" s="34" t="s">
        <v>28</v>
      </c>
      <c r="X1726" s="38" t="s">
        <v>173</v>
      </c>
      <c r="Y1726" s="62"/>
      <c r="Z1726" s="38" t="e">
        <f t="shared" si="79"/>
        <v>#NUM!</v>
      </c>
      <c r="AA1726" s="38"/>
      <c r="AB1726" s="34">
        <v>10</v>
      </c>
      <c r="AC1726" s="34">
        <v>10</v>
      </c>
      <c r="AD1726" s="38"/>
      <c r="AE1726" s="59" t="str">
        <f t="shared" si="80"/>
        <v>SÍ</v>
      </c>
      <c r="AF1726" s="38" t="e" cm="1">
        <f t="array" aca="1" ref="AF1726" ca="1">MIN(100, MAX(0, (IF(R1726="ESTUDIANTE", 31, 0)) + (IF(I1726&lt;=3, 30, IF(I1726&lt;=6, 20, 0))) +(IF(OR(E1726="413 - Control de Costes y Enlace Construcción", E1726="480 - Secretaría General del Consejo", E1726="132 - Civil y estructuras", E1726="136 - Mecánica", E1726="412 - Planificación", E1726="142 - Compras"), 25, 0)) +(IF(OR(S1726="GRADO ING. MECÁNICA", S1726="GRADO ING. ELÉCTRICA", S1726="GRADO DERECHO", S1726="GRADO ECONOMÍA", S1726="GRADO ING. TECNOLOGÍAS INDUSTRIALES"), 24, 0)) + (IF(AND(K1726&gt;=451, K1726&lt;=700), 23, 0)) + (IF(AND(AB1726&gt;=5, AB1726&lt;=8), 17, 0)) +(IF(_xludf.OR(_xludf.AND(AC1726&gt;=8, AC1726&lt;=10), _xludf.AND(AC1726&gt;=0, AC1726&lt;=5)), 16, 0)) + (IF(F1726="Madrid", 11, 0))))</f>
        <v>#NAME?</v>
      </c>
      <c r="AG1726" s="68"/>
      <c r="AH1726" s="71" t="s">
        <v>164</v>
      </c>
    </row>
    <row r="1727" spans="1:34" ht="14.4" x14ac:dyDescent="0.3">
      <c r="A1727" s="66" t="s">
        <v>3013</v>
      </c>
      <c r="B1727" s="66" t="s">
        <v>5130</v>
      </c>
      <c r="C1727" s="33">
        <v>1726</v>
      </c>
      <c r="D1727" s="33" t="s">
        <v>5396</v>
      </c>
      <c r="E1727" s="34" t="s">
        <v>5222</v>
      </c>
      <c r="F1727" s="34" t="s">
        <v>931</v>
      </c>
      <c r="G1727" s="57">
        <v>45406</v>
      </c>
      <c r="H1727" s="57">
        <v>45484</v>
      </c>
      <c r="I1727" s="34">
        <f t="shared" si="78"/>
        <v>2</v>
      </c>
      <c r="J1727" s="34">
        <v>30</v>
      </c>
      <c r="K1727" s="36">
        <v>0</v>
      </c>
      <c r="L1727" s="34" t="s">
        <v>17</v>
      </c>
      <c r="M1727" s="35">
        <v>38152</v>
      </c>
      <c r="N1727" s="37">
        <f>(YEAR(TablaMadre[[#This Row],[ALTA]])-YEAR(M1727))</f>
        <v>20</v>
      </c>
      <c r="O1727" s="34"/>
      <c r="P1727" s="34"/>
      <c r="Q1727" s="34" t="s">
        <v>697</v>
      </c>
      <c r="R1727" s="34" t="s">
        <v>30</v>
      </c>
      <c r="S1727" s="34" t="s">
        <v>26</v>
      </c>
      <c r="T1727" s="34"/>
      <c r="U1727" s="34" t="s">
        <v>42</v>
      </c>
      <c r="V1727" s="34" t="s">
        <v>27</v>
      </c>
      <c r="W1727" s="34" t="s">
        <v>23</v>
      </c>
      <c r="X1727" s="38" t="s">
        <v>164</v>
      </c>
      <c r="Y1727" s="62"/>
      <c r="Z1727" s="38" t="e">
        <f t="shared" si="79"/>
        <v>#NUM!</v>
      </c>
      <c r="AA1727" s="38"/>
      <c r="AB1727" s="34" t="s">
        <v>719</v>
      </c>
      <c r="AC1727" s="34"/>
      <c r="AD1727" s="38"/>
      <c r="AE1727" s="59" t="str">
        <f t="shared" si="80"/>
        <v>SÍ</v>
      </c>
      <c r="AF1727" s="38" t="e" cm="1">
        <f t="array" aca="1" ref="AF1727" ca="1">MIN(100, MAX(0, (IF(R1727="ESTUDIANTE", 31, 0)) + (IF(I1727&lt;=3, 30, IF(I1727&lt;=6, 20, 0))) +(IF(OR(E1727="413 - Control de Costes y Enlace Construcción", E1727="480 - Secretaría General del Consejo", E1727="132 - Civil y estructuras", E1727="136 - Mecánica", E1727="412 - Planificación", E1727="142 - Compras"), 25, 0)) +(IF(OR(S1727="GRADO ING. MECÁNICA", S1727="GRADO ING. ELÉCTRICA", S1727="GRADO DERECHO", S1727="GRADO ECONOMÍA", S1727="GRADO ING. TECNOLOGÍAS INDUSTRIALES"), 24, 0)) + (IF(AND(K1727&gt;=451, K1727&lt;=700), 23, 0)) + (IF(AND(AB1727&gt;=5, AB1727&lt;=8), 17, 0)) +(IF(_xludf.OR(_xludf.AND(AC1727&gt;=8, AC1727&lt;=10), _xludf.AND(AC1727&gt;=0, AC1727&lt;=5)), 16, 0)) + (IF(F1727="Madrid", 11, 0))))</f>
        <v>#NAME?</v>
      </c>
      <c r="AG1727" s="68"/>
      <c r="AH1727" s="71" t="s">
        <v>164</v>
      </c>
    </row>
    <row r="1728" spans="1:34" s="4" customFormat="1" ht="14.4" x14ac:dyDescent="0.3">
      <c r="A1728" s="66" t="s">
        <v>2706</v>
      </c>
      <c r="B1728" s="66" t="s">
        <v>4823</v>
      </c>
      <c r="C1728" s="33">
        <v>1727</v>
      </c>
      <c r="D1728" s="33" t="s">
        <v>5397</v>
      </c>
      <c r="E1728" s="34" t="s">
        <v>5252</v>
      </c>
      <c r="F1728" s="34" t="s">
        <v>935</v>
      </c>
      <c r="G1728" s="57">
        <v>45411</v>
      </c>
      <c r="H1728" s="57">
        <v>45433</v>
      </c>
      <c r="I1728" s="34">
        <f t="shared" si="78"/>
        <v>0</v>
      </c>
      <c r="J1728" s="34">
        <v>40</v>
      </c>
      <c r="K1728" s="36">
        <v>0</v>
      </c>
      <c r="L1728" s="34" t="s">
        <v>17</v>
      </c>
      <c r="M1728" s="35">
        <v>36526</v>
      </c>
      <c r="N1728" s="37">
        <f>(YEAR(TablaMadre[[#This Row],[ALTA]])-YEAR(M1728))</f>
        <v>24</v>
      </c>
      <c r="O1728" s="34"/>
      <c r="P1728" s="34"/>
      <c r="Q1728" s="34" t="s">
        <v>359</v>
      </c>
      <c r="R1728" s="34" t="s">
        <v>30</v>
      </c>
      <c r="S1728" s="34" t="s">
        <v>26</v>
      </c>
      <c r="T1728" s="34"/>
      <c r="U1728" s="34" t="s">
        <v>30</v>
      </c>
      <c r="V1728" s="34" t="s">
        <v>27</v>
      </c>
      <c r="W1728" s="34" t="s">
        <v>28</v>
      </c>
      <c r="X1728" s="34" t="s">
        <v>173</v>
      </c>
      <c r="Y1728" s="57"/>
      <c r="Z1728" s="34" t="e">
        <f t="shared" si="79"/>
        <v>#NUM!</v>
      </c>
      <c r="AA1728" s="34"/>
      <c r="AB1728" s="34" t="s">
        <v>693</v>
      </c>
      <c r="AC1728" s="34">
        <v>8</v>
      </c>
      <c r="AD1728" s="34"/>
      <c r="AE1728" s="59" t="str">
        <f t="shared" si="80"/>
        <v>SÍ</v>
      </c>
      <c r="AF1728" s="34" t="e" cm="1">
        <f t="array" aca="1" ref="AF1728" ca="1">MIN(100, MAX(0, (IF(R1728="ESTUDIANTE", 31, 0)) + (IF(I1728&lt;=3, 30, IF(I1728&lt;=6, 20, 0))) +(IF(OR(E1728="413 - Control de Costes y Enlace Construcción", E1728="480 - Secretaría General del Consejo", E1728="132 - Civil y estructuras", E1728="136 - Mecánica", E1728="412 - Planificación", E1728="142 - Compras"), 25, 0)) +(IF(OR(S1728="GRADO ING. MECÁNICA", S1728="GRADO ING. ELÉCTRICA", S1728="GRADO DERECHO", S1728="GRADO ECONOMÍA", S1728="GRADO ING. TECNOLOGÍAS INDUSTRIALES"), 24, 0)) + (IF(AND(K1728&gt;=451, K1728&lt;=700), 23, 0)) + (IF(AND(AB1728&gt;=5, AB1728&lt;=8), 17, 0)) +(IF(_xludf.OR(_xludf.AND(AC1728&gt;=8, AC1728&lt;=10), _xludf.AND(AC1728&gt;=0, AC1728&lt;=5)), 16, 0)) + (IF(F1728="Madrid", 11, 0))))</f>
        <v>#NAME?</v>
      </c>
      <c r="AG1728" s="69"/>
      <c r="AH1728" s="71" t="s">
        <v>164</v>
      </c>
    </row>
    <row r="1729" spans="1:34" s="4" customFormat="1" ht="14.4" x14ac:dyDescent="0.3">
      <c r="A1729" s="66" t="s">
        <v>2707</v>
      </c>
      <c r="B1729" s="66" t="s">
        <v>4824</v>
      </c>
      <c r="C1729" s="33">
        <v>1728</v>
      </c>
      <c r="D1729" s="33" t="s">
        <v>5393</v>
      </c>
      <c r="E1729" s="34" t="s">
        <v>5222</v>
      </c>
      <c r="F1729" s="34" t="s">
        <v>935</v>
      </c>
      <c r="G1729" s="57">
        <v>45411</v>
      </c>
      <c r="H1729" s="57">
        <v>45433</v>
      </c>
      <c r="I1729" s="34">
        <f t="shared" si="78"/>
        <v>0</v>
      </c>
      <c r="J1729" s="34">
        <v>40</v>
      </c>
      <c r="K1729" s="36">
        <v>0</v>
      </c>
      <c r="L1729" s="34" t="s">
        <v>17</v>
      </c>
      <c r="M1729" s="35">
        <v>36526</v>
      </c>
      <c r="N1729" s="37">
        <f>(YEAR(TablaMadre[[#This Row],[ALTA]])-YEAR(M1729))</f>
        <v>24</v>
      </c>
      <c r="O1729" s="34"/>
      <c r="P1729" s="34"/>
      <c r="Q1729" s="34" t="s">
        <v>437</v>
      </c>
      <c r="R1729" s="34" t="s">
        <v>30</v>
      </c>
      <c r="S1729" s="34" t="s">
        <v>26</v>
      </c>
      <c r="T1729" s="34"/>
      <c r="U1729" s="34" t="s">
        <v>30</v>
      </c>
      <c r="V1729" s="34" t="s">
        <v>27</v>
      </c>
      <c r="W1729" s="34" t="s">
        <v>28</v>
      </c>
      <c r="X1729" s="34" t="s">
        <v>173</v>
      </c>
      <c r="Y1729" s="57"/>
      <c r="Z1729" s="34" t="e">
        <f t="shared" si="79"/>
        <v>#NUM!</v>
      </c>
      <c r="AA1729" s="34"/>
      <c r="AB1729" s="34">
        <v>10</v>
      </c>
      <c r="AC1729" s="34">
        <v>10</v>
      </c>
      <c r="AD1729" s="34"/>
      <c r="AE1729" s="59" t="str">
        <f t="shared" si="80"/>
        <v>SÍ</v>
      </c>
      <c r="AF1729" s="34" t="e" cm="1">
        <f t="array" aca="1" ref="AF1729" ca="1">MIN(100, MAX(0, (IF(R1729="ESTUDIANTE", 31, 0)) + (IF(I1729&lt;=3, 30, IF(I1729&lt;=6, 20, 0))) +(IF(OR(E1729="413 - Control de Costes y Enlace Construcción", E1729="480 - Secretaría General del Consejo", E1729="132 - Civil y estructuras", E1729="136 - Mecánica", E1729="412 - Planificación", E1729="142 - Compras"), 25, 0)) +(IF(OR(S1729="GRADO ING. MECÁNICA", S1729="GRADO ING. ELÉCTRICA", S1729="GRADO DERECHO", S1729="GRADO ECONOMÍA", S1729="GRADO ING. TECNOLOGÍAS INDUSTRIALES"), 24, 0)) + (IF(AND(K1729&gt;=451, K1729&lt;=700), 23, 0)) + (IF(AND(AB1729&gt;=5, AB1729&lt;=8), 17, 0)) +(IF(_xludf.OR(_xludf.AND(AC1729&gt;=8, AC1729&lt;=10), _xludf.AND(AC1729&gt;=0, AC1729&lt;=5)), 16, 0)) + (IF(F1729="Madrid", 11, 0))))</f>
        <v>#NAME?</v>
      </c>
      <c r="AG1729" s="69"/>
      <c r="AH1729" s="71" t="s">
        <v>164</v>
      </c>
    </row>
    <row r="1730" spans="1:34" s="4" customFormat="1" ht="16.5" customHeight="1" x14ac:dyDescent="0.3">
      <c r="A1730" s="66" t="s">
        <v>2708</v>
      </c>
      <c r="B1730" s="66" t="s">
        <v>4825</v>
      </c>
      <c r="C1730" s="33">
        <v>1729</v>
      </c>
      <c r="D1730" s="33" t="s">
        <v>5394</v>
      </c>
      <c r="E1730" s="34" t="s">
        <v>5299</v>
      </c>
      <c r="F1730" s="34" t="s">
        <v>935</v>
      </c>
      <c r="G1730" s="57">
        <v>45411</v>
      </c>
      <c r="H1730" s="57">
        <v>45433</v>
      </c>
      <c r="I1730" s="34">
        <f t="shared" ref="I1730:I1793" si="81">DATEDIF(G1730, H1730, "M")</f>
        <v>0</v>
      </c>
      <c r="J1730" s="34">
        <v>40</v>
      </c>
      <c r="K1730" s="36">
        <v>0</v>
      </c>
      <c r="L1730" s="34" t="s">
        <v>17</v>
      </c>
      <c r="M1730" s="35">
        <v>36526</v>
      </c>
      <c r="N1730" s="37">
        <f>(YEAR(TablaMadre[[#This Row],[ALTA]])-YEAR(M1730))</f>
        <v>24</v>
      </c>
      <c r="O1730" s="34"/>
      <c r="P1730" s="34"/>
      <c r="Q1730" s="34" t="s">
        <v>407</v>
      </c>
      <c r="R1730" s="34" t="s">
        <v>30</v>
      </c>
      <c r="S1730" s="34" t="s">
        <v>26</v>
      </c>
      <c r="T1730" s="34"/>
      <c r="U1730" s="34" t="s">
        <v>21</v>
      </c>
      <c r="V1730" s="34" t="s">
        <v>27</v>
      </c>
      <c r="W1730" s="34" t="s">
        <v>28</v>
      </c>
      <c r="X1730" s="34" t="s">
        <v>164</v>
      </c>
      <c r="Y1730" s="57"/>
      <c r="Z1730" s="34" t="e">
        <f t="shared" ref="Z1730:Z1793" si="82">DATEDIF(H1730, Y1730, "y")</f>
        <v>#NUM!</v>
      </c>
      <c r="AA1730" s="34"/>
      <c r="AB1730" s="34" t="s">
        <v>693</v>
      </c>
      <c r="AC1730" s="34">
        <v>5</v>
      </c>
      <c r="AD1730" s="34"/>
      <c r="AE1730" s="59" t="str">
        <f t="shared" si="80"/>
        <v>SÍ</v>
      </c>
      <c r="AF1730" s="34" t="e" cm="1">
        <f t="array" aca="1" ref="AF1730" ca="1">MIN(100, MAX(0, (IF(R1730="ESTUDIANTE", 31, 0)) + (IF(I1730&lt;=3, 30, IF(I1730&lt;=6, 20, 0))) +(IF(OR(E1730="413 - Control de Costes y Enlace Construcción", E1730="480 - Secretaría General del Consejo", E1730="132 - Civil y estructuras", E1730="136 - Mecánica", E1730="412 - Planificación", E1730="142 - Compras"), 25, 0)) +(IF(OR(S1730="GRADO ING. MECÁNICA", S1730="GRADO ING. ELÉCTRICA", S1730="GRADO DERECHO", S1730="GRADO ECONOMÍA", S1730="GRADO ING. TECNOLOGÍAS INDUSTRIALES"), 24, 0)) + (IF(AND(K1730&gt;=451, K1730&lt;=700), 23, 0)) + (IF(AND(AB1730&gt;=5, AB1730&lt;=8), 17, 0)) +(IF(_xludf.OR(_xludf.AND(AC1730&gt;=8, AC1730&lt;=10), _xludf.AND(AC1730&gt;=0, AC1730&lt;=5)), 16, 0)) + (IF(F1730="Madrid", 11, 0))))</f>
        <v>#NAME?</v>
      </c>
      <c r="AG1730" s="69"/>
      <c r="AH1730" s="71" t="s">
        <v>164</v>
      </c>
    </row>
    <row r="1731" spans="1:34" s="4" customFormat="1" ht="14.4" x14ac:dyDescent="0.3">
      <c r="A1731" s="66" t="s">
        <v>2709</v>
      </c>
      <c r="B1731" s="66" t="s">
        <v>4826</v>
      </c>
      <c r="C1731" s="33">
        <v>1730</v>
      </c>
      <c r="D1731" s="33" t="s">
        <v>5395</v>
      </c>
      <c r="E1731" s="34" t="s">
        <v>5299</v>
      </c>
      <c r="F1731" s="34" t="s">
        <v>935</v>
      </c>
      <c r="G1731" s="57">
        <v>45411</v>
      </c>
      <c r="H1731" s="57">
        <v>45433</v>
      </c>
      <c r="I1731" s="34">
        <f t="shared" si="81"/>
        <v>0</v>
      </c>
      <c r="J1731" s="34">
        <v>40</v>
      </c>
      <c r="K1731" s="36">
        <v>0</v>
      </c>
      <c r="L1731" s="34" t="s">
        <v>17</v>
      </c>
      <c r="M1731" s="35">
        <v>36526</v>
      </c>
      <c r="N1731" s="37">
        <f>(YEAR(TablaMadre[[#This Row],[ALTA]])-YEAR(M1731))</f>
        <v>24</v>
      </c>
      <c r="O1731" s="34"/>
      <c r="P1731" s="34"/>
      <c r="Q1731" s="34" t="s">
        <v>407</v>
      </c>
      <c r="R1731" s="34" t="s">
        <v>30</v>
      </c>
      <c r="S1731" s="34" t="s">
        <v>26</v>
      </c>
      <c r="T1731" s="34"/>
      <c r="U1731" s="34" t="s">
        <v>42</v>
      </c>
      <c r="V1731" s="34" t="s">
        <v>27</v>
      </c>
      <c r="W1731" s="34" t="s">
        <v>28</v>
      </c>
      <c r="X1731" s="34" t="s">
        <v>164</v>
      </c>
      <c r="Y1731" s="57"/>
      <c r="Z1731" s="34" t="e">
        <f t="shared" si="82"/>
        <v>#NUM!</v>
      </c>
      <c r="AA1731" s="34"/>
      <c r="AB1731" s="34" t="s">
        <v>693</v>
      </c>
      <c r="AC1731" s="34">
        <v>5</v>
      </c>
      <c r="AD1731" s="34"/>
      <c r="AE1731" s="59" t="str">
        <f t="shared" ref="AE1731:AE1794" si="83">IF(F1731=O1731, "NO", "SÍ")</f>
        <v>SÍ</v>
      </c>
      <c r="AF1731" s="34" t="e" cm="1">
        <f t="array" aca="1" ref="AF1731" ca="1">MIN(100, MAX(0, (IF(R1731="ESTUDIANTE", 31, 0)) + (IF(I1731&lt;=3, 30, IF(I1731&lt;=6, 20, 0))) +(IF(OR(E1731="413 - Control de Costes y Enlace Construcción", E1731="480 - Secretaría General del Consejo", E1731="132 - Civil y estructuras", E1731="136 - Mecánica", E1731="412 - Planificación", E1731="142 - Compras"), 25, 0)) +(IF(OR(S1731="GRADO ING. MECÁNICA", S1731="GRADO ING. ELÉCTRICA", S1731="GRADO DERECHO", S1731="GRADO ECONOMÍA", S1731="GRADO ING. TECNOLOGÍAS INDUSTRIALES"), 24, 0)) + (IF(AND(K1731&gt;=451, K1731&lt;=700), 23, 0)) + (IF(AND(AB1731&gt;=5, AB1731&lt;=8), 17, 0)) +(IF(_xludf.OR(_xludf.AND(AC1731&gt;=8, AC1731&lt;=10), _xludf.AND(AC1731&gt;=0, AC1731&lt;=5)), 16, 0)) + (IF(F1731="Madrid", 11, 0))))</f>
        <v>#NAME?</v>
      </c>
      <c r="AG1731" s="69"/>
      <c r="AH1731" s="71" t="s">
        <v>164</v>
      </c>
    </row>
    <row r="1732" spans="1:34" ht="15.75" customHeight="1" x14ac:dyDescent="0.3">
      <c r="A1732" s="66" t="s">
        <v>2711</v>
      </c>
      <c r="B1732" s="66" t="s">
        <v>4828</v>
      </c>
      <c r="C1732" s="33">
        <v>1732</v>
      </c>
      <c r="D1732" s="33" t="s">
        <v>5396</v>
      </c>
      <c r="E1732" s="34" t="s">
        <v>5222</v>
      </c>
      <c r="F1732" s="34" t="s">
        <v>931</v>
      </c>
      <c r="G1732" s="57">
        <v>45425</v>
      </c>
      <c r="H1732" s="57">
        <v>45490</v>
      </c>
      <c r="I1732" s="34">
        <f t="shared" si="81"/>
        <v>2</v>
      </c>
      <c r="J1732" s="34">
        <v>40</v>
      </c>
      <c r="K1732" s="36">
        <v>0</v>
      </c>
      <c r="L1732" s="34" t="s">
        <v>17</v>
      </c>
      <c r="M1732" s="35">
        <v>36526</v>
      </c>
      <c r="N1732" s="37">
        <f>(YEAR(TablaMadre[[#This Row],[ALTA]])-YEAR(M1732))</f>
        <v>24</v>
      </c>
      <c r="O1732" s="34"/>
      <c r="P1732" s="34"/>
      <c r="Q1732" s="34" t="s">
        <v>697</v>
      </c>
      <c r="R1732" s="34" t="s">
        <v>30</v>
      </c>
      <c r="S1732" s="34" t="s">
        <v>26</v>
      </c>
      <c r="T1732" s="34"/>
      <c r="U1732" s="34" t="s">
        <v>42</v>
      </c>
      <c r="V1732" s="34" t="s">
        <v>27</v>
      </c>
      <c r="W1732" s="34" t="s">
        <v>28</v>
      </c>
      <c r="X1732" s="38" t="s">
        <v>173</v>
      </c>
      <c r="Y1732" s="62"/>
      <c r="Z1732" s="38" t="e">
        <f t="shared" si="82"/>
        <v>#NUM!</v>
      </c>
      <c r="AA1732" s="38"/>
      <c r="AB1732" s="34">
        <v>8</v>
      </c>
      <c r="AC1732" s="34">
        <v>8</v>
      </c>
      <c r="AD1732" s="38"/>
      <c r="AE1732" s="59" t="str">
        <f t="shared" si="83"/>
        <v>SÍ</v>
      </c>
      <c r="AF1732" s="38" t="e" cm="1">
        <f t="array" aca="1" ref="AF1732" ca="1">MIN(100, MAX(0, (IF(R1732="ESTUDIANTE", 31, 0)) + (IF(I1732&lt;=3, 30, IF(I1732&lt;=6, 20, 0))) +(IF(OR(E1732="413 - Control de Costes y Enlace Construcción", E1732="480 - Secretaría General del Consejo", E1732="132 - Civil y estructuras", E1732="136 - Mecánica", E1732="412 - Planificación", E1732="142 - Compras"), 25, 0)) +(IF(OR(S1732="GRADO ING. MECÁNICA", S1732="GRADO ING. ELÉCTRICA", S1732="GRADO DERECHO", S1732="GRADO ECONOMÍA", S1732="GRADO ING. TECNOLOGÍAS INDUSTRIALES"), 24, 0)) + (IF(AND(K1732&gt;=451, K1732&lt;=700), 23, 0)) + (IF(AND(AB1732&gt;=5, AB1732&lt;=8), 17, 0)) +(IF(_xludf.OR(_xludf.AND(AC1732&gt;=8, AC1732&lt;=10), _xludf.AND(AC1732&gt;=0, AC1732&lt;=5)), 16, 0)) + (IF(F1732="Madrid", 11, 0))))</f>
        <v>#NAME?</v>
      </c>
      <c r="AG1732" s="68"/>
      <c r="AH1732" s="71" t="s">
        <v>164</v>
      </c>
    </row>
    <row r="1733" spans="1:34" ht="14.25" customHeight="1" x14ac:dyDescent="0.3">
      <c r="A1733" s="66" t="s">
        <v>3014</v>
      </c>
      <c r="B1733" s="66" t="s">
        <v>5131</v>
      </c>
      <c r="C1733" s="33">
        <v>1731</v>
      </c>
      <c r="D1733" s="33" t="s">
        <v>5397</v>
      </c>
      <c r="E1733" s="34" t="s">
        <v>5236</v>
      </c>
      <c r="F1733" s="34" t="s">
        <v>931</v>
      </c>
      <c r="G1733" s="57">
        <v>45425</v>
      </c>
      <c r="H1733" s="57">
        <v>45461</v>
      </c>
      <c r="I1733" s="34">
        <f t="shared" si="81"/>
        <v>1</v>
      </c>
      <c r="J1733" s="34">
        <v>30</v>
      </c>
      <c r="K1733" s="36">
        <v>0</v>
      </c>
      <c r="L1733" s="34" t="s">
        <v>17</v>
      </c>
      <c r="M1733" s="35">
        <v>36526</v>
      </c>
      <c r="N1733" s="37">
        <f>(YEAR(TablaMadre[[#This Row],[ALTA]])-YEAR(M1733))</f>
        <v>24</v>
      </c>
      <c r="O1733" s="34"/>
      <c r="P1733" s="34"/>
      <c r="Q1733" s="34" t="s">
        <v>737</v>
      </c>
      <c r="R1733" s="34" t="s">
        <v>30</v>
      </c>
      <c r="S1733" s="34" t="s">
        <v>26</v>
      </c>
      <c r="T1733" s="34"/>
      <c r="U1733" s="34" t="s">
        <v>30</v>
      </c>
      <c r="V1733" s="34" t="s">
        <v>27</v>
      </c>
      <c r="W1733" s="34" t="s">
        <v>23</v>
      </c>
      <c r="X1733" s="38" t="s">
        <v>164</v>
      </c>
      <c r="Y1733" s="62"/>
      <c r="Z1733" s="38" t="e">
        <f t="shared" si="82"/>
        <v>#NUM!</v>
      </c>
      <c r="AA1733" s="38"/>
      <c r="AB1733" s="34">
        <v>10</v>
      </c>
      <c r="AC1733" s="34"/>
      <c r="AD1733" s="38"/>
      <c r="AE1733" s="59" t="str">
        <f t="shared" si="83"/>
        <v>SÍ</v>
      </c>
      <c r="AF1733" s="38" t="e" cm="1">
        <f t="array" aca="1" ref="AF1733" ca="1">MIN(100, MAX(0, (IF(R1733="ESTUDIANTE", 31, 0)) + (IF(I1733&lt;=3, 30, IF(I1733&lt;=6, 20, 0))) +(IF(OR(E1733="413 - Control de Costes y Enlace Construcción", E1733="480 - Secretaría General del Consejo", E1733="132 - Civil y estructuras", E1733="136 - Mecánica", E1733="412 - Planificación", E1733="142 - Compras"), 25, 0)) +(IF(OR(S1733="GRADO ING. MECÁNICA", S1733="GRADO ING. ELÉCTRICA", S1733="GRADO DERECHO", S1733="GRADO ECONOMÍA", S1733="GRADO ING. TECNOLOGÍAS INDUSTRIALES"), 24, 0)) + (IF(AND(K1733&gt;=451, K1733&lt;=700), 23, 0)) + (IF(AND(AB1733&gt;=5, AB1733&lt;=8), 17, 0)) +(IF(_xludf.OR(_xludf.AND(AC1733&gt;=8, AC1733&lt;=10), _xludf.AND(AC1733&gt;=0, AC1733&lt;=5)), 16, 0)) + (IF(F1733="Madrid", 11, 0))))</f>
        <v>#NAME?</v>
      </c>
      <c r="AG1733" s="68"/>
      <c r="AH1733" s="71" t="s">
        <v>164</v>
      </c>
    </row>
    <row r="1734" spans="1:34" s="4" customFormat="1" ht="14.4" x14ac:dyDescent="0.3">
      <c r="A1734" s="66" t="s">
        <v>2712</v>
      </c>
      <c r="B1734" s="66" t="s">
        <v>4829</v>
      </c>
      <c r="C1734" s="33">
        <v>1733</v>
      </c>
      <c r="D1734" s="33" t="s">
        <v>5398</v>
      </c>
      <c r="E1734" s="34" t="s">
        <v>5222</v>
      </c>
      <c r="F1734" s="34" t="s">
        <v>558</v>
      </c>
      <c r="G1734" s="57">
        <v>45427</v>
      </c>
      <c r="H1734" s="57">
        <v>45555</v>
      </c>
      <c r="I1734" s="34">
        <f t="shared" si="81"/>
        <v>4</v>
      </c>
      <c r="J1734" s="34">
        <v>35</v>
      </c>
      <c r="K1734" s="36">
        <v>700</v>
      </c>
      <c r="L1734" s="34" t="s">
        <v>17</v>
      </c>
      <c r="M1734" s="35">
        <v>36355</v>
      </c>
      <c r="N1734" s="37">
        <f>(YEAR(TablaMadre[[#This Row],[ALTA]])-YEAR(M1734))</f>
        <v>25</v>
      </c>
      <c r="O1734" s="34" t="s">
        <v>939</v>
      </c>
      <c r="P1734" s="34" t="s">
        <v>19</v>
      </c>
      <c r="Q1734" s="34" t="s">
        <v>779</v>
      </c>
      <c r="R1734" s="58" t="s">
        <v>30</v>
      </c>
      <c r="S1734" s="34" t="s">
        <v>321</v>
      </c>
      <c r="T1734" s="34"/>
      <c r="U1734" s="34" t="s">
        <v>30</v>
      </c>
      <c r="V1734" s="34" t="s">
        <v>310</v>
      </c>
      <c r="W1734" s="34" t="s">
        <v>28</v>
      </c>
      <c r="X1734" s="34" t="s">
        <v>164</v>
      </c>
      <c r="Y1734" s="57">
        <v>46021</v>
      </c>
      <c r="Z1734" s="34">
        <f t="shared" si="82"/>
        <v>1</v>
      </c>
      <c r="AA1734" s="34"/>
      <c r="AB1734" s="34">
        <v>9</v>
      </c>
      <c r="AC1734" s="34">
        <v>9</v>
      </c>
      <c r="AD1734" s="34"/>
      <c r="AE1734" s="59" t="str">
        <f t="shared" si="83"/>
        <v>SÍ</v>
      </c>
      <c r="AF1734" s="34" t="e" cm="1">
        <f t="array" aca="1" ref="AF1734" ca="1">MIN(100, MAX(0, (IF(R1734="ESTUDIANTE", 31, 0)) + (IF(I1734&lt;=3, 30, IF(I1734&lt;=6, 20, 0))) +(IF(OR(E1734="413 - Control de Costes y Enlace Construcción", E1734="480 - Secretaría General del Consejo", E1734="132 - Civil y estructuras", E1734="136 - Mecánica", E1734="412 - Planificación", E1734="142 - Compras"), 25, 0)) +(IF(OR(S1734="GRADO ING. MECÁNICA", S1734="GRADO ING. ELÉCTRICA", S1734="GRADO DERECHO", S1734="GRADO ECONOMÍA", S1734="GRADO ING. TECNOLOGÍAS INDUSTRIALES"), 24, 0)) + (IF(AND(K1734&gt;=451, K1734&lt;=700), 23, 0)) + (IF(AND(AB1734&gt;=5, AB1734&lt;=8), 17, 0)) +(IF(_xludf.OR(_xludf.AND(AC1734&gt;=8, AC1734&lt;=10), _xludf.AND(AC1734&gt;=0, AC1734&lt;=5)), 16, 0)) + (IF(F1734="Madrid", 11, 0))))</f>
        <v>#NAME?</v>
      </c>
      <c r="AG1734" s="69"/>
      <c r="AH1734" s="71" t="s">
        <v>164</v>
      </c>
    </row>
    <row r="1735" spans="1:34" ht="14.4" x14ac:dyDescent="0.3">
      <c r="A1735" s="66" t="s">
        <v>2561</v>
      </c>
      <c r="B1735" s="66" t="s">
        <v>4678</v>
      </c>
      <c r="C1735" s="33">
        <v>1734</v>
      </c>
      <c r="D1735" s="33" t="s">
        <v>5399</v>
      </c>
      <c r="E1735" s="34" t="s">
        <v>5357</v>
      </c>
      <c r="F1735" s="34" t="s">
        <v>931</v>
      </c>
      <c r="G1735" s="57">
        <v>45432</v>
      </c>
      <c r="H1735" s="57">
        <v>45524</v>
      </c>
      <c r="I1735" s="34">
        <f t="shared" si="81"/>
        <v>3</v>
      </c>
      <c r="J1735" s="34">
        <v>35</v>
      </c>
      <c r="K1735" s="36">
        <v>700</v>
      </c>
      <c r="L1735" s="34" t="s">
        <v>29</v>
      </c>
      <c r="M1735" s="35">
        <v>37365</v>
      </c>
      <c r="N1735" s="37">
        <f>(YEAR(TablaMadre[[#This Row],[ALTA]])-YEAR(M1735))</f>
        <v>22</v>
      </c>
      <c r="O1735" s="34"/>
      <c r="P1735" s="34" t="s">
        <v>19</v>
      </c>
      <c r="Q1735" s="34" t="s">
        <v>763</v>
      </c>
      <c r="R1735" s="58" t="s">
        <v>30</v>
      </c>
      <c r="S1735" s="34" t="s">
        <v>763</v>
      </c>
      <c r="T1735" s="34"/>
      <c r="U1735" s="34" t="s">
        <v>42</v>
      </c>
      <c r="V1735" s="34" t="s">
        <v>137</v>
      </c>
      <c r="W1735" s="34" t="s">
        <v>23</v>
      </c>
      <c r="X1735" s="38" t="s">
        <v>173</v>
      </c>
      <c r="Y1735" s="62"/>
      <c r="Z1735" s="38" t="e">
        <f t="shared" si="82"/>
        <v>#NUM!</v>
      </c>
      <c r="AA1735" s="38"/>
      <c r="AB1735" s="34">
        <v>10</v>
      </c>
      <c r="AC1735" s="34">
        <v>8</v>
      </c>
      <c r="AD1735" s="38"/>
      <c r="AE1735" s="59" t="str">
        <f t="shared" si="83"/>
        <v>SÍ</v>
      </c>
      <c r="AF1735" s="38" t="e" cm="1">
        <f t="array" aca="1" ref="AF1735" ca="1">MIN(100, MAX(0, (IF(R1735="ESTUDIANTE", 31, 0)) + (IF(I1735&lt;=3, 30, IF(I1735&lt;=6, 20, 0))) +(IF(OR(E1735="413 - Control de Costes y Enlace Construcción", E1735="480 - Secretaría General del Consejo", E1735="132 - Civil y estructuras", E1735="136 - Mecánica", E1735="412 - Planificación", E1735="142 - Compras"), 25, 0)) +(IF(OR(S1735="GRADO ING. MECÁNICA", S1735="GRADO ING. ELÉCTRICA", S1735="GRADO DERECHO", S1735="GRADO ECONOMÍA", S1735="GRADO ING. TECNOLOGÍAS INDUSTRIALES"), 24, 0)) + (IF(AND(K1735&gt;=451, K1735&lt;=700), 23, 0)) + (IF(AND(AB1735&gt;=5, AB1735&lt;=8), 17, 0)) +(IF(_xludf.OR(_xludf.AND(AC1735&gt;=8, AC1735&lt;=10), _xludf.AND(AC1735&gt;=0, AC1735&lt;=5)), 16, 0)) + (IF(F1735="Madrid", 11, 0))))</f>
        <v>#NAME?</v>
      </c>
      <c r="AG1735" s="68"/>
      <c r="AH1735" s="71" t="s">
        <v>164</v>
      </c>
    </row>
    <row r="1736" spans="1:34" s="4" customFormat="1" ht="14.4" x14ac:dyDescent="0.3">
      <c r="A1736" s="66" t="s">
        <v>2563</v>
      </c>
      <c r="B1736" s="66" t="s">
        <v>4680</v>
      </c>
      <c r="C1736" s="33">
        <v>1735</v>
      </c>
      <c r="D1736" s="33" t="s">
        <v>5400</v>
      </c>
      <c r="E1736" s="34" t="s">
        <v>5338</v>
      </c>
      <c r="F1736" s="34" t="s">
        <v>18</v>
      </c>
      <c r="G1736" s="57">
        <v>45432</v>
      </c>
      <c r="H1736" s="57">
        <v>45740</v>
      </c>
      <c r="I1736" s="34">
        <f t="shared" si="81"/>
        <v>10</v>
      </c>
      <c r="J1736" s="34">
        <v>35</v>
      </c>
      <c r="K1736" s="36">
        <v>850</v>
      </c>
      <c r="L1736" s="34" t="s">
        <v>17</v>
      </c>
      <c r="M1736" s="35">
        <v>36047</v>
      </c>
      <c r="N1736" s="37">
        <f>(YEAR(TablaMadre[[#This Row],[ALTA]])-YEAR(M1736))</f>
        <v>26</v>
      </c>
      <c r="O1736" s="34" t="s">
        <v>18</v>
      </c>
      <c r="P1736" s="34" t="s">
        <v>19</v>
      </c>
      <c r="Q1736" s="34" t="s">
        <v>818</v>
      </c>
      <c r="R1736" s="34" t="s">
        <v>21</v>
      </c>
      <c r="S1736" s="34" t="s">
        <v>963</v>
      </c>
      <c r="T1736" s="34" t="s">
        <v>819</v>
      </c>
      <c r="U1736" s="34" t="s">
        <v>21</v>
      </c>
      <c r="V1736" s="34" t="s">
        <v>40</v>
      </c>
      <c r="W1736" s="34" t="s">
        <v>23</v>
      </c>
      <c r="X1736" s="34" t="s">
        <v>164</v>
      </c>
      <c r="Y1736" s="57"/>
      <c r="Z1736" s="34" t="e">
        <f t="shared" si="82"/>
        <v>#NUM!</v>
      </c>
      <c r="AA1736" s="34"/>
      <c r="AB1736" s="34">
        <v>8</v>
      </c>
      <c r="AC1736" s="34">
        <v>5</v>
      </c>
      <c r="AD1736" s="34"/>
      <c r="AE1736" s="59" t="str">
        <f t="shared" si="83"/>
        <v>NO</v>
      </c>
      <c r="AF1736" s="34" t="e" cm="1">
        <f t="array" aca="1" ref="AF1736" ca="1">MIN(100, MAX(0, (IF(R1736="ESTUDIANTE", 31, 0)) + (IF(I1736&lt;=3, 30, IF(I1736&lt;=6, 20, 0))) +(IF(OR(E1736="413 - Control de Costes y Enlace Construcción", E1736="480 - Secretaría General del Consejo", E1736="132 - Civil y estructuras", E1736="136 - Mecánica", E1736="412 - Planificación", E1736="142 - Compras"), 25, 0)) +(IF(OR(S1736="GRADO ING. MECÁNICA", S1736="GRADO ING. ELÉCTRICA", S1736="GRADO DERECHO", S1736="GRADO ECONOMÍA", S1736="GRADO ING. TECNOLOGÍAS INDUSTRIALES"), 24, 0)) + (IF(AND(K1736&gt;=451, K1736&lt;=700), 23, 0)) + (IF(AND(AB1736&gt;=5, AB1736&lt;=8), 17, 0)) +(IF(_xludf.OR(_xludf.AND(AC1736&gt;=8, AC1736&lt;=10), _xludf.AND(AC1736&gt;=0, AC1736&lt;=5)), 16, 0)) + (IF(F1736="Madrid", 11, 0))))</f>
        <v>#NAME?</v>
      </c>
      <c r="AG1736" s="69"/>
      <c r="AH1736" s="71" t="s">
        <v>164</v>
      </c>
    </row>
    <row r="1737" spans="1:34" ht="14.4" x14ac:dyDescent="0.3">
      <c r="A1737" s="66" t="s">
        <v>2500</v>
      </c>
      <c r="B1737" s="66" t="s">
        <v>4617</v>
      </c>
      <c r="C1737" s="33">
        <v>1736</v>
      </c>
      <c r="D1737" s="33" t="s">
        <v>5401</v>
      </c>
      <c r="E1737" s="34" t="s">
        <v>5340</v>
      </c>
      <c r="F1737" s="34" t="s">
        <v>18</v>
      </c>
      <c r="G1737" s="57">
        <v>45433</v>
      </c>
      <c r="H1737" s="57">
        <v>45473</v>
      </c>
      <c r="I1737" s="34">
        <f t="shared" si="81"/>
        <v>1</v>
      </c>
      <c r="J1737" s="34">
        <v>35</v>
      </c>
      <c r="K1737" s="36">
        <v>800</v>
      </c>
      <c r="L1737" s="34" t="s">
        <v>29</v>
      </c>
      <c r="M1737" s="35">
        <v>36487</v>
      </c>
      <c r="N1737" s="37">
        <f>(YEAR(TablaMadre[[#This Row],[ALTA]])-YEAR(M1737))</f>
        <v>25</v>
      </c>
      <c r="O1737" s="34" t="s">
        <v>958</v>
      </c>
      <c r="P1737" s="34" t="s">
        <v>19</v>
      </c>
      <c r="Q1737" s="34" t="s">
        <v>722</v>
      </c>
      <c r="R1737" s="34" t="s">
        <v>21</v>
      </c>
      <c r="S1737" s="34" t="s">
        <v>345</v>
      </c>
      <c r="T1737" s="34"/>
      <c r="U1737" s="34" t="s">
        <v>30</v>
      </c>
      <c r="V1737" s="34" t="s">
        <v>90</v>
      </c>
      <c r="W1737" s="34" t="s">
        <v>23</v>
      </c>
      <c r="X1737" s="38" t="s">
        <v>164</v>
      </c>
      <c r="Y1737" s="62"/>
      <c r="Z1737" s="38" t="e">
        <f t="shared" si="82"/>
        <v>#NUM!</v>
      </c>
      <c r="AA1737" s="38"/>
      <c r="AB1737" s="34">
        <v>10</v>
      </c>
      <c r="AC1737" s="34">
        <v>9</v>
      </c>
      <c r="AD1737" s="38"/>
      <c r="AE1737" s="59" t="str">
        <f t="shared" si="83"/>
        <v>SÍ</v>
      </c>
      <c r="AF1737" s="38" t="e" cm="1">
        <f t="array" aca="1" ref="AF1737" ca="1">MIN(100, MAX(0, (IF(R1737="ESTUDIANTE", 31, 0)) + (IF(I1737&lt;=3, 30, IF(I1737&lt;=6, 20, 0))) +(IF(OR(E1737="413 - Control de Costes y Enlace Construcción", E1737="480 - Secretaría General del Consejo", E1737="132 - Civil y estructuras", E1737="136 - Mecánica", E1737="412 - Planificación", E1737="142 - Compras"), 25, 0)) +(IF(OR(S1737="GRADO ING. MECÁNICA", S1737="GRADO ING. ELÉCTRICA", S1737="GRADO DERECHO", S1737="GRADO ECONOMÍA", S1737="GRADO ING. TECNOLOGÍAS INDUSTRIALES"), 24, 0)) + (IF(AND(K1737&gt;=451, K1737&lt;=700), 23, 0)) + (IF(AND(AB1737&gt;=5, AB1737&lt;=8), 17, 0)) +(IF(_xludf.OR(_xludf.AND(AC1737&gt;=8, AC1737&lt;=10), _xludf.AND(AC1737&gt;=0, AC1737&lt;=5)), 16, 0)) + (IF(F1737="Madrid", 11, 0))))</f>
        <v>#NAME?</v>
      </c>
      <c r="AG1737" s="68"/>
      <c r="AH1737" s="71" t="s">
        <v>164</v>
      </c>
    </row>
    <row r="1738" spans="1:34" s="4" customFormat="1" ht="14.4" x14ac:dyDescent="0.3">
      <c r="A1738" s="66" t="s">
        <v>2716</v>
      </c>
      <c r="B1738" s="66" t="s">
        <v>4833</v>
      </c>
      <c r="C1738" s="33">
        <v>1737</v>
      </c>
      <c r="D1738" s="33" t="s">
        <v>5402</v>
      </c>
      <c r="E1738" s="34" t="s">
        <v>5241</v>
      </c>
      <c r="F1738" s="34" t="s">
        <v>18</v>
      </c>
      <c r="G1738" s="57">
        <v>45439</v>
      </c>
      <c r="H1738" s="57">
        <v>45622</v>
      </c>
      <c r="I1738" s="34">
        <f t="shared" si="81"/>
        <v>5</v>
      </c>
      <c r="J1738" s="34">
        <v>35</v>
      </c>
      <c r="K1738" s="36">
        <v>1200</v>
      </c>
      <c r="L1738" s="34" t="s">
        <v>17</v>
      </c>
      <c r="M1738" s="35">
        <v>37116</v>
      </c>
      <c r="N1738" s="37">
        <f>(YEAR(TablaMadre[[#This Row],[ALTA]])-YEAR(M1738))</f>
        <v>23</v>
      </c>
      <c r="O1738" s="34" t="s">
        <v>18</v>
      </c>
      <c r="P1738" s="34" t="s">
        <v>19</v>
      </c>
      <c r="Q1738" s="34" t="s">
        <v>788</v>
      </c>
      <c r="R1738" s="34" t="s">
        <v>21</v>
      </c>
      <c r="S1738" s="34" t="s">
        <v>297</v>
      </c>
      <c r="T1738" s="34"/>
      <c r="U1738" s="34" t="s">
        <v>30</v>
      </c>
      <c r="V1738" s="34" t="s">
        <v>84</v>
      </c>
      <c r="W1738" s="34" t="s">
        <v>28</v>
      </c>
      <c r="X1738" s="34" t="s">
        <v>173</v>
      </c>
      <c r="Y1738" s="57"/>
      <c r="Z1738" s="34" t="e">
        <f t="shared" si="82"/>
        <v>#NUM!</v>
      </c>
      <c r="AA1738" s="34"/>
      <c r="AB1738" s="34">
        <v>10</v>
      </c>
      <c r="AC1738" s="34">
        <v>10</v>
      </c>
      <c r="AD1738" s="34"/>
      <c r="AE1738" s="59" t="str">
        <f t="shared" si="83"/>
        <v>NO</v>
      </c>
      <c r="AF1738" s="34" t="e" cm="1">
        <f t="array" aca="1" ref="AF1738" ca="1">MIN(100, MAX(0, (IF(R1738="ESTUDIANTE", 31, 0)) + (IF(I1738&lt;=3, 30, IF(I1738&lt;=6, 20, 0))) +(IF(OR(E1738="413 - Control de Costes y Enlace Construcción", E1738="480 - Secretaría General del Consejo", E1738="132 - Civil y estructuras", E1738="136 - Mecánica", E1738="412 - Planificación", E1738="142 - Compras"), 25, 0)) +(IF(OR(S1738="GRADO ING. MECÁNICA", S1738="GRADO ING. ELÉCTRICA", S1738="GRADO DERECHO", S1738="GRADO ECONOMÍA", S1738="GRADO ING. TECNOLOGÍAS INDUSTRIALES"), 24, 0)) + (IF(AND(K1738&gt;=451, K1738&lt;=700), 23, 0)) + (IF(AND(AB1738&gt;=5, AB1738&lt;=8), 17, 0)) +(IF(_xludf.OR(_xludf.AND(AC1738&gt;=8, AC1738&lt;=10), _xludf.AND(AC1738&gt;=0, AC1738&lt;=5)), 16, 0)) + (IF(F1738="Madrid", 11, 0))))</f>
        <v>#NAME?</v>
      </c>
      <c r="AG1738" s="69"/>
      <c r="AH1738" s="71" t="s">
        <v>164</v>
      </c>
    </row>
    <row r="1739" spans="1:34" ht="14.4" x14ac:dyDescent="0.3">
      <c r="A1739" s="66" t="s">
        <v>2564</v>
      </c>
      <c r="B1739" s="66" t="s">
        <v>4681</v>
      </c>
      <c r="C1739" s="33">
        <v>1738</v>
      </c>
      <c r="D1739" s="33" t="s">
        <v>5393</v>
      </c>
      <c r="E1739" s="34" t="s">
        <v>5234</v>
      </c>
      <c r="F1739" s="34" t="s">
        <v>18</v>
      </c>
      <c r="G1739" s="57">
        <v>45446</v>
      </c>
      <c r="H1739" s="57">
        <v>45518</v>
      </c>
      <c r="I1739" s="34">
        <f t="shared" si="81"/>
        <v>2</v>
      </c>
      <c r="J1739" s="34">
        <v>35</v>
      </c>
      <c r="K1739" s="36">
        <v>700</v>
      </c>
      <c r="L1739" s="34" t="s">
        <v>29</v>
      </c>
      <c r="M1739" s="35">
        <v>37985</v>
      </c>
      <c r="N1739" s="37">
        <f>(YEAR(TablaMadre[[#This Row],[ALTA]])-YEAR(M1739))</f>
        <v>21</v>
      </c>
      <c r="O1739" s="34" t="s">
        <v>18</v>
      </c>
      <c r="P1739" s="34" t="s">
        <v>19</v>
      </c>
      <c r="Q1739" s="34" t="s">
        <v>291</v>
      </c>
      <c r="R1739" s="58" t="s">
        <v>30</v>
      </c>
      <c r="S1739" s="34" t="s">
        <v>291</v>
      </c>
      <c r="T1739" s="34"/>
      <c r="U1739" s="34" t="s">
        <v>30</v>
      </c>
      <c r="V1739" s="34" t="s">
        <v>182</v>
      </c>
      <c r="W1739" s="34" t="s">
        <v>23</v>
      </c>
      <c r="X1739" s="38" t="s">
        <v>164</v>
      </c>
      <c r="Y1739" s="62"/>
      <c r="Z1739" s="38" t="e">
        <f t="shared" si="82"/>
        <v>#NUM!</v>
      </c>
      <c r="AA1739" s="38"/>
      <c r="AB1739" s="34">
        <v>10</v>
      </c>
      <c r="AC1739" s="34">
        <v>10</v>
      </c>
      <c r="AD1739" s="38"/>
      <c r="AE1739" s="59" t="str">
        <f t="shared" si="83"/>
        <v>NO</v>
      </c>
      <c r="AF1739" s="38" t="e" cm="1">
        <f t="array" aca="1" ref="AF1739" ca="1">MIN(100, MAX(0, (IF(R1739="ESTUDIANTE", 31, 0)) + (IF(I1739&lt;=3, 30, IF(I1739&lt;=6, 20, 0))) +(IF(OR(E1739="413 - Control de Costes y Enlace Construcción", E1739="480 - Secretaría General del Consejo", E1739="132 - Civil y estructuras", E1739="136 - Mecánica", E1739="412 - Planificación", E1739="142 - Compras"), 25, 0)) +(IF(OR(S1739="GRADO ING. MECÁNICA", S1739="GRADO ING. ELÉCTRICA", S1739="GRADO DERECHO", S1739="GRADO ECONOMÍA", S1739="GRADO ING. TECNOLOGÍAS INDUSTRIALES"), 24, 0)) + (IF(AND(K1739&gt;=451, K1739&lt;=700), 23, 0)) + (IF(AND(AB1739&gt;=5, AB1739&lt;=8), 17, 0)) +(IF(_xludf.OR(_xludf.AND(AC1739&gt;=8, AC1739&lt;=10), _xludf.AND(AC1739&gt;=0, AC1739&lt;=5)), 16, 0)) + (IF(F1739="Madrid", 11, 0))))</f>
        <v>#NAME?</v>
      </c>
      <c r="AG1739" s="68"/>
      <c r="AH1739" s="71" t="s">
        <v>164</v>
      </c>
    </row>
    <row r="1740" spans="1:34" s="4" customFormat="1" ht="14.4" x14ac:dyDescent="0.3">
      <c r="A1740" s="66" t="s">
        <v>2566</v>
      </c>
      <c r="B1740" s="66" t="s">
        <v>4683</v>
      </c>
      <c r="C1740" s="33">
        <v>1741</v>
      </c>
      <c r="D1740" s="33" t="s">
        <v>5394</v>
      </c>
      <c r="E1740" s="34" t="s">
        <v>5364</v>
      </c>
      <c r="F1740" s="34" t="s">
        <v>18</v>
      </c>
      <c r="G1740" s="57">
        <v>45446</v>
      </c>
      <c r="H1740" s="57">
        <v>45810</v>
      </c>
      <c r="I1740" s="34">
        <f t="shared" si="81"/>
        <v>11</v>
      </c>
      <c r="J1740" s="34">
        <v>30</v>
      </c>
      <c r="K1740" s="36">
        <v>600</v>
      </c>
      <c r="L1740" s="34" t="s">
        <v>17</v>
      </c>
      <c r="M1740" s="35">
        <v>37962</v>
      </c>
      <c r="N1740" s="37">
        <f>(YEAR(TablaMadre[[#This Row],[ALTA]])-YEAR(M1740))</f>
        <v>21</v>
      </c>
      <c r="O1740" s="34" t="s">
        <v>304</v>
      </c>
      <c r="P1740" s="34" t="s">
        <v>19</v>
      </c>
      <c r="Q1740" s="34" t="s">
        <v>229</v>
      </c>
      <c r="R1740" s="58" t="s">
        <v>30</v>
      </c>
      <c r="S1740" s="34" t="s">
        <v>229</v>
      </c>
      <c r="T1740" s="34" t="s">
        <v>806</v>
      </c>
      <c r="U1740" s="34" t="str">
        <f>SUBSTITUTE($T1740, "INGUN", "/")</f>
        <v>N/A</v>
      </c>
      <c r="V1740" s="34" t="s">
        <v>137</v>
      </c>
      <c r="W1740" s="34" t="s">
        <v>23</v>
      </c>
      <c r="X1740" s="34" t="s">
        <v>164</v>
      </c>
      <c r="Y1740" s="57"/>
      <c r="Z1740" s="34" t="e">
        <f t="shared" si="82"/>
        <v>#NUM!</v>
      </c>
      <c r="AA1740" s="34"/>
      <c r="AB1740" s="34">
        <v>10</v>
      </c>
      <c r="AC1740" s="34">
        <v>10</v>
      </c>
      <c r="AD1740" s="34"/>
      <c r="AE1740" s="59" t="str">
        <f t="shared" si="83"/>
        <v>SÍ</v>
      </c>
      <c r="AF1740" s="34" t="e" cm="1">
        <f t="array" aca="1" ref="AF1740" ca="1">MIN(100, MAX(0, (IF(R1740="ESTUDIANTE", 31, 0)) + (IF(I1740&lt;=3, 30, IF(I1740&lt;=6, 20, 0))) +(IF(OR(E1740="413 - Control de Costes y Enlace Construcción", E1740="480 - Secretaría General del Consejo", E1740="132 - Civil y estructuras", E1740="136 - Mecánica", E1740="412 - Planificación", E1740="142 - Compras"), 25, 0)) +(IF(OR(S1740="GRADO ING. MECÁNICA", S1740="GRADO ING. ELÉCTRICA", S1740="GRADO DERECHO", S1740="GRADO ECONOMÍA", S1740="GRADO ING. TECNOLOGÍAS INDUSTRIALES"), 24, 0)) + (IF(AND(K1740&gt;=451, K1740&lt;=700), 23, 0)) + (IF(AND(AB1740&gt;=5, AB1740&lt;=8), 17, 0)) +(IF(_xludf.OR(_xludf.AND(AC1740&gt;=8, AC1740&lt;=10), _xludf.AND(AC1740&gt;=0, AC1740&lt;=5)), 16, 0)) + (IF(F1740="Madrid", 11, 0))))</f>
        <v>#NAME?</v>
      </c>
      <c r="AG1740" s="69"/>
      <c r="AH1740" s="71" t="s">
        <v>164</v>
      </c>
    </row>
    <row r="1741" spans="1:34" s="4" customFormat="1" ht="14.4" x14ac:dyDescent="0.3">
      <c r="A1741" s="66" t="s">
        <v>2718</v>
      </c>
      <c r="B1741" s="66" t="s">
        <v>4835</v>
      </c>
      <c r="C1741" s="33">
        <v>1739</v>
      </c>
      <c r="D1741" s="33" t="s">
        <v>5403</v>
      </c>
      <c r="E1741" s="34" t="s">
        <v>5261</v>
      </c>
      <c r="F1741" s="34" t="s">
        <v>18</v>
      </c>
      <c r="G1741" s="57">
        <v>45446</v>
      </c>
      <c r="H1741" s="57">
        <v>45626</v>
      </c>
      <c r="I1741" s="34">
        <f t="shared" si="81"/>
        <v>5</v>
      </c>
      <c r="J1741" s="34">
        <v>35</v>
      </c>
      <c r="K1741" s="36">
        <v>1200</v>
      </c>
      <c r="L1741" s="34" t="s">
        <v>17</v>
      </c>
      <c r="M1741" s="35">
        <v>36714</v>
      </c>
      <c r="N1741" s="37">
        <f>(YEAR(TablaMadre[[#This Row],[ALTA]])-YEAR(M1741))</f>
        <v>24</v>
      </c>
      <c r="O1741" s="34" t="s">
        <v>790</v>
      </c>
      <c r="P1741" s="34" t="s">
        <v>790</v>
      </c>
      <c r="Q1741" s="34" t="s">
        <v>322</v>
      </c>
      <c r="R1741" s="34" t="s">
        <v>21</v>
      </c>
      <c r="S1741" s="34" t="s">
        <v>322</v>
      </c>
      <c r="T1741" s="34"/>
      <c r="U1741" s="34" t="s">
        <v>30</v>
      </c>
      <c r="V1741" s="34" t="s">
        <v>67</v>
      </c>
      <c r="W1741" s="34" t="s">
        <v>28</v>
      </c>
      <c r="X1741" s="34" t="s">
        <v>173</v>
      </c>
      <c r="Y1741" s="57"/>
      <c r="Z1741" s="34" t="e">
        <f t="shared" si="82"/>
        <v>#NUM!</v>
      </c>
      <c r="AA1741" s="34"/>
      <c r="AB1741" s="34">
        <v>10</v>
      </c>
      <c r="AC1741" s="34">
        <v>9</v>
      </c>
      <c r="AD1741" s="34"/>
      <c r="AE1741" s="59" t="str">
        <f t="shared" si="83"/>
        <v>SÍ</v>
      </c>
      <c r="AF1741" s="34" t="e" cm="1">
        <f t="array" aca="1" ref="AF1741" ca="1">MIN(100, MAX(0, (IF(R1741="ESTUDIANTE", 31, 0)) + (IF(I1741&lt;=3, 30, IF(I1741&lt;=6, 20, 0))) +(IF(OR(E1741="413 - Control de Costes y Enlace Construcción", E1741="480 - Secretaría General del Consejo", E1741="132 - Civil y estructuras", E1741="136 - Mecánica", E1741="412 - Planificación", E1741="142 - Compras"), 25, 0)) +(IF(OR(S1741="GRADO ING. MECÁNICA", S1741="GRADO ING. ELÉCTRICA", S1741="GRADO DERECHO", S1741="GRADO ECONOMÍA", S1741="GRADO ING. TECNOLOGÍAS INDUSTRIALES"), 24, 0)) + (IF(AND(K1741&gt;=451, K1741&lt;=700), 23, 0)) + (IF(AND(AB1741&gt;=5, AB1741&lt;=8), 17, 0)) +(IF(_xludf.OR(_xludf.AND(AC1741&gt;=8, AC1741&lt;=10), _xludf.AND(AC1741&gt;=0, AC1741&lt;=5)), 16, 0)) + (IF(F1741="Madrid", 11, 0))))</f>
        <v>#NAME?</v>
      </c>
      <c r="AG1741" s="69"/>
      <c r="AH1741" s="71" t="s">
        <v>164</v>
      </c>
    </row>
    <row r="1742" spans="1:34" s="4" customFormat="1" ht="14.4" x14ac:dyDescent="0.3">
      <c r="A1742" s="66" t="s">
        <v>2719</v>
      </c>
      <c r="B1742" s="66" t="s">
        <v>4836</v>
      </c>
      <c r="C1742" s="33">
        <v>1740</v>
      </c>
      <c r="D1742" s="33" t="s">
        <v>5404</v>
      </c>
      <c r="E1742" s="34" t="s">
        <v>5365</v>
      </c>
      <c r="F1742" s="34" t="s">
        <v>18</v>
      </c>
      <c r="G1742" s="57">
        <v>45446</v>
      </c>
      <c r="H1742" s="57">
        <v>45810</v>
      </c>
      <c r="I1742" s="34">
        <f t="shared" si="81"/>
        <v>11</v>
      </c>
      <c r="J1742" s="34">
        <v>35</v>
      </c>
      <c r="K1742" s="36">
        <v>800</v>
      </c>
      <c r="L1742" s="34" t="s">
        <v>29</v>
      </c>
      <c r="M1742" s="35">
        <v>36243</v>
      </c>
      <c r="N1742" s="37">
        <f>(YEAR(TablaMadre[[#This Row],[ALTA]])-YEAR(M1742))</f>
        <v>25</v>
      </c>
      <c r="O1742" s="34" t="s">
        <v>18</v>
      </c>
      <c r="P1742" s="34" t="s">
        <v>19</v>
      </c>
      <c r="Q1742" s="34" t="s">
        <v>807</v>
      </c>
      <c r="R1742" s="34" t="s">
        <v>30</v>
      </c>
      <c r="S1742" s="34" t="s">
        <v>807</v>
      </c>
      <c r="T1742" s="34" t="s">
        <v>806</v>
      </c>
      <c r="U1742" s="34" t="str">
        <f>SUBSTITUTE($T1742, "INGUN", "/")</f>
        <v>N/A</v>
      </c>
      <c r="V1742" s="34" t="s">
        <v>56</v>
      </c>
      <c r="W1742" s="34" t="s">
        <v>28</v>
      </c>
      <c r="X1742" s="34" t="s">
        <v>173</v>
      </c>
      <c r="Y1742" s="57"/>
      <c r="Z1742" s="34" t="e">
        <f t="shared" si="82"/>
        <v>#NUM!</v>
      </c>
      <c r="AA1742" s="34"/>
      <c r="AB1742" s="34">
        <v>9</v>
      </c>
      <c r="AC1742" s="34">
        <v>9</v>
      </c>
      <c r="AD1742" s="34"/>
      <c r="AE1742" s="59" t="str">
        <f t="shared" si="83"/>
        <v>NO</v>
      </c>
      <c r="AF1742" s="34" t="e" cm="1">
        <f t="array" aca="1" ref="AF1742" ca="1">MIN(100, MAX(0, (IF(R1742="ESTUDIANTE", 31, 0)) + (IF(I1742&lt;=3, 30, IF(I1742&lt;=6, 20, 0))) +(IF(OR(E1742="413 - Control de Costes y Enlace Construcción", E1742="480 - Secretaría General del Consejo", E1742="132 - Civil y estructuras", E1742="136 - Mecánica", E1742="412 - Planificación", E1742="142 - Compras"), 25, 0)) +(IF(OR(S1742="GRADO ING. MECÁNICA", S1742="GRADO ING. ELÉCTRICA", S1742="GRADO DERECHO", S1742="GRADO ECONOMÍA", S1742="GRADO ING. TECNOLOGÍAS INDUSTRIALES"), 24, 0)) + (IF(AND(K1742&gt;=451, K1742&lt;=700), 23, 0)) + (IF(AND(AB1742&gt;=5, AB1742&lt;=8), 17, 0)) +(IF(_xludf.OR(_xludf.AND(AC1742&gt;=8, AC1742&lt;=10), _xludf.AND(AC1742&gt;=0, AC1742&lt;=5)), 16, 0)) + (IF(F1742="Madrid", 11, 0))))</f>
        <v>#NAME?</v>
      </c>
      <c r="AG1742" s="69"/>
      <c r="AH1742" s="71" t="s">
        <v>164</v>
      </c>
    </row>
    <row r="1743" spans="1:34" s="4" customFormat="1" ht="14.4" x14ac:dyDescent="0.3">
      <c r="A1743" s="66" t="s">
        <v>2568</v>
      </c>
      <c r="B1743" s="66" t="s">
        <v>4685</v>
      </c>
      <c r="C1743" s="33">
        <v>1742</v>
      </c>
      <c r="D1743" s="33" t="s">
        <v>5405</v>
      </c>
      <c r="E1743" s="34" t="s">
        <v>5359</v>
      </c>
      <c r="F1743" s="34" t="s">
        <v>18</v>
      </c>
      <c r="G1743" s="57">
        <v>45453</v>
      </c>
      <c r="H1743" s="57">
        <v>45527</v>
      </c>
      <c r="I1743" s="34">
        <f t="shared" si="81"/>
        <v>2</v>
      </c>
      <c r="J1743" s="34">
        <v>35</v>
      </c>
      <c r="K1743" s="36">
        <v>875</v>
      </c>
      <c r="L1743" s="34" t="s">
        <v>17</v>
      </c>
      <c r="M1743" s="35">
        <v>37527</v>
      </c>
      <c r="N1743" s="37">
        <f>(YEAR(TablaMadre[[#This Row],[ALTA]])-YEAR(M1743))</f>
        <v>22</v>
      </c>
      <c r="O1743" s="34" t="s">
        <v>558</v>
      </c>
      <c r="P1743" s="34" t="s">
        <v>19</v>
      </c>
      <c r="Q1743" s="34" t="s">
        <v>322</v>
      </c>
      <c r="R1743" s="34" t="s">
        <v>21</v>
      </c>
      <c r="S1743" s="34" t="s">
        <v>322</v>
      </c>
      <c r="T1743" s="34"/>
      <c r="U1743" s="34" t="s">
        <v>30</v>
      </c>
      <c r="V1743" s="34" t="s">
        <v>137</v>
      </c>
      <c r="W1743" s="34" t="s">
        <v>23</v>
      </c>
      <c r="X1743" s="34" t="s">
        <v>164</v>
      </c>
      <c r="Y1743" s="57"/>
      <c r="Z1743" s="34" t="e">
        <f t="shared" si="82"/>
        <v>#NUM!</v>
      </c>
      <c r="AA1743" s="34"/>
      <c r="AB1743" s="34"/>
      <c r="AC1743" s="34"/>
      <c r="AD1743" s="34"/>
      <c r="AE1743" s="59" t="str">
        <f t="shared" si="83"/>
        <v>SÍ</v>
      </c>
      <c r="AF1743" s="34" t="e" cm="1">
        <f t="array" aca="1" ref="AF1743" ca="1">MIN(100, MAX(0, (IF(R1743="ESTUDIANTE", 31, 0)) + (IF(I1743&lt;=3, 30, IF(I1743&lt;=6, 20, 0))) +(IF(OR(E1743="413 - Control de Costes y Enlace Construcción", E1743="480 - Secretaría General del Consejo", E1743="132 - Civil y estructuras", E1743="136 - Mecánica", E1743="412 - Planificación", E1743="142 - Compras"), 25, 0)) +(IF(OR(S1743="GRADO ING. MECÁNICA", S1743="GRADO ING. ELÉCTRICA", S1743="GRADO DERECHO", S1743="GRADO ECONOMÍA", S1743="GRADO ING. TECNOLOGÍAS INDUSTRIALES"), 24, 0)) + (IF(AND(K1743&gt;=451, K1743&lt;=700), 23, 0)) + (IF(AND(AB1743&gt;=5, AB1743&lt;=8), 17, 0)) +(IF(_xludf.OR(_xludf.AND(AC1743&gt;=8, AC1743&lt;=10), _xludf.AND(AC1743&gt;=0, AC1743&lt;=5)), 16, 0)) + (IF(F1743="Madrid", 11, 0))))</f>
        <v>#NAME?</v>
      </c>
      <c r="AG1743" s="69"/>
      <c r="AH1743" s="71" t="s">
        <v>164</v>
      </c>
    </row>
    <row r="1744" spans="1:34" s="4" customFormat="1" ht="14.4" x14ac:dyDescent="0.3">
      <c r="A1744" s="66" t="s">
        <v>2569</v>
      </c>
      <c r="B1744" s="66" t="s">
        <v>4686</v>
      </c>
      <c r="C1744" s="33">
        <v>1743</v>
      </c>
      <c r="D1744" s="33" t="s">
        <v>5396</v>
      </c>
      <c r="E1744" s="34" t="s">
        <v>5236</v>
      </c>
      <c r="F1744" s="34" t="s">
        <v>18</v>
      </c>
      <c r="G1744" s="57">
        <v>45453</v>
      </c>
      <c r="H1744" s="57">
        <v>45541</v>
      </c>
      <c r="I1744" s="34">
        <f t="shared" si="81"/>
        <v>2</v>
      </c>
      <c r="J1744" s="34">
        <v>35</v>
      </c>
      <c r="K1744" s="36">
        <v>700</v>
      </c>
      <c r="L1744" s="34" t="s">
        <v>17</v>
      </c>
      <c r="M1744" s="35">
        <v>38515</v>
      </c>
      <c r="N1744" s="37">
        <f>(YEAR(TablaMadre[[#This Row],[ALTA]])-YEAR(M1744))</f>
        <v>19</v>
      </c>
      <c r="O1744" s="34" t="s">
        <v>414</v>
      </c>
      <c r="P1744" s="34" t="s">
        <v>273</v>
      </c>
      <c r="Q1744" s="34" t="s">
        <v>775</v>
      </c>
      <c r="R1744" s="58" t="s">
        <v>30</v>
      </c>
      <c r="S1744" s="34" t="s">
        <v>354</v>
      </c>
      <c r="T1744" s="34"/>
      <c r="U1744" s="34" t="s">
        <v>42</v>
      </c>
      <c r="V1744" s="34" t="s">
        <v>90</v>
      </c>
      <c r="W1744" s="34" t="s">
        <v>23</v>
      </c>
      <c r="X1744" s="34" t="s">
        <v>164</v>
      </c>
      <c r="Y1744" s="57"/>
      <c r="Z1744" s="34" t="e">
        <f t="shared" si="82"/>
        <v>#NUM!</v>
      </c>
      <c r="AA1744" s="34"/>
      <c r="AB1744" s="34"/>
      <c r="AC1744" s="34"/>
      <c r="AD1744" s="34"/>
      <c r="AE1744" s="59" t="str">
        <f t="shared" si="83"/>
        <v>SÍ</v>
      </c>
      <c r="AF1744" s="34" t="e" cm="1">
        <f t="array" aca="1" ref="AF1744" ca="1">MIN(100, MAX(0, (IF(R1744="ESTUDIANTE", 31, 0)) + (IF(I1744&lt;=3, 30, IF(I1744&lt;=6, 20, 0))) +(IF(OR(E1744="413 - Control de Costes y Enlace Construcción", E1744="480 - Secretaría General del Consejo", E1744="132 - Civil y estructuras", E1744="136 - Mecánica", E1744="412 - Planificación", E1744="142 - Compras"), 25, 0)) +(IF(OR(S1744="GRADO ING. MECÁNICA", S1744="GRADO ING. ELÉCTRICA", S1744="GRADO DERECHO", S1744="GRADO ECONOMÍA", S1744="GRADO ING. TECNOLOGÍAS INDUSTRIALES"), 24, 0)) + (IF(AND(K1744&gt;=451, K1744&lt;=700), 23, 0)) + (IF(AND(AB1744&gt;=5, AB1744&lt;=8), 17, 0)) +(IF(_xludf.OR(_xludf.AND(AC1744&gt;=8, AC1744&lt;=10), _xludf.AND(AC1744&gt;=0, AC1744&lt;=5)), 16, 0)) + (IF(F1744="Madrid", 11, 0))))</f>
        <v>#NAME?</v>
      </c>
      <c r="AG1744" s="69"/>
      <c r="AH1744" s="71" t="s">
        <v>164</v>
      </c>
    </row>
    <row r="1745" spans="1:51" s="4" customFormat="1" ht="14.4" x14ac:dyDescent="0.3">
      <c r="A1745" s="66" t="s">
        <v>2723</v>
      </c>
      <c r="B1745" s="66" t="s">
        <v>4840</v>
      </c>
      <c r="C1745" s="33">
        <v>1744</v>
      </c>
      <c r="D1745" s="33" t="s">
        <v>5397</v>
      </c>
      <c r="E1745" s="34" t="s">
        <v>5366</v>
      </c>
      <c r="F1745" s="34" t="s">
        <v>558</v>
      </c>
      <c r="G1745" s="57">
        <v>45453</v>
      </c>
      <c r="H1745" s="57">
        <v>45562</v>
      </c>
      <c r="I1745" s="34">
        <f t="shared" si="81"/>
        <v>3</v>
      </c>
      <c r="J1745" s="34">
        <v>35</v>
      </c>
      <c r="K1745" s="36">
        <v>955</v>
      </c>
      <c r="L1745" s="34" t="s">
        <v>29</v>
      </c>
      <c r="M1745" s="35">
        <v>36205</v>
      </c>
      <c r="N1745" s="37">
        <f>(YEAR(TablaMadre[[#This Row],[ALTA]])-YEAR(M1745))</f>
        <v>25</v>
      </c>
      <c r="O1745" s="34" t="s">
        <v>558</v>
      </c>
      <c r="P1745" s="34" t="s">
        <v>19</v>
      </c>
      <c r="Q1745" s="34" t="s">
        <v>322</v>
      </c>
      <c r="R1745" s="34" t="s">
        <v>21</v>
      </c>
      <c r="S1745" s="34" t="s">
        <v>322</v>
      </c>
      <c r="T1745" s="34"/>
      <c r="U1745" s="34" t="s">
        <v>21</v>
      </c>
      <c r="V1745" s="34" t="s">
        <v>310</v>
      </c>
      <c r="W1745" s="34" t="s">
        <v>28</v>
      </c>
      <c r="X1745" s="34" t="s">
        <v>173</v>
      </c>
      <c r="Y1745" s="57"/>
      <c r="Z1745" s="34" t="e">
        <f t="shared" si="82"/>
        <v>#NUM!</v>
      </c>
      <c r="AA1745" s="34"/>
      <c r="AB1745" s="34">
        <v>8</v>
      </c>
      <c r="AC1745" s="34" t="s">
        <v>328</v>
      </c>
      <c r="AD1745" s="34"/>
      <c r="AE1745" s="59" t="str">
        <f t="shared" si="83"/>
        <v>NO</v>
      </c>
      <c r="AF1745" s="34" t="e" cm="1">
        <f t="array" aca="1" ref="AF1745" ca="1">MIN(100, MAX(0, (IF(R1745="ESTUDIANTE", 31, 0)) + (IF(I1745&lt;=3, 30, IF(I1745&lt;=6, 20, 0))) +(IF(OR(E1745="413 - Control de Costes y Enlace Construcción", E1745="480 - Secretaría General del Consejo", E1745="132 - Civil y estructuras", E1745="136 - Mecánica", E1745="412 - Planificación", E1745="142 - Compras"), 25, 0)) +(IF(OR(S1745="GRADO ING. MECÁNICA", S1745="GRADO ING. ELÉCTRICA", S1745="GRADO DERECHO", S1745="GRADO ECONOMÍA", S1745="GRADO ING. TECNOLOGÍAS INDUSTRIALES"), 24, 0)) + (IF(AND(K1745&gt;=451, K1745&lt;=700), 23, 0)) + (IF(AND(AB1745&gt;=5, AB1745&lt;=8), 17, 0)) +(IF(_xludf.OR(_xludf.AND(AC1745&gt;=8, AC1745&lt;=10), _xludf.AND(AC1745&gt;=0, AC1745&lt;=5)), 16, 0)) + (IF(F1745="Madrid", 11, 0))))</f>
        <v>#NAME?</v>
      </c>
      <c r="AG1745" s="69"/>
      <c r="AH1745" s="71" t="s">
        <v>164</v>
      </c>
    </row>
    <row r="1746" spans="1:51" ht="14.25" customHeight="1" x14ac:dyDescent="0.3">
      <c r="A1746" s="66" t="s">
        <v>2724</v>
      </c>
      <c r="B1746" s="66" t="s">
        <v>4841</v>
      </c>
      <c r="C1746" s="33">
        <v>1745</v>
      </c>
      <c r="D1746" s="33" t="s">
        <v>5393</v>
      </c>
      <c r="E1746" s="34" t="s">
        <v>5319</v>
      </c>
      <c r="F1746" s="34" t="s">
        <v>18</v>
      </c>
      <c r="G1746" s="57">
        <v>45453</v>
      </c>
      <c r="H1746" s="57">
        <v>45817</v>
      </c>
      <c r="I1746" s="34">
        <f t="shared" si="81"/>
        <v>11</v>
      </c>
      <c r="J1746" s="34">
        <v>35</v>
      </c>
      <c r="K1746" s="36">
        <v>1000</v>
      </c>
      <c r="L1746" s="34" t="s">
        <v>29</v>
      </c>
      <c r="M1746" s="35">
        <v>36525</v>
      </c>
      <c r="N1746" s="37">
        <f>(YEAR(TablaMadre[[#This Row],[ALTA]])-YEAR(M1746))</f>
        <v>25</v>
      </c>
      <c r="O1746" s="34" t="s">
        <v>18</v>
      </c>
      <c r="P1746" s="34" t="s">
        <v>19</v>
      </c>
      <c r="Q1746" s="34" t="s">
        <v>297</v>
      </c>
      <c r="R1746" s="34" t="s">
        <v>21</v>
      </c>
      <c r="S1746" s="34" t="s">
        <v>297</v>
      </c>
      <c r="T1746" s="34" t="s">
        <v>846</v>
      </c>
      <c r="U1746" s="34" t="s">
        <v>30</v>
      </c>
      <c r="V1746" s="34" t="s">
        <v>84</v>
      </c>
      <c r="W1746" s="34" t="s">
        <v>28</v>
      </c>
      <c r="X1746" s="38" t="s">
        <v>173</v>
      </c>
      <c r="Y1746" s="62"/>
      <c r="Z1746" s="38" t="e">
        <f t="shared" si="82"/>
        <v>#NUM!</v>
      </c>
      <c r="AA1746" s="38"/>
      <c r="AB1746" s="34">
        <v>10</v>
      </c>
      <c r="AC1746" s="34">
        <v>10</v>
      </c>
      <c r="AD1746" s="38"/>
      <c r="AE1746" s="59" t="str">
        <f t="shared" si="83"/>
        <v>NO</v>
      </c>
      <c r="AF1746" s="38" t="e" cm="1">
        <f t="array" aca="1" ref="AF1746" ca="1">MIN(100, MAX(0, (IF(R1746="ESTUDIANTE", 31, 0)) + (IF(I1746&lt;=3, 30, IF(I1746&lt;=6, 20, 0))) +(IF(OR(E1746="413 - Control de Costes y Enlace Construcción", E1746="480 - Secretaría General del Consejo", E1746="132 - Civil y estructuras", E1746="136 - Mecánica", E1746="412 - Planificación", E1746="142 - Compras"), 25, 0)) +(IF(OR(S1746="GRADO ING. MECÁNICA", S1746="GRADO ING. ELÉCTRICA", S1746="GRADO DERECHO", S1746="GRADO ECONOMÍA", S1746="GRADO ING. TECNOLOGÍAS INDUSTRIALES"), 24, 0)) + (IF(AND(K1746&gt;=451, K1746&lt;=700), 23, 0)) + (IF(AND(AB1746&gt;=5, AB1746&lt;=8), 17, 0)) +(IF(_xludf.OR(_xludf.AND(AC1746&gt;=8, AC1746&lt;=10), _xludf.AND(AC1746&gt;=0, AC1746&lt;=5)), 16, 0)) + (IF(F1746="Madrid", 11, 0))))</f>
        <v>#NAME?</v>
      </c>
      <c r="AG1746" s="68"/>
      <c r="AH1746" s="71" t="s">
        <v>164</v>
      </c>
    </row>
    <row r="1747" spans="1:51" s="4" customFormat="1" ht="14.25" customHeight="1" x14ac:dyDescent="0.3">
      <c r="A1747" s="66" t="s">
        <v>2571</v>
      </c>
      <c r="B1747" s="66" t="s">
        <v>4688</v>
      </c>
      <c r="C1747" s="33">
        <v>1746</v>
      </c>
      <c r="D1747" s="33" t="s">
        <v>5394</v>
      </c>
      <c r="E1747" s="34" t="s">
        <v>5340</v>
      </c>
      <c r="F1747" s="34" t="s">
        <v>18</v>
      </c>
      <c r="G1747" s="57">
        <v>45455</v>
      </c>
      <c r="H1747" s="57">
        <v>45716</v>
      </c>
      <c r="I1747" s="34">
        <f t="shared" si="81"/>
        <v>8</v>
      </c>
      <c r="J1747" s="34">
        <v>35</v>
      </c>
      <c r="K1747" s="36">
        <v>700</v>
      </c>
      <c r="L1747" s="34" t="s">
        <v>29</v>
      </c>
      <c r="M1747" s="35">
        <v>37072</v>
      </c>
      <c r="N1747" s="37">
        <f>(YEAR(TablaMadre[[#This Row],[ALTA]])-YEAR(M1747))</f>
        <v>23</v>
      </c>
      <c r="O1747" s="34" t="s">
        <v>567</v>
      </c>
      <c r="P1747" s="34" t="s">
        <v>19</v>
      </c>
      <c r="Q1747" s="34" t="s">
        <v>345</v>
      </c>
      <c r="R1747" s="58" t="s">
        <v>30</v>
      </c>
      <c r="S1747" s="34" t="s">
        <v>345</v>
      </c>
      <c r="T1747" s="34"/>
      <c r="U1747" s="34" t="s">
        <v>30</v>
      </c>
      <c r="V1747" s="34" t="s">
        <v>163</v>
      </c>
      <c r="W1747" s="34" t="s">
        <v>23</v>
      </c>
      <c r="X1747" s="34" t="s">
        <v>164</v>
      </c>
      <c r="Y1747" s="57"/>
      <c r="Z1747" s="34" t="e">
        <f t="shared" si="82"/>
        <v>#NUM!</v>
      </c>
      <c r="AA1747" s="34"/>
      <c r="AB1747" s="34">
        <v>10</v>
      </c>
      <c r="AC1747" s="34">
        <v>5</v>
      </c>
      <c r="AD1747" s="34"/>
      <c r="AE1747" s="59" t="str">
        <f t="shared" si="83"/>
        <v>SÍ</v>
      </c>
      <c r="AF1747" s="34" t="e" cm="1">
        <f t="array" aca="1" ref="AF1747" ca="1">MIN(100, MAX(0, (IF(R1747="ESTUDIANTE", 31, 0)) + (IF(I1747&lt;=3, 30, IF(I1747&lt;=6, 20, 0))) +(IF(OR(E1747="413 - Control de Costes y Enlace Construcción", E1747="480 - Secretaría General del Consejo", E1747="132 - Civil y estructuras", E1747="136 - Mecánica", E1747="412 - Planificación", E1747="142 - Compras"), 25, 0)) +(IF(OR(S1747="GRADO ING. MECÁNICA", S1747="GRADO ING. ELÉCTRICA", S1747="GRADO DERECHO", S1747="GRADO ECONOMÍA", S1747="GRADO ING. TECNOLOGÍAS INDUSTRIALES"), 24, 0)) + (IF(AND(K1747&gt;=451, K1747&lt;=700), 23, 0)) + (IF(AND(AB1747&gt;=5, AB1747&lt;=8), 17, 0)) +(IF(_xludf.OR(_xludf.AND(AC1747&gt;=8, AC1747&lt;=10), _xludf.AND(AC1747&gt;=0, AC1747&lt;=5)), 16, 0)) + (IF(F1747="Madrid", 11, 0))))</f>
        <v>#NAME?</v>
      </c>
      <c r="AG1747" s="69"/>
      <c r="AH1747" s="71" t="s">
        <v>164</v>
      </c>
    </row>
    <row r="1748" spans="1:51" ht="14.4" x14ac:dyDescent="0.3">
      <c r="A1748" s="66" t="s">
        <v>2726</v>
      </c>
      <c r="B1748" s="66" t="s">
        <v>4843</v>
      </c>
      <c r="C1748" s="33">
        <v>1747</v>
      </c>
      <c r="D1748" s="33" t="s">
        <v>5395</v>
      </c>
      <c r="E1748" s="34" t="s">
        <v>5361</v>
      </c>
      <c r="F1748" s="34" t="s">
        <v>18</v>
      </c>
      <c r="G1748" s="57">
        <v>45460</v>
      </c>
      <c r="H1748" s="57">
        <v>45642</v>
      </c>
      <c r="I1748" s="34">
        <f t="shared" si="81"/>
        <v>5</v>
      </c>
      <c r="J1748" s="34">
        <v>35</v>
      </c>
      <c r="K1748" s="36">
        <v>1200</v>
      </c>
      <c r="L1748" s="34" t="s">
        <v>17</v>
      </c>
      <c r="M1748" s="35">
        <v>36344</v>
      </c>
      <c r="N1748" s="37">
        <f>(YEAR(TablaMadre[[#This Row],[ALTA]])-YEAR(M1748))</f>
        <v>25</v>
      </c>
      <c r="O1748" s="34" t="s">
        <v>18</v>
      </c>
      <c r="P1748" s="34" t="s">
        <v>19</v>
      </c>
      <c r="Q1748" s="34" t="s">
        <v>136</v>
      </c>
      <c r="R1748" s="34" t="s">
        <v>21</v>
      </c>
      <c r="S1748" s="34" t="s">
        <v>136</v>
      </c>
      <c r="T1748" s="34"/>
      <c r="U1748" s="34" t="s">
        <v>21</v>
      </c>
      <c r="V1748" s="34" t="s">
        <v>22</v>
      </c>
      <c r="W1748" s="34" t="s">
        <v>28</v>
      </c>
      <c r="X1748" s="38" t="s">
        <v>173</v>
      </c>
      <c r="Y1748" s="62"/>
      <c r="Z1748" s="38" t="e">
        <f t="shared" si="82"/>
        <v>#NUM!</v>
      </c>
      <c r="AA1748" s="38"/>
      <c r="AB1748" s="34">
        <v>9</v>
      </c>
      <c r="AC1748" s="34">
        <v>10</v>
      </c>
      <c r="AD1748" s="38"/>
      <c r="AE1748" s="59" t="str">
        <f t="shared" si="83"/>
        <v>NO</v>
      </c>
      <c r="AF1748" s="38" t="e" cm="1">
        <f t="array" aca="1" ref="AF1748" ca="1">MIN(100, MAX(0, (IF(R1748="ESTUDIANTE", 31, 0)) + (IF(I1748&lt;=3, 30, IF(I1748&lt;=6, 20, 0))) +(IF(OR(E1748="413 - Control de Costes y Enlace Construcción", E1748="480 - Secretaría General del Consejo", E1748="132 - Civil y estructuras", E1748="136 - Mecánica", E1748="412 - Planificación", E1748="142 - Compras"), 25, 0)) +(IF(OR(S1748="GRADO ING. MECÁNICA", S1748="GRADO ING. ELÉCTRICA", S1748="GRADO DERECHO", S1748="GRADO ECONOMÍA", S1748="GRADO ING. TECNOLOGÍAS INDUSTRIALES"), 24, 0)) + (IF(AND(K1748&gt;=451, K1748&lt;=700), 23, 0)) + (IF(AND(AB1748&gt;=5, AB1748&lt;=8), 17, 0)) +(IF(_xludf.OR(_xludf.AND(AC1748&gt;=8, AC1748&lt;=10), _xludf.AND(AC1748&gt;=0, AC1748&lt;=5)), 16, 0)) + (IF(F1748="Madrid", 11, 0))))</f>
        <v>#NAME?</v>
      </c>
      <c r="AG1748" s="68"/>
      <c r="AH1748" s="71" t="s">
        <v>164</v>
      </c>
    </row>
    <row r="1749" spans="1:51" s="4" customFormat="1" ht="15" customHeight="1" x14ac:dyDescent="0.3">
      <c r="A1749" s="66" t="s">
        <v>2727</v>
      </c>
      <c r="B1749" s="66" t="s">
        <v>4844</v>
      </c>
      <c r="C1749" s="33">
        <v>1748</v>
      </c>
      <c r="D1749" s="33" t="s">
        <v>5396</v>
      </c>
      <c r="E1749" s="34" t="s">
        <v>5306</v>
      </c>
      <c r="F1749" s="34" t="s">
        <v>118</v>
      </c>
      <c r="G1749" s="57">
        <v>45460</v>
      </c>
      <c r="H1749" s="57">
        <v>45642</v>
      </c>
      <c r="I1749" s="34">
        <f t="shared" si="81"/>
        <v>5</v>
      </c>
      <c r="J1749" s="34">
        <v>35</v>
      </c>
      <c r="K1749" s="36">
        <v>1200</v>
      </c>
      <c r="L1749" s="34" t="s">
        <v>17</v>
      </c>
      <c r="M1749" s="35">
        <v>36139</v>
      </c>
      <c r="N1749" s="37">
        <f>(YEAR(TablaMadre[[#This Row],[ALTA]])-YEAR(M1749))</f>
        <v>26</v>
      </c>
      <c r="O1749" s="34" t="s">
        <v>118</v>
      </c>
      <c r="P1749" s="34" t="s">
        <v>19</v>
      </c>
      <c r="Q1749" s="34" t="s">
        <v>793</v>
      </c>
      <c r="R1749" s="34" t="s">
        <v>21</v>
      </c>
      <c r="S1749" s="34" t="s">
        <v>297</v>
      </c>
      <c r="T1749" s="34"/>
      <c r="U1749" s="34" t="s">
        <v>30</v>
      </c>
      <c r="V1749" s="34" t="s">
        <v>37</v>
      </c>
      <c r="W1749" s="34" t="s">
        <v>28</v>
      </c>
      <c r="X1749" s="34" t="s">
        <v>173</v>
      </c>
      <c r="Y1749" s="57"/>
      <c r="Z1749" s="34" t="e">
        <f t="shared" si="82"/>
        <v>#NUM!</v>
      </c>
      <c r="AA1749" s="34"/>
      <c r="AB1749" s="34">
        <v>10</v>
      </c>
      <c r="AC1749" s="34">
        <v>9</v>
      </c>
      <c r="AD1749" s="34"/>
      <c r="AE1749" s="59" t="str">
        <f t="shared" si="83"/>
        <v>NO</v>
      </c>
      <c r="AF1749" s="34" t="e" cm="1">
        <f t="array" aca="1" ref="AF1749" ca="1">MIN(100, MAX(0, (IF(R1749="ESTUDIANTE", 31, 0)) + (IF(I1749&lt;=3, 30, IF(I1749&lt;=6, 20, 0))) +(IF(OR(E1749="413 - Control de Costes y Enlace Construcción", E1749="480 - Secretaría General del Consejo", E1749="132 - Civil y estructuras", E1749="136 - Mecánica", E1749="412 - Planificación", E1749="142 - Compras"), 25, 0)) +(IF(OR(S1749="GRADO ING. MECÁNICA", S1749="GRADO ING. ELÉCTRICA", S1749="GRADO DERECHO", S1749="GRADO ECONOMÍA", S1749="GRADO ING. TECNOLOGÍAS INDUSTRIALES"), 24, 0)) + (IF(AND(K1749&gt;=451, K1749&lt;=700), 23, 0)) + (IF(AND(AB1749&gt;=5, AB1749&lt;=8), 17, 0)) +(IF(_xludf.OR(_xludf.AND(AC1749&gt;=8, AC1749&lt;=10), _xludf.AND(AC1749&gt;=0, AC1749&lt;=5)), 16, 0)) + (IF(F1749="Madrid", 11, 0))))</f>
        <v>#NAME?</v>
      </c>
      <c r="AG1749" s="69"/>
      <c r="AH1749" s="71" t="s">
        <v>164</v>
      </c>
    </row>
    <row r="1750" spans="1:51" s="4" customFormat="1" ht="16.5" customHeight="1" x14ac:dyDescent="0.3">
      <c r="A1750" s="66" t="s">
        <v>2728</v>
      </c>
      <c r="B1750" s="66" t="s">
        <v>4845</v>
      </c>
      <c r="C1750" s="33">
        <v>1749</v>
      </c>
      <c r="D1750" s="33" t="s">
        <v>5397</v>
      </c>
      <c r="E1750" s="34" t="s">
        <v>5219</v>
      </c>
      <c r="F1750" s="34" t="s">
        <v>18</v>
      </c>
      <c r="G1750" s="57">
        <v>45460</v>
      </c>
      <c r="H1750" s="57">
        <v>45642</v>
      </c>
      <c r="I1750" s="34">
        <f t="shared" si="81"/>
        <v>5</v>
      </c>
      <c r="J1750" s="34">
        <v>35</v>
      </c>
      <c r="K1750" s="36">
        <v>900</v>
      </c>
      <c r="L1750" s="34" t="s">
        <v>29</v>
      </c>
      <c r="M1750" s="35">
        <v>35271</v>
      </c>
      <c r="N1750" s="37">
        <f>(YEAR(TablaMadre[[#This Row],[ALTA]])-YEAR(M1750))</f>
        <v>28</v>
      </c>
      <c r="O1750" s="34" t="s">
        <v>18</v>
      </c>
      <c r="P1750" s="34" t="s">
        <v>19</v>
      </c>
      <c r="Q1750" s="34" t="s">
        <v>794</v>
      </c>
      <c r="R1750" s="34" t="s">
        <v>21</v>
      </c>
      <c r="S1750" s="34" t="s">
        <v>297</v>
      </c>
      <c r="T1750" s="34"/>
      <c r="U1750" s="34" t="s">
        <v>42</v>
      </c>
      <c r="V1750" s="34" t="s">
        <v>56</v>
      </c>
      <c r="W1750" s="34" t="s">
        <v>28</v>
      </c>
      <c r="X1750" s="34" t="s">
        <v>173</v>
      </c>
      <c r="Y1750" s="57"/>
      <c r="Z1750" s="34" t="e">
        <f t="shared" si="82"/>
        <v>#NUM!</v>
      </c>
      <c r="AA1750" s="34"/>
      <c r="AB1750" s="34">
        <v>7</v>
      </c>
      <c r="AC1750" s="34">
        <v>10</v>
      </c>
      <c r="AD1750" s="34"/>
      <c r="AE1750" s="59" t="str">
        <f t="shared" si="83"/>
        <v>NO</v>
      </c>
      <c r="AF1750" s="34" t="e" cm="1">
        <f t="array" aca="1" ref="AF1750" ca="1">MIN(100, MAX(0, (IF(R1750="ESTUDIANTE", 31, 0)) + (IF(I1750&lt;=3, 30, IF(I1750&lt;=6, 20, 0))) +(IF(OR(E1750="413 - Control de Costes y Enlace Construcción", E1750="480 - Secretaría General del Consejo", E1750="132 - Civil y estructuras", E1750="136 - Mecánica", E1750="412 - Planificación", E1750="142 - Compras"), 25, 0)) +(IF(OR(S1750="GRADO ING. MECÁNICA", S1750="GRADO ING. ELÉCTRICA", S1750="GRADO DERECHO", S1750="GRADO ECONOMÍA", S1750="GRADO ING. TECNOLOGÍAS INDUSTRIALES"), 24, 0)) + (IF(AND(K1750&gt;=451, K1750&lt;=700), 23, 0)) + (IF(AND(AB1750&gt;=5, AB1750&lt;=8), 17, 0)) +(IF(_xludf.OR(_xludf.AND(AC1750&gt;=8, AC1750&lt;=10), _xludf.AND(AC1750&gt;=0, AC1750&lt;=5)), 16, 0)) + (IF(F1750="Madrid", 11, 0))))</f>
        <v>#NAME?</v>
      </c>
      <c r="AG1750" s="69"/>
      <c r="AH1750" s="71" t="s">
        <v>164</v>
      </c>
    </row>
    <row r="1751" spans="1:51" s="4" customFormat="1" ht="14.4" x14ac:dyDescent="0.3">
      <c r="A1751" s="66" t="s">
        <v>2575</v>
      </c>
      <c r="B1751" s="66" t="s">
        <v>4692</v>
      </c>
      <c r="C1751" s="33">
        <v>1753</v>
      </c>
      <c r="D1751" s="33" t="s">
        <v>5398</v>
      </c>
      <c r="E1751" s="34" t="s">
        <v>5248</v>
      </c>
      <c r="F1751" s="34" t="s">
        <v>18</v>
      </c>
      <c r="G1751" s="57">
        <v>45474</v>
      </c>
      <c r="H1751" s="57">
        <v>45755</v>
      </c>
      <c r="I1751" s="34">
        <f t="shared" si="81"/>
        <v>9</v>
      </c>
      <c r="J1751" s="34">
        <v>35</v>
      </c>
      <c r="K1751" s="36">
        <v>700</v>
      </c>
      <c r="L1751" s="34" t="s">
        <v>17</v>
      </c>
      <c r="M1751" s="35">
        <v>36756</v>
      </c>
      <c r="N1751" s="37">
        <f>(YEAR(TablaMadre[[#This Row],[ALTA]])-YEAR(M1751))</f>
        <v>24</v>
      </c>
      <c r="O1751" s="34" t="s">
        <v>18</v>
      </c>
      <c r="P1751" s="34" t="s">
        <v>19</v>
      </c>
      <c r="Q1751" s="34" t="s">
        <v>297</v>
      </c>
      <c r="R1751" s="34" t="s">
        <v>30</v>
      </c>
      <c r="S1751" s="34" t="s">
        <v>297</v>
      </c>
      <c r="T1751" s="34" t="s">
        <v>806</v>
      </c>
      <c r="U1751" s="34" t="str">
        <f>SUBSTITUTE($T1751, "INGUN", "/")</f>
        <v>N/A</v>
      </c>
      <c r="V1751" s="34" t="s">
        <v>84</v>
      </c>
      <c r="W1751" s="34" t="s">
        <v>91</v>
      </c>
      <c r="X1751" s="38" t="s">
        <v>173</v>
      </c>
      <c r="Y1751" s="62"/>
      <c r="Z1751" s="38" t="e">
        <f t="shared" si="82"/>
        <v>#NUM!</v>
      </c>
      <c r="AA1751" s="38"/>
      <c r="AB1751" s="34">
        <v>7</v>
      </c>
      <c r="AC1751" s="34">
        <v>10</v>
      </c>
      <c r="AD1751" s="38"/>
      <c r="AE1751" s="59" t="str">
        <f t="shared" si="83"/>
        <v>NO</v>
      </c>
      <c r="AF1751" s="34" t="e" cm="1">
        <f t="array" aca="1" ref="AF1751" ca="1">MIN(100, MAX(0, (IF(R1751="ESTUDIANTE", 31, 0)) + (IF(I1751&lt;=3, 30, IF(I1751&lt;=6, 20, 0))) +(IF(OR(E1751="413 - Control de Costes y Enlace Construcción", E1751="480 - Secretaría General del Consejo", E1751="132 - Civil y estructuras", E1751="136 - Mecánica", E1751="412 - Planificación", E1751="142 - Compras"), 25, 0)) +(IF(OR(S1751="GRADO ING. MECÁNICA", S1751="GRADO ING. ELÉCTRICA", S1751="GRADO DERECHO", S1751="GRADO ECONOMÍA", S1751="GRADO ING. TECNOLOGÍAS INDUSTRIALES"), 24, 0)) + (IF(AND(K1751&gt;=451, K1751&lt;=700), 23, 0)) + (IF(AND(AB1751&gt;=5, AB1751&lt;=8), 17, 0)) +(IF(_xludf.OR(_xludf.AND(AC1751&gt;=8, AC1751&lt;=10), _xludf.AND(AC1751&gt;=0, AC1751&lt;=5)), 16, 0)) + (IF(F1751="Madrid", 11, 0))))</f>
        <v>#NAME?</v>
      </c>
      <c r="AG1751" s="69"/>
      <c r="AH1751" s="71" t="s">
        <v>164</v>
      </c>
    </row>
    <row r="1752" spans="1:51" s="4" customFormat="1" ht="15" customHeight="1" x14ac:dyDescent="0.3">
      <c r="A1752" s="66" t="s">
        <v>2576</v>
      </c>
      <c r="B1752" s="66" t="s">
        <v>4693</v>
      </c>
      <c r="C1752" s="33">
        <v>1750</v>
      </c>
      <c r="D1752" s="33" t="s">
        <v>5399</v>
      </c>
      <c r="E1752" s="34" t="s">
        <v>5358</v>
      </c>
      <c r="F1752" s="34" t="s">
        <v>18</v>
      </c>
      <c r="G1752" s="57">
        <v>45474</v>
      </c>
      <c r="H1752" s="57">
        <v>45596</v>
      </c>
      <c r="I1752" s="34">
        <f t="shared" si="81"/>
        <v>3</v>
      </c>
      <c r="J1752" s="34">
        <v>35</v>
      </c>
      <c r="K1752" s="36">
        <v>900</v>
      </c>
      <c r="L1752" s="34" t="s">
        <v>17</v>
      </c>
      <c r="M1752" s="35">
        <v>37200</v>
      </c>
      <c r="N1752" s="37">
        <f>(YEAR(TablaMadre[[#This Row],[ALTA]])-YEAR(M1752))</f>
        <v>23</v>
      </c>
      <c r="O1752" s="34" t="s">
        <v>105</v>
      </c>
      <c r="P1752" s="34" t="s">
        <v>19</v>
      </c>
      <c r="Q1752" s="34" t="s">
        <v>586</v>
      </c>
      <c r="R1752" s="34" t="s">
        <v>21</v>
      </c>
      <c r="S1752" s="34" t="s">
        <v>297</v>
      </c>
      <c r="T1752" s="34"/>
      <c r="U1752" s="34" t="s">
        <v>30</v>
      </c>
      <c r="V1752" s="34" t="s">
        <v>163</v>
      </c>
      <c r="W1752" s="34" t="s">
        <v>181</v>
      </c>
      <c r="X1752" s="34" t="s">
        <v>164</v>
      </c>
      <c r="Y1752" s="57"/>
      <c r="Z1752" s="34" t="e">
        <f t="shared" si="82"/>
        <v>#NUM!</v>
      </c>
      <c r="AA1752" s="34"/>
      <c r="AB1752" s="34">
        <v>9</v>
      </c>
      <c r="AC1752" s="34">
        <v>9</v>
      </c>
      <c r="AD1752" s="34"/>
      <c r="AE1752" s="59" t="str">
        <f t="shared" si="83"/>
        <v>SÍ</v>
      </c>
      <c r="AF1752" s="34" t="e" cm="1">
        <f t="array" aca="1" ref="AF1752" ca="1">MIN(100, MAX(0, (IF(R1752="ESTUDIANTE", 31, 0)) + (IF(I1752&lt;=3, 30, IF(I1752&lt;=6, 20, 0))) +(IF(OR(E1752="413 - Control de Costes y Enlace Construcción", E1752="480 - Secretaría General del Consejo", E1752="132 - Civil y estructuras", E1752="136 - Mecánica", E1752="412 - Planificación", E1752="142 - Compras"), 25, 0)) +(IF(OR(S1752="GRADO ING. MECÁNICA", S1752="GRADO ING. ELÉCTRICA", S1752="GRADO DERECHO", S1752="GRADO ECONOMÍA", S1752="GRADO ING. TECNOLOGÍAS INDUSTRIALES"), 24, 0)) + (IF(AND(K1752&gt;=451, K1752&lt;=700), 23, 0)) + (IF(AND(AB1752&gt;=5, AB1752&lt;=8), 17, 0)) +(IF(_xludf.OR(_xludf.AND(AC1752&gt;=8, AC1752&lt;=10), _xludf.AND(AC1752&gt;=0, AC1752&lt;=5)), 16, 0)) + (IF(F1752="Madrid", 11, 0))))</f>
        <v>#NAME?</v>
      </c>
      <c r="AG1752" s="69"/>
      <c r="AH1752" s="71" t="s">
        <v>164</v>
      </c>
    </row>
    <row r="1753" spans="1:51" s="4" customFormat="1" ht="16.5" customHeight="1" x14ac:dyDescent="0.3">
      <c r="A1753" s="66" t="s">
        <v>2730</v>
      </c>
      <c r="B1753" s="66" t="s">
        <v>4847</v>
      </c>
      <c r="C1753" s="33">
        <v>1751</v>
      </c>
      <c r="D1753" s="33" t="s">
        <v>5400</v>
      </c>
      <c r="E1753" s="34" t="s">
        <v>5219</v>
      </c>
      <c r="F1753" s="34" t="s">
        <v>18</v>
      </c>
      <c r="G1753" s="57">
        <v>45474</v>
      </c>
      <c r="H1753" s="57">
        <v>45657</v>
      </c>
      <c r="I1753" s="34">
        <f t="shared" si="81"/>
        <v>5</v>
      </c>
      <c r="J1753" s="34">
        <v>35</v>
      </c>
      <c r="K1753" s="36">
        <v>800</v>
      </c>
      <c r="L1753" s="34" t="s">
        <v>29</v>
      </c>
      <c r="M1753" s="35">
        <v>37302</v>
      </c>
      <c r="N1753" s="37">
        <f>(YEAR(TablaMadre[[#This Row],[ALTA]])-YEAR(M1753))</f>
        <v>22</v>
      </c>
      <c r="O1753" s="34" t="s">
        <v>65</v>
      </c>
      <c r="P1753" s="34" t="s">
        <v>19</v>
      </c>
      <c r="Q1753" s="34" t="s">
        <v>229</v>
      </c>
      <c r="R1753" s="34" t="s">
        <v>21</v>
      </c>
      <c r="S1753" s="34" t="s">
        <v>229</v>
      </c>
      <c r="T1753" s="34"/>
      <c r="U1753" s="34" t="s">
        <v>21</v>
      </c>
      <c r="V1753" s="34" t="s">
        <v>90</v>
      </c>
      <c r="W1753" s="34" t="s">
        <v>28</v>
      </c>
      <c r="X1753" s="34" t="s">
        <v>173</v>
      </c>
      <c r="Y1753" s="57"/>
      <c r="Z1753" s="34" t="e">
        <f t="shared" si="82"/>
        <v>#NUM!</v>
      </c>
      <c r="AA1753" s="34"/>
      <c r="AB1753" s="34">
        <v>10</v>
      </c>
      <c r="AC1753" s="34">
        <v>10</v>
      </c>
      <c r="AD1753" s="34"/>
      <c r="AE1753" s="59" t="str">
        <f t="shared" si="83"/>
        <v>SÍ</v>
      </c>
      <c r="AF1753" s="34" t="e" cm="1">
        <f t="array" aca="1" ref="AF1753" ca="1">MIN(100, MAX(0, (IF(R1753="ESTUDIANTE", 31, 0)) + (IF(I1753&lt;=3, 30, IF(I1753&lt;=6, 20, 0))) +(IF(OR(E1753="413 - Control de Costes y Enlace Construcción", E1753="480 - Secretaría General del Consejo", E1753="132 - Civil y estructuras", E1753="136 - Mecánica", E1753="412 - Planificación", E1753="142 - Compras"), 25, 0)) +(IF(OR(S1753="GRADO ING. MECÁNICA", S1753="GRADO ING. ELÉCTRICA", S1753="GRADO DERECHO", S1753="GRADO ECONOMÍA", S1753="GRADO ING. TECNOLOGÍAS INDUSTRIALES"), 24, 0)) + (IF(AND(K1753&gt;=451, K1753&lt;=700), 23, 0)) + (IF(AND(AB1753&gt;=5, AB1753&lt;=8), 17, 0)) +(IF(_xludf.OR(_xludf.AND(AC1753&gt;=8, AC1753&lt;=10), _xludf.AND(AC1753&gt;=0, AC1753&lt;=5)), 16, 0)) + (IF(F1753="Madrid", 11, 0))))</f>
        <v>#NAME?</v>
      </c>
      <c r="AG1753" s="69"/>
      <c r="AH1753" s="71" t="s">
        <v>164</v>
      </c>
    </row>
    <row r="1754" spans="1:51" ht="15" customHeight="1" x14ac:dyDescent="0.3">
      <c r="A1754" s="66" t="s">
        <v>2731</v>
      </c>
      <c r="B1754" s="66" t="s">
        <v>4848</v>
      </c>
      <c r="C1754" s="33">
        <v>1752</v>
      </c>
      <c r="D1754" s="33" t="s">
        <v>5401</v>
      </c>
      <c r="E1754" s="34" t="s">
        <v>5367</v>
      </c>
      <c r="F1754" s="34" t="s">
        <v>411</v>
      </c>
      <c r="G1754" s="57">
        <v>45474</v>
      </c>
      <c r="H1754" s="57">
        <v>45657</v>
      </c>
      <c r="I1754" s="34">
        <f t="shared" si="81"/>
        <v>5</v>
      </c>
      <c r="J1754" s="34">
        <v>35</v>
      </c>
      <c r="K1754" s="36">
        <v>1200</v>
      </c>
      <c r="L1754" s="34" t="s">
        <v>17</v>
      </c>
      <c r="M1754" s="35">
        <v>37093</v>
      </c>
      <c r="N1754" s="37">
        <f>(YEAR(TablaMadre[[#This Row],[ALTA]])-YEAR(M1754))</f>
        <v>23</v>
      </c>
      <c r="O1754" s="34" t="s">
        <v>411</v>
      </c>
      <c r="P1754" s="34" t="s">
        <v>19</v>
      </c>
      <c r="Q1754" s="34" t="s">
        <v>428</v>
      </c>
      <c r="R1754" s="34" t="s">
        <v>21</v>
      </c>
      <c r="S1754" s="34" t="s">
        <v>297</v>
      </c>
      <c r="T1754" s="34"/>
      <c r="U1754" s="34" t="s">
        <v>21</v>
      </c>
      <c r="V1754" s="34" t="s">
        <v>142</v>
      </c>
      <c r="W1754" s="34" t="s">
        <v>28</v>
      </c>
      <c r="X1754" s="34" t="s">
        <v>173</v>
      </c>
      <c r="Y1754" s="57"/>
      <c r="Z1754" s="34" t="e">
        <f t="shared" si="82"/>
        <v>#NUM!</v>
      </c>
      <c r="AA1754" s="34"/>
      <c r="AB1754" s="34">
        <v>10</v>
      </c>
      <c r="AC1754" s="34">
        <v>10</v>
      </c>
      <c r="AD1754" s="34"/>
      <c r="AE1754" s="59" t="str">
        <f t="shared" si="83"/>
        <v>NO</v>
      </c>
      <c r="AF1754" s="38" t="e" cm="1">
        <f t="array" aca="1" ref="AF1754" ca="1">MIN(100, MAX(0, (IF(R1754="ESTUDIANTE", 31, 0)) + (IF(I1754&lt;=3, 30, IF(I1754&lt;=6, 20, 0))) +(IF(OR(E1754="413 - Control de Costes y Enlace Construcción", E1754="480 - Secretaría General del Consejo", E1754="132 - Civil y estructuras", E1754="136 - Mecánica", E1754="412 - Planificación", E1754="142 - Compras"), 25, 0)) +(IF(OR(S1754="GRADO ING. MECÁNICA", S1754="GRADO ING. ELÉCTRICA", S1754="GRADO DERECHO", S1754="GRADO ECONOMÍA", S1754="GRADO ING. TECNOLOGÍAS INDUSTRIALES"), 24, 0)) + (IF(AND(K1754&gt;=451, K1754&lt;=700), 23, 0)) + (IF(AND(AB1754&gt;=5, AB1754&lt;=8), 17, 0)) +(IF(_xludf.OR(_xludf.AND(AC1754&gt;=8, AC1754&lt;=10), _xludf.AND(AC1754&gt;=0, AC1754&lt;=5)), 16, 0)) + (IF(F1754="Madrid", 11, 0))))</f>
        <v>#NAME?</v>
      </c>
      <c r="AG1754" s="68"/>
      <c r="AH1754" s="71" t="s">
        <v>164</v>
      </c>
      <c r="AI1754" s="13"/>
      <c r="AJ1754" s="13"/>
      <c r="AK1754" s="13"/>
      <c r="AL1754" s="13"/>
      <c r="AM1754" s="13"/>
      <c r="AN1754" s="13"/>
      <c r="AO1754" s="13"/>
      <c r="AP1754" s="14"/>
      <c r="AQ1754" s="15"/>
      <c r="AR1754" s="13"/>
      <c r="AS1754" s="13"/>
      <c r="AT1754" s="13"/>
      <c r="AU1754" s="13"/>
      <c r="AV1754" s="13"/>
      <c r="AW1754" s="13"/>
      <c r="AX1754" s="13"/>
      <c r="AY1754" s="12"/>
    </row>
    <row r="1755" spans="1:51" s="4" customFormat="1" ht="15.75" customHeight="1" x14ac:dyDescent="0.3">
      <c r="A1755" s="66" t="s">
        <v>2733</v>
      </c>
      <c r="B1755" s="66" t="s">
        <v>4850</v>
      </c>
      <c r="C1755" s="33">
        <v>1754</v>
      </c>
      <c r="D1755" s="33" t="s">
        <v>5402</v>
      </c>
      <c r="E1755" s="34" t="s">
        <v>5367</v>
      </c>
      <c r="F1755" s="34" t="s">
        <v>18</v>
      </c>
      <c r="G1755" s="57">
        <v>45474</v>
      </c>
      <c r="H1755" s="57">
        <v>45839</v>
      </c>
      <c r="I1755" s="34">
        <f t="shared" si="81"/>
        <v>12</v>
      </c>
      <c r="J1755" s="34">
        <v>35</v>
      </c>
      <c r="K1755" s="36">
        <v>900</v>
      </c>
      <c r="L1755" s="34" t="s">
        <v>17</v>
      </c>
      <c r="M1755" s="35">
        <v>36186</v>
      </c>
      <c r="N1755" s="37">
        <f>(YEAR(TablaMadre[[#This Row],[ALTA]])-YEAR(M1755))</f>
        <v>25</v>
      </c>
      <c r="O1755" s="34" t="s">
        <v>411</v>
      </c>
      <c r="P1755" s="34" t="s">
        <v>19</v>
      </c>
      <c r="Q1755" s="34" t="s">
        <v>297</v>
      </c>
      <c r="R1755" s="34" t="s">
        <v>21</v>
      </c>
      <c r="S1755" s="34" t="s">
        <v>297</v>
      </c>
      <c r="T1755" s="34" t="s">
        <v>820</v>
      </c>
      <c r="U1755" s="34" t="s">
        <v>30</v>
      </c>
      <c r="V1755" s="34" t="s">
        <v>142</v>
      </c>
      <c r="W1755" s="34" t="s">
        <v>28</v>
      </c>
      <c r="X1755" s="34" t="s">
        <v>173</v>
      </c>
      <c r="Y1755" s="57"/>
      <c r="Z1755" s="34" t="e">
        <f t="shared" si="82"/>
        <v>#NUM!</v>
      </c>
      <c r="AA1755" s="34"/>
      <c r="AB1755" s="34">
        <v>8</v>
      </c>
      <c r="AC1755" s="34">
        <v>7</v>
      </c>
      <c r="AD1755" s="34"/>
      <c r="AE1755" s="59" t="str">
        <f t="shared" si="83"/>
        <v>SÍ</v>
      </c>
      <c r="AF1755" s="34" t="e" cm="1">
        <f t="array" aca="1" ref="AF1755" ca="1">MIN(100, MAX(0, (IF(R1755="ESTUDIANTE", 31, 0)) + (IF(I1755&lt;=3, 30, IF(I1755&lt;=6, 20, 0))) +(IF(OR(E1755="413 - Control de Costes y Enlace Construcción", E1755="480 - Secretaría General del Consejo", E1755="132 - Civil y estructuras", E1755="136 - Mecánica", E1755="412 - Planificación", E1755="142 - Compras"), 25, 0)) +(IF(OR(S1755="GRADO ING. MECÁNICA", S1755="GRADO ING. ELÉCTRICA", S1755="GRADO DERECHO", S1755="GRADO ECONOMÍA", S1755="GRADO ING. TECNOLOGÍAS INDUSTRIALES"), 24, 0)) + (IF(AND(K1755&gt;=451, K1755&lt;=700), 23, 0)) + (IF(AND(AB1755&gt;=5, AB1755&lt;=8), 17, 0)) +(IF(_xludf.OR(_xludf.AND(AC1755&gt;=8, AC1755&lt;=10), _xludf.AND(AC1755&gt;=0, AC1755&lt;=5)), 16, 0)) + (IF(F1755="Madrid", 11, 0))))</f>
        <v>#NAME?</v>
      </c>
      <c r="AG1755" s="69"/>
      <c r="AH1755" s="71" t="s">
        <v>164</v>
      </c>
    </row>
    <row r="1756" spans="1:51" ht="16.5" customHeight="1" x14ac:dyDescent="0.3">
      <c r="A1756" s="66" t="s">
        <v>2734</v>
      </c>
      <c r="B1756" s="66" t="s">
        <v>4851</v>
      </c>
      <c r="C1756" s="33">
        <v>1755</v>
      </c>
      <c r="D1756" s="33" t="s">
        <v>5393</v>
      </c>
      <c r="E1756" s="34" t="s">
        <v>5294</v>
      </c>
      <c r="F1756" s="34" t="s">
        <v>95</v>
      </c>
      <c r="G1756" s="57">
        <v>45474</v>
      </c>
      <c r="H1756" s="57">
        <v>45869</v>
      </c>
      <c r="I1756" s="34">
        <f t="shared" si="81"/>
        <v>12</v>
      </c>
      <c r="J1756" s="34">
        <v>35</v>
      </c>
      <c r="K1756" s="36">
        <v>900</v>
      </c>
      <c r="L1756" s="34" t="s">
        <v>17</v>
      </c>
      <c r="M1756" s="35">
        <v>36558</v>
      </c>
      <c r="N1756" s="37">
        <f>(YEAR(TablaMadre[[#This Row],[ALTA]])-YEAR(M1756))</f>
        <v>24</v>
      </c>
      <c r="O1756" s="34" t="s">
        <v>18</v>
      </c>
      <c r="P1756" s="34" t="s">
        <v>19</v>
      </c>
      <c r="Q1756" s="34" t="s">
        <v>215</v>
      </c>
      <c r="R1756" s="34" t="s">
        <v>21</v>
      </c>
      <c r="S1756" s="34" t="s">
        <v>322</v>
      </c>
      <c r="T1756" s="34" t="s">
        <v>823</v>
      </c>
      <c r="U1756" s="34" t="s">
        <v>30</v>
      </c>
      <c r="V1756" s="34" t="s">
        <v>67</v>
      </c>
      <c r="W1756" s="34" t="s">
        <v>97</v>
      </c>
      <c r="X1756" s="38" t="s">
        <v>173</v>
      </c>
      <c r="Y1756" s="62"/>
      <c r="Z1756" s="38" t="e">
        <f t="shared" si="82"/>
        <v>#NUM!</v>
      </c>
      <c r="AA1756" s="38"/>
      <c r="AB1756" s="34">
        <v>10</v>
      </c>
      <c r="AC1756" s="34">
        <v>10</v>
      </c>
      <c r="AD1756" s="38"/>
      <c r="AE1756" s="59" t="str">
        <f t="shared" si="83"/>
        <v>SÍ</v>
      </c>
      <c r="AF1756" s="38" t="e" cm="1">
        <f t="array" aca="1" ref="AF1756" ca="1">MIN(100, MAX(0, (IF(R1756="ESTUDIANTE", 31, 0)) + (IF(I1756&lt;=3, 30, IF(I1756&lt;=6, 20, 0))) +(IF(OR(E1756="413 - Control de Costes y Enlace Construcción", E1756="480 - Secretaría General del Consejo", E1756="132 - Civil y estructuras", E1756="136 - Mecánica", E1756="412 - Planificación", E1756="142 - Compras"), 25, 0)) +(IF(OR(S1756="GRADO ING. MECÁNICA", S1756="GRADO ING. ELÉCTRICA", S1756="GRADO DERECHO", S1756="GRADO ECONOMÍA", S1756="GRADO ING. TECNOLOGÍAS INDUSTRIALES"), 24, 0)) + (IF(AND(K1756&gt;=451, K1756&lt;=700), 23, 0)) + (IF(AND(AB1756&gt;=5, AB1756&lt;=8), 17, 0)) +(IF(_xludf.OR(_xludf.AND(AC1756&gt;=8, AC1756&lt;=10), _xludf.AND(AC1756&gt;=0, AC1756&lt;=5)), 16, 0)) + (IF(F1756="Madrid", 11, 0))))</f>
        <v>#NAME?</v>
      </c>
      <c r="AG1756" s="68"/>
      <c r="AH1756" s="71" t="s">
        <v>164</v>
      </c>
    </row>
    <row r="1757" spans="1:51" s="4" customFormat="1" ht="16.5" customHeight="1" x14ac:dyDescent="0.3">
      <c r="A1757" s="66" t="s">
        <v>2735</v>
      </c>
      <c r="B1757" s="66" t="s">
        <v>4852</v>
      </c>
      <c r="C1757" s="33">
        <v>1756</v>
      </c>
      <c r="D1757" s="33" t="s">
        <v>5394</v>
      </c>
      <c r="E1757" s="34" t="s">
        <v>5251</v>
      </c>
      <c r="F1757" s="34" t="s">
        <v>18</v>
      </c>
      <c r="G1757" s="57">
        <v>45476</v>
      </c>
      <c r="H1757" s="57">
        <v>45840</v>
      </c>
      <c r="I1757" s="34">
        <f t="shared" si="81"/>
        <v>11</v>
      </c>
      <c r="J1757" s="34">
        <v>35</v>
      </c>
      <c r="K1757" s="36">
        <v>700</v>
      </c>
      <c r="L1757" s="34" t="s">
        <v>17</v>
      </c>
      <c r="M1757" s="35">
        <v>36232</v>
      </c>
      <c r="N1757" s="37">
        <f>(YEAR(TablaMadre[[#This Row],[ALTA]])-YEAR(M1757))</f>
        <v>25</v>
      </c>
      <c r="O1757" s="34" t="s">
        <v>75</v>
      </c>
      <c r="P1757" s="34" t="s">
        <v>19</v>
      </c>
      <c r="Q1757" s="34" t="s">
        <v>215</v>
      </c>
      <c r="R1757" s="34" t="s">
        <v>30</v>
      </c>
      <c r="S1757" s="34" t="s">
        <v>322</v>
      </c>
      <c r="T1757" s="34" t="s">
        <v>806</v>
      </c>
      <c r="U1757" s="34" t="str">
        <f>SUBSTITUTE($T1757, "INGUN", "/")</f>
        <v>N/A</v>
      </c>
      <c r="V1757" s="34" t="s">
        <v>67</v>
      </c>
      <c r="W1757" s="34" t="s">
        <v>28</v>
      </c>
      <c r="X1757" s="34" t="s">
        <v>173</v>
      </c>
      <c r="Y1757" s="57"/>
      <c r="Z1757" s="34" t="e">
        <f t="shared" si="82"/>
        <v>#NUM!</v>
      </c>
      <c r="AA1757" s="34"/>
      <c r="AB1757" s="34">
        <v>10</v>
      </c>
      <c r="AC1757" s="34">
        <v>9</v>
      </c>
      <c r="AD1757" s="34"/>
      <c r="AE1757" s="59" t="str">
        <f t="shared" si="83"/>
        <v>SÍ</v>
      </c>
      <c r="AF1757" s="34" t="e" cm="1">
        <f t="array" aca="1" ref="AF1757" ca="1">MIN(100, MAX(0, (IF(R1757="ESTUDIANTE", 31, 0)) + (IF(I1757&lt;=3, 30, IF(I1757&lt;=6, 20, 0))) +(IF(OR(E1757="413 - Control de Costes y Enlace Construcción", E1757="480 - Secretaría General del Consejo", E1757="132 - Civil y estructuras", E1757="136 - Mecánica", E1757="412 - Planificación", E1757="142 - Compras"), 25, 0)) +(IF(OR(S1757="GRADO ING. MECÁNICA", S1757="GRADO ING. ELÉCTRICA", S1757="GRADO DERECHO", S1757="GRADO ECONOMÍA", S1757="GRADO ING. TECNOLOGÍAS INDUSTRIALES"), 24, 0)) + (IF(AND(K1757&gt;=451, K1757&lt;=700), 23, 0)) + (IF(AND(AB1757&gt;=5, AB1757&lt;=8), 17, 0)) +(IF(_xludf.OR(_xludf.AND(AC1757&gt;=8, AC1757&lt;=10), _xludf.AND(AC1757&gt;=0, AC1757&lt;=5)), 16, 0)) + (IF(F1757="Madrid", 11, 0))))</f>
        <v>#NAME?</v>
      </c>
      <c r="AG1757" s="69"/>
      <c r="AH1757" s="71" t="s">
        <v>164</v>
      </c>
    </row>
    <row r="1758" spans="1:51" ht="16.5" customHeight="1" x14ac:dyDescent="0.3">
      <c r="A1758" s="66" t="s">
        <v>2577</v>
      </c>
      <c r="B1758" s="66" t="s">
        <v>4694</v>
      </c>
      <c r="C1758" s="33">
        <v>1760</v>
      </c>
      <c r="D1758" s="33" t="s">
        <v>5403</v>
      </c>
      <c r="E1758" s="34" t="s">
        <v>5313</v>
      </c>
      <c r="F1758" s="34" t="s">
        <v>18</v>
      </c>
      <c r="G1758" s="57">
        <v>45481</v>
      </c>
      <c r="H1758" s="57">
        <v>45664</v>
      </c>
      <c r="I1758" s="34">
        <f t="shared" si="81"/>
        <v>5</v>
      </c>
      <c r="J1758" s="34">
        <v>25</v>
      </c>
      <c r="K1758" s="36">
        <v>500</v>
      </c>
      <c r="L1758" s="34" t="s">
        <v>17</v>
      </c>
      <c r="M1758" s="35">
        <v>37536</v>
      </c>
      <c r="N1758" s="37">
        <f>(YEAR(TablaMadre[[#This Row],[ALTA]])-YEAR(M1758))</f>
        <v>22</v>
      </c>
      <c r="O1758" s="34" t="s">
        <v>18</v>
      </c>
      <c r="P1758" s="34" t="s">
        <v>19</v>
      </c>
      <c r="Q1758" s="34" t="s">
        <v>297</v>
      </c>
      <c r="R1758" s="58" t="s">
        <v>30</v>
      </c>
      <c r="S1758" s="34" t="s">
        <v>297</v>
      </c>
      <c r="T1758" s="34"/>
      <c r="U1758" s="34" t="s">
        <v>30</v>
      </c>
      <c r="V1758" s="34" t="s">
        <v>56</v>
      </c>
      <c r="W1758" s="34" t="s">
        <v>91</v>
      </c>
      <c r="X1758" s="34" t="s">
        <v>164</v>
      </c>
      <c r="Y1758" s="57"/>
      <c r="Z1758" s="34" t="e">
        <f t="shared" si="82"/>
        <v>#NUM!</v>
      </c>
      <c r="AA1758" s="34"/>
      <c r="AB1758" s="34">
        <v>8</v>
      </c>
      <c r="AC1758" s="34">
        <v>8</v>
      </c>
      <c r="AD1758" s="34"/>
      <c r="AE1758" s="59" t="str">
        <f t="shared" si="83"/>
        <v>NO</v>
      </c>
      <c r="AF1758" s="38" t="e" cm="1">
        <f t="array" aca="1" ref="AF1758" ca="1">MIN(100, MAX(0, (IF(R1758="ESTUDIANTE", 31, 0)) + (IF(I1758&lt;=3, 30, IF(I1758&lt;=6, 20, 0))) +(IF(OR(E1758="413 - Control de Costes y Enlace Construcción", E1758="480 - Secretaría General del Consejo", E1758="132 - Civil y estructuras", E1758="136 - Mecánica", E1758="412 - Planificación", E1758="142 - Compras"), 25, 0)) +(IF(OR(S1758="GRADO ING. MECÁNICA", S1758="GRADO ING. ELÉCTRICA", S1758="GRADO DERECHO", S1758="GRADO ECONOMÍA", S1758="GRADO ING. TECNOLOGÍAS INDUSTRIALES"), 24, 0)) + (IF(AND(K1758&gt;=451, K1758&lt;=700), 23, 0)) + (IF(AND(AB1758&gt;=5, AB1758&lt;=8), 17, 0)) +(IF(_xludf.OR(_xludf.AND(AC1758&gt;=8, AC1758&lt;=10), _xludf.AND(AC1758&gt;=0, AC1758&lt;=5)), 16, 0)) + (IF(F1758="Madrid", 11, 0))))</f>
        <v>#NAME?</v>
      </c>
      <c r="AG1758" s="68"/>
      <c r="AH1758" s="71" t="s">
        <v>164</v>
      </c>
    </row>
    <row r="1759" spans="1:51" ht="16.5" customHeight="1" x14ac:dyDescent="0.3">
      <c r="A1759" s="66" t="s">
        <v>2738</v>
      </c>
      <c r="B1759" s="66" t="s">
        <v>4855</v>
      </c>
      <c r="C1759" s="33">
        <v>1759</v>
      </c>
      <c r="D1759" s="33" t="s">
        <v>5404</v>
      </c>
      <c r="E1759" s="34" t="s">
        <v>5235</v>
      </c>
      <c r="F1759" s="34" t="s">
        <v>931</v>
      </c>
      <c r="G1759" s="57">
        <v>45481</v>
      </c>
      <c r="H1759" s="57">
        <v>45628</v>
      </c>
      <c r="I1759" s="34">
        <f t="shared" si="81"/>
        <v>4</v>
      </c>
      <c r="J1759" s="34">
        <v>35</v>
      </c>
      <c r="K1759" s="36">
        <v>1000</v>
      </c>
      <c r="L1759" s="34" t="s">
        <v>17</v>
      </c>
      <c r="M1759" s="35">
        <v>35822</v>
      </c>
      <c r="N1759" s="37">
        <f>(YEAR(TablaMadre[[#This Row],[ALTA]])-YEAR(M1759))</f>
        <v>26</v>
      </c>
      <c r="O1759" s="34"/>
      <c r="P1759" s="34" t="s">
        <v>19</v>
      </c>
      <c r="Q1759" s="34" t="s">
        <v>726</v>
      </c>
      <c r="R1759" s="34" t="s">
        <v>21</v>
      </c>
      <c r="S1759" s="34" t="s">
        <v>727</v>
      </c>
      <c r="T1759" s="34"/>
      <c r="U1759" s="34" t="s">
        <v>42</v>
      </c>
      <c r="V1759" s="34" t="s">
        <v>40</v>
      </c>
      <c r="W1759" s="34" t="s">
        <v>28</v>
      </c>
      <c r="X1759" s="34" t="s">
        <v>173</v>
      </c>
      <c r="Y1759" s="57"/>
      <c r="Z1759" s="34" t="e">
        <f t="shared" si="82"/>
        <v>#NUM!</v>
      </c>
      <c r="AA1759" s="34"/>
      <c r="AB1759" s="34">
        <v>10</v>
      </c>
      <c r="AC1759" s="34">
        <v>9</v>
      </c>
      <c r="AD1759" s="34"/>
      <c r="AE1759" s="59" t="str">
        <f t="shared" si="83"/>
        <v>SÍ</v>
      </c>
      <c r="AF1759" s="38" t="e" cm="1">
        <f t="array" aca="1" ref="AF1759" ca="1">MIN(100, MAX(0, (IF(R1759="ESTUDIANTE", 31, 0)) + (IF(I1759&lt;=3, 30, IF(I1759&lt;=6, 20, 0))) +(IF(OR(E1759="413 - Control de Costes y Enlace Construcción", E1759="480 - Secretaría General del Consejo", E1759="132 - Civil y estructuras", E1759="136 - Mecánica", E1759="412 - Planificación", E1759="142 - Compras"), 25, 0)) +(IF(OR(S1759="GRADO ING. MECÁNICA", S1759="GRADO ING. ELÉCTRICA", S1759="GRADO DERECHO", S1759="GRADO ECONOMÍA", S1759="GRADO ING. TECNOLOGÍAS INDUSTRIALES"), 24, 0)) + (IF(AND(K1759&gt;=451, K1759&lt;=700), 23, 0)) + (IF(AND(AB1759&gt;=5, AB1759&lt;=8), 17, 0)) +(IF(_xludf.OR(_xludf.AND(AC1759&gt;=8, AC1759&lt;=10), _xludf.AND(AC1759&gt;=0, AC1759&lt;=5)), 16, 0)) + (IF(F1759="Madrid", 11, 0))))</f>
        <v>#NAME?</v>
      </c>
      <c r="AG1759" s="68"/>
      <c r="AH1759" s="71" t="s">
        <v>164</v>
      </c>
    </row>
    <row r="1760" spans="1:51" s="4" customFormat="1" ht="16.5" customHeight="1" x14ac:dyDescent="0.3">
      <c r="A1760" s="66" t="s">
        <v>2740</v>
      </c>
      <c r="B1760" s="66" t="s">
        <v>4857</v>
      </c>
      <c r="C1760" s="33">
        <v>1761</v>
      </c>
      <c r="D1760" s="33" t="s">
        <v>5405</v>
      </c>
      <c r="E1760" s="34" t="s">
        <v>5367</v>
      </c>
      <c r="F1760" s="34" t="s">
        <v>18</v>
      </c>
      <c r="G1760" s="57">
        <v>45481</v>
      </c>
      <c r="H1760" s="57">
        <v>45664</v>
      </c>
      <c r="I1760" s="34">
        <f t="shared" si="81"/>
        <v>5</v>
      </c>
      <c r="J1760" s="34">
        <v>35</v>
      </c>
      <c r="K1760" s="36">
        <v>1200</v>
      </c>
      <c r="L1760" s="34" t="s">
        <v>17</v>
      </c>
      <c r="M1760" s="35">
        <v>36899</v>
      </c>
      <c r="N1760" s="37">
        <f>(YEAR(TablaMadre[[#This Row],[ALTA]])-YEAR(M1760))</f>
        <v>23</v>
      </c>
      <c r="O1760" s="34" t="s">
        <v>247</v>
      </c>
      <c r="P1760" s="34" t="s">
        <v>19</v>
      </c>
      <c r="Q1760" s="34" t="s">
        <v>428</v>
      </c>
      <c r="R1760" s="34" t="s">
        <v>21</v>
      </c>
      <c r="S1760" s="34" t="s">
        <v>297</v>
      </c>
      <c r="T1760" s="34"/>
      <c r="U1760" s="34" t="s">
        <v>30</v>
      </c>
      <c r="V1760" s="34" t="s">
        <v>86</v>
      </c>
      <c r="W1760" s="34" t="s">
        <v>28</v>
      </c>
      <c r="X1760" s="34" t="s">
        <v>173</v>
      </c>
      <c r="Y1760" s="57"/>
      <c r="Z1760" s="34" t="e">
        <f t="shared" si="82"/>
        <v>#NUM!</v>
      </c>
      <c r="AA1760" s="34"/>
      <c r="AB1760" s="34">
        <v>9</v>
      </c>
      <c r="AC1760" s="34">
        <v>10</v>
      </c>
      <c r="AD1760" s="34"/>
      <c r="AE1760" s="59" t="str">
        <f t="shared" si="83"/>
        <v>SÍ</v>
      </c>
      <c r="AF1760" s="34" t="e" cm="1">
        <f t="array" aca="1" ref="AF1760" ca="1">MIN(100, MAX(0, (IF(R1760="ESTUDIANTE", 31, 0)) + (IF(I1760&lt;=3, 30, IF(I1760&lt;=6, 20, 0))) +(IF(OR(E1760="413 - Control de Costes y Enlace Construcción", E1760="480 - Secretaría General del Consejo", E1760="132 - Civil y estructuras", E1760="136 - Mecánica", E1760="412 - Planificación", E1760="142 - Compras"), 25, 0)) +(IF(OR(S1760="GRADO ING. MECÁNICA", S1760="GRADO ING. ELÉCTRICA", S1760="GRADO DERECHO", S1760="GRADO ECONOMÍA", S1760="GRADO ING. TECNOLOGÍAS INDUSTRIALES"), 24, 0)) + (IF(AND(K1760&gt;=451, K1760&lt;=700), 23, 0)) + (IF(AND(AB1760&gt;=5, AB1760&lt;=8), 17, 0)) +(IF(_xludf.OR(_xludf.AND(AC1760&gt;=8, AC1760&lt;=10), _xludf.AND(AC1760&gt;=0, AC1760&lt;=5)), 16, 0)) + (IF(F1760="Madrid", 11, 0))))</f>
        <v>#NAME?</v>
      </c>
      <c r="AG1760" s="69"/>
      <c r="AH1760" s="71" t="s">
        <v>164</v>
      </c>
    </row>
    <row r="1761" spans="1:34" s="4" customFormat="1" ht="16.5" customHeight="1" x14ac:dyDescent="0.3">
      <c r="A1761" s="66" t="s">
        <v>3017</v>
      </c>
      <c r="B1761" s="66" t="s">
        <v>5134</v>
      </c>
      <c r="C1761" s="33">
        <v>1757</v>
      </c>
      <c r="D1761" s="33" t="s">
        <v>5396</v>
      </c>
      <c r="E1761" s="34" t="s">
        <v>5367</v>
      </c>
      <c r="F1761" s="34" t="s">
        <v>934</v>
      </c>
      <c r="G1761" s="57">
        <v>45481</v>
      </c>
      <c r="H1761" s="57">
        <v>45499</v>
      </c>
      <c r="I1761" s="34">
        <f t="shared" si="81"/>
        <v>0</v>
      </c>
      <c r="J1761" s="34"/>
      <c r="K1761" s="36">
        <v>0</v>
      </c>
      <c r="L1761" s="34" t="s">
        <v>29</v>
      </c>
      <c r="M1761" s="35">
        <v>37184</v>
      </c>
      <c r="N1761" s="37">
        <f>(YEAR(TablaMadre[[#This Row],[ALTA]])-YEAR(M1761))</f>
        <v>23</v>
      </c>
      <c r="O1761" s="34"/>
      <c r="P1761" s="34" t="s">
        <v>755</v>
      </c>
      <c r="Q1761" s="34" t="s">
        <v>297</v>
      </c>
      <c r="R1761" s="34" t="s">
        <v>30</v>
      </c>
      <c r="S1761" s="34" t="s">
        <v>297</v>
      </c>
      <c r="T1761" s="34"/>
      <c r="U1761" s="34" t="s">
        <v>30</v>
      </c>
      <c r="V1761" s="34" t="s">
        <v>142</v>
      </c>
      <c r="W1761" s="34" t="s">
        <v>23</v>
      </c>
      <c r="X1761" s="38" t="s">
        <v>164</v>
      </c>
      <c r="Y1761" s="62"/>
      <c r="Z1761" s="38" t="e">
        <f t="shared" si="82"/>
        <v>#NUM!</v>
      </c>
      <c r="AA1761" s="38"/>
      <c r="AB1761" s="34"/>
      <c r="AC1761" s="34"/>
      <c r="AD1761" s="38"/>
      <c r="AE1761" s="59" t="str">
        <f t="shared" si="83"/>
        <v>SÍ</v>
      </c>
      <c r="AF1761" s="34" t="e" cm="1">
        <f t="array" aca="1" ref="AF1761" ca="1">MIN(100, MAX(0, (IF(R1761="ESTUDIANTE", 31, 0)) + (IF(I1761&lt;=3, 30, IF(I1761&lt;=6, 20, 0))) +(IF(OR(E1761="413 - Control de Costes y Enlace Construcción", E1761="480 - Secretaría General del Consejo", E1761="132 - Civil y estructuras", E1761="136 - Mecánica", E1761="412 - Planificación", E1761="142 - Compras"), 25, 0)) +(IF(OR(S1761="GRADO ING. MECÁNICA", S1761="GRADO ING. ELÉCTRICA", S1761="GRADO DERECHO", S1761="GRADO ECONOMÍA", S1761="GRADO ING. TECNOLOGÍAS INDUSTRIALES"), 24, 0)) + (IF(AND(K1761&gt;=451, K1761&lt;=700), 23, 0)) + (IF(AND(AB1761&gt;=5, AB1761&lt;=8), 17, 0)) +(IF(_xludf.OR(_xludf.AND(AC1761&gt;=8, AC1761&lt;=10), _xludf.AND(AC1761&gt;=0, AC1761&lt;=5)), 16, 0)) + (IF(F1761="Madrid", 11, 0))))</f>
        <v>#NAME?</v>
      </c>
      <c r="AG1761" s="69"/>
      <c r="AH1761" s="71" t="s">
        <v>164</v>
      </c>
    </row>
    <row r="1762" spans="1:34" s="4" customFormat="1" ht="16.5" customHeight="1" x14ac:dyDescent="0.3">
      <c r="A1762" s="66" t="s">
        <v>3022</v>
      </c>
      <c r="B1762" s="66" t="s">
        <v>5139</v>
      </c>
      <c r="C1762" s="33">
        <v>1758</v>
      </c>
      <c r="D1762" s="33" t="s">
        <v>5397</v>
      </c>
      <c r="E1762" s="34" t="s">
        <v>5367</v>
      </c>
      <c r="F1762" s="34" t="s">
        <v>934</v>
      </c>
      <c r="G1762" s="57">
        <v>45481</v>
      </c>
      <c r="H1762" s="57">
        <v>45499</v>
      </c>
      <c r="I1762" s="34">
        <f t="shared" si="81"/>
        <v>0</v>
      </c>
      <c r="J1762" s="34"/>
      <c r="K1762" s="36">
        <v>0</v>
      </c>
      <c r="L1762" s="34" t="s">
        <v>29</v>
      </c>
      <c r="M1762" s="35">
        <v>37034</v>
      </c>
      <c r="N1762" s="37">
        <f>(YEAR(TablaMadre[[#This Row],[ALTA]])-YEAR(M1762))</f>
        <v>23</v>
      </c>
      <c r="O1762" s="34"/>
      <c r="P1762" s="34" t="s">
        <v>755</v>
      </c>
      <c r="Q1762" s="34" t="s">
        <v>297</v>
      </c>
      <c r="R1762" s="34" t="s">
        <v>30</v>
      </c>
      <c r="S1762" s="34" t="s">
        <v>297</v>
      </c>
      <c r="T1762" s="34"/>
      <c r="U1762" s="34" t="s">
        <v>30</v>
      </c>
      <c r="V1762" s="34" t="s">
        <v>142</v>
      </c>
      <c r="W1762" s="34" t="s">
        <v>23</v>
      </c>
      <c r="X1762" s="38" t="s">
        <v>164</v>
      </c>
      <c r="Y1762" s="62"/>
      <c r="Z1762" s="38" t="e">
        <f t="shared" si="82"/>
        <v>#NUM!</v>
      </c>
      <c r="AA1762" s="38"/>
      <c r="AB1762" s="34"/>
      <c r="AC1762" s="34"/>
      <c r="AD1762" s="38"/>
      <c r="AE1762" s="59" t="str">
        <f t="shared" si="83"/>
        <v>SÍ</v>
      </c>
      <c r="AF1762" s="34" t="e" cm="1">
        <f t="array" aca="1" ref="AF1762" ca="1">MIN(100, MAX(0, (IF(R1762="ESTUDIANTE", 31, 0)) + (IF(I1762&lt;=3, 30, IF(I1762&lt;=6, 20, 0))) +(IF(OR(E1762="413 - Control de Costes y Enlace Construcción", E1762="480 - Secretaría General del Consejo", E1762="132 - Civil y estructuras", E1762="136 - Mecánica", E1762="412 - Planificación", E1762="142 - Compras"), 25, 0)) +(IF(OR(S1762="GRADO ING. MECÁNICA", S1762="GRADO ING. ELÉCTRICA", S1762="GRADO DERECHO", S1762="GRADO ECONOMÍA", S1762="GRADO ING. TECNOLOGÍAS INDUSTRIALES"), 24, 0)) + (IF(AND(K1762&gt;=451, K1762&lt;=700), 23, 0)) + (IF(AND(AB1762&gt;=5, AB1762&lt;=8), 17, 0)) +(IF(_xludf.OR(_xludf.AND(AC1762&gt;=8, AC1762&lt;=10), _xludf.AND(AC1762&gt;=0, AC1762&lt;=5)), 16, 0)) + (IF(F1762="Madrid", 11, 0))))</f>
        <v>#NAME?</v>
      </c>
      <c r="AG1762" s="69"/>
      <c r="AH1762" s="71" t="s">
        <v>164</v>
      </c>
    </row>
    <row r="1763" spans="1:34" ht="16.5" customHeight="1" x14ac:dyDescent="0.3">
      <c r="A1763" s="66" t="s">
        <v>3023</v>
      </c>
      <c r="B1763" s="66" t="s">
        <v>5140</v>
      </c>
      <c r="C1763" s="33">
        <v>1762</v>
      </c>
      <c r="D1763" s="33" t="s">
        <v>5393</v>
      </c>
      <c r="E1763" s="34" t="s">
        <v>5356</v>
      </c>
      <c r="F1763" s="34" t="s">
        <v>18</v>
      </c>
      <c r="G1763" s="57">
        <v>45483</v>
      </c>
      <c r="H1763" s="57">
        <v>45535</v>
      </c>
      <c r="I1763" s="34">
        <f t="shared" si="81"/>
        <v>1</v>
      </c>
      <c r="J1763" s="34">
        <v>35</v>
      </c>
      <c r="K1763" s="36">
        <v>0</v>
      </c>
      <c r="L1763" s="34" t="s">
        <v>17</v>
      </c>
      <c r="M1763" s="35">
        <v>37690</v>
      </c>
      <c r="N1763" s="37">
        <f>(YEAR(TablaMadre[[#This Row],[ALTA]])-YEAR(M1763))</f>
        <v>21</v>
      </c>
      <c r="O1763" s="34" t="s">
        <v>18</v>
      </c>
      <c r="P1763" s="34" t="s">
        <v>19</v>
      </c>
      <c r="Q1763" s="34" t="s">
        <v>773</v>
      </c>
      <c r="R1763" s="34" t="s">
        <v>30</v>
      </c>
      <c r="S1763" s="34" t="s">
        <v>773</v>
      </c>
      <c r="T1763" s="34"/>
      <c r="U1763" s="34" t="s">
        <v>42</v>
      </c>
      <c r="V1763" s="34" t="s">
        <v>137</v>
      </c>
      <c r="W1763" s="34" t="s">
        <v>23</v>
      </c>
      <c r="X1763" s="38" t="s">
        <v>164</v>
      </c>
      <c r="Y1763" s="62"/>
      <c r="Z1763" s="38" t="e">
        <f t="shared" si="82"/>
        <v>#NUM!</v>
      </c>
      <c r="AA1763" s="38"/>
      <c r="AB1763" s="34"/>
      <c r="AC1763" s="34"/>
      <c r="AD1763" s="38"/>
      <c r="AE1763" s="59" t="str">
        <f t="shared" si="83"/>
        <v>NO</v>
      </c>
      <c r="AF1763" s="38" t="e" cm="1">
        <f t="array" aca="1" ref="AF1763" ca="1">MIN(100, MAX(0, (IF(R1763="ESTUDIANTE", 31, 0)) + (IF(I1763&lt;=3, 30, IF(I1763&lt;=6, 20, 0))) +(IF(OR(E1763="413 - Control de Costes y Enlace Construcción", E1763="480 - Secretaría General del Consejo", E1763="132 - Civil y estructuras", E1763="136 - Mecánica", E1763="412 - Planificación", E1763="142 - Compras"), 25, 0)) +(IF(OR(S1763="GRADO ING. MECÁNICA", S1763="GRADO ING. ELÉCTRICA", S1763="GRADO DERECHO", S1763="GRADO ECONOMÍA", S1763="GRADO ING. TECNOLOGÍAS INDUSTRIALES"), 24, 0)) + (IF(AND(K1763&gt;=451, K1763&lt;=700), 23, 0)) + (IF(AND(AB1763&gt;=5, AB1763&lt;=8), 17, 0)) +(IF(_xludf.OR(_xludf.AND(AC1763&gt;=8, AC1763&lt;=10), _xludf.AND(AC1763&gt;=0, AC1763&lt;=5)), 16, 0)) + (IF(F1763="Madrid", 11, 0))))</f>
        <v>#NAME?</v>
      </c>
      <c r="AG1763" s="68"/>
      <c r="AH1763" s="71" t="s">
        <v>164</v>
      </c>
    </row>
    <row r="1764" spans="1:34" s="4" customFormat="1" ht="14.4" x14ac:dyDescent="0.3">
      <c r="A1764" s="66" t="s">
        <v>2742</v>
      </c>
      <c r="B1764" s="66" t="s">
        <v>4859</v>
      </c>
      <c r="C1764" s="33">
        <v>1763</v>
      </c>
      <c r="D1764" s="33" t="s">
        <v>5394</v>
      </c>
      <c r="E1764" s="34" t="s">
        <v>5241</v>
      </c>
      <c r="F1764" s="34" t="s">
        <v>18</v>
      </c>
      <c r="G1764" s="57">
        <v>45488</v>
      </c>
      <c r="H1764" s="57">
        <v>45671</v>
      </c>
      <c r="I1764" s="34">
        <f t="shared" si="81"/>
        <v>5</v>
      </c>
      <c r="J1764" s="34">
        <v>35</v>
      </c>
      <c r="K1764" s="36">
        <v>1200</v>
      </c>
      <c r="L1764" s="34" t="s">
        <v>17</v>
      </c>
      <c r="M1764" s="35">
        <v>36767</v>
      </c>
      <c r="N1764" s="37">
        <f>(YEAR(TablaMadre[[#This Row],[ALTA]])-YEAR(M1764))</f>
        <v>24</v>
      </c>
      <c r="O1764" s="34" t="s">
        <v>205</v>
      </c>
      <c r="P1764" s="34" t="s">
        <v>19</v>
      </c>
      <c r="Q1764" s="34" t="s">
        <v>626</v>
      </c>
      <c r="R1764" s="34" t="s">
        <v>21</v>
      </c>
      <c r="S1764" s="34" t="s">
        <v>322</v>
      </c>
      <c r="T1764" s="34"/>
      <c r="U1764" s="34" t="s">
        <v>42</v>
      </c>
      <c r="V1764" s="34" t="s">
        <v>207</v>
      </c>
      <c r="W1764" s="34" t="s">
        <v>28</v>
      </c>
      <c r="X1764" s="34" t="s">
        <v>173</v>
      </c>
      <c r="Y1764" s="57"/>
      <c r="Z1764" s="34" t="e">
        <f t="shared" si="82"/>
        <v>#NUM!</v>
      </c>
      <c r="AA1764" s="34"/>
      <c r="AB1764" s="34">
        <v>10</v>
      </c>
      <c r="AC1764" s="34">
        <v>10</v>
      </c>
      <c r="AD1764" s="34"/>
      <c r="AE1764" s="59" t="str">
        <f t="shared" si="83"/>
        <v>SÍ</v>
      </c>
      <c r="AF1764" s="34" t="e" cm="1">
        <f t="array" aca="1" ref="AF1764" ca="1">MIN(100, MAX(0, (IF(R1764="ESTUDIANTE", 31, 0)) + (IF(I1764&lt;=3, 30, IF(I1764&lt;=6, 20, 0))) +(IF(OR(E1764="413 - Control de Costes y Enlace Construcción", E1764="480 - Secretaría General del Consejo", E1764="132 - Civil y estructuras", E1764="136 - Mecánica", E1764="412 - Planificación", E1764="142 - Compras"), 25, 0)) +(IF(OR(S1764="GRADO ING. MECÁNICA", S1764="GRADO ING. ELÉCTRICA", S1764="GRADO DERECHO", S1764="GRADO ECONOMÍA", S1764="GRADO ING. TECNOLOGÍAS INDUSTRIALES"), 24, 0)) + (IF(AND(K1764&gt;=451, K1764&lt;=700), 23, 0)) + (IF(AND(AB1764&gt;=5, AB1764&lt;=8), 17, 0)) +(IF(_xludf.OR(_xludf.AND(AC1764&gt;=8, AC1764&lt;=10), _xludf.AND(AC1764&gt;=0, AC1764&lt;=5)), 16, 0)) + (IF(F1764="Madrid", 11, 0))))</f>
        <v>#NAME?</v>
      </c>
      <c r="AG1764" s="69"/>
      <c r="AH1764" s="71" t="s">
        <v>164</v>
      </c>
    </row>
    <row r="1765" spans="1:34" s="4" customFormat="1" ht="14.4" x14ac:dyDescent="0.3">
      <c r="A1765" s="66" t="s">
        <v>2743</v>
      </c>
      <c r="B1765" s="66" t="s">
        <v>4860</v>
      </c>
      <c r="C1765" s="33">
        <v>1764</v>
      </c>
      <c r="D1765" s="33" t="s">
        <v>5395</v>
      </c>
      <c r="E1765" s="34" t="s">
        <v>5322</v>
      </c>
      <c r="F1765" s="34" t="s">
        <v>18</v>
      </c>
      <c r="G1765" s="57">
        <v>45488</v>
      </c>
      <c r="H1765" s="57">
        <v>45852</v>
      </c>
      <c r="I1765" s="34">
        <f t="shared" si="81"/>
        <v>11</v>
      </c>
      <c r="J1765" s="34">
        <v>35</v>
      </c>
      <c r="K1765" s="36">
        <v>700</v>
      </c>
      <c r="L1765" s="34" t="s">
        <v>17</v>
      </c>
      <c r="M1765" s="35">
        <v>36425</v>
      </c>
      <c r="N1765" s="37">
        <f>(YEAR(TablaMadre[[#This Row],[ALTA]])-YEAR(M1765))</f>
        <v>25</v>
      </c>
      <c r="O1765" s="34" t="s">
        <v>575</v>
      </c>
      <c r="P1765" s="34" t="s">
        <v>575</v>
      </c>
      <c r="Q1765" s="34" t="s">
        <v>297</v>
      </c>
      <c r="R1765" s="34" t="s">
        <v>30</v>
      </c>
      <c r="S1765" s="34" t="s">
        <v>297</v>
      </c>
      <c r="T1765" s="34" t="s">
        <v>806</v>
      </c>
      <c r="U1765" s="34" t="str">
        <f>SUBSTITUTE($T1765, "INGUN", "/")</f>
        <v>N/A</v>
      </c>
      <c r="V1765" s="34" t="s">
        <v>56</v>
      </c>
      <c r="W1765" s="34" t="s">
        <v>28</v>
      </c>
      <c r="X1765" s="34" t="s">
        <v>173</v>
      </c>
      <c r="Y1765" s="57"/>
      <c r="Z1765" s="34" t="e">
        <f t="shared" si="82"/>
        <v>#NUM!</v>
      </c>
      <c r="AA1765" s="34"/>
      <c r="AB1765" s="34">
        <v>8</v>
      </c>
      <c r="AC1765" s="34">
        <v>9</v>
      </c>
      <c r="AD1765" s="34"/>
      <c r="AE1765" s="59" t="str">
        <f t="shared" si="83"/>
        <v>SÍ</v>
      </c>
      <c r="AF1765" s="34" t="e" cm="1">
        <f t="array" aca="1" ref="AF1765" ca="1">MIN(100, MAX(0, (IF(R1765="ESTUDIANTE", 31, 0)) + (IF(I1765&lt;=3, 30, IF(I1765&lt;=6, 20, 0))) +(IF(OR(E1765="413 - Control de Costes y Enlace Construcción", E1765="480 - Secretaría General del Consejo", E1765="132 - Civil y estructuras", E1765="136 - Mecánica", E1765="412 - Planificación", E1765="142 - Compras"), 25, 0)) +(IF(OR(S1765="GRADO ING. MECÁNICA", S1765="GRADO ING. ELÉCTRICA", S1765="GRADO DERECHO", S1765="GRADO ECONOMÍA", S1765="GRADO ING. TECNOLOGÍAS INDUSTRIALES"), 24, 0)) + (IF(AND(K1765&gt;=451, K1765&lt;=700), 23, 0)) + (IF(AND(AB1765&gt;=5, AB1765&lt;=8), 17, 0)) +(IF(_xludf.OR(_xludf.AND(AC1765&gt;=8, AC1765&lt;=10), _xludf.AND(AC1765&gt;=0, AC1765&lt;=5)), 16, 0)) + (IF(F1765="Madrid", 11, 0))))</f>
        <v>#NAME?</v>
      </c>
      <c r="AG1765" s="69"/>
      <c r="AH1765" s="71" t="s">
        <v>164</v>
      </c>
    </row>
    <row r="1766" spans="1:34" s="4" customFormat="1" ht="14.4" x14ac:dyDescent="0.3">
      <c r="A1766" s="66" t="s">
        <v>2744</v>
      </c>
      <c r="B1766" s="66" t="s">
        <v>4861</v>
      </c>
      <c r="C1766" s="33">
        <v>1765</v>
      </c>
      <c r="D1766" s="33" t="s">
        <v>5396</v>
      </c>
      <c r="E1766" s="34" t="s">
        <v>5319</v>
      </c>
      <c r="F1766" s="34" t="s">
        <v>18</v>
      </c>
      <c r="G1766" s="57">
        <v>45490</v>
      </c>
      <c r="H1766" s="57">
        <v>45852</v>
      </c>
      <c r="I1766" s="34">
        <f t="shared" si="81"/>
        <v>11</v>
      </c>
      <c r="J1766" s="34">
        <v>35</v>
      </c>
      <c r="K1766" s="36">
        <v>1200</v>
      </c>
      <c r="L1766" s="34" t="s">
        <v>29</v>
      </c>
      <c r="M1766" s="35">
        <v>35913</v>
      </c>
      <c r="N1766" s="37">
        <f>(YEAR(TablaMadre[[#This Row],[ALTA]])-YEAR(M1766))</f>
        <v>26</v>
      </c>
      <c r="O1766" s="34" t="s">
        <v>411</v>
      </c>
      <c r="P1766" s="34" t="s">
        <v>19</v>
      </c>
      <c r="Q1766" s="34" t="s">
        <v>297</v>
      </c>
      <c r="R1766" s="34" t="s">
        <v>21</v>
      </c>
      <c r="S1766" s="34" t="s">
        <v>297</v>
      </c>
      <c r="T1766" s="34" t="s">
        <v>820</v>
      </c>
      <c r="U1766" s="34" t="s">
        <v>30</v>
      </c>
      <c r="V1766" s="34" t="s">
        <v>142</v>
      </c>
      <c r="W1766" s="34" t="s">
        <v>28</v>
      </c>
      <c r="X1766" s="34" t="s">
        <v>173</v>
      </c>
      <c r="Y1766" s="57"/>
      <c r="Z1766" s="34" t="e">
        <f t="shared" si="82"/>
        <v>#NUM!</v>
      </c>
      <c r="AA1766" s="34"/>
      <c r="AB1766" s="34">
        <v>10</v>
      </c>
      <c r="AC1766" s="34">
        <v>10</v>
      </c>
      <c r="AD1766" s="34"/>
      <c r="AE1766" s="59" t="str">
        <f t="shared" si="83"/>
        <v>SÍ</v>
      </c>
      <c r="AF1766" s="34" t="e" cm="1">
        <f t="array" aca="1" ref="AF1766" ca="1">MIN(100, MAX(0, (IF(R1766="ESTUDIANTE", 31, 0)) + (IF(I1766&lt;=3, 30, IF(I1766&lt;=6, 20, 0))) +(IF(OR(E1766="413 - Control de Costes y Enlace Construcción", E1766="480 - Secretaría General del Consejo", E1766="132 - Civil y estructuras", E1766="136 - Mecánica", E1766="412 - Planificación", E1766="142 - Compras"), 25, 0)) +(IF(OR(S1766="GRADO ING. MECÁNICA", S1766="GRADO ING. ELÉCTRICA", S1766="GRADO DERECHO", S1766="GRADO ECONOMÍA", S1766="GRADO ING. TECNOLOGÍAS INDUSTRIALES"), 24, 0)) + (IF(AND(K1766&gt;=451, K1766&lt;=700), 23, 0)) + (IF(AND(AB1766&gt;=5, AB1766&lt;=8), 17, 0)) +(IF(_xludf.OR(_xludf.AND(AC1766&gt;=8, AC1766&lt;=10), _xludf.AND(AC1766&gt;=0, AC1766&lt;=5)), 16, 0)) + (IF(F1766="Madrid", 11, 0))))</f>
        <v>#NAME?</v>
      </c>
      <c r="AG1766" s="69"/>
      <c r="AH1766" s="71" t="s">
        <v>164</v>
      </c>
    </row>
    <row r="1767" spans="1:34" s="4" customFormat="1" ht="14.4" x14ac:dyDescent="0.3">
      <c r="A1767" s="66" t="s">
        <v>2745</v>
      </c>
      <c r="B1767" s="66" t="s">
        <v>4862</v>
      </c>
      <c r="C1767" s="33">
        <v>1766</v>
      </c>
      <c r="D1767" s="33" t="s">
        <v>5397</v>
      </c>
      <c r="E1767" s="34" t="s">
        <v>5219</v>
      </c>
      <c r="F1767" s="34" t="s">
        <v>18</v>
      </c>
      <c r="G1767" s="57">
        <v>45495</v>
      </c>
      <c r="H1767" s="57">
        <v>45677</v>
      </c>
      <c r="I1767" s="34">
        <f t="shared" si="81"/>
        <v>5</v>
      </c>
      <c r="J1767" s="34">
        <v>35</v>
      </c>
      <c r="K1767" s="36">
        <v>1200</v>
      </c>
      <c r="L1767" s="34" t="s">
        <v>29</v>
      </c>
      <c r="M1767" s="35">
        <v>36300</v>
      </c>
      <c r="N1767" s="37">
        <f>(YEAR(TablaMadre[[#This Row],[ALTA]])-YEAR(M1767))</f>
        <v>25</v>
      </c>
      <c r="O1767" s="34" t="s">
        <v>121</v>
      </c>
      <c r="P1767" s="34" t="s">
        <v>19</v>
      </c>
      <c r="Q1767" s="34" t="s">
        <v>799</v>
      </c>
      <c r="R1767" s="34" t="s">
        <v>21</v>
      </c>
      <c r="S1767" s="34" t="s">
        <v>297</v>
      </c>
      <c r="T1767" s="34"/>
      <c r="U1767" s="34" t="s">
        <v>30</v>
      </c>
      <c r="V1767" s="34" t="s">
        <v>40</v>
      </c>
      <c r="W1767" s="34" t="s">
        <v>28</v>
      </c>
      <c r="X1767" s="34" t="s">
        <v>173</v>
      </c>
      <c r="Y1767" s="57"/>
      <c r="Z1767" s="34" t="e">
        <f t="shared" si="82"/>
        <v>#NUM!</v>
      </c>
      <c r="AA1767" s="34"/>
      <c r="AB1767" s="34">
        <v>9</v>
      </c>
      <c r="AC1767" s="34">
        <v>10</v>
      </c>
      <c r="AD1767" s="34"/>
      <c r="AE1767" s="59" t="str">
        <f t="shared" si="83"/>
        <v>SÍ</v>
      </c>
      <c r="AF1767" s="34" t="e" cm="1">
        <f t="array" aca="1" ref="AF1767" ca="1">MIN(100, MAX(0, (IF(R1767="ESTUDIANTE", 31, 0)) + (IF(I1767&lt;=3, 30, IF(I1767&lt;=6, 20, 0))) +(IF(OR(E1767="413 - Control de Costes y Enlace Construcción", E1767="480 - Secretaría General del Consejo", E1767="132 - Civil y estructuras", E1767="136 - Mecánica", E1767="412 - Planificación", E1767="142 - Compras"), 25, 0)) +(IF(OR(S1767="GRADO ING. MECÁNICA", S1767="GRADO ING. ELÉCTRICA", S1767="GRADO DERECHO", S1767="GRADO ECONOMÍA", S1767="GRADO ING. TECNOLOGÍAS INDUSTRIALES"), 24, 0)) + (IF(AND(K1767&gt;=451, K1767&lt;=700), 23, 0)) + (IF(AND(AB1767&gt;=5, AB1767&lt;=8), 17, 0)) +(IF(_xludf.OR(_xludf.AND(AC1767&gt;=8, AC1767&lt;=10), _xludf.AND(AC1767&gt;=0, AC1767&lt;=5)), 16, 0)) + (IF(F1767="Madrid", 11, 0))))</f>
        <v>#NAME?</v>
      </c>
      <c r="AG1767" s="69"/>
      <c r="AH1767" s="71" t="s">
        <v>164</v>
      </c>
    </row>
    <row r="1768" spans="1:34" s="9" customFormat="1" ht="14.4" x14ac:dyDescent="0.3">
      <c r="A1768" s="66" t="s">
        <v>2746</v>
      </c>
      <c r="B1768" s="66" t="s">
        <v>4863</v>
      </c>
      <c r="C1768" s="33">
        <v>1767</v>
      </c>
      <c r="D1768" s="33" t="s">
        <v>5398</v>
      </c>
      <c r="E1768" s="34" t="s">
        <v>5312</v>
      </c>
      <c r="F1768" s="34" t="s">
        <v>18</v>
      </c>
      <c r="G1768" s="57">
        <v>45495</v>
      </c>
      <c r="H1768" s="57">
        <v>45859</v>
      </c>
      <c r="I1768" s="34">
        <f t="shared" si="81"/>
        <v>11</v>
      </c>
      <c r="J1768" s="34">
        <v>35</v>
      </c>
      <c r="K1768" s="36">
        <v>725</v>
      </c>
      <c r="L1768" s="34" t="s">
        <v>17</v>
      </c>
      <c r="M1768" s="35">
        <v>37048</v>
      </c>
      <c r="N1768" s="37">
        <f>(YEAR(TablaMadre[[#This Row],[ALTA]])-YEAR(M1768))</f>
        <v>23</v>
      </c>
      <c r="O1768" s="34" t="s">
        <v>18</v>
      </c>
      <c r="P1768" s="34" t="s">
        <v>19</v>
      </c>
      <c r="Q1768" s="38" t="s">
        <v>735</v>
      </c>
      <c r="R1768" s="34" t="s">
        <v>21</v>
      </c>
      <c r="S1768" s="34" t="s">
        <v>26</v>
      </c>
      <c r="T1768" s="34" t="s">
        <v>806</v>
      </c>
      <c r="U1768" s="34" t="str">
        <f>SUBSTITUTE($T1768, "INGUN", "/")</f>
        <v>N/A</v>
      </c>
      <c r="V1768" s="34" t="s">
        <v>27</v>
      </c>
      <c r="W1768" s="34" t="s">
        <v>28</v>
      </c>
      <c r="X1768" s="40" t="s">
        <v>173</v>
      </c>
      <c r="Y1768" s="63"/>
      <c r="Z1768" s="40" t="e">
        <f t="shared" si="82"/>
        <v>#NUM!</v>
      </c>
      <c r="AA1768" s="40"/>
      <c r="AB1768" s="34">
        <v>9</v>
      </c>
      <c r="AC1768" s="34">
        <v>10</v>
      </c>
      <c r="AD1768" s="40"/>
      <c r="AE1768" s="59" t="str">
        <f t="shared" si="83"/>
        <v>NO</v>
      </c>
      <c r="AF1768" s="40" t="e" cm="1">
        <f t="array" aca="1" ref="AF1768" ca="1">MIN(100, MAX(0, (IF(R1768="ESTUDIANTE", 31, 0)) + (IF(I1768&lt;=3, 30, IF(I1768&lt;=6, 20, 0))) +(IF(OR(E1768="413 - Control de Costes y Enlace Construcción", E1768="480 - Secretaría General del Consejo", E1768="132 - Civil y estructuras", E1768="136 - Mecánica", E1768="412 - Planificación", E1768="142 - Compras"), 25, 0)) +(IF(OR(S1768="GRADO ING. MECÁNICA", S1768="GRADO ING. ELÉCTRICA", S1768="GRADO DERECHO", S1768="GRADO ECONOMÍA", S1768="GRADO ING. TECNOLOGÍAS INDUSTRIALES"), 24, 0)) + (IF(AND(K1768&gt;=451, K1768&lt;=700), 23, 0)) + (IF(AND(AB1768&gt;=5, AB1768&lt;=8), 17, 0)) +(IF(_xludf.OR(_xludf.AND(AC1768&gt;=8, AC1768&lt;=10), _xludf.AND(AC1768&gt;=0, AC1768&lt;=5)), 16, 0)) + (IF(F1768="Madrid", 11, 0))))</f>
        <v>#NAME?</v>
      </c>
      <c r="AG1768" s="70"/>
      <c r="AH1768" s="71" t="s">
        <v>164</v>
      </c>
    </row>
    <row r="1769" spans="1:34" s="4" customFormat="1" ht="14.4" x14ac:dyDescent="0.3">
      <c r="A1769" s="66" t="s">
        <v>2747</v>
      </c>
      <c r="B1769" s="66" t="s">
        <v>4864</v>
      </c>
      <c r="C1769" s="33">
        <v>1768</v>
      </c>
      <c r="D1769" s="33" t="s">
        <v>5399</v>
      </c>
      <c r="E1769" s="34" t="s">
        <v>5314</v>
      </c>
      <c r="F1769" s="34" t="s">
        <v>18</v>
      </c>
      <c r="G1769" s="57">
        <v>45495</v>
      </c>
      <c r="H1769" s="57">
        <v>45859</v>
      </c>
      <c r="I1769" s="34">
        <f t="shared" si="81"/>
        <v>11</v>
      </c>
      <c r="J1769" s="34">
        <v>35</v>
      </c>
      <c r="K1769" s="36">
        <v>1200</v>
      </c>
      <c r="L1769" s="34" t="s">
        <v>17</v>
      </c>
      <c r="M1769" s="35">
        <v>36693</v>
      </c>
      <c r="N1769" s="37">
        <f>(YEAR(TablaMadre[[#This Row],[ALTA]])-YEAR(M1769))</f>
        <v>24</v>
      </c>
      <c r="O1769" s="34" t="s">
        <v>18</v>
      </c>
      <c r="P1769" s="34" t="s">
        <v>19</v>
      </c>
      <c r="Q1769" s="34" t="s">
        <v>297</v>
      </c>
      <c r="R1769" s="34" t="s">
        <v>21</v>
      </c>
      <c r="S1769" s="34" t="s">
        <v>297</v>
      </c>
      <c r="T1769" s="34" t="s">
        <v>820</v>
      </c>
      <c r="U1769" s="34" t="s">
        <v>30</v>
      </c>
      <c r="V1769" s="34" t="s">
        <v>84</v>
      </c>
      <c r="W1769" s="34" t="s">
        <v>28</v>
      </c>
      <c r="X1769" s="34" t="s">
        <v>173</v>
      </c>
      <c r="Y1769" s="57"/>
      <c r="Z1769" s="34" t="e">
        <f t="shared" si="82"/>
        <v>#NUM!</v>
      </c>
      <c r="AA1769" s="34"/>
      <c r="AB1769" s="34">
        <v>10</v>
      </c>
      <c r="AC1769" s="34">
        <v>6</v>
      </c>
      <c r="AD1769" s="34"/>
      <c r="AE1769" s="59" t="str">
        <f t="shared" si="83"/>
        <v>NO</v>
      </c>
      <c r="AF1769" s="34" t="e" cm="1">
        <f t="array" aca="1" ref="AF1769" ca="1">MIN(100, MAX(0, (IF(R1769="ESTUDIANTE", 31, 0)) + (IF(I1769&lt;=3, 30, IF(I1769&lt;=6, 20, 0))) +(IF(OR(E1769="413 - Control de Costes y Enlace Construcción", E1769="480 - Secretaría General del Consejo", E1769="132 - Civil y estructuras", E1769="136 - Mecánica", E1769="412 - Planificación", E1769="142 - Compras"), 25, 0)) +(IF(OR(S1769="GRADO ING. MECÁNICA", S1769="GRADO ING. ELÉCTRICA", S1769="GRADO DERECHO", S1769="GRADO ECONOMÍA", S1769="GRADO ING. TECNOLOGÍAS INDUSTRIALES"), 24, 0)) + (IF(AND(K1769&gt;=451, K1769&lt;=700), 23, 0)) + (IF(AND(AB1769&gt;=5, AB1769&lt;=8), 17, 0)) +(IF(_xludf.OR(_xludf.AND(AC1769&gt;=8, AC1769&lt;=10), _xludf.AND(AC1769&gt;=0, AC1769&lt;=5)), 16, 0)) + (IF(F1769="Madrid", 11, 0))))</f>
        <v>#NAME?</v>
      </c>
      <c r="AG1769" s="69"/>
      <c r="AH1769" s="71" t="s">
        <v>164</v>
      </c>
    </row>
    <row r="1770" spans="1:34" ht="14.4" x14ac:dyDescent="0.3">
      <c r="A1770" s="66" t="s">
        <v>2748</v>
      </c>
      <c r="B1770" s="66" t="s">
        <v>4865</v>
      </c>
      <c r="C1770" s="33">
        <v>1769</v>
      </c>
      <c r="D1770" s="33" t="s">
        <v>5400</v>
      </c>
      <c r="E1770" s="34" t="s">
        <v>5354</v>
      </c>
      <c r="F1770" s="34" t="s">
        <v>18</v>
      </c>
      <c r="G1770" s="57">
        <v>45495</v>
      </c>
      <c r="H1770" s="57">
        <v>45859</v>
      </c>
      <c r="I1770" s="34">
        <f t="shared" si="81"/>
        <v>11</v>
      </c>
      <c r="J1770" s="34">
        <v>35</v>
      </c>
      <c r="K1770" s="36">
        <v>1200</v>
      </c>
      <c r="L1770" s="34" t="s">
        <v>17</v>
      </c>
      <c r="M1770" s="35">
        <v>36445</v>
      </c>
      <c r="N1770" s="37">
        <f>(YEAR(TablaMadre[[#This Row],[ALTA]])-YEAR(M1770))</f>
        <v>25</v>
      </c>
      <c r="O1770" s="34" t="s">
        <v>18</v>
      </c>
      <c r="P1770" s="34" t="s">
        <v>19</v>
      </c>
      <c r="Q1770" s="34" t="s">
        <v>322</v>
      </c>
      <c r="R1770" s="34" t="s">
        <v>21</v>
      </c>
      <c r="S1770" s="34" t="s">
        <v>322</v>
      </c>
      <c r="T1770" s="34" t="s">
        <v>823</v>
      </c>
      <c r="U1770" s="34" t="s">
        <v>30</v>
      </c>
      <c r="V1770" s="34" t="s">
        <v>137</v>
      </c>
      <c r="W1770" s="34" t="s">
        <v>28</v>
      </c>
      <c r="X1770" s="38" t="s">
        <v>173</v>
      </c>
      <c r="Y1770" s="62"/>
      <c r="Z1770" s="38" t="e">
        <f t="shared" si="82"/>
        <v>#NUM!</v>
      </c>
      <c r="AA1770" s="38"/>
      <c r="AB1770" s="34">
        <v>7</v>
      </c>
      <c r="AC1770" s="34" t="s">
        <v>864</v>
      </c>
      <c r="AD1770" s="38"/>
      <c r="AE1770" s="59" t="str">
        <f t="shared" si="83"/>
        <v>NO</v>
      </c>
      <c r="AF1770" s="38" t="e" cm="1">
        <f t="array" aca="1" ref="AF1770" ca="1">MIN(100, MAX(0, (IF(R1770="ESTUDIANTE", 31, 0)) + (IF(I1770&lt;=3, 30, IF(I1770&lt;=6, 20, 0))) +(IF(OR(E1770="413 - Control de Costes y Enlace Construcción", E1770="480 - Secretaría General del Consejo", E1770="132 - Civil y estructuras", E1770="136 - Mecánica", E1770="412 - Planificación", E1770="142 - Compras"), 25, 0)) +(IF(OR(S1770="GRADO ING. MECÁNICA", S1770="GRADO ING. ELÉCTRICA", S1770="GRADO DERECHO", S1770="GRADO ECONOMÍA", S1770="GRADO ING. TECNOLOGÍAS INDUSTRIALES"), 24, 0)) + (IF(AND(K1770&gt;=451, K1770&lt;=700), 23, 0)) + (IF(AND(AB1770&gt;=5, AB1770&lt;=8), 17, 0)) +(IF(_xludf.OR(_xludf.AND(AC1770&gt;=8, AC1770&lt;=10), _xludf.AND(AC1770&gt;=0, AC1770&lt;=5)), 16, 0)) + (IF(F1770="Madrid", 11, 0))))</f>
        <v>#NAME?</v>
      </c>
      <c r="AG1770" s="68"/>
      <c r="AH1770" s="71" t="s">
        <v>164</v>
      </c>
    </row>
    <row r="1771" spans="1:34" ht="14.4" x14ac:dyDescent="0.3">
      <c r="A1771" s="66" t="s">
        <v>2749</v>
      </c>
      <c r="B1771" s="66" t="s">
        <v>4866</v>
      </c>
      <c r="C1771" s="33">
        <v>1770</v>
      </c>
      <c r="D1771" s="33" t="s">
        <v>5401</v>
      </c>
      <c r="E1771" s="34" t="s">
        <v>5312</v>
      </c>
      <c r="F1771" s="34" t="s">
        <v>18</v>
      </c>
      <c r="G1771" s="57">
        <v>45495</v>
      </c>
      <c r="H1771" s="57">
        <v>45859</v>
      </c>
      <c r="I1771" s="34">
        <f t="shared" si="81"/>
        <v>11</v>
      </c>
      <c r="J1771" s="34">
        <v>35</v>
      </c>
      <c r="K1771" s="36">
        <v>700</v>
      </c>
      <c r="L1771" s="34" t="s">
        <v>17</v>
      </c>
      <c r="M1771" s="35">
        <v>37038</v>
      </c>
      <c r="N1771" s="37">
        <f>(YEAR(TablaMadre[[#This Row],[ALTA]])-YEAR(M1771))</f>
        <v>23</v>
      </c>
      <c r="O1771" s="34" t="s">
        <v>575</v>
      </c>
      <c r="P1771" s="34" t="s">
        <v>19</v>
      </c>
      <c r="Q1771" s="34" t="s">
        <v>865</v>
      </c>
      <c r="R1771" s="34" t="s">
        <v>30</v>
      </c>
      <c r="S1771" s="34" t="s">
        <v>354</v>
      </c>
      <c r="T1771" s="34" t="s">
        <v>806</v>
      </c>
      <c r="U1771" s="34" t="str">
        <f>SUBSTITUTE($T1771, "INGUN", "/")</f>
        <v>N/A</v>
      </c>
      <c r="V1771" s="34" t="s">
        <v>142</v>
      </c>
      <c r="W1771" s="34" t="s">
        <v>28</v>
      </c>
      <c r="X1771" s="38" t="s">
        <v>173</v>
      </c>
      <c r="Y1771" s="62"/>
      <c r="Z1771" s="38" t="e">
        <f t="shared" si="82"/>
        <v>#NUM!</v>
      </c>
      <c r="AA1771" s="38"/>
      <c r="AB1771" s="34">
        <v>10</v>
      </c>
      <c r="AC1771" s="34">
        <v>10</v>
      </c>
      <c r="AD1771" s="38"/>
      <c r="AE1771" s="59" t="str">
        <f t="shared" si="83"/>
        <v>SÍ</v>
      </c>
      <c r="AF1771" s="38" t="e" cm="1">
        <f t="array" aca="1" ref="AF1771" ca="1">MIN(100, MAX(0, (IF(R1771="ESTUDIANTE", 31, 0)) + (IF(I1771&lt;=3, 30, IF(I1771&lt;=6, 20, 0))) +(IF(OR(E1771="413 - Control de Costes y Enlace Construcción", E1771="480 - Secretaría General del Consejo", E1771="132 - Civil y estructuras", E1771="136 - Mecánica", E1771="412 - Planificación", E1771="142 - Compras"), 25, 0)) +(IF(OR(S1771="GRADO ING. MECÁNICA", S1771="GRADO ING. ELÉCTRICA", S1771="GRADO DERECHO", S1771="GRADO ECONOMÍA", S1771="GRADO ING. TECNOLOGÍAS INDUSTRIALES"), 24, 0)) + (IF(AND(K1771&gt;=451, K1771&lt;=700), 23, 0)) + (IF(AND(AB1771&gt;=5, AB1771&lt;=8), 17, 0)) +(IF(_xludf.OR(_xludf.AND(AC1771&gt;=8, AC1771&lt;=10), _xludf.AND(AC1771&gt;=0, AC1771&lt;=5)), 16, 0)) + (IF(F1771="Madrid", 11, 0))))</f>
        <v>#NAME?</v>
      </c>
      <c r="AG1771" s="68"/>
      <c r="AH1771" s="71" t="s">
        <v>164</v>
      </c>
    </row>
    <row r="1772" spans="1:34" s="4" customFormat="1" ht="14.4" x14ac:dyDescent="0.3">
      <c r="A1772" s="66" t="s">
        <v>2750</v>
      </c>
      <c r="B1772" s="66" t="s">
        <v>4867</v>
      </c>
      <c r="C1772" s="33">
        <v>1771</v>
      </c>
      <c r="D1772" s="33" t="s">
        <v>5402</v>
      </c>
      <c r="E1772" s="34" t="s">
        <v>5314</v>
      </c>
      <c r="F1772" s="34" t="s">
        <v>18</v>
      </c>
      <c r="G1772" s="57">
        <v>45495</v>
      </c>
      <c r="H1772" s="57">
        <v>45860</v>
      </c>
      <c r="I1772" s="34">
        <f t="shared" si="81"/>
        <v>12</v>
      </c>
      <c r="J1772" s="34">
        <v>35</v>
      </c>
      <c r="K1772" s="36">
        <v>900</v>
      </c>
      <c r="L1772" s="34" t="s">
        <v>29</v>
      </c>
      <c r="M1772" s="35">
        <v>36617</v>
      </c>
      <c r="N1772" s="37">
        <f>(YEAR(TablaMadre[[#This Row],[ALTA]])-YEAR(M1772))</f>
        <v>24</v>
      </c>
      <c r="O1772" s="34" t="s">
        <v>18</v>
      </c>
      <c r="P1772" s="34" t="s">
        <v>19</v>
      </c>
      <c r="Q1772" s="34" t="s">
        <v>297</v>
      </c>
      <c r="R1772" s="34" t="s">
        <v>21</v>
      </c>
      <c r="S1772" s="34" t="s">
        <v>297</v>
      </c>
      <c r="T1772" s="34" t="s">
        <v>806</v>
      </c>
      <c r="U1772" s="34" t="str">
        <f>SUBSTITUTE($T1772, "INGUN", "/")</f>
        <v>N/A</v>
      </c>
      <c r="V1772" s="34" t="s">
        <v>84</v>
      </c>
      <c r="W1772" s="34" t="s">
        <v>28</v>
      </c>
      <c r="X1772" s="34" t="s">
        <v>173</v>
      </c>
      <c r="Y1772" s="57"/>
      <c r="Z1772" s="34" t="e">
        <f t="shared" si="82"/>
        <v>#NUM!</v>
      </c>
      <c r="AA1772" s="34"/>
      <c r="AB1772" s="34">
        <v>10</v>
      </c>
      <c r="AC1772" s="34">
        <v>7</v>
      </c>
      <c r="AD1772" s="34"/>
      <c r="AE1772" s="59" t="str">
        <f t="shared" si="83"/>
        <v>NO</v>
      </c>
      <c r="AF1772" s="34" t="e" cm="1">
        <f t="array" aca="1" ref="AF1772" ca="1">MIN(100, MAX(0, (IF(R1772="ESTUDIANTE", 31, 0)) + (IF(I1772&lt;=3, 30, IF(I1772&lt;=6, 20, 0))) +(IF(OR(E1772="413 - Control de Costes y Enlace Construcción", E1772="480 - Secretaría General del Consejo", E1772="132 - Civil y estructuras", E1772="136 - Mecánica", E1772="412 - Planificación", E1772="142 - Compras"), 25, 0)) +(IF(OR(S1772="GRADO ING. MECÁNICA", S1772="GRADO ING. ELÉCTRICA", S1772="GRADO DERECHO", S1772="GRADO ECONOMÍA", S1772="GRADO ING. TECNOLOGÍAS INDUSTRIALES"), 24, 0)) + (IF(AND(K1772&gt;=451, K1772&lt;=700), 23, 0)) + (IF(AND(AB1772&gt;=5, AB1772&lt;=8), 17, 0)) +(IF(_xludf.OR(_xludf.AND(AC1772&gt;=8, AC1772&lt;=10), _xludf.AND(AC1772&gt;=0, AC1772&lt;=5)), 16, 0)) + (IF(F1772="Madrid", 11, 0))))</f>
        <v>#NAME?</v>
      </c>
      <c r="AG1772" s="69"/>
      <c r="AH1772" s="71" t="s">
        <v>164</v>
      </c>
    </row>
    <row r="1773" spans="1:34" s="4" customFormat="1" ht="14.4" x14ac:dyDescent="0.3">
      <c r="A1773" s="66" t="s">
        <v>2751</v>
      </c>
      <c r="B1773" s="66" t="s">
        <v>4868</v>
      </c>
      <c r="C1773" s="33">
        <v>1772</v>
      </c>
      <c r="D1773" s="33" t="s">
        <v>5393</v>
      </c>
      <c r="E1773" s="34" t="s">
        <v>5368</v>
      </c>
      <c r="F1773" s="34" t="s">
        <v>18</v>
      </c>
      <c r="G1773" s="57">
        <v>45502</v>
      </c>
      <c r="H1773" s="57">
        <v>45685</v>
      </c>
      <c r="I1773" s="34">
        <f t="shared" si="81"/>
        <v>5</v>
      </c>
      <c r="J1773" s="34">
        <v>35</v>
      </c>
      <c r="K1773" s="36">
        <v>1200</v>
      </c>
      <c r="L1773" s="34" t="s">
        <v>17</v>
      </c>
      <c r="M1773" s="35">
        <v>36298</v>
      </c>
      <c r="N1773" s="37">
        <f>(YEAR(TablaMadre[[#This Row],[ALTA]])-YEAR(M1773))</f>
        <v>25</v>
      </c>
      <c r="O1773" s="34" t="s">
        <v>18</v>
      </c>
      <c r="P1773" s="34" t="s">
        <v>19</v>
      </c>
      <c r="Q1773" s="34" t="s">
        <v>801</v>
      </c>
      <c r="R1773" s="34" t="s">
        <v>21</v>
      </c>
      <c r="S1773" s="34" t="s">
        <v>307</v>
      </c>
      <c r="T1773" s="34"/>
      <c r="U1773" s="34" t="s">
        <v>30</v>
      </c>
      <c r="V1773" s="34" t="s">
        <v>67</v>
      </c>
      <c r="W1773" s="34" t="s">
        <v>28</v>
      </c>
      <c r="X1773" s="34" t="s">
        <v>173</v>
      </c>
      <c r="Y1773" s="57"/>
      <c r="Z1773" s="34" t="e">
        <f t="shared" si="82"/>
        <v>#NUM!</v>
      </c>
      <c r="AA1773" s="34"/>
      <c r="AB1773" s="34">
        <v>10</v>
      </c>
      <c r="AC1773" s="34">
        <v>7</v>
      </c>
      <c r="AD1773" s="34"/>
      <c r="AE1773" s="59" t="str">
        <f t="shared" si="83"/>
        <v>NO</v>
      </c>
      <c r="AF1773" s="34" t="e" cm="1">
        <f t="array" aca="1" ref="AF1773" ca="1">MIN(100, MAX(0, (IF(R1773="ESTUDIANTE", 31, 0)) + (IF(I1773&lt;=3, 30, IF(I1773&lt;=6, 20, 0))) +(IF(OR(E1773="413 - Control de Costes y Enlace Construcción", E1773="480 - Secretaría General del Consejo", E1773="132 - Civil y estructuras", E1773="136 - Mecánica", E1773="412 - Planificación", E1773="142 - Compras"), 25, 0)) +(IF(OR(S1773="GRADO ING. MECÁNICA", S1773="GRADO ING. ELÉCTRICA", S1773="GRADO DERECHO", S1773="GRADO ECONOMÍA", S1773="GRADO ING. TECNOLOGÍAS INDUSTRIALES"), 24, 0)) + (IF(AND(K1773&gt;=451, K1773&lt;=700), 23, 0)) + (IF(AND(AB1773&gt;=5, AB1773&lt;=8), 17, 0)) +(IF(_xludf.OR(_xludf.AND(AC1773&gt;=8, AC1773&lt;=10), _xludf.AND(AC1773&gt;=0, AC1773&lt;=5)), 16, 0)) + (IF(F1773="Madrid", 11, 0))))</f>
        <v>#NAME?</v>
      </c>
      <c r="AG1773" s="69"/>
      <c r="AH1773" s="71" t="s">
        <v>164</v>
      </c>
    </row>
    <row r="1774" spans="1:34" s="4" customFormat="1" ht="14.4" x14ac:dyDescent="0.3">
      <c r="A1774" s="66" t="s">
        <v>2752</v>
      </c>
      <c r="B1774" s="66" t="s">
        <v>4869</v>
      </c>
      <c r="C1774" s="33">
        <v>1773</v>
      </c>
      <c r="D1774" s="33" t="s">
        <v>5394</v>
      </c>
      <c r="E1774" s="34" t="s">
        <v>5233</v>
      </c>
      <c r="F1774" s="34" t="s">
        <v>18</v>
      </c>
      <c r="G1774" s="57">
        <v>45502</v>
      </c>
      <c r="H1774" s="57">
        <v>45866</v>
      </c>
      <c r="I1774" s="34">
        <f t="shared" si="81"/>
        <v>11</v>
      </c>
      <c r="J1774" s="34">
        <v>35</v>
      </c>
      <c r="K1774" s="36">
        <v>700</v>
      </c>
      <c r="L1774" s="34" t="s">
        <v>17</v>
      </c>
      <c r="M1774" s="35">
        <v>36861</v>
      </c>
      <c r="N1774" s="37">
        <f>(YEAR(TablaMadre[[#This Row],[ALTA]])-YEAR(M1774))</f>
        <v>24</v>
      </c>
      <c r="O1774" s="34" t="s">
        <v>18</v>
      </c>
      <c r="P1774" s="34" t="s">
        <v>19</v>
      </c>
      <c r="Q1774" s="34" t="s">
        <v>136</v>
      </c>
      <c r="R1774" s="34" t="s">
        <v>30</v>
      </c>
      <c r="S1774" s="34" t="s">
        <v>136</v>
      </c>
      <c r="T1774" s="34" t="s">
        <v>806</v>
      </c>
      <c r="U1774" s="34" t="str">
        <f>SUBSTITUTE($T1774, "INGUN", "/")</f>
        <v>N/A</v>
      </c>
      <c r="V1774" s="34" t="s">
        <v>40</v>
      </c>
      <c r="W1774" s="34" t="s">
        <v>28</v>
      </c>
      <c r="X1774" s="34" t="s">
        <v>173</v>
      </c>
      <c r="Y1774" s="57"/>
      <c r="Z1774" s="34" t="e">
        <f t="shared" si="82"/>
        <v>#NUM!</v>
      </c>
      <c r="AA1774" s="34"/>
      <c r="AB1774" s="34">
        <v>4</v>
      </c>
      <c r="AC1774" s="34">
        <v>7</v>
      </c>
      <c r="AD1774" s="34"/>
      <c r="AE1774" s="59" t="str">
        <f t="shared" si="83"/>
        <v>NO</v>
      </c>
      <c r="AF1774" s="34" t="e" cm="1">
        <f t="array" aca="1" ref="AF1774" ca="1">MIN(100, MAX(0, (IF(R1774="ESTUDIANTE", 31, 0)) + (IF(I1774&lt;=3, 30, IF(I1774&lt;=6, 20, 0))) +(IF(OR(E1774="413 - Control de Costes y Enlace Construcción", E1774="480 - Secretaría General del Consejo", E1774="132 - Civil y estructuras", E1774="136 - Mecánica", E1774="412 - Planificación", E1774="142 - Compras"), 25, 0)) +(IF(OR(S1774="GRADO ING. MECÁNICA", S1774="GRADO ING. ELÉCTRICA", S1774="GRADO DERECHO", S1774="GRADO ECONOMÍA", S1774="GRADO ING. TECNOLOGÍAS INDUSTRIALES"), 24, 0)) + (IF(AND(K1774&gt;=451, K1774&lt;=700), 23, 0)) + (IF(AND(AB1774&gt;=5, AB1774&lt;=8), 17, 0)) +(IF(_xludf.OR(_xludf.AND(AC1774&gt;=8, AC1774&lt;=10), _xludf.AND(AC1774&gt;=0, AC1774&lt;=5)), 16, 0)) + (IF(F1774="Madrid", 11, 0))))</f>
        <v>#NAME?</v>
      </c>
      <c r="AG1774" s="69"/>
      <c r="AH1774" s="71" t="s">
        <v>164</v>
      </c>
    </row>
    <row r="1775" spans="1:34" s="4" customFormat="1" ht="17.25" customHeight="1" x14ac:dyDescent="0.3">
      <c r="A1775" s="66" t="s">
        <v>2587</v>
      </c>
      <c r="B1775" s="66" t="s">
        <v>4704</v>
      </c>
      <c r="C1775" s="33">
        <v>1774</v>
      </c>
      <c r="D1775" s="33" t="s">
        <v>5403</v>
      </c>
      <c r="E1775" s="34" t="s">
        <v>5252</v>
      </c>
      <c r="F1775" s="34" t="s">
        <v>18</v>
      </c>
      <c r="G1775" s="57">
        <v>45505</v>
      </c>
      <c r="H1775" s="57">
        <v>45596</v>
      </c>
      <c r="I1775" s="34">
        <f t="shared" si="81"/>
        <v>2</v>
      </c>
      <c r="J1775" s="34">
        <v>35</v>
      </c>
      <c r="K1775" s="36">
        <v>900</v>
      </c>
      <c r="L1775" s="34" t="s">
        <v>17</v>
      </c>
      <c r="M1775" s="35">
        <v>37090</v>
      </c>
      <c r="N1775" s="37">
        <f>(YEAR(TablaMadre[[#This Row],[ALTA]])-YEAR(M1775))</f>
        <v>23</v>
      </c>
      <c r="O1775" s="34" t="s">
        <v>105</v>
      </c>
      <c r="P1775" s="34" t="s">
        <v>19</v>
      </c>
      <c r="Q1775" s="34" t="s">
        <v>428</v>
      </c>
      <c r="R1775" s="34" t="s">
        <v>21</v>
      </c>
      <c r="S1775" s="34" t="s">
        <v>297</v>
      </c>
      <c r="T1775" s="34"/>
      <c r="U1775" s="34" t="s">
        <v>42</v>
      </c>
      <c r="V1775" s="34" t="s">
        <v>163</v>
      </c>
      <c r="W1775" s="34" t="s">
        <v>181</v>
      </c>
      <c r="X1775" s="34" t="s">
        <v>164</v>
      </c>
      <c r="Y1775" s="57"/>
      <c r="Z1775" s="34" t="e">
        <f t="shared" si="82"/>
        <v>#NUM!</v>
      </c>
      <c r="AA1775" s="34"/>
      <c r="AB1775" s="34"/>
      <c r="AC1775" s="34"/>
      <c r="AD1775" s="34"/>
      <c r="AE1775" s="59" t="str">
        <f t="shared" si="83"/>
        <v>SÍ</v>
      </c>
      <c r="AF1775" s="34" t="e" cm="1">
        <f t="array" aca="1" ref="AF1775" ca="1">MIN(100, MAX(0, (IF(R1775="ESTUDIANTE", 31, 0)) + (IF(I1775&lt;=3, 30, IF(I1775&lt;=6, 20, 0))) +(IF(OR(E1775="413 - Control de Costes y Enlace Construcción", E1775="480 - Secretaría General del Consejo", E1775="132 - Civil y estructuras", E1775="136 - Mecánica", E1775="412 - Planificación", E1775="142 - Compras"), 25, 0)) +(IF(OR(S1775="GRADO ING. MECÁNICA", S1775="GRADO ING. ELÉCTRICA", S1775="GRADO DERECHO", S1775="GRADO ECONOMÍA", S1775="GRADO ING. TECNOLOGÍAS INDUSTRIALES"), 24, 0)) + (IF(AND(K1775&gt;=451, K1775&lt;=700), 23, 0)) + (IF(AND(AB1775&gt;=5, AB1775&lt;=8), 17, 0)) +(IF(_xludf.OR(_xludf.AND(AC1775&gt;=8, AC1775&lt;=10), _xludf.AND(AC1775&gt;=0, AC1775&lt;=5)), 16, 0)) + (IF(F1775="Madrid", 11, 0))))</f>
        <v>#NAME?</v>
      </c>
      <c r="AG1775" s="69"/>
      <c r="AH1775" s="71" t="s">
        <v>164</v>
      </c>
    </row>
    <row r="1776" spans="1:34" s="4" customFormat="1" ht="15.75" customHeight="1" x14ac:dyDescent="0.3">
      <c r="A1776" s="66" t="s">
        <v>2589</v>
      </c>
      <c r="B1776" s="66" t="s">
        <v>4706</v>
      </c>
      <c r="C1776" s="33">
        <v>1775</v>
      </c>
      <c r="D1776" s="33" t="s">
        <v>5404</v>
      </c>
      <c r="E1776" s="34" t="s">
        <v>5366</v>
      </c>
      <c r="F1776" s="34" t="s">
        <v>18</v>
      </c>
      <c r="G1776" s="57">
        <v>45530</v>
      </c>
      <c r="H1776" s="57">
        <v>45610</v>
      </c>
      <c r="I1776" s="34">
        <f t="shared" si="81"/>
        <v>2</v>
      </c>
      <c r="J1776" s="34">
        <v>35</v>
      </c>
      <c r="K1776" s="36">
        <v>900</v>
      </c>
      <c r="L1776" s="34" t="s">
        <v>17</v>
      </c>
      <c r="M1776" s="35">
        <v>34711</v>
      </c>
      <c r="N1776" s="37">
        <f>(YEAR(TablaMadre[[#This Row],[ALTA]])-YEAR(M1776))</f>
        <v>29</v>
      </c>
      <c r="O1776" s="34" t="s">
        <v>257</v>
      </c>
      <c r="P1776" s="34" t="s">
        <v>19</v>
      </c>
      <c r="Q1776" s="34" t="s">
        <v>322</v>
      </c>
      <c r="R1776" s="34" t="s">
        <v>21</v>
      </c>
      <c r="S1776" s="34" t="s">
        <v>322</v>
      </c>
      <c r="T1776" s="34"/>
      <c r="U1776" s="34" t="s">
        <v>30</v>
      </c>
      <c r="V1776" s="34" t="s">
        <v>22</v>
      </c>
      <c r="W1776" s="34" t="s">
        <v>181</v>
      </c>
      <c r="X1776" s="34" t="s">
        <v>164</v>
      </c>
      <c r="Y1776" s="57"/>
      <c r="Z1776" s="34" t="e">
        <f t="shared" si="82"/>
        <v>#NUM!</v>
      </c>
      <c r="AA1776" s="34"/>
      <c r="AB1776" s="34"/>
      <c r="AC1776" s="34"/>
      <c r="AD1776" s="34"/>
      <c r="AE1776" s="59" t="str">
        <f t="shared" si="83"/>
        <v>SÍ</v>
      </c>
      <c r="AF1776" s="34" t="e" cm="1">
        <f t="array" aca="1" ref="AF1776" ca="1">MIN(100, MAX(0, (IF(R1776="ESTUDIANTE", 31, 0)) + (IF(I1776&lt;=3, 30, IF(I1776&lt;=6, 20, 0))) +(IF(OR(E1776="413 - Control de Costes y Enlace Construcción", E1776="480 - Secretaría General del Consejo", E1776="132 - Civil y estructuras", E1776="136 - Mecánica", E1776="412 - Planificación", E1776="142 - Compras"), 25, 0)) +(IF(OR(S1776="GRADO ING. MECÁNICA", S1776="GRADO ING. ELÉCTRICA", S1776="GRADO DERECHO", S1776="GRADO ECONOMÍA", S1776="GRADO ING. TECNOLOGÍAS INDUSTRIALES"), 24, 0)) + (IF(AND(K1776&gt;=451, K1776&lt;=700), 23, 0)) + (IF(AND(AB1776&gt;=5, AB1776&lt;=8), 17, 0)) +(IF(_xludf.OR(_xludf.AND(AC1776&gt;=8, AC1776&lt;=10), _xludf.AND(AC1776&gt;=0, AC1776&lt;=5)), 16, 0)) + (IF(F1776="Madrid", 11, 0))))</f>
        <v>#NAME?</v>
      </c>
      <c r="AG1776" s="69"/>
      <c r="AH1776" s="71" t="s">
        <v>164</v>
      </c>
    </row>
    <row r="1777" spans="1:34" s="4" customFormat="1" ht="14.4" x14ac:dyDescent="0.3">
      <c r="A1777" s="66" t="s">
        <v>2593</v>
      </c>
      <c r="B1777" s="66" t="s">
        <v>4710</v>
      </c>
      <c r="C1777" s="33">
        <v>1777</v>
      </c>
      <c r="D1777" s="33" t="s">
        <v>5405</v>
      </c>
      <c r="E1777" s="34" t="s">
        <v>5217</v>
      </c>
      <c r="F1777" s="34" t="s">
        <v>18</v>
      </c>
      <c r="G1777" s="57">
        <v>45537</v>
      </c>
      <c r="H1777" s="57">
        <v>45674</v>
      </c>
      <c r="I1777" s="34">
        <f t="shared" si="81"/>
        <v>4</v>
      </c>
      <c r="J1777" s="34">
        <v>20</v>
      </c>
      <c r="K1777" s="36">
        <v>500</v>
      </c>
      <c r="L1777" s="34" t="s">
        <v>17</v>
      </c>
      <c r="M1777" s="35">
        <v>36947</v>
      </c>
      <c r="N1777" s="37">
        <f>(YEAR(TablaMadre[[#This Row],[ALTA]])-YEAR(M1777))</f>
        <v>23</v>
      </c>
      <c r="O1777" s="34" t="s">
        <v>18</v>
      </c>
      <c r="P1777" s="34" t="s">
        <v>19</v>
      </c>
      <c r="Q1777" s="34" t="s">
        <v>626</v>
      </c>
      <c r="R1777" s="58" t="s">
        <v>30</v>
      </c>
      <c r="S1777" s="34" t="s">
        <v>322</v>
      </c>
      <c r="T1777" s="34"/>
      <c r="U1777" s="34" t="s">
        <v>30</v>
      </c>
      <c r="V1777" s="34" t="s">
        <v>137</v>
      </c>
      <c r="W1777" s="34" t="s">
        <v>91</v>
      </c>
      <c r="X1777" s="34" t="s">
        <v>164</v>
      </c>
      <c r="Y1777" s="57"/>
      <c r="Z1777" s="34" t="e">
        <f t="shared" si="82"/>
        <v>#NUM!</v>
      </c>
      <c r="AA1777" s="34"/>
      <c r="AB1777" s="34"/>
      <c r="AC1777" s="34"/>
      <c r="AD1777" s="34"/>
      <c r="AE1777" s="59" t="str">
        <f t="shared" si="83"/>
        <v>NO</v>
      </c>
      <c r="AF1777" s="34" t="e" cm="1">
        <f t="array" aca="1" ref="AF1777" ca="1">MIN(100, MAX(0, (IF(R1777="ESTUDIANTE", 31, 0)) + (IF(I1777&lt;=3, 30, IF(I1777&lt;=6, 20, 0))) +(IF(OR(E1777="413 - Control de Costes y Enlace Construcción", E1777="480 - Secretaría General del Consejo", E1777="132 - Civil y estructuras", E1777="136 - Mecánica", E1777="412 - Planificación", E1777="142 - Compras"), 25, 0)) +(IF(OR(S1777="GRADO ING. MECÁNICA", S1777="GRADO ING. ELÉCTRICA", S1777="GRADO DERECHO", S1777="GRADO ECONOMÍA", S1777="GRADO ING. TECNOLOGÍAS INDUSTRIALES"), 24, 0)) + (IF(AND(K1777&gt;=451, K1777&lt;=700), 23, 0)) + (IF(AND(AB1777&gt;=5, AB1777&lt;=8), 17, 0)) +(IF(_xludf.OR(_xludf.AND(AC1777&gt;=8, AC1777&lt;=10), _xludf.AND(AC1777&gt;=0, AC1777&lt;=5)), 16, 0)) + (IF(F1777="Madrid", 11, 0))))</f>
        <v>#NAME?</v>
      </c>
      <c r="AG1777" s="69"/>
      <c r="AH1777" s="71" t="s">
        <v>164</v>
      </c>
    </row>
    <row r="1778" spans="1:34" s="4" customFormat="1" ht="14.4" x14ac:dyDescent="0.3">
      <c r="A1778" s="66" t="s">
        <v>2757</v>
      </c>
      <c r="B1778" s="66" t="s">
        <v>4874</v>
      </c>
      <c r="C1778" s="33">
        <v>1778</v>
      </c>
      <c r="D1778" s="33" t="s">
        <v>5396</v>
      </c>
      <c r="E1778" s="34" t="s">
        <v>5314</v>
      </c>
      <c r="F1778" s="34" t="s">
        <v>18</v>
      </c>
      <c r="G1778" s="57">
        <v>45537</v>
      </c>
      <c r="H1778" s="57">
        <v>45695</v>
      </c>
      <c r="I1778" s="34">
        <f t="shared" si="81"/>
        <v>5</v>
      </c>
      <c r="J1778" s="34">
        <v>35</v>
      </c>
      <c r="K1778" s="36">
        <v>1200</v>
      </c>
      <c r="L1778" s="34" t="s">
        <v>29</v>
      </c>
      <c r="M1778" s="35">
        <v>35550</v>
      </c>
      <c r="N1778" s="37">
        <f>(YEAR(TablaMadre[[#This Row],[ALTA]])-YEAR(M1778))</f>
        <v>27</v>
      </c>
      <c r="O1778" s="34" t="s">
        <v>18</v>
      </c>
      <c r="P1778" s="34" t="s">
        <v>19</v>
      </c>
      <c r="Q1778" s="34" t="s">
        <v>428</v>
      </c>
      <c r="R1778" s="34" t="s">
        <v>21</v>
      </c>
      <c r="S1778" s="34" t="s">
        <v>297</v>
      </c>
      <c r="T1778" s="34"/>
      <c r="U1778" s="34" t="s">
        <v>30</v>
      </c>
      <c r="V1778" s="34" t="s">
        <v>56</v>
      </c>
      <c r="W1778" s="34" t="s">
        <v>28</v>
      </c>
      <c r="X1778" s="34" t="s">
        <v>173</v>
      </c>
      <c r="Y1778" s="57"/>
      <c r="Z1778" s="34" t="e">
        <f t="shared" si="82"/>
        <v>#NUM!</v>
      </c>
      <c r="AA1778" s="34"/>
      <c r="AB1778" s="34">
        <v>10</v>
      </c>
      <c r="AC1778" s="34">
        <v>9</v>
      </c>
      <c r="AD1778" s="34"/>
      <c r="AE1778" s="59" t="str">
        <f t="shared" si="83"/>
        <v>NO</v>
      </c>
      <c r="AF1778" s="34" t="e" cm="1">
        <f t="array" aca="1" ref="AF1778" ca="1">MIN(100, MAX(0, (IF(R1778="ESTUDIANTE", 31, 0)) + (IF(I1778&lt;=3, 30, IF(I1778&lt;=6, 20, 0))) +(IF(OR(E1778="413 - Control de Costes y Enlace Construcción", E1778="480 - Secretaría General del Consejo", E1778="132 - Civil y estructuras", E1778="136 - Mecánica", E1778="412 - Planificación", E1778="142 - Compras"), 25, 0)) +(IF(OR(S1778="GRADO ING. MECÁNICA", S1778="GRADO ING. ELÉCTRICA", S1778="GRADO DERECHO", S1778="GRADO ECONOMÍA", S1778="GRADO ING. TECNOLOGÍAS INDUSTRIALES"), 24, 0)) + (IF(AND(K1778&gt;=451, K1778&lt;=700), 23, 0)) + (IF(AND(AB1778&gt;=5, AB1778&lt;=8), 17, 0)) +(IF(_xludf.OR(_xludf.AND(AC1778&gt;=8, AC1778&lt;=10), _xludf.AND(AC1778&gt;=0, AC1778&lt;=5)), 16, 0)) + (IF(F1778="Madrid", 11, 0))))</f>
        <v>#NAME?</v>
      </c>
      <c r="AG1778" s="69"/>
      <c r="AH1778" s="71" t="s">
        <v>164</v>
      </c>
    </row>
    <row r="1779" spans="1:34" s="4" customFormat="1" ht="15.75" customHeight="1" x14ac:dyDescent="0.3">
      <c r="A1779" s="66" t="s">
        <v>2758</v>
      </c>
      <c r="B1779" s="66" t="s">
        <v>4875</v>
      </c>
      <c r="C1779" s="33">
        <v>1779</v>
      </c>
      <c r="D1779" s="33" t="s">
        <v>5397</v>
      </c>
      <c r="E1779" s="34" t="s">
        <v>5241</v>
      </c>
      <c r="F1779" s="34" t="s">
        <v>18</v>
      </c>
      <c r="G1779" s="57">
        <v>45537</v>
      </c>
      <c r="H1779" s="57">
        <v>45716</v>
      </c>
      <c r="I1779" s="34">
        <f t="shared" si="81"/>
        <v>5</v>
      </c>
      <c r="J1779" s="34">
        <v>25</v>
      </c>
      <c r="K1779" s="36">
        <v>625</v>
      </c>
      <c r="L1779" s="34" t="s">
        <v>29</v>
      </c>
      <c r="M1779" s="35">
        <v>36482</v>
      </c>
      <c r="N1779" s="37">
        <f>(YEAR(TablaMadre[[#This Row],[ALTA]])-YEAR(M1779))</f>
        <v>25</v>
      </c>
      <c r="O1779" s="34" t="s">
        <v>808</v>
      </c>
      <c r="P1779" s="34" t="s">
        <v>808</v>
      </c>
      <c r="Q1779" s="34" t="s">
        <v>809</v>
      </c>
      <c r="R1779" s="58" t="s">
        <v>30</v>
      </c>
      <c r="S1779" s="34" t="s">
        <v>322</v>
      </c>
      <c r="T1779" s="34"/>
      <c r="U1779" s="34" t="s">
        <v>30</v>
      </c>
      <c r="V1779" s="34" t="s">
        <v>90</v>
      </c>
      <c r="W1779" s="34" t="s">
        <v>28</v>
      </c>
      <c r="X1779" s="34" t="s">
        <v>173</v>
      </c>
      <c r="Y1779" s="57"/>
      <c r="Z1779" s="34" t="e">
        <f t="shared" si="82"/>
        <v>#NUM!</v>
      </c>
      <c r="AA1779" s="34"/>
      <c r="AB1779" s="34">
        <v>10</v>
      </c>
      <c r="AC1779" s="34">
        <v>8</v>
      </c>
      <c r="AD1779" s="34"/>
      <c r="AE1779" s="59" t="str">
        <f t="shared" si="83"/>
        <v>SÍ</v>
      </c>
      <c r="AF1779" s="34" t="e" cm="1">
        <f t="array" aca="1" ref="AF1779" ca="1">MIN(100, MAX(0, (IF(R1779="ESTUDIANTE", 31, 0)) + (IF(I1779&lt;=3, 30, IF(I1779&lt;=6, 20, 0))) +(IF(OR(E1779="413 - Control de Costes y Enlace Construcción", E1779="480 - Secretaría General del Consejo", E1779="132 - Civil y estructuras", E1779="136 - Mecánica", E1779="412 - Planificación", E1779="142 - Compras"), 25, 0)) +(IF(OR(S1779="GRADO ING. MECÁNICA", S1779="GRADO ING. ELÉCTRICA", S1779="GRADO DERECHO", S1779="GRADO ECONOMÍA", S1779="GRADO ING. TECNOLOGÍAS INDUSTRIALES"), 24, 0)) + (IF(AND(K1779&gt;=451, K1779&lt;=700), 23, 0)) + (IF(AND(AB1779&gt;=5, AB1779&lt;=8), 17, 0)) +(IF(_xludf.OR(_xludf.AND(AC1779&gt;=8, AC1779&lt;=10), _xludf.AND(AC1779&gt;=0, AC1779&lt;=5)), 16, 0)) + (IF(F1779="Madrid", 11, 0))))</f>
        <v>#NAME?</v>
      </c>
      <c r="AG1779" s="69"/>
      <c r="AH1779" s="71" t="s">
        <v>164</v>
      </c>
    </row>
    <row r="1780" spans="1:34" s="4" customFormat="1" ht="14.4" x14ac:dyDescent="0.3">
      <c r="A1780" s="66" t="s">
        <v>2759</v>
      </c>
      <c r="B1780" s="66" t="s">
        <v>4876</v>
      </c>
      <c r="C1780" s="33">
        <v>1780</v>
      </c>
      <c r="D1780" s="33" t="s">
        <v>5393</v>
      </c>
      <c r="E1780" s="34" t="s">
        <v>5356</v>
      </c>
      <c r="F1780" s="34" t="s">
        <v>18</v>
      </c>
      <c r="G1780" s="57">
        <v>45537</v>
      </c>
      <c r="H1780" s="57">
        <v>45716</v>
      </c>
      <c r="I1780" s="34">
        <f t="shared" si="81"/>
        <v>5</v>
      </c>
      <c r="J1780" s="34">
        <v>35</v>
      </c>
      <c r="K1780" s="36">
        <v>1200</v>
      </c>
      <c r="L1780" s="34" t="s">
        <v>17</v>
      </c>
      <c r="M1780" s="35">
        <v>37095</v>
      </c>
      <c r="N1780" s="37">
        <f>(YEAR(TablaMadre[[#This Row],[ALTA]])-YEAR(M1780))</f>
        <v>23</v>
      </c>
      <c r="O1780" s="34" t="s">
        <v>558</v>
      </c>
      <c r="P1780" s="34" t="s">
        <v>19</v>
      </c>
      <c r="Q1780" s="34" t="s">
        <v>810</v>
      </c>
      <c r="R1780" s="34" t="s">
        <v>21</v>
      </c>
      <c r="S1780" s="34" t="s">
        <v>326</v>
      </c>
      <c r="T1780" s="34"/>
      <c r="U1780" s="34" t="s">
        <v>42</v>
      </c>
      <c r="V1780" s="34" t="s">
        <v>290</v>
      </c>
      <c r="W1780" s="34" t="s">
        <v>28</v>
      </c>
      <c r="X1780" s="34" t="s">
        <v>173</v>
      </c>
      <c r="Y1780" s="57"/>
      <c r="Z1780" s="34" t="e">
        <f t="shared" si="82"/>
        <v>#NUM!</v>
      </c>
      <c r="AA1780" s="34"/>
      <c r="AB1780" s="34">
        <v>10</v>
      </c>
      <c r="AC1780" s="34">
        <v>10</v>
      </c>
      <c r="AD1780" s="34"/>
      <c r="AE1780" s="59" t="str">
        <f t="shared" si="83"/>
        <v>SÍ</v>
      </c>
      <c r="AF1780" s="34" t="e" cm="1">
        <f t="array" aca="1" ref="AF1780" ca="1">MIN(100, MAX(0, (IF(R1780="ESTUDIANTE", 31, 0)) + (IF(I1780&lt;=3, 30, IF(I1780&lt;=6, 20, 0))) +(IF(OR(E1780="413 - Control de Costes y Enlace Construcción", E1780="480 - Secretaría General del Consejo", E1780="132 - Civil y estructuras", E1780="136 - Mecánica", E1780="412 - Planificación", E1780="142 - Compras"), 25, 0)) +(IF(OR(S1780="GRADO ING. MECÁNICA", S1780="GRADO ING. ELÉCTRICA", S1780="GRADO DERECHO", S1780="GRADO ECONOMÍA", S1780="GRADO ING. TECNOLOGÍAS INDUSTRIALES"), 24, 0)) + (IF(AND(K1780&gt;=451, K1780&lt;=700), 23, 0)) + (IF(AND(AB1780&gt;=5, AB1780&lt;=8), 17, 0)) +(IF(_xludf.OR(_xludf.AND(AC1780&gt;=8, AC1780&lt;=10), _xludf.AND(AC1780&gt;=0, AC1780&lt;=5)), 16, 0)) + (IF(F1780="Madrid", 11, 0))))</f>
        <v>#NAME?</v>
      </c>
      <c r="AG1780" s="69"/>
      <c r="AH1780" s="71" t="s">
        <v>164</v>
      </c>
    </row>
    <row r="1781" spans="1:34" s="4" customFormat="1" ht="14.4" x14ac:dyDescent="0.3">
      <c r="A1781" s="66" t="s">
        <v>2760</v>
      </c>
      <c r="B1781" s="66" t="s">
        <v>4877</v>
      </c>
      <c r="C1781" s="33">
        <v>1781</v>
      </c>
      <c r="D1781" s="33" t="s">
        <v>5394</v>
      </c>
      <c r="E1781" s="34" t="s">
        <v>5241</v>
      </c>
      <c r="F1781" s="34" t="s">
        <v>18</v>
      </c>
      <c r="G1781" s="57">
        <v>45537</v>
      </c>
      <c r="H1781" s="57">
        <v>45716</v>
      </c>
      <c r="I1781" s="34">
        <f t="shared" si="81"/>
        <v>5</v>
      </c>
      <c r="J1781" s="34">
        <v>35</v>
      </c>
      <c r="K1781" s="36">
        <v>1200</v>
      </c>
      <c r="L1781" s="34" t="s">
        <v>29</v>
      </c>
      <c r="M1781" s="35">
        <v>36351</v>
      </c>
      <c r="N1781" s="37">
        <f>(YEAR(TablaMadre[[#This Row],[ALTA]])-YEAR(M1781))</f>
        <v>25</v>
      </c>
      <c r="O1781" s="34" t="s">
        <v>558</v>
      </c>
      <c r="P1781" s="34" t="s">
        <v>19</v>
      </c>
      <c r="Q1781" s="34" t="s">
        <v>809</v>
      </c>
      <c r="R1781" s="34" t="s">
        <v>21</v>
      </c>
      <c r="S1781" s="34" t="s">
        <v>322</v>
      </c>
      <c r="T1781" s="34"/>
      <c r="U1781" s="34" t="s">
        <v>21</v>
      </c>
      <c r="V1781" s="34" t="s">
        <v>290</v>
      </c>
      <c r="W1781" s="34" t="s">
        <v>28</v>
      </c>
      <c r="X1781" s="34" t="s">
        <v>173</v>
      </c>
      <c r="Y1781" s="57"/>
      <c r="Z1781" s="34" t="e">
        <f t="shared" si="82"/>
        <v>#NUM!</v>
      </c>
      <c r="AA1781" s="34"/>
      <c r="AB1781" s="34">
        <v>10</v>
      </c>
      <c r="AC1781" s="34">
        <v>10</v>
      </c>
      <c r="AD1781" s="34"/>
      <c r="AE1781" s="59" t="str">
        <f t="shared" si="83"/>
        <v>SÍ</v>
      </c>
      <c r="AF1781" s="34" t="e" cm="1">
        <f t="array" aca="1" ref="AF1781" ca="1">MIN(100, MAX(0, (IF(R1781="ESTUDIANTE", 31, 0)) + (IF(I1781&lt;=3, 30, IF(I1781&lt;=6, 20, 0))) +(IF(OR(E1781="413 - Control de Costes y Enlace Construcción", E1781="480 - Secretaría General del Consejo", E1781="132 - Civil y estructuras", E1781="136 - Mecánica", E1781="412 - Planificación", E1781="142 - Compras"), 25, 0)) +(IF(OR(S1781="GRADO ING. MECÁNICA", S1781="GRADO ING. ELÉCTRICA", S1781="GRADO DERECHO", S1781="GRADO ECONOMÍA", S1781="GRADO ING. TECNOLOGÍAS INDUSTRIALES"), 24, 0)) + (IF(AND(K1781&gt;=451, K1781&lt;=700), 23, 0)) + (IF(AND(AB1781&gt;=5, AB1781&lt;=8), 17, 0)) +(IF(_xludf.OR(_xludf.AND(AC1781&gt;=8, AC1781&lt;=10), _xludf.AND(AC1781&gt;=0, AC1781&lt;=5)), 16, 0)) + (IF(F1781="Madrid", 11, 0))))</f>
        <v>#NAME?</v>
      </c>
      <c r="AG1781" s="69"/>
      <c r="AH1781" s="71" t="s">
        <v>164</v>
      </c>
    </row>
    <row r="1782" spans="1:34" s="4" customFormat="1" ht="15.9" customHeight="1" x14ac:dyDescent="0.3">
      <c r="A1782" s="66" t="s">
        <v>2761</v>
      </c>
      <c r="B1782" s="66" t="s">
        <v>4878</v>
      </c>
      <c r="C1782" s="33">
        <v>1782</v>
      </c>
      <c r="D1782" s="33" t="s">
        <v>5395</v>
      </c>
      <c r="E1782" s="34" t="s">
        <v>5233</v>
      </c>
      <c r="F1782" s="34" t="s">
        <v>558</v>
      </c>
      <c r="G1782" s="57">
        <v>45537</v>
      </c>
      <c r="H1782" s="57">
        <v>45716</v>
      </c>
      <c r="I1782" s="34">
        <f t="shared" si="81"/>
        <v>5</v>
      </c>
      <c r="J1782" s="34">
        <v>35</v>
      </c>
      <c r="K1782" s="36">
        <v>1200</v>
      </c>
      <c r="L1782" s="34" t="s">
        <v>29</v>
      </c>
      <c r="M1782" s="35">
        <v>35820</v>
      </c>
      <c r="N1782" s="37">
        <f>(YEAR(TablaMadre[[#This Row],[ALTA]])-YEAR(M1782))</f>
        <v>26</v>
      </c>
      <c r="O1782" s="34" t="s">
        <v>558</v>
      </c>
      <c r="P1782" s="34" t="s">
        <v>19</v>
      </c>
      <c r="Q1782" s="34" t="s">
        <v>626</v>
      </c>
      <c r="R1782" s="34" t="s">
        <v>21</v>
      </c>
      <c r="S1782" s="34" t="s">
        <v>322</v>
      </c>
      <c r="T1782" s="34"/>
      <c r="U1782" s="34" t="s">
        <v>30</v>
      </c>
      <c r="V1782" s="34" t="s">
        <v>310</v>
      </c>
      <c r="W1782" s="34" t="s">
        <v>28</v>
      </c>
      <c r="X1782" s="38" t="s">
        <v>173</v>
      </c>
      <c r="Y1782" s="62"/>
      <c r="Z1782" s="38" t="e">
        <f t="shared" si="82"/>
        <v>#NUM!</v>
      </c>
      <c r="AA1782" s="38"/>
      <c r="AB1782" s="34">
        <v>10</v>
      </c>
      <c r="AC1782" s="34">
        <v>9</v>
      </c>
      <c r="AD1782" s="38"/>
      <c r="AE1782" s="59" t="str">
        <f t="shared" si="83"/>
        <v>NO</v>
      </c>
      <c r="AF1782" s="34" t="e" cm="1">
        <f t="array" aca="1" ref="AF1782" ca="1">MIN(100, MAX(0, (IF(R1782="ESTUDIANTE", 31, 0)) + (IF(I1782&lt;=3, 30, IF(I1782&lt;=6, 20, 0))) +(IF(OR(E1782="413 - Control de Costes y Enlace Construcción", E1782="480 - Secretaría General del Consejo", E1782="132 - Civil y estructuras", E1782="136 - Mecánica", E1782="412 - Planificación", E1782="142 - Compras"), 25, 0)) +(IF(OR(S1782="GRADO ING. MECÁNICA", S1782="GRADO ING. ELÉCTRICA", S1782="GRADO DERECHO", S1782="GRADO ECONOMÍA", S1782="GRADO ING. TECNOLOGÍAS INDUSTRIALES"), 24, 0)) + (IF(AND(K1782&gt;=451, K1782&lt;=700), 23, 0)) + (IF(AND(AB1782&gt;=5, AB1782&lt;=8), 17, 0)) +(IF(_xludf.OR(_xludf.AND(AC1782&gt;=8, AC1782&lt;=10), _xludf.AND(AC1782&gt;=0, AC1782&lt;=5)), 16, 0)) + (IF(F1782="Madrid", 11, 0))))</f>
        <v>#NAME?</v>
      </c>
      <c r="AG1782" s="69"/>
      <c r="AH1782" s="71" t="s">
        <v>164</v>
      </c>
    </row>
    <row r="1783" spans="1:34" ht="13.5" customHeight="1" x14ac:dyDescent="0.3">
      <c r="A1783" s="66" t="s">
        <v>2762</v>
      </c>
      <c r="B1783" s="66" t="s">
        <v>4879</v>
      </c>
      <c r="C1783" s="33">
        <v>1783</v>
      </c>
      <c r="D1783" s="33" t="s">
        <v>5396</v>
      </c>
      <c r="E1783" s="34" t="s">
        <v>5241</v>
      </c>
      <c r="F1783" s="34" t="s">
        <v>18</v>
      </c>
      <c r="G1783" s="57">
        <v>45537</v>
      </c>
      <c r="H1783" s="57">
        <v>45716</v>
      </c>
      <c r="I1783" s="34">
        <f t="shared" si="81"/>
        <v>5</v>
      </c>
      <c r="J1783" s="34">
        <v>35</v>
      </c>
      <c r="K1783" s="36">
        <v>900</v>
      </c>
      <c r="L1783" s="34" t="s">
        <v>17</v>
      </c>
      <c r="M1783" s="35">
        <v>36948</v>
      </c>
      <c r="N1783" s="37">
        <f>(YEAR(TablaMadre[[#This Row],[ALTA]])-YEAR(M1783))</f>
        <v>23</v>
      </c>
      <c r="O1783" s="34" t="s">
        <v>18</v>
      </c>
      <c r="P1783" s="34" t="s">
        <v>19</v>
      </c>
      <c r="Q1783" s="34" t="s">
        <v>626</v>
      </c>
      <c r="R1783" s="34" t="s">
        <v>21</v>
      </c>
      <c r="S1783" s="34" t="s">
        <v>322</v>
      </c>
      <c r="T1783" s="34"/>
      <c r="U1783" s="34" t="s">
        <v>30</v>
      </c>
      <c r="V1783" s="34" t="s">
        <v>22</v>
      </c>
      <c r="W1783" s="34" t="s">
        <v>28</v>
      </c>
      <c r="X1783" s="34" t="s">
        <v>173</v>
      </c>
      <c r="Y1783" s="57"/>
      <c r="Z1783" s="34" t="e">
        <f t="shared" si="82"/>
        <v>#NUM!</v>
      </c>
      <c r="AA1783" s="34"/>
      <c r="AB1783" s="34">
        <v>9</v>
      </c>
      <c r="AC1783" s="34">
        <v>10</v>
      </c>
      <c r="AD1783" s="34"/>
      <c r="AE1783" s="59" t="str">
        <f t="shared" si="83"/>
        <v>NO</v>
      </c>
      <c r="AF1783" s="38" t="e" cm="1">
        <f t="array" aca="1" ref="AF1783" ca="1">MIN(100, MAX(0, (IF(R1783="ESTUDIANTE", 31, 0)) + (IF(I1783&lt;=3, 30, IF(I1783&lt;=6, 20, 0))) +(IF(OR(E1783="413 - Control de Costes y Enlace Construcción", E1783="480 - Secretaría General del Consejo", E1783="132 - Civil y estructuras", E1783="136 - Mecánica", E1783="412 - Planificación", E1783="142 - Compras"), 25, 0)) +(IF(OR(S1783="GRADO ING. MECÁNICA", S1783="GRADO ING. ELÉCTRICA", S1783="GRADO DERECHO", S1783="GRADO ECONOMÍA", S1783="GRADO ING. TECNOLOGÍAS INDUSTRIALES"), 24, 0)) + (IF(AND(K1783&gt;=451, K1783&lt;=700), 23, 0)) + (IF(AND(AB1783&gt;=5, AB1783&lt;=8), 17, 0)) +(IF(_xludf.OR(_xludf.AND(AC1783&gt;=8, AC1783&lt;=10), _xludf.AND(AC1783&gt;=0, AC1783&lt;=5)), 16, 0)) + (IF(F1783="Madrid", 11, 0))))</f>
        <v>#NAME?</v>
      </c>
      <c r="AG1783" s="68"/>
      <c r="AH1783" s="71" t="s">
        <v>164</v>
      </c>
    </row>
    <row r="1784" spans="1:34" s="4" customFormat="1" ht="14.4" x14ac:dyDescent="0.3">
      <c r="A1784" s="66" t="s">
        <v>2763</v>
      </c>
      <c r="B1784" s="66" t="s">
        <v>4880</v>
      </c>
      <c r="C1784" s="33">
        <v>1784</v>
      </c>
      <c r="D1784" s="33" t="s">
        <v>5397</v>
      </c>
      <c r="E1784" s="34" t="s">
        <v>5354</v>
      </c>
      <c r="F1784" s="34" t="s">
        <v>18</v>
      </c>
      <c r="G1784" s="57">
        <v>45537</v>
      </c>
      <c r="H1784" s="57">
        <v>45900</v>
      </c>
      <c r="I1784" s="34">
        <f t="shared" si="81"/>
        <v>11</v>
      </c>
      <c r="J1784" s="34">
        <v>35</v>
      </c>
      <c r="K1784" s="36">
        <v>900</v>
      </c>
      <c r="L1784" s="34" t="s">
        <v>29</v>
      </c>
      <c r="M1784" s="35">
        <v>37459</v>
      </c>
      <c r="N1784" s="37">
        <f>(YEAR(TablaMadre[[#This Row],[ALTA]])-YEAR(M1784))</f>
        <v>22</v>
      </c>
      <c r="O1784" s="34" t="s">
        <v>18</v>
      </c>
      <c r="P1784" s="34" t="s">
        <v>19</v>
      </c>
      <c r="Q1784" s="34" t="s">
        <v>322</v>
      </c>
      <c r="R1784" s="34" t="s">
        <v>21</v>
      </c>
      <c r="S1784" s="34" t="s">
        <v>322</v>
      </c>
      <c r="T1784" s="34" t="s">
        <v>823</v>
      </c>
      <c r="U1784" s="34" t="s">
        <v>30</v>
      </c>
      <c r="V1784" s="34" t="s">
        <v>67</v>
      </c>
      <c r="W1784" s="34" t="s">
        <v>28</v>
      </c>
      <c r="X1784" s="34" t="s">
        <v>173</v>
      </c>
      <c r="Y1784" s="57"/>
      <c r="Z1784" s="34" t="e">
        <f t="shared" si="82"/>
        <v>#NUM!</v>
      </c>
      <c r="AA1784" s="34"/>
      <c r="AB1784" s="34">
        <v>10</v>
      </c>
      <c r="AC1784" s="34">
        <v>10</v>
      </c>
      <c r="AD1784" s="34"/>
      <c r="AE1784" s="59" t="str">
        <f t="shared" si="83"/>
        <v>NO</v>
      </c>
      <c r="AF1784" s="34" t="e" cm="1">
        <f t="array" aca="1" ref="AF1784" ca="1">MIN(100, MAX(0, (IF(R1784="ESTUDIANTE", 31, 0)) + (IF(I1784&lt;=3, 30, IF(I1784&lt;=6, 20, 0))) +(IF(OR(E1784="413 - Control de Costes y Enlace Construcción", E1784="480 - Secretaría General del Consejo", E1784="132 - Civil y estructuras", E1784="136 - Mecánica", E1784="412 - Planificación", E1784="142 - Compras"), 25, 0)) +(IF(OR(S1784="GRADO ING. MECÁNICA", S1784="GRADO ING. ELÉCTRICA", S1784="GRADO DERECHO", S1784="GRADO ECONOMÍA", S1784="GRADO ING. TECNOLOGÍAS INDUSTRIALES"), 24, 0)) + (IF(AND(K1784&gt;=451, K1784&lt;=700), 23, 0)) + (IF(AND(AB1784&gt;=5, AB1784&lt;=8), 17, 0)) +(IF(_xludf.OR(_xludf.AND(AC1784&gt;=8, AC1784&lt;=10), _xludf.AND(AC1784&gt;=0, AC1784&lt;=5)), 16, 0)) + (IF(F1784="Madrid", 11, 0))))</f>
        <v>#NAME?</v>
      </c>
      <c r="AG1784" s="69"/>
      <c r="AH1784" s="71" t="s">
        <v>164</v>
      </c>
    </row>
    <row r="1785" spans="1:34" s="4" customFormat="1" ht="14.4" x14ac:dyDescent="0.3">
      <c r="A1785" s="66" t="s">
        <v>2764</v>
      </c>
      <c r="B1785" s="66" t="s">
        <v>4881</v>
      </c>
      <c r="C1785" s="33">
        <v>1785</v>
      </c>
      <c r="D1785" s="33" t="s">
        <v>5398</v>
      </c>
      <c r="E1785" s="34" t="s">
        <v>5299</v>
      </c>
      <c r="F1785" s="34" t="s">
        <v>463</v>
      </c>
      <c r="G1785" s="57">
        <v>45537</v>
      </c>
      <c r="H1785" s="57">
        <v>45930</v>
      </c>
      <c r="I1785" s="34">
        <f t="shared" si="81"/>
        <v>12</v>
      </c>
      <c r="J1785" s="34">
        <v>35</v>
      </c>
      <c r="K1785" s="36">
        <v>0</v>
      </c>
      <c r="L1785" s="34" t="s">
        <v>17</v>
      </c>
      <c r="M1785" s="39">
        <v>34998</v>
      </c>
      <c r="N1785" s="37">
        <f>(YEAR(TablaMadre[[#This Row],[ALTA]])-YEAR(M1785))</f>
        <v>29</v>
      </c>
      <c r="O1785" s="34" t="s">
        <v>70</v>
      </c>
      <c r="P1785" s="34" t="s">
        <v>19</v>
      </c>
      <c r="Q1785" s="34" t="s">
        <v>297</v>
      </c>
      <c r="R1785" s="34" t="s">
        <v>30</v>
      </c>
      <c r="S1785" s="34" t="s">
        <v>297</v>
      </c>
      <c r="T1785" s="34" t="s">
        <v>820</v>
      </c>
      <c r="U1785" s="34" t="s">
        <v>30</v>
      </c>
      <c r="V1785" s="34" t="s">
        <v>86</v>
      </c>
      <c r="W1785" s="34" t="s">
        <v>28</v>
      </c>
      <c r="X1785" s="34" t="s">
        <v>173</v>
      </c>
      <c r="Y1785" s="57"/>
      <c r="Z1785" s="34" t="e">
        <f t="shared" si="82"/>
        <v>#NUM!</v>
      </c>
      <c r="AA1785" s="34"/>
      <c r="AB1785" s="34">
        <v>7</v>
      </c>
      <c r="AC1785" s="34">
        <v>10</v>
      </c>
      <c r="AD1785" s="34"/>
      <c r="AE1785" s="59" t="str">
        <f t="shared" si="83"/>
        <v>SÍ</v>
      </c>
      <c r="AF1785" s="34" t="e" cm="1">
        <f t="array" aca="1" ref="AF1785" ca="1">MIN(100, MAX(0, (IF(R1785="ESTUDIANTE", 31, 0)) + (IF(I1785&lt;=3, 30, IF(I1785&lt;=6, 20, 0))) +(IF(OR(E1785="413 - Control de Costes y Enlace Construcción", E1785="480 - Secretaría General del Consejo", E1785="132 - Civil y estructuras", E1785="136 - Mecánica", E1785="412 - Planificación", E1785="142 - Compras"), 25, 0)) +(IF(OR(S1785="GRADO ING. MECÁNICA", S1785="GRADO ING. ELÉCTRICA", S1785="GRADO DERECHO", S1785="GRADO ECONOMÍA", S1785="GRADO ING. TECNOLOGÍAS INDUSTRIALES"), 24, 0)) + (IF(AND(K1785&gt;=451, K1785&lt;=700), 23, 0)) + (IF(AND(AB1785&gt;=5, AB1785&lt;=8), 17, 0)) +(IF(_xludf.OR(_xludf.AND(AC1785&gt;=8, AC1785&lt;=10), _xludf.AND(AC1785&gt;=0, AC1785&lt;=5)), 16, 0)) + (IF(F1785="Madrid", 11, 0))))</f>
        <v>#NAME?</v>
      </c>
      <c r="AG1785" s="69"/>
      <c r="AH1785" s="71" t="s">
        <v>164</v>
      </c>
    </row>
    <row r="1786" spans="1:34" s="4" customFormat="1" ht="14.4" x14ac:dyDescent="0.3">
      <c r="A1786" s="66" t="s">
        <v>3024</v>
      </c>
      <c r="B1786" s="66" t="s">
        <v>5141</v>
      </c>
      <c r="C1786" s="33">
        <v>1776</v>
      </c>
      <c r="D1786" s="33" t="s">
        <v>5399</v>
      </c>
      <c r="E1786" s="34" t="s">
        <v>5233</v>
      </c>
      <c r="F1786" s="34" t="s">
        <v>18</v>
      </c>
      <c r="G1786" s="57">
        <v>45537</v>
      </c>
      <c r="H1786" s="57">
        <v>45555</v>
      </c>
      <c r="I1786" s="34">
        <f t="shared" si="81"/>
        <v>0</v>
      </c>
      <c r="J1786" s="34">
        <v>35</v>
      </c>
      <c r="K1786" s="36">
        <v>0</v>
      </c>
      <c r="L1786" s="34" t="s">
        <v>17</v>
      </c>
      <c r="M1786" s="35">
        <v>38663</v>
      </c>
      <c r="N1786" s="37">
        <f>(YEAR(TablaMadre[[#This Row],[ALTA]])-YEAR(M1786))</f>
        <v>19</v>
      </c>
      <c r="O1786" s="34" t="s">
        <v>808</v>
      </c>
      <c r="P1786" s="34" t="s">
        <v>19</v>
      </c>
      <c r="Q1786" s="34" t="s">
        <v>136</v>
      </c>
      <c r="R1786" s="34" t="s">
        <v>30</v>
      </c>
      <c r="S1786" s="34" t="s">
        <v>136</v>
      </c>
      <c r="T1786" s="34"/>
      <c r="U1786" s="34" t="s">
        <v>42</v>
      </c>
      <c r="V1786" s="34" t="s">
        <v>780</v>
      </c>
      <c r="W1786" s="34" t="s">
        <v>91</v>
      </c>
      <c r="X1786" s="34" t="s">
        <v>164</v>
      </c>
      <c r="Y1786" s="57"/>
      <c r="Z1786" s="34" t="e">
        <f t="shared" si="82"/>
        <v>#NUM!</v>
      </c>
      <c r="AA1786" s="34"/>
      <c r="AB1786" s="34"/>
      <c r="AC1786" s="34"/>
      <c r="AD1786" s="34"/>
      <c r="AE1786" s="59" t="str">
        <f t="shared" si="83"/>
        <v>SÍ</v>
      </c>
      <c r="AF1786" s="34" t="e" cm="1">
        <f t="array" aca="1" ref="AF1786" ca="1">MIN(100, MAX(0, (IF(R1786="ESTUDIANTE", 31, 0)) + (IF(I1786&lt;=3, 30, IF(I1786&lt;=6, 20, 0))) +(IF(OR(E1786="413 - Control de Costes y Enlace Construcción", E1786="480 - Secretaría General del Consejo", E1786="132 - Civil y estructuras", E1786="136 - Mecánica", E1786="412 - Planificación", E1786="142 - Compras"), 25, 0)) +(IF(OR(S1786="GRADO ING. MECÁNICA", S1786="GRADO ING. ELÉCTRICA", S1786="GRADO DERECHO", S1786="GRADO ECONOMÍA", S1786="GRADO ING. TECNOLOGÍAS INDUSTRIALES"), 24, 0)) + (IF(AND(K1786&gt;=451, K1786&lt;=700), 23, 0)) + (IF(AND(AB1786&gt;=5, AB1786&lt;=8), 17, 0)) +(IF(_xludf.OR(_xludf.AND(AC1786&gt;=8, AC1786&lt;=10), _xludf.AND(AC1786&gt;=0, AC1786&lt;=5)), 16, 0)) + (IF(F1786="Madrid", 11, 0))))</f>
        <v>#NAME?</v>
      </c>
      <c r="AG1786" s="69"/>
      <c r="AH1786" s="71" t="s">
        <v>164</v>
      </c>
    </row>
    <row r="1787" spans="1:34" ht="14.4" x14ac:dyDescent="0.3">
      <c r="A1787" s="66" t="s">
        <v>2617</v>
      </c>
      <c r="B1787" s="66" t="s">
        <v>4734</v>
      </c>
      <c r="C1787" s="33">
        <v>1806</v>
      </c>
      <c r="D1787" s="33" t="s">
        <v>5400</v>
      </c>
      <c r="E1787" s="34" t="s">
        <v>5369</v>
      </c>
      <c r="F1787" s="34" t="s">
        <v>18</v>
      </c>
      <c r="G1787" s="57">
        <v>45544</v>
      </c>
      <c r="H1787" s="57">
        <v>45908</v>
      </c>
      <c r="I1787" s="34">
        <f t="shared" si="81"/>
        <v>11</v>
      </c>
      <c r="J1787" s="34">
        <v>35</v>
      </c>
      <c r="K1787" s="36">
        <v>900</v>
      </c>
      <c r="L1787" s="34" t="s">
        <v>17</v>
      </c>
      <c r="M1787" s="35">
        <v>36558</v>
      </c>
      <c r="N1787" s="37">
        <f>(YEAR(TablaMadre[[#This Row],[ALTA]])-YEAR(M1787))</f>
        <v>24</v>
      </c>
      <c r="O1787" s="34" t="s">
        <v>18</v>
      </c>
      <c r="P1787" s="34" t="s">
        <v>19</v>
      </c>
      <c r="Q1787" s="34" t="s">
        <v>384</v>
      </c>
      <c r="R1787" s="34" t="s">
        <v>21</v>
      </c>
      <c r="S1787" s="34" t="s">
        <v>384</v>
      </c>
      <c r="T1787" s="34" t="s">
        <v>806</v>
      </c>
      <c r="U1787" s="34" t="str">
        <f>SUBSTITUTE($T1787, "INGUN", "/")</f>
        <v>N/A</v>
      </c>
      <c r="V1787" s="34" t="s">
        <v>22</v>
      </c>
      <c r="W1787" s="34" t="s">
        <v>181</v>
      </c>
      <c r="X1787" s="38" t="s">
        <v>164</v>
      </c>
      <c r="Y1787" s="62"/>
      <c r="Z1787" s="38" t="e">
        <f t="shared" si="82"/>
        <v>#NUM!</v>
      </c>
      <c r="AA1787" s="38"/>
      <c r="AB1787" s="34">
        <v>9</v>
      </c>
      <c r="AC1787" s="34">
        <v>3</v>
      </c>
      <c r="AD1787" s="38"/>
      <c r="AE1787" s="59" t="str">
        <f t="shared" si="83"/>
        <v>NO</v>
      </c>
      <c r="AF1787" s="38" t="e" cm="1">
        <f t="array" aca="1" ref="AF1787" ca="1">MIN(100, MAX(0, (IF(R1787="ESTUDIANTE", 31, 0)) + (IF(I1787&lt;=3, 30, IF(I1787&lt;=6, 20, 0))) +(IF(OR(E1787="413 - Control de Costes y Enlace Construcción", E1787="480 - Secretaría General del Consejo", E1787="132 - Civil y estructuras", E1787="136 - Mecánica", E1787="412 - Planificación", E1787="142 - Compras"), 25, 0)) +(IF(OR(S1787="GRADO ING. MECÁNICA", S1787="GRADO ING. ELÉCTRICA", S1787="GRADO DERECHO", S1787="GRADO ECONOMÍA", S1787="GRADO ING. TECNOLOGÍAS INDUSTRIALES"), 24, 0)) + (IF(AND(K1787&gt;=451, K1787&lt;=700), 23, 0)) + (IF(AND(AB1787&gt;=5, AB1787&lt;=8), 17, 0)) +(IF(_xludf.OR(_xludf.AND(AC1787&gt;=8, AC1787&lt;=10), _xludf.AND(AC1787&gt;=0, AC1787&lt;=5)), 16, 0)) + (IF(F1787="Madrid", 11, 0))))</f>
        <v>#NAME?</v>
      </c>
      <c r="AG1787" s="68"/>
      <c r="AH1787" s="71" t="s">
        <v>164</v>
      </c>
    </row>
    <row r="1788" spans="1:34" s="4" customFormat="1" ht="14.4" x14ac:dyDescent="0.3">
      <c r="A1788" s="66" t="s">
        <v>2619</v>
      </c>
      <c r="B1788" s="66" t="s">
        <v>4736</v>
      </c>
      <c r="C1788" s="33">
        <v>1786</v>
      </c>
      <c r="D1788" s="33" t="s">
        <v>5401</v>
      </c>
      <c r="E1788" s="34" t="s">
        <v>5370</v>
      </c>
      <c r="F1788" s="34" t="s">
        <v>18</v>
      </c>
      <c r="G1788" s="57">
        <v>45544</v>
      </c>
      <c r="H1788" s="57">
        <v>45603</v>
      </c>
      <c r="I1788" s="34">
        <f t="shared" si="81"/>
        <v>1</v>
      </c>
      <c r="J1788" s="34">
        <v>35</v>
      </c>
      <c r="K1788" s="36">
        <v>700</v>
      </c>
      <c r="L1788" s="34" t="s">
        <v>17</v>
      </c>
      <c r="M1788" s="35">
        <v>37412</v>
      </c>
      <c r="N1788" s="37">
        <f>(YEAR(TablaMadre[[#This Row],[ALTA]])-YEAR(M1788))</f>
        <v>22</v>
      </c>
      <c r="O1788" s="34" t="s">
        <v>18</v>
      </c>
      <c r="P1788" s="34" t="s">
        <v>19</v>
      </c>
      <c r="Q1788" s="34" t="s">
        <v>322</v>
      </c>
      <c r="R1788" s="58" t="s">
        <v>30</v>
      </c>
      <c r="S1788" s="34" t="s">
        <v>322</v>
      </c>
      <c r="T1788" s="34"/>
      <c r="U1788" s="34" t="s">
        <v>30</v>
      </c>
      <c r="V1788" s="34" t="s">
        <v>67</v>
      </c>
      <c r="W1788" s="34" t="s">
        <v>380</v>
      </c>
      <c r="X1788" s="38" t="s">
        <v>164</v>
      </c>
      <c r="Y1788" s="62"/>
      <c r="Z1788" s="38" t="e">
        <f t="shared" si="82"/>
        <v>#NUM!</v>
      </c>
      <c r="AA1788" s="38"/>
      <c r="AB1788" s="34"/>
      <c r="AC1788" s="34"/>
      <c r="AD1788" s="38"/>
      <c r="AE1788" s="59" t="str">
        <f t="shared" si="83"/>
        <v>NO</v>
      </c>
      <c r="AF1788" s="34" t="e" cm="1">
        <f t="array" aca="1" ref="AF1788" ca="1">MIN(100, MAX(0, (IF(R1788="ESTUDIANTE", 31, 0)) + (IF(I1788&lt;=3, 30, IF(I1788&lt;=6, 20, 0))) +(IF(OR(E1788="413 - Control de Costes y Enlace Construcción", E1788="480 - Secretaría General del Consejo", E1788="132 - Civil y estructuras", E1788="136 - Mecánica", E1788="412 - Planificación", E1788="142 - Compras"), 25, 0)) +(IF(OR(S1788="GRADO ING. MECÁNICA", S1788="GRADO ING. ELÉCTRICA", S1788="GRADO DERECHO", S1788="GRADO ECONOMÍA", S1788="GRADO ING. TECNOLOGÍAS INDUSTRIALES"), 24, 0)) + (IF(AND(K1788&gt;=451, K1788&lt;=700), 23, 0)) + (IF(AND(AB1788&gt;=5, AB1788&lt;=8), 17, 0)) +(IF(_xludf.OR(_xludf.AND(AC1788&gt;=8, AC1788&lt;=10), _xludf.AND(AC1788&gt;=0, AC1788&lt;=5)), 16, 0)) + (IF(F1788="Madrid", 11, 0))))</f>
        <v>#NAME?</v>
      </c>
      <c r="AG1788" s="69"/>
      <c r="AH1788" s="71" t="s">
        <v>164</v>
      </c>
    </row>
    <row r="1789" spans="1:34" ht="14.4" x14ac:dyDescent="0.3">
      <c r="A1789" s="66" t="s">
        <v>2629</v>
      </c>
      <c r="B1789" s="66" t="s">
        <v>4746</v>
      </c>
      <c r="C1789" s="33">
        <v>1800</v>
      </c>
      <c r="D1789" s="33" t="s">
        <v>5402</v>
      </c>
      <c r="E1789" s="34" t="s">
        <v>5368</v>
      </c>
      <c r="F1789" s="34" t="s">
        <v>18</v>
      </c>
      <c r="G1789" s="57">
        <v>45544</v>
      </c>
      <c r="H1789" s="57">
        <v>45835</v>
      </c>
      <c r="I1789" s="34">
        <f t="shared" si="81"/>
        <v>9</v>
      </c>
      <c r="J1789" s="34">
        <v>35</v>
      </c>
      <c r="K1789" s="36">
        <v>700</v>
      </c>
      <c r="L1789" s="34" t="s">
        <v>17</v>
      </c>
      <c r="M1789" s="35">
        <v>37372</v>
      </c>
      <c r="N1789" s="37">
        <f>(YEAR(TablaMadre[[#This Row],[ALTA]])-YEAR(M1789))</f>
        <v>22</v>
      </c>
      <c r="O1789" s="34" t="s">
        <v>511</v>
      </c>
      <c r="P1789" s="34" t="s">
        <v>19</v>
      </c>
      <c r="Q1789" s="34" t="s">
        <v>326</v>
      </c>
      <c r="R1789" s="34" t="s">
        <v>30</v>
      </c>
      <c r="S1789" s="34" t="s">
        <v>326</v>
      </c>
      <c r="T1789" s="34" t="s">
        <v>806</v>
      </c>
      <c r="U1789" s="34" t="str">
        <f>SUBSTITUTE($T1789, "INGUN", "/")</f>
        <v>N/A</v>
      </c>
      <c r="V1789" s="34" t="s">
        <v>22</v>
      </c>
      <c r="W1789" s="34" t="s">
        <v>91</v>
      </c>
      <c r="X1789" s="34" t="s">
        <v>164</v>
      </c>
      <c r="Y1789" s="57"/>
      <c r="Z1789" s="34" t="e">
        <f t="shared" si="82"/>
        <v>#NUM!</v>
      </c>
      <c r="AA1789" s="34"/>
      <c r="AB1789" s="34">
        <v>8</v>
      </c>
      <c r="AC1789" s="34">
        <v>9</v>
      </c>
      <c r="AD1789" s="34"/>
      <c r="AE1789" s="59" t="str">
        <f t="shared" si="83"/>
        <v>SÍ</v>
      </c>
      <c r="AF1789" s="38" t="e" cm="1">
        <f t="array" aca="1" ref="AF1789" ca="1">MIN(100, MAX(0, (IF(R1789="ESTUDIANTE", 31, 0)) + (IF(I1789&lt;=3, 30, IF(I1789&lt;=6, 20, 0))) +(IF(OR(E1789="413 - Control de Costes y Enlace Construcción", E1789="480 - Secretaría General del Consejo", E1789="132 - Civil y estructuras", E1789="136 - Mecánica", E1789="412 - Planificación", E1789="142 - Compras"), 25, 0)) +(IF(OR(S1789="GRADO ING. MECÁNICA", S1789="GRADO ING. ELÉCTRICA", S1789="GRADO DERECHO", S1789="GRADO ECONOMÍA", S1789="GRADO ING. TECNOLOGÍAS INDUSTRIALES"), 24, 0)) + (IF(AND(K1789&gt;=451, K1789&lt;=700), 23, 0)) + (IF(AND(AB1789&gt;=5, AB1789&lt;=8), 17, 0)) +(IF(_xludf.OR(_xludf.AND(AC1789&gt;=8, AC1789&lt;=10), _xludf.AND(AC1789&gt;=0, AC1789&lt;=5)), 16, 0)) + (IF(F1789="Madrid", 11, 0))))</f>
        <v>#NAME?</v>
      </c>
      <c r="AG1789" s="68"/>
      <c r="AH1789" s="71" t="s">
        <v>164</v>
      </c>
    </row>
    <row r="1790" spans="1:34" ht="14.4" x14ac:dyDescent="0.3">
      <c r="A1790" s="66" t="s">
        <v>2634</v>
      </c>
      <c r="B1790" s="66" t="s">
        <v>4751</v>
      </c>
      <c r="C1790" s="33">
        <v>1787</v>
      </c>
      <c r="D1790" s="33" t="s">
        <v>5393</v>
      </c>
      <c r="E1790" s="34" t="s">
        <v>5335</v>
      </c>
      <c r="F1790" s="34" t="s">
        <v>18</v>
      </c>
      <c r="G1790" s="57">
        <v>45544</v>
      </c>
      <c r="H1790" s="57">
        <v>45688</v>
      </c>
      <c r="I1790" s="34">
        <f t="shared" si="81"/>
        <v>4</v>
      </c>
      <c r="J1790" s="34">
        <v>35</v>
      </c>
      <c r="K1790" s="36">
        <v>700</v>
      </c>
      <c r="L1790" s="34" t="s">
        <v>17</v>
      </c>
      <c r="M1790" s="35">
        <v>37897</v>
      </c>
      <c r="N1790" s="37">
        <f>(YEAR(TablaMadre[[#This Row],[ALTA]])-YEAR(M1790))</f>
        <v>21</v>
      </c>
      <c r="O1790" s="34" t="s">
        <v>803</v>
      </c>
      <c r="P1790" s="34" t="s">
        <v>803</v>
      </c>
      <c r="Q1790" s="34" t="s">
        <v>804</v>
      </c>
      <c r="R1790" s="58" t="s">
        <v>30</v>
      </c>
      <c r="S1790" s="34" t="s">
        <v>429</v>
      </c>
      <c r="T1790" s="34"/>
      <c r="U1790" s="34" t="s">
        <v>30</v>
      </c>
      <c r="V1790" s="34" t="s">
        <v>90</v>
      </c>
      <c r="W1790" s="34" t="s">
        <v>23</v>
      </c>
      <c r="X1790" s="34" t="s">
        <v>164</v>
      </c>
      <c r="Y1790" s="57"/>
      <c r="Z1790" s="34" t="e">
        <f t="shared" si="82"/>
        <v>#NUM!</v>
      </c>
      <c r="AA1790" s="34"/>
      <c r="AB1790" s="34">
        <v>8</v>
      </c>
      <c r="AC1790" s="34">
        <v>9</v>
      </c>
      <c r="AD1790" s="34"/>
      <c r="AE1790" s="59" t="str">
        <f t="shared" si="83"/>
        <v>SÍ</v>
      </c>
      <c r="AF1790" s="38" t="e" cm="1">
        <f t="array" aca="1" ref="AF1790" ca="1">MIN(100, MAX(0, (IF(R1790="ESTUDIANTE", 31, 0)) + (IF(I1790&lt;=3, 30, IF(I1790&lt;=6, 20, 0))) +(IF(OR(E1790="413 - Control de Costes y Enlace Construcción", E1790="480 - Secretaría General del Consejo", E1790="132 - Civil y estructuras", E1790="136 - Mecánica", E1790="412 - Planificación", E1790="142 - Compras"), 25, 0)) +(IF(OR(S1790="GRADO ING. MECÁNICA", S1790="GRADO ING. ELÉCTRICA", S1790="GRADO DERECHO", S1790="GRADO ECONOMÍA", S1790="GRADO ING. TECNOLOGÍAS INDUSTRIALES"), 24, 0)) + (IF(AND(K1790&gt;=451, K1790&lt;=700), 23, 0)) + (IF(AND(AB1790&gt;=5, AB1790&lt;=8), 17, 0)) +(IF(_xludf.OR(_xludf.AND(AC1790&gt;=8, AC1790&lt;=10), _xludf.AND(AC1790&gt;=0, AC1790&lt;=5)), 16, 0)) + (IF(F1790="Madrid", 11, 0))))</f>
        <v>#NAME?</v>
      </c>
      <c r="AG1790" s="68"/>
      <c r="AH1790" s="71" t="s">
        <v>164</v>
      </c>
    </row>
    <row r="1791" spans="1:34" s="4" customFormat="1" ht="13.5" customHeight="1" x14ac:dyDescent="0.3">
      <c r="A1791" s="66" t="s">
        <v>2639</v>
      </c>
      <c r="B1791" s="66" t="s">
        <v>4756</v>
      </c>
      <c r="C1791" s="33">
        <v>1804</v>
      </c>
      <c r="D1791" s="33" t="s">
        <v>5394</v>
      </c>
      <c r="E1791" s="34" t="s">
        <v>5216</v>
      </c>
      <c r="F1791" s="34" t="s">
        <v>18</v>
      </c>
      <c r="G1791" s="57">
        <v>45544</v>
      </c>
      <c r="H1791" s="57">
        <v>45908</v>
      </c>
      <c r="I1791" s="34">
        <f t="shared" si="81"/>
        <v>11</v>
      </c>
      <c r="J1791" s="34">
        <v>35</v>
      </c>
      <c r="K1791" s="36">
        <v>1000</v>
      </c>
      <c r="L1791" s="34" t="s">
        <v>17</v>
      </c>
      <c r="M1791" s="35">
        <v>37455</v>
      </c>
      <c r="N1791" s="37">
        <f>(YEAR(TablaMadre[[#This Row],[ALTA]])-YEAR(M1791))</f>
        <v>22</v>
      </c>
      <c r="O1791" s="34" t="s">
        <v>18</v>
      </c>
      <c r="P1791" s="34" t="s">
        <v>19</v>
      </c>
      <c r="Q1791" s="34" t="s">
        <v>297</v>
      </c>
      <c r="R1791" s="34" t="s">
        <v>21</v>
      </c>
      <c r="S1791" s="34" t="s">
        <v>297</v>
      </c>
      <c r="T1791" s="34" t="s">
        <v>820</v>
      </c>
      <c r="U1791" s="34" t="s">
        <v>21</v>
      </c>
      <c r="V1791" s="34" t="s">
        <v>90</v>
      </c>
      <c r="W1791" s="34" t="s">
        <v>23</v>
      </c>
      <c r="X1791" s="34" t="s">
        <v>164</v>
      </c>
      <c r="Y1791" s="57"/>
      <c r="Z1791" s="34" t="e">
        <f t="shared" si="82"/>
        <v>#NUM!</v>
      </c>
      <c r="AA1791" s="34"/>
      <c r="AB1791" s="34">
        <v>8</v>
      </c>
      <c r="AC1791" s="34">
        <v>6</v>
      </c>
      <c r="AD1791" s="34"/>
      <c r="AE1791" s="59" t="str">
        <f t="shared" si="83"/>
        <v>NO</v>
      </c>
      <c r="AF1791" s="34" t="e" cm="1">
        <f t="array" aca="1" ref="AF1791" ca="1">MIN(100, MAX(0, (IF(R1791="ESTUDIANTE", 31, 0)) + (IF(I1791&lt;=3, 30, IF(I1791&lt;=6, 20, 0))) +(IF(OR(E1791="413 - Control de Costes y Enlace Construcción", E1791="480 - Secretaría General del Consejo", E1791="132 - Civil y estructuras", E1791="136 - Mecánica", E1791="412 - Planificación", E1791="142 - Compras"), 25, 0)) +(IF(OR(S1791="GRADO ING. MECÁNICA", S1791="GRADO ING. ELÉCTRICA", S1791="GRADO DERECHO", S1791="GRADO ECONOMÍA", S1791="GRADO ING. TECNOLOGÍAS INDUSTRIALES"), 24, 0)) + (IF(AND(K1791&gt;=451, K1791&lt;=700), 23, 0)) + (IF(AND(AB1791&gt;=5, AB1791&lt;=8), 17, 0)) +(IF(_xludf.OR(_xludf.AND(AC1791&gt;=8, AC1791&lt;=10), _xludf.AND(AC1791&gt;=0, AC1791&lt;=5)), 16, 0)) + (IF(F1791="Madrid", 11, 0))))</f>
        <v>#NAME?</v>
      </c>
      <c r="AG1791" s="69"/>
      <c r="AH1791" s="71" t="s">
        <v>164</v>
      </c>
    </row>
    <row r="1792" spans="1:34" ht="14.4" x14ac:dyDescent="0.3">
      <c r="A1792" s="66" t="s">
        <v>2767</v>
      </c>
      <c r="B1792" s="66" t="s">
        <v>4884</v>
      </c>
      <c r="C1792" s="33">
        <v>1788</v>
      </c>
      <c r="D1792" s="33" t="s">
        <v>5403</v>
      </c>
      <c r="E1792" s="34" t="s">
        <v>5252</v>
      </c>
      <c r="F1792" s="34" t="s">
        <v>558</v>
      </c>
      <c r="G1792" s="57">
        <v>45544</v>
      </c>
      <c r="H1792" s="57">
        <v>45716</v>
      </c>
      <c r="I1792" s="34">
        <f t="shared" si="81"/>
        <v>5</v>
      </c>
      <c r="J1792" s="34">
        <v>35</v>
      </c>
      <c r="K1792" s="36">
        <v>700</v>
      </c>
      <c r="L1792" s="34" t="s">
        <v>29</v>
      </c>
      <c r="M1792" s="35">
        <v>37337</v>
      </c>
      <c r="N1792" s="37">
        <f>(YEAR(TablaMadre[[#This Row],[ALTA]])-YEAR(M1792))</f>
        <v>22</v>
      </c>
      <c r="O1792" s="34" t="s">
        <v>558</v>
      </c>
      <c r="P1792" s="34" t="s">
        <v>19</v>
      </c>
      <c r="Q1792" s="34" t="s">
        <v>136</v>
      </c>
      <c r="R1792" s="58" t="s">
        <v>30</v>
      </c>
      <c r="S1792" s="34" t="s">
        <v>136</v>
      </c>
      <c r="T1792" s="34"/>
      <c r="U1792" s="34" t="s">
        <v>30</v>
      </c>
      <c r="V1792" s="34" t="s">
        <v>310</v>
      </c>
      <c r="W1792" s="34" t="s">
        <v>28</v>
      </c>
      <c r="X1792" s="38" t="s">
        <v>173</v>
      </c>
      <c r="Y1792" s="62"/>
      <c r="Z1792" s="38" t="e">
        <f t="shared" si="82"/>
        <v>#NUM!</v>
      </c>
      <c r="AA1792" s="38"/>
      <c r="AB1792" s="34">
        <v>9</v>
      </c>
      <c r="AC1792" s="34">
        <v>10</v>
      </c>
      <c r="AD1792" s="38"/>
      <c r="AE1792" s="59" t="str">
        <f t="shared" si="83"/>
        <v>NO</v>
      </c>
      <c r="AF1792" s="38" t="e" cm="1">
        <f t="array" aca="1" ref="AF1792" ca="1">MIN(100, MAX(0, (IF(R1792="ESTUDIANTE", 31, 0)) + (IF(I1792&lt;=3, 30, IF(I1792&lt;=6, 20, 0))) +(IF(OR(E1792="413 - Control de Costes y Enlace Construcción", E1792="480 - Secretaría General del Consejo", E1792="132 - Civil y estructuras", E1792="136 - Mecánica", E1792="412 - Planificación", E1792="142 - Compras"), 25, 0)) +(IF(OR(S1792="GRADO ING. MECÁNICA", S1792="GRADO ING. ELÉCTRICA", S1792="GRADO DERECHO", S1792="GRADO ECONOMÍA", S1792="GRADO ING. TECNOLOGÍAS INDUSTRIALES"), 24, 0)) + (IF(AND(K1792&gt;=451, K1792&lt;=700), 23, 0)) + (IF(AND(AB1792&gt;=5, AB1792&lt;=8), 17, 0)) +(IF(_xludf.OR(_xludf.AND(AC1792&gt;=8, AC1792&lt;=10), _xludf.AND(AC1792&gt;=0, AC1792&lt;=5)), 16, 0)) + (IF(F1792="Madrid", 11, 0))))</f>
        <v>#NAME?</v>
      </c>
      <c r="AG1792" s="68"/>
      <c r="AH1792" s="71" t="s">
        <v>164</v>
      </c>
    </row>
    <row r="1793" spans="1:34" ht="15.75" customHeight="1" x14ac:dyDescent="0.3">
      <c r="A1793" s="66" t="s">
        <v>2768</v>
      </c>
      <c r="B1793" s="66" t="s">
        <v>4885</v>
      </c>
      <c r="C1793" s="33">
        <v>1789</v>
      </c>
      <c r="D1793" s="33" t="s">
        <v>5404</v>
      </c>
      <c r="E1793" s="34" t="s">
        <v>5358</v>
      </c>
      <c r="F1793" s="34" t="s">
        <v>18</v>
      </c>
      <c r="G1793" s="57">
        <v>45544</v>
      </c>
      <c r="H1793" s="57">
        <v>45724</v>
      </c>
      <c r="I1793" s="34">
        <f t="shared" si="81"/>
        <v>5</v>
      </c>
      <c r="J1793" s="34">
        <v>30</v>
      </c>
      <c r="K1793" s="36">
        <v>750</v>
      </c>
      <c r="L1793" s="34" t="s">
        <v>17</v>
      </c>
      <c r="M1793" s="35">
        <v>36756</v>
      </c>
      <c r="N1793" s="37">
        <f>(YEAR(TablaMadre[[#This Row],[ALTA]])-YEAR(M1793))</f>
        <v>24</v>
      </c>
      <c r="O1793" s="34" t="s">
        <v>18</v>
      </c>
      <c r="P1793" s="34" t="s">
        <v>19</v>
      </c>
      <c r="Q1793" s="34" t="s">
        <v>811</v>
      </c>
      <c r="R1793" s="34" t="s">
        <v>21</v>
      </c>
      <c r="S1793" s="34" t="s">
        <v>322</v>
      </c>
      <c r="T1793" s="34"/>
      <c r="U1793" s="34" t="s">
        <v>42</v>
      </c>
      <c r="V1793" s="34" t="s">
        <v>67</v>
      </c>
      <c r="W1793" s="34" t="s">
        <v>28</v>
      </c>
      <c r="X1793" s="38" t="s">
        <v>173</v>
      </c>
      <c r="Y1793" s="62"/>
      <c r="Z1793" s="38" t="e">
        <f t="shared" si="82"/>
        <v>#NUM!</v>
      </c>
      <c r="AA1793" s="38"/>
      <c r="AB1793" s="34">
        <v>9</v>
      </c>
      <c r="AC1793" s="34"/>
      <c r="AD1793" s="38"/>
      <c r="AE1793" s="59" t="str">
        <f t="shared" si="83"/>
        <v>NO</v>
      </c>
      <c r="AF1793" s="38" t="e" cm="1">
        <f t="array" aca="1" ref="AF1793" ca="1">MIN(100, MAX(0, (IF(R1793="ESTUDIANTE", 31, 0)) + (IF(I1793&lt;=3, 30, IF(I1793&lt;=6, 20, 0))) +(IF(OR(E1793="413 - Control de Costes y Enlace Construcción", E1793="480 - Secretaría General del Consejo", E1793="132 - Civil y estructuras", E1793="136 - Mecánica", E1793="412 - Planificación", E1793="142 - Compras"), 25, 0)) +(IF(OR(S1793="GRADO ING. MECÁNICA", S1793="GRADO ING. ELÉCTRICA", S1793="GRADO DERECHO", S1793="GRADO ECONOMÍA", S1793="GRADO ING. TECNOLOGÍAS INDUSTRIALES"), 24, 0)) + (IF(AND(K1793&gt;=451, K1793&lt;=700), 23, 0)) + (IF(AND(AB1793&gt;=5, AB1793&lt;=8), 17, 0)) +(IF(_xludf.OR(_xludf.AND(AC1793&gt;=8, AC1793&lt;=10), _xludf.AND(AC1793&gt;=0, AC1793&lt;=5)), 16, 0)) + (IF(F1793="Madrid", 11, 0))))</f>
        <v>#NAME?</v>
      </c>
      <c r="AG1793" s="68"/>
      <c r="AH1793" s="71" t="s">
        <v>164</v>
      </c>
    </row>
    <row r="1794" spans="1:34" s="4" customFormat="1" ht="14.4" x14ac:dyDescent="0.3">
      <c r="A1794" s="66" t="s">
        <v>2769</v>
      </c>
      <c r="B1794" s="66" t="s">
        <v>4886</v>
      </c>
      <c r="C1794" s="33">
        <v>1790</v>
      </c>
      <c r="D1794" s="33" t="s">
        <v>5405</v>
      </c>
      <c r="E1794" s="34" t="s">
        <v>5249</v>
      </c>
      <c r="F1794" s="34" t="s">
        <v>18</v>
      </c>
      <c r="G1794" s="57">
        <v>45544</v>
      </c>
      <c r="H1794" s="57">
        <v>45724</v>
      </c>
      <c r="I1794" s="34">
        <f t="shared" ref="I1794:I1857" si="84">DATEDIF(G1794, H1794, "M")</f>
        <v>5</v>
      </c>
      <c r="J1794" s="34">
        <v>35</v>
      </c>
      <c r="K1794" s="36">
        <v>1200</v>
      </c>
      <c r="L1794" s="34" t="s">
        <v>29</v>
      </c>
      <c r="M1794" s="35">
        <v>36677</v>
      </c>
      <c r="N1794" s="37">
        <f>(YEAR(TablaMadre[[#This Row],[ALTA]])-YEAR(M1794))</f>
        <v>24</v>
      </c>
      <c r="O1794" s="34" t="s">
        <v>217</v>
      </c>
      <c r="P1794" s="34" t="s">
        <v>19</v>
      </c>
      <c r="Q1794" s="34" t="s">
        <v>791</v>
      </c>
      <c r="R1794" s="34" t="s">
        <v>21</v>
      </c>
      <c r="S1794" s="34" t="s">
        <v>297</v>
      </c>
      <c r="T1794" s="34"/>
      <c r="U1794" s="34" t="s">
        <v>42</v>
      </c>
      <c r="V1794" s="34" t="s">
        <v>22</v>
      </c>
      <c r="W1794" s="34" t="s">
        <v>28</v>
      </c>
      <c r="X1794" s="34" t="s">
        <v>173</v>
      </c>
      <c r="Y1794" s="57"/>
      <c r="Z1794" s="34" t="e">
        <f t="shared" ref="Z1794:Z1857" si="85">DATEDIF(H1794, Y1794, "y")</f>
        <v>#NUM!</v>
      </c>
      <c r="AA1794" s="34"/>
      <c r="AB1794" s="34">
        <v>9</v>
      </c>
      <c r="AC1794" s="34">
        <v>9</v>
      </c>
      <c r="AD1794" s="34"/>
      <c r="AE1794" s="59" t="str">
        <f t="shared" si="83"/>
        <v>SÍ</v>
      </c>
      <c r="AF1794" s="34" t="e" cm="1">
        <f t="array" aca="1" ref="AF1794" ca="1">MIN(100, MAX(0, (IF(R1794="ESTUDIANTE", 31, 0)) + (IF(I1794&lt;=3, 30, IF(I1794&lt;=6, 20, 0))) +(IF(OR(E1794="413 - Control de Costes y Enlace Construcción", E1794="480 - Secretaría General del Consejo", E1794="132 - Civil y estructuras", E1794="136 - Mecánica", E1794="412 - Planificación", E1794="142 - Compras"), 25, 0)) +(IF(OR(S1794="GRADO ING. MECÁNICA", S1794="GRADO ING. ELÉCTRICA", S1794="GRADO DERECHO", S1794="GRADO ECONOMÍA", S1794="GRADO ING. TECNOLOGÍAS INDUSTRIALES"), 24, 0)) + (IF(AND(K1794&gt;=451, K1794&lt;=700), 23, 0)) + (IF(AND(AB1794&gt;=5, AB1794&lt;=8), 17, 0)) +(IF(_xludf.OR(_xludf.AND(AC1794&gt;=8, AC1794&lt;=10), _xludf.AND(AC1794&gt;=0, AC1794&lt;=5)), 16, 0)) + (IF(F1794="Madrid", 11, 0))))</f>
        <v>#NAME?</v>
      </c>
      <c r="AG1794" s="69"/>
      <c r="AH1794" s="71" t="s">
        <v>164</v>
      </c>
    </row>
    <row r="1795" spans="1:34" s="4" customFormat="1" ht="14.4" x14ac:dyDescent="0.3">
      <c r="A1795" s="66" t="s">
        <v>2770</v>
      </c>
      <c r="B1795" s="66" t="s">
        <v>4887</v>
      </c>
      <c r="C1795" s="33">
        <v>1791</v>
      </c>
      <c r="D1795" s="33" t="s">
        <v>5396</v>
      </c>
      <c r="E1795" s="34" t="s">
        <v>5361</v>
      </c>
      <c r="F1795" s="34" t="s">
        <v>18</v>
      </c>
      <c r="G1795" s="57">
        <v>45544</v>
      </c>
      <c r="H1795" s="57">
        <v>45724</v>
      </c>
      <c r="I1795" s="34">
        <f t="shared" si="84"/>
        <v>5</v>
      </c>
      <c r="J1795" s="34">
        <v>35</v>
      </c>
      <c r="K1795" s="36">
        <v>1200</v>
      </c>
      <c r="L1795" s="34" t="s">
        <v>29</v>
      </c>
      <c r="M1795" s="35">
        <v>36406</v>
      </c>
      <c r="N1795" s="37">
        <f>(YEAR(TablaMadre[[#This Row],[ALTA]])-YEAR(M1795))</f>
        <v>25</v>
      </c>
      <c r="O1795" s="34" t="s">
        <v>525</v>
      </c>
      <c r="P1795" s="34" t="s">
        <v>19</v>
      </c>
      <c r="Q1795" s="34" t="s">
        <v>428</v>
      </c>
      <c r="R1795" s="34" t="s">
        <v>21</v>
      </c>
      <c r="S1795" s="34" t="s">
        <v>297</v>
      </c>
      <c r="T1795" s="34"/>
      <c r="U1795" s="34" t="s">
        <v>30</v>
      </c>
      <c r="V1795" s="34" t="s">
        <v>163</v>
      </c>
      <c r="W1795" s="34" t="s">
        <v>28</v>
      </c>
      <c r="X1795" s="38" t="s">
        <v>173</v>
      </c>
      <c r="Y1795" s="62"/>
      <c r="Z1795" s="38" t="e">
        <f t="shared" si="85"/>
        <v>#NUM!</v>
      </c>
      <c r="AA1795" s="38"/>
      <c r="AB1795" s="34">
        <v>10</v>
      </c>
      <c r="AC1795" s="34">
        <v>10</v>
      </c>
      <c r="AD1795" s="38"/>
      <c r="AE1795" s="59" t="str">
        <f t="shared" ref="AE1795:AE1858" si="86">IF(F1795=O1795, "NO", "SÍ")</f>
        <v>SÍ</v>
      </c>
      <c r="AF1795" s="34" t="e" cm="1">
        <f t="array" aca="1" ref="AF1795" ca="1">MIN(100, MAX(0, (IF(R1795="ESTUDIANTE", 31, 0)) + (IF(I1795&lt;=3, 30, IF(I1795&lt;=6, 20, 0))) +(IF(OR(E1795="413 - Control de Costes y Enlace Construcción", E1795="480 - Secretaría General del Consejo", E1795="132 - Civil y estructuras", E1795="136 - Mecánica", E1795="412 - Planificación", E1795="142 - Compras"), 25, 0)) +(IF(OR(S1795="GRADO ING. MECÁNICA", S1795="GRADO ING. ELÉCTRICA", S1795="GRADO DERECHO", S1795="GRADO ECONOMÍA", S1795="GRADO ING. TECNOLOGÍAS INDUSTRIALES"), 24, 0)) + (IF(AND(K1795&gt;=451, K1795&lt;=700), 23, 0)) + (IF(AND(AB1795&gt;=5, AB1795&lt;=8), 17, 0)) +(IF(_xludf.OR(_xludf.AND(AC1795&gt;=8, AC1795&lt;=10), _xludf.AND(AC1795&gt;=0, AC1795&lt;=5)), 16, 0)) + (IF(F1795="Madrid", 11, 0))))</f>
        <v>#NAME?</v>
      </c>
      <c r="AG1795" s="69"/>
      <c r="AH1795" s="71" t="s">
        <v>164</v>
      </c>
    </row>
    <row r="1796" spans="1:34" ht="14.4" x14ac:dyDescent="0.3">
      <c r="A1796" s="66" t="s">
        <v>2771</v>
      </c>
      <c r="B1796" s="66" t="s">
        <v>4888</v>
      </c>
      <c r="C1796" s="33">
        <v>1792</v>
      </c>
      <c r="D1796" s="33" t="s">
        <v>5397</v>
      </c>
      <c r="E1796" s="34" t="s">
        <v>5216</v>
      </c>
      <c r="F1796" s="34" t="s">
        <v>18</v>
      </c>
      <c r="G1796" s="57">
        <v>45544</v>
      </c>
      <c r="H1796" s="57">
        <v>45724</v>
      </c>
      <c r="I1796" s="34">
        <f t="shared" si="84"/>
        <v>5</v>
      </c>
      <c r="J1796" s="34">
        <v>35</v>
      </c>
      <c r="K1796" s="36">
        <v>700</v>
      </c>
      <c r="L1796" s="34" t="s">
        <v>17</v>
      </c>
      <c r="M1796" s="35">
        <v>37604</v>
      </c>
      <c r="N1796" s="37">
        <f>(YEAR(TablaMadre[[#This Row],[ALTA]])-YEAR(M1796))</f>
        <v>22</v>
      </c>
      <c r="O1796" s="34" t="s">
        <v>18</v>
      </c>
      <c r="P1796" s="34" t="s">
        <v>19</v>
      </c>
      <c r="Q1796" s="34" t="s">
        <v>322</v>
      </c>
      <c r="R1796" s="58" t="s">
        <v>30</v>
      </c>
      <c r="S1796" s="34" t="s">
        <v>322</v>
      </c>
      <c r="T1796" s="34"/>
      <c r="U1796" s="34" t="s">
        <v>30</v>
      </c>
      <c r="V1796" s="34" t="s">
        <v>40</v>
      </c>
      <c r="W1796" s="34" t="s">
        <v>28</v>
      </c>
      <c r="X1796" s="38" t="s">
        <v>173</v>
      </c>
      <c r="Y1796" s="62"/>
      <c r="Z1796" s="38" t="e">
        <f t="shared" si="85"/>
        <v>#NUM!</v>
      </c>
      <c r="AA1796" s="38"/>
      <c r="AB1796" s="34">
        <v>8</v>
      </c>
      <c r="AC1796" s="34">
        <v>8</v>
      </c>
      <c r="AD1796" s="38"/>
      <c r="AE1796" s="59" t="str">
        <f t="shared" si="86"/>
        <v>NO</v>
      </c>
      <c r="AF1796" s="38" t="e" cm="1">
        <f t="array" aca="1" ref="AF1796" ca="1">MIN(100, MAX(0, (IF(R1796="ESTUDIANTE", 31, 0)) + (IF(I1796&lt;=3, 30, IF(I1796&lt;=6, 20, 0))) +(IF(OR(E1796="413 - Control de Costes y Enlace Construcción", E1796="480 - Secretaría General del Consejo", E1796="132 - Civil y estructuras", E1796="136 - Mecánica", E1796="412 - Planificación", E1796="142 - Compras"), 25, 0)) +(IF(OR(S1796="GRADO ING. MECÁNICA", S1796="GRADO ING. ELÉCTRICA", S1796="GRADO DERECHO", S1796="GRADO ECONOMÍA", S1796="GRADO ING. TECNOLOGÍAS INDUSTRIALES"), 24, 0)) + (IF(AND(K1796&gt;=451, K1796&lt;=700), 23, 0)) + (IF(AND(AB1796&gt;=5, AB1796&lt;=8), 17, 0)) +(IF(_xludf.OR(_xludf.AND(AC1796&gt;=8, AC1796&lt;=10), _xludf.AND(AC1796&gt;=0, AC1796&lt;=5)), 16, 0)) + (IF(F1796="Madrid", 11, 0))))</f>
        <v>#NAME?</v>
      </c>
      <c r="AG1796" s="68"/>
      <c r="AH1796" s="71" t="s">
        <v>164</v>
      </c>
    </row>
    <row r="1797" spans="1:34" ht="14.4" x14ac:dyDescent="0.3">
      <c r="A1797" s="66" t="s">
        <v>2772</v>
      </c>
      <c r="B1797" s="66" t="s">
        <v>4889</v>
      </c>
      <c r="C1797" s="33">
        <v>1793</v>
      </c>
      <c r="D1797" s="33" t="s">
        <v>5393</v>
      </c>
      <c r="E1797" s="34" t="s">
        <v>5249</v>
      </c>
      <c r="F1797" s="34" t="s">
        <v>18</v>
      </c>
      <c r="G1797" s="57">
        <v>45544</v>
      </c>
      <c r="H1797" s="57">
        <v>45724</v>
      </c>
      <c r="I1797" s="34">
        <f t="shared" si="84"/>
        <v>5</v>
      </c>
      <c r="J1797" s="34">
        <v>35</v>
      </c>
      <c r="K1797" s="36">
        <v>1200</v>
      </c>
      <c r="L1797" s="34" t="s">
        <v>29</v>
      </c>
      <c r="M1797" s="35">
        <v>36352</v>
      </c>
      <c r="N1797" s="37">
        <f>(YEAR(TablaMadre[[#This Row],[ALTA]])-YEAR(M1797))</f>
        <v>25</v>
      </c>
      <c r="O1797" s="34" t="s">
        <v>812</v>
      </c>
      <c r="P1797" s="34" t="s">
        <v>19</v>
      </c>
      <c r="Q1797" s="34" t="s">
        <v>297</v>
      </c>
      <c r="R1797" s="34" t="s">
        <v>21</v>
      </c>
      <c r="S1797" s="34" t="s">
        <v>297</v>
      </c>
      <c r="T1797" s="34"/>
      <c r="U1797" s="34" t="s">
        <v>30</v>
      </c>
      <c r="V1797" s="34" t="s">
        <v>56</v>
      </c>
      <c r="W1797" s="34" t="s">
        <v>28</v>
      </c>
      <c r="X1797" s="34" t="s">
        <v>164</v>
      </c>
      <c r="Y1797" s="57">
        <v>46000</v>
      </c>
      <c r="Z1797" s="34">
        <f t="shared" si="85"/>
        <v>0</v>
      </c>
      <c r="AA1797" s="34"/>
      <c r="AB1797" s="34">
        <v>10</v>
      </c>
      <c r="AC1797" s="34"/>
      <c r="AD1797" s="34"/>
      <c r="AE1797" s="59" t="str">
        <f t="shared" si="86"/>
        <v>SÍ</v>
      </c>
      <c r="AF1797" s="38" t="e" cm="1">
        <f t="array" aca="1" ref="AF1797" ca="1">MIN(100, MAX(0, (IF(R1797="ESTUDIANTE", 31, 0)) + (IF(I1797&lt;=3, 30, IF(I1797&lt;=6, 20, 0))) +(IF(OR(E1797="413 - Control de Costes y Enlace Construcción", E1797="480 - Secretaría General del Consejo", E1797="132 - Civil y estructuras", E1797="136 - Mecánica", E1797="412 - Planificación", E1797="142 - Compras"), 25, 0)) +(IF(OR(S1797="GRADO ING. MECÁNICA", S1797="GRADO ING. ELÉCTRICA", S1797="GRADO DERECHO", S1797="GRADO ECONOMÍA", S1797="GRADO ING. TECNOLOGÍAS INDUSTRIALES"), 24, 0)) + (IF(AND(K1797&gt;=451, K1797&lt;=700), 23, 0)) + (IF(AND(AB1797&gt;=5, AB1797&lt;=8), 17, 0)) +(IF(_xludf.OR(_xludf.AND(AC1797&gt;=8, AC1797&lt;=10), _xludf.AND(AC1797&gt;=0, AC1797&lt;=5)), 16, 0)) + (IF(F1797="Madrid", 11, 0))))</f>
        <v>#NAME?</v>
      </c>
      <c r="AG1797" s="68"/>
      <c r="AH1797" s="71" t="s">
        <v>164</v>
      </c>
    </row>
    <row r="1798" spans="1:34" ht="14.4" x14ac:dyDescent="0.3">
      <c r="A1798" s="66" t="s">
        <v>2773</v>
      </c>
      <c r="B1798" s="66" t="s">
        <v>4890</v>
      </c>
      <c r="C1798" s="33">
        <v>1794</v>
      </c>
      <c r="D1798" s="33" t="s">
        <v>5394</v>
      </c>
      <c r="E1798" s="34" t="s">
        <v>5252</v>
      </c>
      <c r="F1798" s="34" t="s">
        <v>558</v>
      </c>
      <c r="G1798" s="57">
        <v>45544</v>
      </c>
      <c r="H1798" s="57">
        <v>45824</v>
      </c>
      <c r="I1798" s="34">
        <f t="shared" si="84"/>
        <v>9</v>
      </c>
      <c r="J1798" s="34">
        <v>40</v>
      </c>
      <c r="K1798" s="36">
        <v>867.3</v>
      </c>
      <c r="L1798" s="34" t="s">
        <v>17</v>
      </c>
      <c r="M1798" s="35">
        <v>37749</v>
      </c>
      <c r="N1798" s="37">
        <f>(YEAR(TablaMadre[[#This Row],[ALTA]])-YEAR(M1798))</f>
        <v>21</v>
      </c>
      <c r="O1798" s="34" t="s">
        <v>558</v>
      </c>
      <c r="P1798" s="34" t="s">
        <v>19</v>
      </c>
      <c r="Q1798" s="34" t="s">
        <v>728</v>
      </c>
      <c r="R1798" s="34" t="s">
        <v>30</v>
      </c>
      <c r="S1798" s="34" t="s">
        <v>26</v>
      </c>
      <c r="T1798" s="34" t="s">
        <v>806</v>
      </c>
      <c r="U1798" s="34" t="str">
        <f t="shared" ref="U1798:U1804" si="87">SUBSTITUTE($T1798, "INGUN", "/")</f>
        <v>N/A</v>
      </c>
      <c r="V1798" s="34" t="s">
        <v>27</v>
      </c>
      <c r="W1798" s="34" t="s">
        <v>28</v>
      </c>
      <c r="X1798" s="34" t="s">
        <v>164</v>
      </c>
      <c r="Y1798" s="57">
        <v>45825</v>
      </c>
      <c r="Z1798" s="34">
        <f t="shared" si="85"/>
        <v>0</v>
      </c>
      <c r="AA1798" s="34"/>
      <c r="AB1798" s="34">
        <v>10</v>
      </c>
      <c r="AC1798" s="34">
        <v>5</v>
      </c>
      <c r="AD1798" s="34"/>
      <c r="AE1798" s="59" t="str">
        <f t="shared" si="86"/>
        <v>NO</v>
      </c>
      <c r="AF1798" s="38" t="e" cm="1">
        <f t="array" aca="1" ref="AF1798" ca="1">MIN(100, MAX(0, (IF(R1798="ESTUDIANTE", 31, 0)) + (IF(I1798&lt;=3, 30, IF(I1798&lt;=6, 20, 0))) +(IF(OR(E1798="413 - Control de Costes y Enlace Construcción", E1798="480 - Secretaría General del Consejo", E1798="132 - Civil y estructuras", E1798="136 - Mecánica", E1798="412 - Planificación", E1798="142 - Compras"), 25, 0)) +(IF(OR(S1798="GRADO ING. MECÁNICA", S1798="GRADO ING. ELÉCTRICA", S1798="GRADO DERECHO", S1798="GRADO ECONOMÍA", S1798="GRADO ING. TECNOLOGÍAS INDUSTRIALES"), 24, 0)) + (IF(AND(K1798&gt;=451, K1798&lt;=700), 23, 0)) + (IF(AND(AB1798&gt;=5, AB1798&lt;=8), 17, 0)) +(IF(_xludf.OR(_xludf.AND(AC1798&gt;=8, AC1798&lt;=10), _xludf.AND(AC1798&gt;=0, AC1798&lt;=5)), 16, 0)) + (IF(F1798="Madrid", 11, 0))))</f>
        <v>#NAME?</v>
      </c>
      <c r="AG1798" s="68"/>
      <c r="AH1798" s="71" t="s">
        <v>164</v>
      </c>
    </row>
    <row r="1799" spans="1:34" ht="14.4" x14ac:dyDescent="0.3">
      <c r="A1799" s="66" t="s">
        <v>2774</v>
      </c>
      <c r="B1799" s="66" t="s">
        <v>4891</v>
      </c>
      <c r="C1799" s="33">
        <v>1795</v>
      </c>
      <c r="D1799" s="33" t="s">
        <v>5395</v>
      </c>
      <c r="E1799" s="34" t="s">
        <v>5252</v>
      </c>
      <c r="F1799" s="34" t="s">
        <v>558</v>
      </c>
      <c r="G1799" s="57">
        <v>45544</v>
      </c>
      <c r="H1799" s="57">
        <v>45824</v>
      </c>
      <c r="I1799" s="34">
        <f t="shared" si="84"/>
        <v>9</v>
      </c>
      <c r="J1799" s="34">
        <v>40</v>
      </c>
      <c r="K1799" s="36">
        <v>867.3</v>
      </c>
      <c r="L1799" s="34" t="s">
        <v>17</v>
      </c>
      <c r="M1799" s="35">
        <v>38147</v>
      </c>
      <c r="N1799" s="37">
        <f>(YEAR(TablaMadre[[#This Row],[ALTA]])-YEAR(M1799))</f>
        <v>20</v>
      </c>
      <c r="O1799" s="34" t="s">
        <v>558</v>
      </c>
      <c r="P1799" s="34" t="s">
        <v>19</v>
      </c>
      <c r="Q1799" s="34" t="s">
        <v>359</v>
      </c>
      <c r="R1799" s="34" t="s">
        <v>30</v>
      </c>
      <c r="S1799" s="34" t="s">
        <v>26</v>
      </c>
      <c r="T1799" s="34" t="s">
        <v>806</v>
      </c>
      <c r="U1799" s="34" t="str">
        <f t="shared" si="87"/>
        <v>N/A</v>
      </c>
      <c r="V1799" s="34" t="s">
        <v>27</v>
      </c>
      <c r="W1799" s="34" t="s">
        <v>28</v>
      </c>
      <c r="X1799" s="38" t="s">
        <v>164</v>
      </c>
      <c r="Y1799" s="62">
        <v>45825</v>
      </c>
      <c r="Z1799" s="38">
        <f t="shared" si="85"/>
        <v>0</v>
      </c>
      <c r="AA1799" s="38"/>
      <c r="AB1799" s="34">
        <v>8</v>
      </c>
      <c r="AC1799" s="34">
        <v>6</v>
      </c>
      <c r="AD1799" s="38"/>
      <c r="AE1799" s="59" t="str">
        <f t="shared" si="86"/>
        <v>NO</v>
      </c>
      <c r="AF1799" s="38" t="e" cm="1">
        <f t="array" aca="1" ref="AF1799" ca="1">MIN(100, MAX(0, (IF(R1799="ESTUDIANTE", 31, 0)) + (IF(I1799&lt;=3, 30, IF(I1799&lt;=6, 20, 0))) +(IF(OR(E1799="413 - Control de Costes y Enlace Construcción", E1799="480 - Secretaría General del Consejo", E1799="132 - Civil y estructuras", E1799="136 - Mecánica", E1799="412 - Planificación", E1799="142 - Compras"), 25, 0)) +(IF(OR(S1799="GRADO ING. MECÁNICA", S1799="GRADO ING. ELÉCTRICA", S1799="GRADO DERECHO", S1799="GRADO ECONOMÍA", S1799="GRADO ING. TECNOLOGÍAS INDUSTRIALES"), 24, 0)) + (IF(AND(K1799&gt;=451, K1799&lt;=700), 23, 0)) + (IF(AND(AB1799&gt;=5, AB1799&lt;=8), 17, 0)) +(IF(_xludf.OR(_xludf.AND(AC1799&gt;=8, AC1799&lt;=10), _xludf.AND(AC1799&gt;=0, AC1799&lt;=5)), 16, 0)) + (IF(F1799="Madrid", 11, 0))))</f>
        <v>#NAME?</v>
      </c>
      <c r="AG1799" s="68"/>
      <c r="AH1799" s="71" t="s">
        <v>164</v>
      </c>
    </row>
    <row r="1800" spans="1:34" s="4" customFormat="1" ht="14.4" x14ac:dyDescent="0.3">
      <c r="A1800" s="66" t="s">
        <v>2775</v>
      </c>
      <c r="B1800" s="66" t="s">
        <v>4892</v>
      </c>
      <c r="C1800" s="33">
        <v>1796</v>
      </c>
      <c r="D1800" s="33" t="s">
        <v>5396</v>
      </c>
      <c r="E1800" s="34" t="s">
        <v>5222</v>
      </c>
      <c r="F1800" s="34" t="s">
        <v>558</v>
      </c>
      <c r="G1800" s="57">
        <v>45544</v>
      </c>
      <c r="H1800" s="57">
        <v>45824</v>
      </c>
      <c r="I1800" s="34">
        <f t="shared" si="84"/>
        <v>9</v>
      </c>
      <c r="J1800" s="34">
        <v>40</v>
      </c>
      <c r="K1800" s="36">
        <v>867.3</v>
      </c>
      <c r="L1800" s="34" t="s">
        <v>17</v>
      </c>
      <c r="M1800" s="35">
        <v>38019</v>
      </c>
      <c r="N1800" s="37">
        <f>(YEAR(TablaMadre[[#This Row],[ALTA]])-YEAR(M1800))</f>
        <v>20</v>
      </c>
      <c r="O1800" s="34" t="s">
        <v>525</v>
      </c>
      <c r="P1800" s="34" t="s">
        <v>19</v>
      </c>
      <c r="Q1800" s="34" t="s">
        <v>697</v>
      </c>
      <c r="R1800" s="34" t="s">
        <v>30</v>
      </c>
      <c r="S1800" s="34" t="s">
        <v>26</v>
      </c>
      <c r="T1800" s="34" t="s">
        <v>806</v>
      </c>
      <c r="U1800" s="34" t="str">
        <f t="shared" si="87"/>
        <v>N/A</v>
      </c>
      <c r="V1800" s="34" t="s">
        <v>27</v>
      </c>
      <c r="W1800" s="34" t="s">
        <v>28</v>
      </c>
      <c r="X1800" s="38" t="s">
        <v>173</v>
      </c>
      <c r="Y1800" s="62"/>
      <c r="Z1800" s="38" t="e">
        <f t="shared" si="85"/>
        <v>#NUM!</v>
      </c>
      <c r="AA1800" s="38"/>
      <c r="AB1800" s="34">
        <v>10</v>
      </c>
      <c r="AC1800" s="34">
        <v>10</v>
      </c>
      <c r="AD1800" s="38"/>
      <c r="AE1800" s="59" t="str">
        <f t="shared" si="86"/>
        <v>SÍ</v>
      </c>
      <c r="AF1800" s="34" t="e" cm="1">
        <f t="array" aca="1" ref="AF1800" ca="1">MIN(100, MAX(0, (IF(R1800="ESTUDIANTE", 31, 0)) + (IF(I1800&lt;=3, 30, IF(I1800&lt;=6, 20, 0))) +(IF(OR(E1800="413 - Control de Costes y Enlace Construcción", E1800="480 - Secretaría General del Consejo", E1800="132 - Civil y estructuras", E1800="136 - Mecánica", E1800="412 - Planificación", E1800="142 - Compras"), 25, 0)) +(IF(OR(S1800="GRADO ING. MECÁNICA", S1800="GRADO ING. ELÉCTRICA", S1800="GRADO DERECHO", S1800="GRADO ECONOMÍA", S1800="GRADO ING. TECNOLOGÍAS INDUSTRIALES"), 24, 0)) + (IF(AND(K1800&gt;=451, K1800&lt;=700), 23, 0)) + (IF(AND(AB1800&gt;=5, AB1800&lt;=8), 17, 0)) +(IF(_xludf.OR(_xludf.AND(AC1800&gt;=8, AC1800&lt;=10), _xludf.AND(AC1800&gt;=0, AC1800&lt;=5)), 16, 0)) + (IF(F1800="Madrid", 11, 0))))</f>
        <v>#NAME?</v>
      </c>
      <c r="AG1800" s="69"/>
      <c r="AH1800" s="71" t="s">
        <v>164</v>
      </c>
    </row>
    <row r="1801" spans="1:34" s="4" customFormat="1" ht="14.4" x14ac:dyDescent="0.3">
      <c r="A1801" s="66" t="s">
        <v>2776</v>
      </c>
      <c r="B1801" s="66" t="s">
        <v>4893</v>
      </c>
      <c r="C1801" s="33">
        <v>1797</v>
      </c>
      <c r="D1801" s="33" t="s">
        <v>5397</v>
      </c>
      <c r="E1801" s="34" t="s">
        <v>5222</v>
      </c>
      <c r="F1801" s="34" t="s">
        <v>558</v>
      </c>
      <c r="G1801" s="57">
        <v>45544</v>
      </c>
      <c r="H1801" s="57">
        <v>45824</v>
      </c>
      <c r="I1801" s="34">
        <f t="shared" si="84"/>
        <v>9</v>
      </c>
      <c r="J1801" s="34">
        <v>40</v>
      </c>
      <c r="K1801" s="36">
        <v>867.3</v>
      </c>
      <c r="L1801" s="34" t="s">
        <v>17</v>
      </c>
      <c r="M1801" s="35">
        <v>38671</v>
      </c>
      <c r="N1801" s="37">
        <f>(YEAR(TablaMadre[[#This Row],[ALTA]])-YEAR(M1801))</f>
        <v>19</v>
      </c>
      <c r="O1801" s="34" t="s">
        <v>558</v>
      </c>
      <c r="P1801" s="34" t="s">
        <v>19</v>
      </c>
      <c r="Q1801" s="34" t="s">
        <v>697</v>
      </c>
      <c r="R1801" s="34" t="s">
        <v>30</v>
      </c>
      <c r="S1801" s="34" t="s">
        <v>26</v>
      </c>
      <c r="T1801" s="34" t="s">
        <v>806</v>
      </c>
      <c r="U1801" s="34" t="str">
        <f t="shared" si="87"/>
        <v>N/A</v>
      </c>
      <c r="V1801" s="34" t="s">
        <v>27</v>
      </c>
      <c r="W1801" s="34" t="s">
        <v>28</v>
      </c>
      <c r="X1801" s="38" t="s">
        <v>164</v>
      </c>
      <c r="Y1801" s="62">
        <v>45825</v>
      </c>
      <c r="Z1801" s="38">
        <f t="shared" si="85"/>
        <v>0</v>
      </c>
      <c r="AA1801" s="38"/>
      <c r="AB1801" s="34">
        <v>8</v>
      </c>
      <c r="AC1801" s="34">
        <v>10</v>
      </c>
      <c r="AD1801" s="38"/>
      <c r="AE1801" s="59" t="str">
        <f t="shared" si="86"/>
        <v>NO</v>
      </c>
      <c r="AF1801" s="34" t="e" cm="1">
        <f t="array" aca="1" ref="AF1801" ca="1">MIN(100, MAX(0, (IF(R1801="ESTUDIANTE", 31, 0)) + (IF(I1801&lt;=3, 30, IF(I1801&lt;=6, 20, 0))) +(IF(OR(E1801="413 - Control de Costes y Enlace Construcción", E1801="480 - Secretaría General del Consejo", E1801="132 - Civil y estructuras", E1801="136 - Mecánica", E1801="412 - Planificación", E1801="142 - Compras"), 25, 0)) +(IF(OR(S1801="GRADO ING. MECÁNICA", S1801="GRADO ING. ELÉCTRICA", S1801="GRADO DERECHO", S1801="GRADO ECONOMÍA", S1801="GRADO ING. TECNOLOGÍAS INDUSTRIALES"), 24, 0)) + (IF(AND(K1801&gt;=451, K1801&lt;=700), 23, 0)) + (IF(AND(AB1801&gt;=5, AB1801&lt;=8), 17, 0)) +(IF(_xludf.OR(_xludf.AND(AC1801&gt;=8, AC1801&lt;=10), _xludf.AND(AC1801&gt;=0, AC1801&lt;=5)), 16, 0)) + (IF(F1801="Madrid", 11, 0))))</f>
        <v>#NAME?</v>
      </c>
      <c r="AG1801" s="69"/>
      <c r="AH1801" s="71" t="s">
        <v>164</v>
      </c>
    </row>
    <row r="1802" spans="1:34" s="4" customFormat="1" ht="15" customHeight="1" x14ac:dyDescent="0.3">
      <c r="A1802" s="66" t="s">
        <v>2777</v>
      </c>
      <c r="B1802" s="66" t="s">
        <v>4894</v>
      </c>
      <c r="C1802" s="33">
        <v>1798</v>
      </c>
      <c r="D1802" s="33" t="s">
        <v>5398</v>
      </c>
      <c r="E1802" s="34" t="s">
        <v>5222</v>
      </c>
      <c r="F1802" s="34" t="s">
        <v>558</v>
      </c>
      <c r="G1802" s="57">
        <v>45544</v>
      </c>
      <c r="H1802" s="57">
        <v>45824</v>
      </c>
      <c r="I1802" s="34">
        <f t="shared" si="84"/>
        <v>9</v>
      </c>
      <c r="J1802" s="34">
        <v>40</v>
      </c>
      <c r="K1802" s="36">
        <v>867.3</v>
      </c>
      <c r="L1802" s="34" t="s">
        <v>17</v>
      </c>
      <c r="M1802" s="35">
        <v>37262</v>
      </c>
      <c r="N1802" s="37">
        <f>(YEAR(TablaMadre[[#This Row],[ALTA]])-YEAR(M1802))</f>
        <v>22</v>
      </c>
      <c r="O1802" s="34" t="s">
        <v>558</v>
      </c>
      <c r="P1802" s="34" t="s">
        <v>19</v>
      </c>
      <c r="Q1802" s="34" t="s">
        <v>697</v>
      </c>
      <c r="R1802" s="34" t="s">
        <v>30</v>
      </c>
      <c r="S1802" s="34" t="s">
        <v>26</v>
      </c>
      <c r="T1802" s="34" t="s">
        <v>806</v>
      </c>
      <c r="U1802" s="34" t="str">
        <f t="shared" si="87"/>
        <v>N/A</v>
      </c>
      <c r="V1802" s="34" t="s">
        <v>27</v>
      </c>
      <c r="W1802" s="34" t="s">
        <v>28</v>
      </c>
      <c r="X1802" s="38" t="s">
        <v>164</v>
      </c>
      <c r="Y1802" s="62">
        <v>45825</v>
      </c>
      <c r="Z1802" s="38">
        <f t="shared" si="85"/>
        <v>0</v>
      </c>
      <c r="AA1802" s="38"/>
      <c r="AB1802" s="34">
        <v>9</v>
      </c>
      <c r="AC1802" s="34">
        <v>10</v>
      </c>
      <c r="AD1802" s="38"/>
      <c r="AE1802" s="59" t="str">
        <f t="shared" si="86"/>
        <v>NO</v>
      </c>
      <c r="AF1802" s="34" t="e" cm="1">
        <f t="array" aca="1" ref="AF1802" ca="1">MIN(100, MAX(0, (IF(R1802="ESTUDIANTE", 31, 0)) + (IF(I1802&lt;=3, 30, IF(I1802&lt;=6, 20, 0))) +(IF(OR(E1802="413 - Control de Costes y Enlace Construcción", E1802="480 - Secretaría General del Consejo", E1802="132 - Civil y estructuras", E1802="136 - Mecánica", E1802="412 - Planificación", E1802="142 - Compras"), 25, 0)) +(IF(OR(S1802="GRADO ING. MECÁNICA", S1802="GRADO ING. ELÉCTRICA", S1802="GRADO DERECHO", S1802="GRADO ECONOMÍA", S1802="GRADO ING. TECNOLOGÍAS INDUSTRIALES"), 24, 0)) + (IF(AND(K1802&gt;=451, K1802&lt;=700), 23, 0)) + (IF(AND(AB1802&gt;=5, AB1802&lt;=8), 17, 0)) +(IF(_xludf.OR(_xludf.AND(AC1802&gt;=8, AC1802&lt;=10), _xludf.AND(AC1802&gt;=0, AC1802&lt;=5)), 16, 0)) + (IF(F1802="Madrid", 11, 0))))</f>
        <v>#NAME?</v>
      </c>
      <c r="AG1802" s="69"/>
      <c r="AH1802" s="71" t="s">
        <v>164</v>
      </c>
    </row>
    <row r="1803" spans="1:34" s="4" customFormat="1" ht="14.4" x14ac:dyDescent="0.3">
      <c r="A1803" s="66" t="s">
        <v>2778</v>
      </c>
      <c r="B1803" s="66" t="s">
        <v>4895</v>
      </c>
      <c r="C1803" s="33">
        <v>1799</v>
      </c>
      <c r="D1803" s="33" t="s">
        <v>5399</v>
      </c>
      <c r="E1803" s="34" t="s">
        <v>5222</v>
      </c>
      <c r="F1803" s="34" t="s">
        <v>558</v>
      </c>
      <c r="G1803" s="57">
        <v>45544</v>
      </c>
      <c r="H1803" s="57">
        <v>45824</v>
      </c>
      <c r="I1803" s="34">
        <f t="shared" si="84"/>
        <v>9</v>
      </c>
      <c r="J1803" s="34">
        <v>40</v>
      </c>
      <c r="K1803" s="36">
        <v>867.3</v>
      </c>
      <c r="L1803" s="34" t="s">
        <v>17</v>
      </c>
      <c r="M1803" s="35">
        <v>38133</v>
      </c>
      <c r="N1803" s="37">
        <f>(YEAR(TablaMadre[[#This Row],[ALTA]])-YEAR(M1803))</f>
        <v>20</v>
      </c>
      <c r="O1803" s="34" t="s">
        <v>558</v>
      </c>
      <c r="P1803" s="34" t="s">
        <v>19</v>
      </c>
      <c r="Q1803" s="34" t="s">
        <v>697</v>
      </c>
      <c r="R1803" s="34" t="s">
        <v>30</v>
      </c>
      <c r="S1803" s="34" t="s">
        <v>26</v>
      </c>
      <c r="T1803" s="34" t="s">
        <v>806</v>
      </c>
      <c r="U1803" s="34" t="str">
        <f t="shared" si="87"/>
        <v>N/A</v>
      </c>
      <c r="V1803" s="34" t="s">
        <v>27</v>
      </c>
      <c r="W1803" s="34" t="s">
        <v>28</v>
      </c>
      <c r="X1803" s="34" t="s">
        <v>173</v>
      </c>
      <c r="Y1803" s="57"/>
      <c r="Z1803" s="34" t="e">
        <f t="shared" si="85"/>
        <v>#NUM!</v>
      </c>
      <c r="AA1803" s="34"/>
      <c r="AB1803" s="34">
        <v>8</v>
      </c>
      <c r="AC1803" s="34">
        <v>10</v>
      </c>
      <c r="AD1803" s="34"/>
      <c r="AE1803" s="59" t="str">
        <f t="shared" si="86"/>
        <v>NO</v>
      </c>
      <c r="AF1803" s="34" t="e" cm="1">
        <f t="array" aca="1" ref="AF1803" ca="1">MIN(100, MAX(0, (IF(R1803="ESTUDIANTE", 31, 0)) + (IF(I1803&lt;=3, 30, IF(I1803&lt;=6, 20, 0))) +(IF(OR(E1803="413 - Control de Costes y Enlace Construcción", E1803="480 - Secretaría General del Consejo", E1803="132 - Civil y estructuras", E1803="136 - Mecánica", E1803="412 - Planificación", E1803="142 - Compras"), 25, 0)) +(IF(OR(S1803="GRADO ING. MECÁNICA", S1803="GRADO ING. ELÉCTRICA", S1803="GRADO DERECHO", S1803="GRADO ECONOMÍA", S1803="GRADO ING. TECNOLOGÍAS INDUSTRIALES"), 24, 0)) + (IF(AND(K1803&gt;=451, K1803&lt;=700), 23, 0)) + (IF(AND(AB1803&gt;=5, AB1803&lt;=8), 17, 0)) +(IF(_xludf.OR(_xludf.AND(AC1803&gt;=8, AC1803&lt;=10), _xludf.AND(AC1803&gt;=0, AC1803&lt;=5)), 16, 0)) + (IF(F1803="Madrid", 11, 0))))</f>
        <v>#NAME?</v>
      </c>
      <c r="AG1803" s="69"/>
      <c r="AH1803" s="71" t="s">
        <v>164</v>
      </c>
    </row>
    <row r="1804" spans="1:34" s="4" customFormat="1" ht="15.75" customHeight="1" x14ac:dyDescent="0.3">
      <c r="A1804" s="66" t="s">
        <v>2780</v>
      </c>
      <c r="B1804" s="66" t="s">
        <v>4897</v>
      </c>
      <c r="C1804" s="33">
        <v>1801</v>
      </c>
      <c r="D1804" s="33" t="s">
        <v>5400</v>
      </c>
      <c r="E1804" s="34" t="s">
        <v>5319</v>
      </c>
      <c r="F1804" s="34" t="s">
        <v>18</v>
      </c>
      <c r="G1804" s="57">
        <v>45544</v>
      </c>
      <c r="H1804" s="57">
        <v>45907</v>
      </c>
      <c r="I1804" s="34">
        <f t="shared" si="84"/>
        <v>11</v>
      </c>
      <c r="J1804" s="34">
        <v>35</v>
      </c>
      <c r="K1804" s="36">
        <v>900</v>
      </c>
      <c r="L1804" s="34" t="s">
        <v>29</v>
      </c>
      <c r="M1804" s="35">
        <v>37757</v>
      </c>
      <c r="N1804" s="37">
        <f>(YEAR(TablaMadre[[#This Row],[ALTA]])-YEAR(M1804))</f>
        <v>21</v>
      </c>
      <c r="O1804" s="34" t="s">
        <v>153</v>
      </c>
      <c r="P1804" s="34" t="s">
        <v>273</v>
      </c>
      <c r="Q1804" s="34" t="s">
        <v>297</v>
      </c>
      <c r="R1804" s="34" t="s">
        <v>21</v>
      </c>
      <c r="S1804" s="34" t="s">
        <v>297</v>
      </c>
      <c r="T1804" s="34" t="s">
        <v>806</v>
      </c>
      <c r="U1804" s="34" t="str">
        <f t="shared" si="87"/>
        <v>N/A</v>
      </c>
      <c r="V1804" s="34" t="s">
        <v>56</v>
      </c>
      <c r="W1804" s="34" t="s">
        <v>28</v>
      </c>
      <c r="X1804" s="34" t="s">
        <v>173</v>
      </c>
      <c r="Y1804" s="57"/>
      <c r="Z1804" s="34" t="e">
        <f t="shared" si="85"/>
        <v>#NUM!</v>
      </c>
      <c r="AA1804" s="34"/>
      <c r="AB1804" s="34">
        <v>10</v>
      </c>
      <c r="AC1804" s="34">
        <v>10</v>
      </c>
      <c r="AD1804" s="34"/>
      <c r="AE1804" s="59" t="str">
        <f t="shared" si="86"/>
        <v>SÍ</v>
      </c>
      <c r="AF1804" s="34" t="e" cm="1">
        <f t="array" aca="1" ref="AF1804" ca="1">MIN(100, MAX(0, (IF(R1804="ESTUDIANTE", 31, 0)) + (IF(I1804&lt;=3, 30, IF(I1804&lt;=6, 20, 0))) +(IF(OR(E1804="413 - Control de Costes y Enlace Construcción", E1804="480 - Secretaría General del Consejo", E1804="132 - Civil y estructuras", E1804="136 - Mecánica", E1804="412 - Planificación", E1804="142 - Compras"), 25, 0)) +(IF(OR(S1804="GRADO ING. MECÁNICA", S1804="GRADO ING. ELÉCTRICA", S1804="GRADO DERECHO", S1804="GRADO ECONOMÍA", S1804="GRADO ING. TECNOLOGÍAS INDUSTRIALES"), 24, 0)) + (IF(AND(K1804&gt;=451, K1804&lt;=700), 23, 0)) + (IF(AND(AB1804&gt;=5, AB1804&lt;=8), 17, 0)) +(IF(_xludf.OR(_xludf.AND(AC1804&gt;=8, AC1804&lt;=10), _xludf.AND(AC1804&gt;=0, AC1804&lt;=5)), 16, 0)) + (IF(F1804="Madrid", 11, 0))))</f>
        <v>#NAME?</v>
      </c>
      <c r="AG1804" s="69"/>
      <c r="AH1804" s="71" t="s">
        <v>164</v>
      </c>
    </row>
    <row r="1805" spans="1:34" s="4" customFormat="1" ht="15" customHeight="1" x14ac:dyDescent="0.3">
      <c r="A1805" s="66" t="s">
        <v>2781</v>
      </c>
      <c r="B1805" s="66" t="s">
        <v>4898</v>
      </c>
      <c r="C1805" s="33">
        <v>1802</v>
      </c>
      <c r="D1805" s="33" t="s">
        <v>5401</v>
      </c>
      <c r="E1805" s="34" t="s">
        <v>5319</v>
      </c>
      <c r="F1805" s="34" t="s">
        <v>18</v>
      </c>
      <c r="G1805" s="57">
        <v>45544</v>
      </c>
      <c r="H1805" s="57">
        <v>45908</v>
      </c>
      <c r="I1805" s="34">
        <f t="shared" si="84"/>
        <v>11</v>
      </c>
      <c r="J1805" s="34">
        <v>35</v>
      </c>
      <c r="K1805" s="36">
        <v>900</v>
      </c>
      <c r="L1805" s="34" t="s">
        <v>29</v>
      </c>
      <c r="M1805" s="35">
        <v>37432</v>
      </c>
      <c r="N1805" s="37">
        <f>(YEAR(TablaMadre[[#This Row],[ALTA]])-YEAR(M1805))</f>
        <v>22</v>
      </c>
      <c r="O1805" s="34" t="s">
        <v>18</v>
      </c>
      <c r="P1805" s="34" t="s">
        <v>19</v>
      </c>
      <c r="Q1805" s="34" t="s">
        <v>297</v>
      </c>
      <c r="R1805" s="34" t="s">
        <v>21</v>
      </c>
      <c r="S1805" s="34" t="s">
        <v>297</v>
      </c>
      <c r="T1805" s="34" t="s">
        <v>820</v>
      </c>
      <c r="U1805" s="34" t="s">
        <v>30</v>
      </c>
      <c r="V1805" s="34" t="s">
        <v>56</v>
      </c>
      <c r="W1805" s="34" t="s">
        <v>28</v>
      </c>
      <c r="X1805" s="34" t="s">
        <v>173</v>
      </c>
      <c r="Y1805" s="57"/>
      <c r="Z1805" s="34" t="e">
        <f t="shared" si="85"/>
        <v>#NUM!</v>
      </c>
      <c r="AA1805" s="34"/>
      <c r="AB1805" s="34">
        <v>10</v>
      </c>
      <c r="AC1805" s="34">
        <v>10</v>
      </c>
      <c r="AD1805" s="34"/>
      <c r="AE1805" s="59" t="str">
        <f t="shared" si="86"/>
        <v>NO</v>
      </c>
      <c r="AF1805" s="34" t="e" cm="1">
        <f t="array" aca="1" ref="AF1805" ca="1">MIN(100, MAX(0, (IF(R1805="ESTUDIANTE", 31, 0)) + (IF(I1805&lt;=3, 30, IF(I1805&lt;=6, 20, 0))) +(IF(OR(E1805="413 - Control de Costes y Enlace Construcción", E1805="480 - Secretaría General del Consejo", E1805="132 - Civil y estructuras", E1805="136 - Mecánica", E1805="412 - Planificación", E1805="142 - Compras"), 25, 0)) +(IF(OR(S1805="GRADO ING. MECÁNICA", S1805="GRADO ING. ELÉCTRICA", S1805="GRADO DERECHO", S1805="GRADO ECONOMÍA", S1805="GRADO ING. TECNOLOGÍAS INDUSTRIALES"), 24, 0)) + (IF(AND(K1805&gt;=451, K1805&lt;=700), 23, 0)) + (IF(AND(AB1805&gt;=5, AB1805&lt;=8), 17, 0)) +(IF(_xludf.OR(_xludf.AND(AC1805&gt;=8, AC1805&lt;=10), _xludf.AND(AC1805&gt;=0, AC1805&lt;=5)), 16, 0)) + (IF(F1805="Madrid", 11, 0))))</f>
        <v>#NAME?</v>
      </c>
      <c r="AG1805" s="69"/>
      <c r="AH1805" s="71" t="s">
        <v>164</v>
      </c>
    </row>
    <row r="1806" spans="1:34" ht="15" customHeight="1" x14ac:dyDescent="0.3">
      <c r="A1806" s="66" t="s">
        <v>2782</v>
      </c>
      <c r="B1806" s="66" t="s">
        <v>4899</v>
      </c>
      <c r="C1806" s="33">
        <v>1803</v>
      </c>
      <c r="D1806" s="33" t="s">
        <v>5402</v>
      </c>
      <c r="E1806" s="34" t="s">
        <v>5233</v>
      </c>
      <c r="F1806" s="34" t="s">
        <v>18</v>
      </c>
      <c r="G1806" s="57">
        <v>45544</v>
      </c>
      <c r="H1806" s="57">
        <v>45908</v>
      </c>
      <c r="I1806" s="34">
        <f t="shared" si="84"/>
        <v>11</v>
      </c>
      <c r="J1806" s="34">
        <v>35</v>
      </c>
      <c r="K1806" s="36">
        <v>900</v>
      </c>
      <c r="L1806" s="34" t="s">
        <v>17</v>
      </c>
      <c r="M1806" s="35">
        <v>37467</v>
      </c>
      <c r="N1806" s="37">
        <f>(YEAR(TablaMadre[[#This Row],[ALTA]])-YEAR(M1806))</f>
        <v>22</v>
      </c>
      <c r="O1806" s="34" t="s">
        <v>18</v>
      </c>
      <c r="P1806" s="34" t="s">
        <v>19</v>
      </c>
      <c r="Q1806" s="34" t="s">
        <v>136</v>
      </c>
      <c r="R1806" s="34" t="s">
        <v>21</v>
      </c>
      <c r="S1806" s="34" t="s">
        <v>136</v>
      </c>
      <c r="T1806" s="34" t="s">
        <v>806</v>
      </c>
      <c r="U1806" s="34" t="str">
        <f>SUBSTITUTE($T1806, "INGUN", "/")</f>
        <v>N/A</v>
      </c>
      <c r="V1806" s="34" t="s">
        <v>67</v>
      </c>
      <c r="W1806" s="34" t="s">
        <v>28</v>
      </c>
      <c r="X1806" s="34" t="s">
        <v>173</v>
      </c>
      <c r="Y1806" s="57"/>
      <c r="Z1806" s="34" t="e">
        <f t="shared" si="85"/>
        <v>#NUM!</v>
      </c>
      <c r="AA1806" s="34"/>
      <c r="AB1806" s="34">
        <v>9</v>
      </c>
      <c r="AC1806" s="34">
        <v>9</v>
      </c>
      <c r="AD1806" s="34"/>
      <c r="AE1806" s="59" t="str">
        <f t="shared" si="86"/>
        <v>NO</v>
      </c>
      <c r="AF1806" s="38" t="e" cm="1">
        <f t="array" aca="1" ref="AF1806" ca="1">MIN(100, MAX(0, (IF(R1806="ESTUDIANTE", 31, 0)) + (IF(I1806&lt;=3, 30, IF(I1806&lt;=6, 20, 0))) +(IF(OR(E1806="413 - Control de Costes y Enlace Construcción", E1806="480 - Secretaría General del Consejo", E1806="132 - Civil y estructuras", E1806="136 - Mecánica", E1806="412 - Planificación", E1806="142 - Compras"), 25, 0)) +(IF(OR(S1806="GRADO ING. MECÁNICA", S1806="GRADO ING. ELÉCTRICA", S1806="GRADO DERECHO", S1806="GRADO ECONOMÍA", S1806="GRADO ING. TECNOLOGÍAS INDUSTRIALES"), 24, 0)) + (IF(AND(K1806&gt;=451, K1806&lt;=700), 23, 0)) + (IF(AND(AB1806&gt;=5, AB1806&lt;=8), 17, 0)) +(IF(_xludf.OR(_xludf.AND(AC1806&gt;=8, AC1806&lt;=10), _xludf.AND(AC1806&gt;=0, AC1806&lt;=5)), 16, 0)) + (IF(F1806="Madrid", 11, 0))))</f>
        <v>#NAME?</v>
      </c>
      <c r="AG1806" s="68"/>
      <c r="AH1806" s="71" t="s">
        <v>164</v>
      </c>
    </row>
    <row r="1807" spans="1:34" ht="15" customHeight="1" x14ac:dyDescent="0.3">
      <c r="A1807" s="66" t="s">
        <v>2784</v>
      </c>
      <c r="B1807" s="66" t="s">
        <v>4901</v>
      </c>
      <c r="C1807" s="33">
        <v>1805</v>
      </c>
      <c r="D1807" s="33" t="s">
        <v>5393</v>
      </c>
      <c r="E1807" s="34" t="s">
        <v>5367</v>
      </c>
      <c r="F1807" s="34" t="s">
        <v>18</v>
      </c>
      <c r="G1807" s="57">
        <v>45544</v>
      </c>
      <c r="H1807" s="57">
        <v>45908</v>
      </c>
      <c r="I1807" s="34">
        <f t="shared" si="84"/>
        <v>11</v>
      </c>
      <c r="J1807" s="34">
        <v>35</v>
      </c>
      <c r="K1807" s="36">
        <v>900</v>
      </c>
      <c r="L1807" s="34" t="s">
        <v>29</v>
      </c>
      <c r="M1807" s="35">
        <v>35759</v>
      </c>
      <c r="N1807" s="37">
        <f>(YEAR(TablaMadre[[#This Row],[ALTA]])-YEAR(M1807))</f>
        <v>27</v>
      </c>
      <c r="O1807" s="34" t="s">
        <v>153</v>
      </c>
      <c r="P1807" s="34" t="s">
        <v>19</v>
      </c>
      <c r="Q1807" s="34" t="s">
        <v>297</v>
      </c>
      <c r="R1807" s="34" t="s">
        <v>21</v>
      </c>
      <c r="S1807" s="34" t="s">
        <v>297</v>
      </c>
      <c r="T1807" s="34" t="s">
        <v>806</v>
      </c>
      <c r="U1807" s="34" t="str">
        <f>SUBSTITUTE($T1807, "INGUN", "/")</f>
        <v>N/A</v>
      </c>
      <c r="V1807" s="34" t="s">
        <v>84</v>
      </c>
      <c r="W1807" s="34" t="s">
        <v>28</v>
      </c>
      <c r="X1807" s="38" t="s">
        <v>173</v>
      </c>
      <c r="Y1807" s="62"/>
      <c r="Z1807" s="38" t="e">
        <f t="shared" si="85"/>
        <v>#NUM!</v>
      </c>
      <c r="AA1807" s="38"/>
      <c r="AB1807" s="34">
        <v>9</v>
      </c>
      <c r="AC1807" s="34">
        <v>7</v>
      </c>
      <c r="AD1807" s="38"/>
      <c r="AE1807" s="59" t="str">
        <f t="shared" si="86"/>
        <v>SÍ</v>
      </c>
      <c r="AF1807" s="38" t="e" cm="1">
        <f t="array" aca="1" ref="AF1807" ca="1">MIN(100, MAX(0, (IF(R1807="ESTUDIANTE", 31, 0)) + (IF(I1807&lt;=3, 30, IF(I1807&lt;=6, 20, 0))) +(IF(OR(E1807="413 - Control de Costes y Enlace Construcción", E1807="480 - Secretaría General del Consejo", E1807="132 - Civil y estructuras", E1807="136 - Mecánica", E1807="412 - Planificación", E1807="142 - Compras"), 25, 0)) +(IF(OR(S1807="GRADO ING. MECÁNICA", S1807="GRADO ING. ELÉCTRICA", S1807="GRADO DERECHO", S1807="GRADO ECONOMÍA", S1807="GRADO ING. TECNOLOGÍAS INDUSTRIALES"), 24, 0)) + (IF(AND(K1807&gt;=451, K1807&lt;=700), 23, 0)) + (IF(AND(AB1807&gt;=5, AB1807&lt;=8), 17, 0)) +(IF(_xludf.OR(_xludf.AND(AC1807&gt;=8, AC1807&lt;=10), _xludf.AND(AC1807&gt;=0, AC1807&lt;=5)), 16, 0)) + (IF(F1807="Madrid", 11, 0))))</f>
        <v>#NAME?</v>
      </c>
      <c r="AG1807" s="68"/>
      <c r="AH1807" s="71" t="s">
        <v>164</v>
      </c>
    </row>
    <row r="1808" spans="1:34" s="4" customFormat="1" ht="15" customHeight="1" x14ac:dyDescent="0.3">
      <c r="A1808" s="66" t="s">
        <v>2786</v>
      </c>
      <c r="B1808" s="66" t="s">
        <v>4903</v>
      </c>
      <c r="C1808" s="33">
        <v>1807</v>
      </c>
      <c r="D1808" s="33" t="s">
        <v>5394</v>
      </c>
      <c r="E1808" s="34" t="s">
        <v>5249</v>
      </c>
      <c r="F1808" s="34" t="s">
        <v>18</v>
      </c>
      <c r="G1808" s="57">
        <v>45544</v>
      </c>
      <c r="H1808" s="57">
        <v>45950</v>
      </c>
      <c r="I1808" s="34">
        <f t="shared" si="84"/>
        <v>13</v>
      </c>
      <c r="J1808" s="34">
        <v>25</v>
      </c>
      <c r="K1808" s="36">
        <v>625</v>
      </c>
      <c r="L1808" s="34" t="s">
        <v>17</v>
      </c>
      <c r="M1808" s="39">
        <v>37871</v>
      </c>
      <c r="N1808" s="37">
        <f>(YEAR(TablaMadre[[#This Row],[ALTA]])-YEAR(M1808))</f>
        <v>21</v>
      </c>
      <c r="O1808" s="34" t="s">
        <v>18</v>
      </c>
      <c r="P1808" s="34" t="s">
        <v>19</v>
      </c>
      <c r="Q1808" s="34" t="s">
        <v>297</v>
      </c>
      <c r="R1808" s="34" t="s">
        <v>21</v>
      </c>
      <c r="S1808" s="34" t="s">
        <v>297</v>
      </c>
      <c r="T1808" s="34" t="s">
        <v>806</v>
      </c>
      <c r="U1808" s="34" t="str">
        <f>SUBSTITUTE($T1808, "INGUN", "/")</f>
        <v>N/A</v>
      </c>
      <c r="V1808" s="34" t="s">
        <v>22</v>
      </c>
      <c r="W1808" s="34" t="s">
        <v>28</v>
      </c>
      <c r="X1808" s="34" t="s">
        <v>173</v>
      </c>
      <c r="Y1808" s="57"/>
      <c r="Z1808" s="34" t="e">
        <f t="shared" si="85"/>
        <v>#NUM!</v>
      </c>
      <c r="AA1808" s="34"/>
      <c r="AB1808" s="34">
        <v>9</v>
      </c>
      <c r="AC1808" s="34">
        <v>9</v>
      </c>
      <c r="AD1808" s="34"/>
      <c r="AE1808" s="59" t="str">
        <f t="shared" si="86"/>
        <v>NO</v>
      </c>
      <c r="AF1808" s="34" t="e" cm="1">
        <f t="array" aca="1" ref="AF1808" ca="1">MIN(100, MAX(0, (IF(R1808="ESTUDIANTE", 31, 0)) + (IF(I1808&lt;=3, 30, IF(I1808&lt;=6, 20, 0))) +(IF(OR(E1808="413 - Control de Costes y Enlace Construcción", E1808="480 - Secretaría General del Consejo", E1808="132 - Civil y estructuras", E1808="136 - Mecánica", E1808="412 - Planificación", E1808="142 - Compras"), 25, 0)) +(IF(OR(S1808="GRADO ING. MECÁNICA", S1808="GRADO ING. ELÉCTRICA", S1808="GRADO DERECHO", S1808="GRADO ECONOMÍA", S1808="GRADO ING. TECNOLOGÍAS INDUSTRIALES"), 24, 0)) + (IF(AND(K1808&gt;=451, K1808&lt;=700), 23, 0)) + (IF(AND(AB1808&gt;=5, AB1808&lt;=8), 17, 0)) +(IF(_xludf.OR(_xludf.AND(AC1808&gt;=8, AC1808&lt;=10), _xludf.AND(AC1808&gt;=0, AC1808&lt;=5)), 16, 0)) + (IF(F1808="Madrid", 11, 0))))</f>
        <v>#NAME?</v>
      </c>
      <c r="AG1808" s="69"/>
      <c r="AH1808" s="71" t="s">
        <v>164</v>
      </c>
    </row>
    <row r="1809" spans="1:34" ht="15" customHeight="1" x14ac:dyDescent="0.3">
      <c r="A1809" s="66" t="s">
        <v>2787</v>
      </c>
      <c r="B1809" s="66" t="s">
        <v>4904</v>
      </c>
      <c r="C1809" s="33">
        <v>1808</v>
      </c>
      <c r="D1809" s="33" t="s">
        <v>5403</v>
      </c>
      <c r="E1809" s="34" t="s">
        <v>5369</v>
      </c>
      <c r="F1809" s="34" t="s">
        <v>18</v>
      </c>
      <c r="G1809" s="57">
        <v>45546</v>
      </c>
      <c r="H1809" s="57">
        <v>45908</v>
      </c>
      <c r="I1809" s="34">
        <f t="shared" si="84"/>
        <v>11</v>
      </c>
      <c r="J1809" s="34">
        <v>35</v>
      </c>
      <c r="K1809" s="36">
        <v>900</v>
      </c>
      <c r="L1809" s="34" t="s">
        <v>17</v>
      </c>
      <c r="M1809" s="35">
        <v>34722</v>
      </c>
      <c r="N1809" s="37">
        <f>(YEAR(TablaMadre[[#This Row],[ALTA]])-YEAR(M1809))</f>
        <v>29</v>
      </c>
      <c r="O1809" s="34" t="s">
        <v>18</v>
      </c>
      <c r="P1809" s="34" t="s">
        <v>19</v>
      </c>
      <c r="Q1809" s="34" t="s">
        <v>384</v>
      </c>
      <c r="R1809" s="34" t="s">
        <v>21</v>
      </c>
      <c r="S1809" s="34" t="s">
        <v>384</v>
      </c>
      <c r="T1809" s="34" t="s">
        <v>806</v>
      </c>
      <c r="U1809" s="34" t="str">
        <f>SUBSTITUTE($T1809, "INGUN", "/")</f>
        <v>N/A</v>
      </c>
      <c r="V1809" s="34" t="s">
        <v>22</v>
      </c>
      <c r="W1809" s="34" t="s">
        <v>28</v>
      </c>
      <c r="X1809" s="38" t="s">
        <v>173</v>
      </c>
      <c r="Y1809" s="62"/>
      <c r="Z1809" s="38" t="e">
        <f t="shared" si="85"/>
        <v>#NUM!</v>
      </c>
      <c r="AA1809" s="38"/>
      <c r="AB1809" s="34">
        <v>10</v>
      </c>
      <c r="AC1809" s="34">
        <v>8</v>
      </c>
      <c r="AD1809" s="38"/>
      <c r="AE1809" s="59" t="str">
        <f t="shared" si="86"/>
        <v>NO</v>
      </c>
      <c r="AF1809" s="38" t="e" cm="1">
        <f t="array" aca="1" ref="AF1809" ca="1">MIN(100, MAX(0, (IF(R1809="ESTUDIANTE", 31, 0)) + (IF(I1809&lt;=3, 30, IF(I1809&lt;=6, 20, 0))) +(IF(OR(E1809="413 - Control de Costes y Enlace Construcción", E1809="480 - Secretaría General del Consejo", E1809="132 - Civil y estructuras", E1809="136 - Mecánica", E1809="412 - Planificación", E1809="142 - Compras"), 25, 0)) +(IF(OR(S1809="GRADO ING. MECÁNICA", S1809="GRADO ING. ELÉCTRICA", S1809="GRADO DERECHO", S1809="GRADO ECONOMÍA", S1809="GRADO ING. TECNOLOGÍAS INDUSTRIALES"), 24, 0)) + (IF(AND(K1809&gt;=451, K1809&lt;=700), 23, 0)) + (IF(AND(AB1809&gt;=5, AB1809&lt;=8), 17, 0)) +(IF(_xludf.OR(_xludf.AND(AC1809&gt;=8, AC1809&lt;=10), _xludf.AND(AC1809&gt;=0, AC1809&lt;=5)), 16, 0)) + (IF(F1809="Madrid", 11, 0))))</f>
        <v>#NAME?</v>
      </c>
      <c r="AG1809" s="68"/>
      <c r="AH1809" s="71" t="s">
        <v>164</v>
      </c>
    </row>
    <row r="1810" spans="1:34" ht="15" customHeight="1" x14ac:dyDescent="0.3">
      <c r="A1810" s="66" t="s">
        <v>2648</v>
      </c>
      <c r="B1810" s="66" t="s">
        <v>4765</v>
      </c>
      <c r="C1810" s="33">
        <v>1809</v>
      </c>
      <c r="D1810" s="33" t="s">
        <v>5404</v>
      </c>
      <c r="E1810" s="34" t="s">
        <v>5251</v>
      </c>
      <c r="F1810" s="34" t="s">
        <v>18</v>
      </c>
      <c r="G1810" s="57">
        <v>45551</v>
      </c>
      <c r="H1810" s="57">
        <v>45731</v>
      </c>
      <c r="I1810" s="34">
        <f t="shared" si="84"/>
        <v>5</v>
      </c>
      <c r="J1810" s="34">
        <v>35</v>
      </c>
      <c r="K1810" s="36">
        <v>1200</v>
      </c>
      <c r="L1810" s="34" t="s">
        <v>17</v>
      </c>
      <c r="M1810" s="35">
        <v>36853</v>
      </c>
      <c r="N1810" s="37">
        <f>(YEAR(TablaMadre[[#This Row],[ALTA]])-YEAR(M1810))</f>
        <v>24</v>
      </c>
      <c r="O1810" s="34" t="s">
        <v>205</v>
      </c>
      <c r="P1810" s="34" t="s">
        <v>19</v>
      </c>
      <c r="Q1810" s="34" t="s">
        <v>814</v>
      </c>
      <c r="R1810" s="34" t="s">
        <v>21</v>
      </c>
      <c r="S1810" s="34" t="s">
        <v>814</v>
      </c>
      <c r="T1810" s="34" t="s">
        <v>815</v>
      </c>
      <c r="U1810" s="34" t="s">
        <v>30</v>
      </c>
      <c r="V1810" s="34" t="s">
        <v>207</v>
      </c>
      <c r="W1810" s="34" t="s">
        <v>23</v>
      </c>
      <c r="X1810" s="38" t="s">
        <v>164</v>
      </c>
      <c r="Y1810" s="62"/>
      <c r="Z1810" s="38" t="e">
        <f t="shared" si="85"/>
        <v>#NUM!</v>
      </c>
      <c r="AA1810" s="38"/>
      <c r="AB1810" s="34">
        <v>7</v>
      </c>
      <c r="AC1810" s="34"/>
      <c r="AD1810" s="38"/>
      <c r="AE1810" s="59" t="str">
        <f t="shared" si="86"/>
        <v>SÍ</v>
      </c>
      <c r="AF1810" s="38" t="e" cm="1">
        <f t="array" aca="1" ref="AF1810" ca="1">MIN(100, MAX(0, (IF(R1810="ESTUDIANTE", 31, 0)) + (IF(I1810&lt;=3, 30, IF(I1810&lt;=6, 20, 0))) +(IF(OR(E1810="413 - Control de Costes y Enlace Construcción", E1810="480 - Secretaría General del Consejo", E1810="132 - Civil y estructuras", E1810="136 - Mecánica", E1810="412 - Planificación", E1810="142 - Compras"), 25, 0)) +(IF(OR(S1810="GRADO ING. MECÁNICA", S1810="GRADO ING. ELÉCTRICA", S1810="GRADO DERECHO", S1810="GRADO ECONOMÍA", S1810="GRADO ING. TECNOLOGÍAS INDUSTRIALES"), 24, 0)) + (IF(AND(K1810&gt;=451, K1810&lt;=700), 23, 0)) + (IF(AND(AB1810&gt;=5, AB1810&lt;=8), 17, 0)) +(IF(_xludf.OR(_xludf.AND(AC1810&gt;=8, AC1810&lt;=10), _xludf.AND(AC1810&gt;=0, AC1810&lt;=5)), 16, 0)) + (IF(F1810="Madrid", 11, 0))))</f>
        <v>#NAME?</v>
      </c>
      <c r="AG1810" s="68"/>
      <c r="AH1810" s="71" t="s">
        <v>164</v>
      </c>
    </row>
    <row r="1811" spans="1:34" ht="16.5" customHeight="1" x14ac:dyDescent="0.3">
      <c r="A1811" s="66" t="s">
        <v>2665</v>
      </c>
      <c r="B1811" s="66" t="s">
        <v>4782</v>
      </c>
      <c r="C1811" s="33">
        <v>1817</v>
      </c>
      <c r="D1811" s="33" t="s">
        <v>5405</v>
      </c>
      <c r="E1811" s="34" t="s">
        <v>5253</v>
      </c>
      <c r="F1811" s="34" t="s">
        <v>18</v>
      </c>
      <c r="G1811" s="57">
        <v>45551</v>
      </c>
      <c r="H1811" s="57">
        <v>45900</v>
      </c>
      <c r="I1811" s="34">
        <f t="shared" si="84"/>
        <v>11</v>
      </c>
      <c r="J1811" s="34">
        <v>35</v>
      </c>
      <c r="K1811" s="36">
        <v>700</v>
      </c>
      <c r="L1811" s="34" t="s">
        <v>17</v>
      </c>
      <c r="M1811" s="35">
        <v>37465</v>
      </c>
      <c r="N1811" s="37">
        <f>(YEAR(TablaMadre[[#This Row],[ALTA]])-YEAR(M1811))</f>
        <v>22</v>
      </c>
      <c r="O1811" s="34" t="s">
        <v>18</v>
      </c>
      <c r="P1811" s="34" t="s">
        <v>19</v>
      </c>
      <c r="Q1811" s="34" t="s">
        <v>435</v>
      </c>
      <c r="R1811" s="34" t="s">
        <v>30</v>
      </c>
      <c r="S1811" s="34" t="s">
        <v>435</v>
      </c>
      <c r="T1811" s="34" t="s">
        <v>806</v>
      </c>
      <c r="U1811" s="34" t="str">
        <f>SUBSTITUTE($T1811, "INGUN", "/")</f>
        <v>N/A</v>
      </c>
      <c r="V1811" s="34" t="s">
        <v>22</v>
      </c>
      <c r="W1811" s="34" t="s">
        <v>181</v>
      </c>
      <c r="X1811" s="38" t="s">
        <v>164</v>
      </c>
      <c r="Y1811" s="62"/>
      <c r="Z1811" s="38" t="e">
        <f t="shared" si="85"/>
        <v>#NUM!</v>
      </c>
      <c r="AA1811" s="38"/>
      <c r="AB1811" s="34">
        <v>10</v>
      </c>
      <c r="AC1811" s="34">
        <v>9</v>
      </c>
      <c r="AD1811" s="38"/>
      <c r="AE1811" s="59" t="str">
        <f t="shared" si="86"/>
        <v>NO</v>
      </c>
      <c r="AF1811" s="38" t="e" cm="1">
        <f t="array" aca="1" ref="AF1811" ca="1">MIN(100, MAX(0, (IF(R1811="ESTUDIANTE", 31, 0)) + (IF(I1811&lt;=3, 30, IF(I1811&lt;=6, 20, 0))) +(IF(OR(E1811="413 - Control de Costes y Enlace Construcción", E1811="480 - Secretaría General del Consejo", E1811="132 - Civil y estructuras", E1811="136 - Mecánica", E1811="412 - Planificación", E1811="142 - Compras"), 25, 0)) +(IF(OR(S1811="GRADO ING. MECÁNICA", S1811="GRADO ING. ELÉCTRICA", S1811="GRADO DERECHO", S1811="GRADO ECONOMÍA", S1811="GRADO ING. TECNOLOGÍAS INDUSTRIALES"), 24, 0)) + (IF(AND(K1811&gt;=451, K1811&lt;=700), 23, 0)) + (IF(AND(AB1811&gt;=5, AB1811&lt;=8), 17, 0)) +(IF(_xludf.OR(_xludf.AND(AC1811&gt;=8, AC1811&lt;=10), _xludf.AND(AC1811&gt;=0, AC1811&lt;=5)), 16, 0)) + (IF(F1811="Madrid", 11, 0))))</f>
        <v>#NAME?</v>
      </c>
      <c r="AG1811" s="68"/>
      <c r="AH1811" s="71" t="s">
        <v>164</v>
      </c>
    </row>
    <row r="1812" spans="1:34" s="4" customFormat="1" ht="17.25" customHeight="1" x14ac:dyDescent="0.3">
      <c r="A1812" s="66" t="s">
        <v>2789</v>
      </c>
      <c r="B1812" s="66" t="s">
        <v>4906</v>
      </c>
      <c r="C1812" s="33">
        <v>1810</v>
      </c>
      <c r="D1812" s="33" t="s">
        <v>5396</v>
      </c>
      <c r="E1812" s="34" t="s">
        <v>5371</v>
      </c>
      <c r="F1812" s="34" t="s">
        <v>18</v>
      </c>
      <c r="G1812" s="57">
        <v>45551</v>
      </c>
      <c r="H1812" s="57">
        <v>45731</v>
      </c>
      <c r="I1812" s="34">
        <f t="shared" si="84"/>
        <v>5</v>
      </c>
      <c r="J1812" s="34">
        <v>35</v>
      </c>
      <c r="K1812" s="36">
        <v>1200</v>
      </c>
      <c r="L1812" s="34" t="s">
        <v>29</v>
      </c>
      <c r="M1812" s="35">
        <v>36695</v>
      </c>
      <c r="N1812" s="37">
        <f>(YEAR(TablaMadre[[#This Row],[ALTA]])-YEAR(M1812))</f>
        <v>24</v>
      </c>
      <c r="O1812" s="34" t="s">
        <v>70</v>
      </c>
      <c r="P1812" s="34" t="s">
        <v>19</v>
      </c>
      <c r="Q1812" s="34" t="s">
        <v>297</v>
      </c>
      <c r="R1812" s="34" t="s">
        <v>21</v>
      </c>
      <c r="S1812" s="34" t="s">
        <v>297</v>
      </c>
      <c r="T1812" s="34"/>
      <c r="U1812" s="34" t="s">
        <v>30</v>
      </c>
      <c r="V1812" s="34" t="s">
        <v>86</v>
      </c>
      <c r="W1812" s="34" t="s">
        <v>28</v>
      </c>
      <c r="X1812" s="38" t="s">
        <v>173</v>
      </c>
      <c r="Y1812" s="62"/>
      <c r="Z1812" s="38" t="e">
        <f t="shared" si="85"/>
        <v>#NUM!</v>
      </c>
      <c r="AA1812" s="38"/>
      <c r="AB1812" s="34">
        <v>9</v>
      </c>
      <c r="AC1812" s="34">
        <v>8</v>
      </c>
      <c r="AD1812" s="38"/>
      <c r="AE1812" s="59" t="str">
        <f t="shared" si="86"/>
        <v>SÍ</v>
      </c>
      <c r="AF1812" s="34" t="e" cm="1">
        <f t="array" aca="1" ref="AF1812" ca="1">MIN(100, MAX(0, (IF(R1812="ESTUDIANTE", 31, 0)) + (IF(I1812&lt;=3, 30, IF(I1812&lt;=6, 20, 0))) +(IF(OR(E1812="413 - Control de Costes y Enlace Construcción", E1812="480 - Secretaría General del Consejo", E1812="132 - Civil y estructuras", E1812="136 - Mecánica", E1812="412 - Planificación", E1812="142 - Compras"), 25, 0)) +(IF(OR(S1812="GRADO ING. MECÁNICA", S1812="GRADO ING. ELÉCTRICA", S1812="GRADO DERECHO", S1812="GRADO ECONOMÍA", S1812="GRADO ING. TECNOLOGÍAS INDUSTRIALES"), 24, 0)) + (IF(AND(K1812&gt;=451, K1812&lt;=700), 23, 0)) + (IF(AND(AB1812&gt;=5, AB1812&lt;=8), 17, 0)) +(IF(_xludf.OR(_xludf.AND(AC1812&gt;=8, AC1812&lt;=10), _xludf.AND(AC1812&gt;=0, AC1812&lt;=5)), 16, 0)) + (IF(F1812="Madrid", 11, 0))))</f>
        <v>#NAME?</v>
      </c>
      <c r="AG1812" s="69"/>
      <c r="AH1812" s="71" t="s">
        <v>164</v>
      </c>
    </row>
    <row r="1813" spans="1:34" ht="14.4" x14ac:dyDescent="0.3">
      <c r="A1813" s="66" t="s">
        <v>2790</v>
      </c>
      <c r="B1813" s="66" t="s">
        <v>4907</v>
      </c>
      <c r="C1813" s="33">
        <v>1811</v>
      </c>
      <c r="D1813" s="33" t="s">
        <v>5397</v>
      </c>
      <c r="E1813" s="34" t="s">
        <v>5233</v>
      </c>
      <c r="F1813" s="34" t="s">
        <v>18</v>
      </c>
      <c r="G1813" s="57">
        <v>45551</v>
      </c>
      <c r="H1813" s="57">
        <v>45731</v>
      </c>
      <c r="I1813" s="34">
        <f t="shared" si="84"/>
        <v>5</v>
      </c>
      <c r="J1813" s="34">
        <v>35</v>
      </c>
      <c r="K1813" s="36">
        <v>1200</v>
      </c>
      <c r="L1813" s="34" t="s">
        <v>17</v>
      </c>
      <c r="M1813" s="35">
        <v>36505</v>
      </c>
      <c r="N1813" s="37">
        <f>(YEAR(TablaMadre[[#This Row],[ALTA]])-YEAR(M1813))</f>
        <v>25</v>
      </c>
      <c r="O1813" s="34" t="s">
        <v>211</v>
      </c>
      <c r="P1813" s="34" t="s">
        <v>19</v>
      </c>
      <c r="Q1813" s="34" t="s">
        <v>816</v>
      </c>
      <c r="R1813" s="34" t="s">
        <v>21</v>
      </c>
      <c r="S1813" s="34" t="s">
        <v>817</v>
      </c>
      <c r="T1813" s="34"/>
      <c r="U1813" s="34" t="s">
        <v>30</v>
      </c>
      <c r="V1813" s="34" t="s">
        <v>67</v>
      </c>
      <c r="W1813" s="34" t="s">
        <v>28</v>
      </c>
      <c r="X1813" s="34" t="s">
        <v>173</v>
      </c>
      <c r="Y1813" s="57"/>
      <c r="Z1813" s="34" t="e">
        <f t="shared" si="85"/>
        <v>#NUM!</v>
      </c>
      <c r="AA1813" s="34"/>
      <c r="AB1813" s="34">
        <v>10</v>
      </c>
      <c r="AC1813" s="34">
        <v>10</v>
      </c>
      <c r="AD1813" s="34"/>
      <c r="AE1813" s="59" t="str">
        <f t="shared" si="86"/>
        <v>SÍ</v>
      </c>
      <c r="AF1813" s="38" t="e" cm="1">
        <f t="array" aca="1" ref="AF1813" ca="1">MIN(100, MAX(0, (IF(R1813="ESTUDIANTE", 31, 0)) + (IF(I1813&lt;=3, 30, IF(I1813&lt;=6, 20, 0))) +(IF(OR(E1813="413 - Control de Costes y Enlace Construcción", E1813="480 - Secretaría General del Consejo", E1813="132 - Civil y estructuras", E1813="136 - Mecánica", E1813="412 - Planificación", E1813="142 - Compras"), 25, 0)) +(IF(OR(S1813="GRADO ING. MECÁNICA", S1813="GRADO ING. ELÉCTRICA", S1813="GRADO DERECHO", S1813="GRADO ECONOMÍA", S1813="GRADO ING. TECNOLOGÍAS INDUSTRIALES"), 24, 0)) + (IF(AND(K1813&gt;=451, K1813&lt;=700), 23, 0)) + (IF(AND(AB1813&gt;=5, AB1813&lt;=8), 17, 0)) +(IF(_xludf.OR(_xludf.AND(AC1813&gt;=8, AC1813&lt;=10), _xludf.AND(AC1813&gt;=0, AC1813&lt;=5)), 16, 0)) + (IF(F1813="Madrid", 11, 0))))</f>
        <v>#NAME?</v>
      </c>
      <c r="AG1813" s="68"/>
      <c r="AH1813" s="71" t="s">
        <v>164</v>
      </c>
    </row>
    <row r="1814" spans="1:34" ht="14.4" x14ac:dyDescent="0.3">
      <c r="A1814" s="66" t="s">
        <v>2791</v>
      </c>
      <c r="B1814" s="66" t="s">
        <v>4908</v>
      </c>
      <c r="C1814" s="33">
        <v>1812</v>
      </c>
      <c r="D1814" s="33" t="s">
        <v>5393</v>
      </c>
      <c r="E1814" s="34" t="s">
        <v>5222</v>
      </c>
      <c r="F1814" s="34" t="s">
        <v>558</v>
      </c>
      <c r="G1814" s="57">
        <v>45551</v>
      </c>
      <c r="H1814" s="57">
        <v>45842</v>
      </c>
      <c r="I1814" s="34">
        <f t="shared" si="84"/>
        <v>9</v>
      </c>
      <c r="J1814" s="34">
        <v>40</v>
      </c>
      <c r="K1814" s="36">
        <v>744</v>
      </c>
      <c r="L1814" s="34" t="s">
        <v>17</v>
      </c>
      <c r="M1814" s="35">
        <v>35541</v>
      </c>
      <c r="N1814" s="37">
        <f>(YEAR(TablaMadre[[#This Row],[ALTA]])-YEAR(M1814))</f>
        <v>27</v>
      </c>
      <c r="O1814" s="34" t="s">
        <v>558</v>
      </c>
      <c r="P1814" s="34" t="s">
        <v>19</v>
      </c>
      <c r="Q1814" s="34" t="s">
        <v>854</v>
      </c>
      <c r="R1814" s="34" t="s">
        <v>30</v>
      </c>
      <c r="S1814" s="34" t="s">
        <v>854</v>
      </c>
      <c r="T1814" s="34" t="s">
        <v>806</v>
      </c>
      <c r="U1814" s="34" t="str">
        <f>SUBSTITUTE($T1814, "INGUN", "/")</f>
        <v>N/A</v>
      </c>
      <c r="V1814" s="34" t="s">
        <v>163</v>
      </c>
      <c r="W1814" s="34" t="s">
        <v>28</v>
      </c>
      <c r="X1814" s="38" t="s">
        <v>173</v>
      </c>
      <c r="Y1814" s="62"/>
      <c r="Z1814" s="38" t="e">
        <f t="shared" si="85"/>
        <v>#NUM!</v>
      </c>
      <c r="AA1814" s="38"/>
      <c r="AB1814" s="34">
        <v>9</v>
      </c>
      <c r="AC1814" s="34">
        <v>9</v>
      </c>
      <c r="AD1814" s="38"/>
      <c r="AE1814" s="59" t="str">
        <f t="shared" si="86"/>
        <v>NO</v>
      </c>
      <c r="AF1814" s="38" t="e" cm="1">
        <f t="array" aca="1" ref="AF1814" ca="1">MIN(100, MAX(0, (IF(R1814="ESTUDIANTE", 31, 0)) + (IF(I1814&lt;=3, 30, IF(I1814&lt;=6, 20, 0))) +(IF(OR(E1814="413 - Control de Costes y Enlace Construcción", E1814="480 - Secretaría General del Consejo", E1814="132 - Civil y estructuras", E1814="136 - Mecánica", E1814="412 - Planificación", E1814="142 - Compras"), 25, 0)) +(IF(OR(S1814="GRADO ING. MECÁNICA", S1814="GRADO ING. ELÉCTRICA", S1814="GRADO DERECHO", S1814="GRADO ECONOMÍA", S1814="GRADO ING. TECNOLOGÍAS INDUSTRIALES"), 24, 0)) + (IF(AND(K1814&gt;=451, K1814&lt;=700), 23, 0)) + (IF(AND(AB1814&gt;=5, AB1814&lt;=8), 17, 0)) +(IF(_xludf.OR(_xludf.AND(AC1814&gt;=8, AC1814&lt;=10), _xludf.AND(AC1814&gt;=0, AC1814&lt;=5)), 16, 0)) + (IF(F1814="Madrid", 11, 0))))</f>
        <v>#NAME?</v>
      </c>
      <c r="AG1814" s="68"/>
      <c r="AH1814" s="71" t="s">
        <v>164</v>
      </c>
    </row>
    <row r="1815" spans="1:34" ht="14.4" x14ac:dyDescent="0.3">
      <c r="A1815" s="66" t="s">
        <v>2792</v>
      </c>
      <c r="B1815" s="66" t="s">
        <v>4909</v>
      </c>
      <c r="C1815" s="33">
        <v>1813</v>
      </c>
      <c r="D1815" s="33" t="s">
        <v>5394</v>
      </c>
      <c r="E1815" s="34" t="s">
        <v>5222</v>
      </c>
      <c r="F1815" s="34" t="s">
        <v>558</v>
      </c>
      <c r="G1815" s="57">
        <v>45551</v>
      </c>
      <c r="H1815" s="57">
        <v>45842</v>
      </c>
      <c r="I1815" s="34">
        <f t="shared" si="84"/>
        <v>9</v>
      </c>
      <c r="J1815" s="34">
        <v>40</v>
      </c>
      <c r="K1815" s="36">
        <v>744</v>
      </c>
      <c r="L1815" s="34" t="s">
        <v>17</v>
      </c>
      <c r="M1815" s="35">
        <v>37013</v>
      </c>
      <c r="N1815" s="37">
        <f>(YEAR(TablaMadre[[#This Row],[ALTA]])-YEAR(M1815))</f>
        <v>23</v>
      </c>
      <c r="O1815" s="34" t="s">
        <v>945</v>
      </c>
      <c r="P1815" s="34" t="s">
        <v>19</v>
      </c>
      <c r="Q1815" s="34" t="s">
        <v>854</v>
      </c>
      <c r="R1815" s="34" t="s">
        <v>30</v>
      </c>
      <c r="S1815" s="34" t="s">
        <v>854</v>
      </c>
      <c r="T1815" s="34" t="s">
        <v>806</v>
      </c>
      <c r="U1815" s="34" t="str">
        <f>SUBSTITUTE($T1815, "INGUN", "/")</f>
        <v>N/A</v>
      </c>
      <c r="V1815" s="34" t="s">
        <v>163</v>
      </c>
      <c r="W1815" s="34" t="s">
        <v>28</v>
      </c>
      <c r="X1815" s="38" t="s">
        <v>173</v>
      </c>
      <c r="Y1815" s="62"/>
      <c r="Z1815" s="38" t="e">
        <f t="shared" si="85"/>
        <v>#NUM!</v>
      </c>
      <c r="AA1815" s="38"/>
      <c r="AB1815" s="34">
        <v>8</v>
      </c>
      <c r="AC1815" s="34">
        <v>9</v>
      </c>
      <c r="AD1815" s="38"/>
      <c r="AE1815" s="59" t="str">
        <f t="shared" si="86"/>
        <v>SÍ</v>
      </c>
      <c r="AF1815" s="38" t="e" cm="1">
        <f t="array" aca="1" ref="AF1815" ca="1">MIN(100, MAX(0, (IF(R1815="ESTUDIANTE", 31, 0)) + (IF(I1815&lt;=3, 30, IF(I1815&lt;=6, 20, 0))) +(IF(OR(E1815="413 - Control de Costes y Enlace Construcción", E1815="480 - Secretaría General del Consejo", E1815="132 - Civil y estructuras", E1815="136 - Mecánica", E1815="412 - Planificación", E1815="142 - Compras"), 25, 0)) +(IF(OR(S1815="GRADO ING. MECÁNICA", S1815="GRADO ING. ELÉCTRICA", S1815="GRADO DERECHO", S1815="GRADO ECONOMÍA", S1815="GRADO ING. TECNOLOGÍAS INDUSTRIALES"), 24, 0)) + (IF(AND(K1815&gt;=451, K1815&lt;=700), 23, 0)) + (IF(AND(AB1815&gt;=5, AB1815&lt;=8), 17, 0)) +(IF(_xludf.OR(_xludf.AND(AC1815&gt;=8, AC1815&lt;=10), _xludf.AND(AC1815&gt;=0, AC1815&lt;=5)), 16, 0)) + (IF(F1815="Madrid", 11, 0))))</f>
        <v>#NAME?</v>
      </c>
      <c r="AG1815" s="68"/>
      <c r="AH1815" s="71" t="s">
        <v>164</v>
      </c>
    </row>
    <row r="1816" spans="1:34" s="4" customFormat="1" ht="14.4" x14ac:dyDescent="0.3">
      <c r="A1816" s="66" t="s">
        <v>2793</v>
      </c>
      <c r="B1816" s="66" t="s">
        <v>4910</v>
      </c>
      <c r="C1816" s="33">
        <v>1814</v>
      </c>
      <c r="D1816" s="33" t="s">
        <v>5395</v>
      </c>
      <c r="E1816" s="34" t="s">
        <v>5222</v>
      </c>
      <c r="F1816" s="34" t="s">
        <v>558</v>
      </c>
      <c r="G1816" s="57">
        <v>45551</v>
      </c>
      <c r="H1816" s="57">
        <v>45842</v>
      </c>
      <c r="I1816" s="34">
        <f t="shared" si="84"/>
        <v>9</v>
      </c>
      <c r="J1816" s="34">
        <v>40</v>
      </c>
      <c r="K1816" s="36">
        <v>744</v>
      </c>
      <c r="L1816" s="34" t="s">
        <v>17</v>
      </c>
      <c r="M1816" s="35">
        <v>37924</v>
      </c>
      <c r="N1816" s="37">
        <f>(YEAR(TablaMadre[[#This Row],[ALTA]])-YEAR(M1816))</f>
        <v>21</v>
      </c>
      <c r="O1816" s="34" t="s">
        <v>558</v>
      </c>
      <c r="P1816" s="34" t="s">
        <v>19</v>
      </c>
      <c r="Q1816" s="34" t="s">
        <v>854</v>
      </c>
      <c r="R1816" s="34" t="s">
        <v>30</v>
      </c>
      <c r="S1816" s="34" t="s">
        <v>854</v>
      </c>
      <c r="T1816" s="34" t="s">
        <v>806</v>
      </c>
      <c r="U1816" s="34" t="str">
        <f>SUBSTITUTE($T1816, "INGUN", "/")</f>
        <v>N/A</v>
      </c>
      <c r="V1816" s="34" t="s">
        <v>163</v>
      </c>
      <c r="W1816" s="34" t="s">
        <v>28</v>
      </c>
      <c r="X1816" s="38" t="s">
        <v>173</v>
      </c>
      <c r="Y1816" s="62"/>
      <c r="Z1816" s="38" t="e">
        <f t="shared" si="85"/>
        <v>#NUM!</v>
      </c>
      <c r="AA1816" s="38"/>
      <c r="AB1816" s="34">
        <v>9</v>
      </c>
      <c r="AC1816" s="34">
        <v>9</v>
      </c>
      <c r="AD1816" s="38"/>
      <c r="AE1816" s="59" t="str">
        <f t="shared" si="86"/>
        <v>NO</v>
      </c>
      <c r="AF1816" s="34" t="e" cm="1">
        <f t="array" aca="1" ref="AF1816" ca="1">MIN(100, MAX(0, (IF(R1816="ESTUDIANTE", 31, 0)) + (IF(I1816&lt;=3, 30, IF(I1816&lt;=6, 20, 0))) +(IF(OR(E1816="413 - Control de Costes y Enlace Construcción", E1816="480 - Secretaría General del Consejo", E1816="132 - Civil y estructuras", E1816="136 - Mecánica", E1816="412 - Planificación", E1816="142 - Compras"), 25, 0)) +(IF(OR(S1816="GRADO ING. MECÁNICA", S1816="GRADO ING. ELÉCTRICA", S1816="GRADO DERECHO", S1816="GRADO ECONOMÍA", S1816="GRADO ING. TECNOLOGÍAS INDUSTRIALES"), 24, 0)) + (IF(AND(K1816&gt;=451, K1816&lt;=700), 23, 0)) + (IF(AND(AB1816&gt;=5, AB1816&lt;=8), 17, 0)) +(IF(_xludf.OR(_xludf.AND(AC1816&gt;=8, AC1816&lt;=10), _xludf.AND(AC1816&gt;=0, AC1816&lt;=5)), 16, 0)) + (IF(F1816="Madrid", 11, 0))))</f>
        <v>#NAME?</v>
      </c>
      <c r="AG1816" s="69"/>
      <c r="AH1816" s="71" t="s">
        <v>164</v>
      </c>
    </row>
    <row r="1817" spans="1:34" s="4" customFormat="1" ht="14.4" x14ac:dyDescent="0.3">
      <c r="A1817" s="66" t="s">
        <v>2794</v>
      </c>
      <c r="B1817" s="66" t="s">
        <v>4911</v>
      </c>
      <c r="C1817" s="33">
        <v>1815</v>
      </c>
      <c r="D1817" s="33" t="s">
        <v>5396</v>
      </c>
      <c r="E1817" s="34" t="s">
        <v>5359</v>
      </c>
      <c r="F1817" s="34" t="s">
        <v>18</v>
      </c>
      <c r="G1817" s="57">
        <v>45551</v>
      </c>
      <c r="H1817" s="57">
        <v>45849</v>
      </c>
      <c r="I1817" s="34">
        <f t="shared" si="84"/>
        <v>9</v>
      </c>
      <c r="J1817" s="34">
        <v>25</v>
      </c>
      <c r="K1817" s="36">
        <v>625</v>
      </c>
      <c r="L1817" s="34" t="s">
        <v>29</v>
      </c>
      <c r="M1817" s="35">
        <v>37173</v>
      </c>
      <c r="N1817" s="37">
        <f>(YEAR(TablaMadre[[#This Row],[ALTA]])-YEAR(M1817))</f>
        <v>23</v>
      </c>
      <c r="O1817" s="34" t="s">
        <v>948</v>
      </c>
      <c r="P1817" s="34" t="s">
        <v>19</v>
      </c>
      <c r="Q1817" s="34" t="s">
        <v>322</v>
      </c>
      <c r="R1817" s="58" t="s">
        <v>30</v>
      </c>
      <c r="S1817" s="34" t="s">
        <v>322</v>
      </c>
      <c r="T1817" s="34" t="s">
        <v>860</v>
      </c>
      <c r="U1817" s="34" t="s">
        <v>30</v>
      </c>
      <c r="V1817" s="34" t="s">
        <v>137</v>
      </c>
      <c r="W1817" s="34" t="s">
        <v>28</v>
      </c>
      <c r="X1817" s="34" t="s">
        <v>164</v>
      </c>
      <c r="Y1817" s="57">
        <v>45997</v>
      </c>
      <c r="Z1817" s="34">
        <f t="shared" si="85"/>
        <v>0</v>
      </c>
      <c r="AA1817" s="34"/>
      <c r="AB1817" s="34">
        <v>9</v>
      </c>
      <c r="AC1817" s="34">
        <v>9</v>
      </c>
      <c r="AD1817" s="34"/>
      <c r="AE1817" s="59" t="str">
        <f t="shared" si="86"/>
        <v>SÍ</v>
      </c>
      <c r="AF1817" s="34" t="e" cm="1">
        <f t="array" aca="1" ref="AF1817" ca="1">MIN(100, MAX(0, (IF(R1817="ESTUDIANTE", 31, 0)) + (IF(I1817&lt;=3, 30, IF(I1817&lt;=6, 20, 0))) +(IF(OR(E1817="413 - Control de Costes y Enlace Construcción", E1817="480 - Secretaría General del Consejo", E1817="132 - Civil y estructuras", E1817="136 - Mecánica", E1817="412 - Planificación", E1817="142 - Compras"), 25, 0)) +(IF(OR(S1817="GRADO ING. MECÁNICA", S1817="GRADO ING. ELÉCTRICA", S1817="GRADO DERECHO", S1817="GRADO ECONOMÍA", S1817="GRADO ING. TECNOLOGÍAS INDUSTRIALES"), 24, 0)) + (IF(AND(K1817&gt;=451, K1817&lt;=700), 23, 0)) + (IF(AND(AB1817&gt;=5, AB1817&lt;=8), 17, 0)) +(IF(_xludf.OR(_xludf.AND(AC1817&gt;=8, AC1817&lt;=10), _xludf.AND(AC1817&gt;=0, AC1817&lt;=5)), 16, 0)) + (IF(F1817="Madrid", 11, 0))))</f>
        <v>#NAME?</v>
      </c>
      <c r="AG1817" s="69"/>
      <c r="AH1817" s="71" t="s">
        <v>164</v>
      </c>
    </row>
    <row r="1818" spans="1:34" ht="14.4" x14ac:dyDescent="0.3">
      <c r="A1818" s="66" t="s">
        <v>2795</v>
      </c>
      <c r="B1818" s="66" t="s">
        <v>4912</v>
      </c>
      <c r="C1818" s="33">
        <v>1816</v>
      </c>
      <c r="D1818" s="33" t="s">
        <v>5397</v>
      </c>
      <c r="E1818" s="34" t="s">
        <v>5359</v>
      </c>
      <c r="F1818" s="34" t="s">
        <v>18</v>
      </c>
      <c r="G1818" s="57">
        <v>45551</v>
      </c>
      <c r="H1818" s="57">
        <v>45869</v>
      </c>
      <c r="I1818" s="34">
        <f t="shared" si="84"/>
        <v>10</v>
      </c>
      <c r="J1818" s="34">
        <v>25</v>
      </c>
      <c r="K1818" s="36">
        <v>625</v>
      </c>
      <c r="L1818" s="34" t="s">
        <v>29</v>
      </c>
      <c r="M1818" s="35">
        <v>36433</v>
      </c>
      <c r="N1818" s="37">
        <f>(YEAR(TablaMadre[[#This Row],[ALTA]])-YEAR(M1818))</f>
        <v>25</v>
      </c>
      <c r="O1818" s="34" t="s">
        <v>18</v>
      </c>
      <c r="P1818" s="34" t="s">
        <v>19</v>
      </c>
      <c r="Q1818" s="34" t="s">
        <v>322</v>
      </c>
      <c r="R1818" s="58" t="s">
        <v>30</v>
      </c>
      <c r="S1818" s="34" t="s">
        <v>322</v>
      </c>
      <c r="T1818" s="34" t="s">
        <v>823</v>
      </c>
      <c r="U1818" s="34" t="s">
        <v>30</v>
      </c>
      <c r="V1818" s="34" t="s">
        <v>137</v>
      </c>
      <c r="W1818" s="34" t="s">
        <v>28</v>
      </c>
      <c r="X1818" s="34" t="s">
        <v>173</v>
      </c>
      <c r="Y1818" s="57"/>
      <c r="Z1818" s="34" t="e">
        <f t="shared" si="85"/>
        <v>#NUM!</v>
      </c>
      <c r="AA1818" s="34"/>
      <c r="AB1818" s="34">
        <v>9</v>
      </c>
      <c r="AC1818" s="34">
        <v>10</v>
      </c>
      <c r="AD1818" s="34"/>
      <c r="AE1818" s="59" t="str">
        <f t="shared" si="86"/>
        <v>NO</v>
      </c>
      <c r="AF1818" s="38" t="e" cm="1">
        <f t="array" aca="1" ref="AF1818" ca="1">MIN(100, MAX(0, (IF(R1818="ESTUDIANTE", 31, 0)) + (IF(I1818&lt;=3, 30, IF(I1818&lt;=6, 20, 0))) +(IF(OR(E1818="413 - Control de Costes y Enlace Construcción", E1818="480 - Secretaría General del Consejo", E1818="132 - Civil y estructuras", E1818="136 - Mecánica", E1818="412 - Planificación", E1818="142 - Compras"), 25, 0)) +(IF(OR(S1818="GRADO ING. MECÁNICA", S1818="GRADO ING. ELÉCTRICA", S1818="GRADO DERECHO", S1818="GRADO ECONOMÍA", S1818="GRADO ING. TECNOLOGÍAS INDUSTRIALES"), 24, 0)) + (IF(AND(K1818&gt;=451, K1818&lt;=700), 23, 0)) + (IF(AND(AB1818&gt;=5, AB1818&lt;=8), 17, 0)) +(IF(_xludf.OR(_xludf.AND(AC1818&gt;=8, AC1818&lt;=10), _xludf.AND(AC1818&gt;=0, AC1818&lt;=5)), 16, 0)) + (IF(F1818="Madrid", 11, 0))))</f>
        <v>#NAME?</v>
      </c>
      <c r="AG1818" s="68"/>
      <c r="AH1818" s="71" t="s">
        <v>164</v>
      </c>
    </row>
    <row r="1819" spans="1:34" s="4" customFormat="1" ht="14.4" x14ac:dyDescent="0.3">
      <c r="A1819" s="66" t="s">
        <v>2797</v>
      </c>
      <c r="B1819" s="66" t="s">
        <v>4914</v>
      </c>
      <c r="C1819" s="33">
        <v>1818</v>
      </c>
      <c r="D1819" s="33" t="s">
        <v>5398</v>
      </c>
      <c r="E1819" s="34" t="s">
        <v>5317</v>
      </c>
      <c r="F1819" s="34" t="s">
        <v>18</v>
      </c>
      <c r="G1819" s="57">
        <v>45551</v>
      </c>
      <c r="H1819" s="57">
        <v>45915</v>
      </c>
      <c r="I1819" s="34">
        <f t="shared" si="84"/>
        <v>11</v>
      </c>
      <c r="J1819" s="34">
        <v>35</v>
      </c>
      <c r="K1819" s="36">
        <v>800</v>
      </c>
      <c r="L1819" s="34" t="s">
        <v>29</v>
      </c>
      <c r="M1819" s="35">
        <v>37041</v>
      </c>
      <c r="N1819" s="37">
        <f>(YEAR(TablaMadre[[#This Row],[ALTA]])-YEAR(M1819))</f>
        <v>23</v>
      </c>
      <c r="O1819" s="34" t="s">
        <v>511</v>
      </c>
      <c r="P1819" s="34" t="s">
        <v>19</v>
      </c>
      <c r="Q1819" s="34" t="s">
        <v>647</v>
      </c>
      <c r="R1819" s="34" t="s">
        <v>21</v>
      </c>
      <c r="S1819" s="34" t="s">
        <v>389</v>
      </c>
      <c r="T1819" s="34" t="s">
        <v>879</v>
      </c>
      <c r="U1819" s="34" t="s">
        <v>30</v>
      </c>
      <c r="V1819" s="34" t="s">
        <v>163</v>
      </c>
      <c r="W1819" s="34" t="s">
        <v>28</v>
      </c>
      <c r="X1819" s="34" t="s">
        <v>173</v>
      </c>
      <c r="Y1819" s="57"/>
      <c r="Z1819" s="34" t="e">
        <f t="shared" si="85"/>
        <v>#NUM!</v>
      </c>
      <c r="AA1819" s="34"/>
      <c r="AB1819" s="34">
        <v>10</v>
      </c>
      <c r="AC1819" s="34">
        <v>7</v>
      </c>
      <c r="AD1819" s="34"/>
      <c r="AE1819" s="59" t="str">
        <f t="shared" si="86"/>
        <v>SÍ</v>
      </c>
      <c r="AF1819" s="34" t="e" cm="1">
        <f t="array" aca="1" ref="AF1819" ca="1">MIN(100, MAX(0, (IF(R1819="ESTUDIANTE", 31, 0)) + (IF(I1819&lt;=3, 30, IF(I1819&lt;=6, 20, 0))) +(IF(OR(E1819="413 - Control de Costes y Enlace Construcción", E1819="480 - Secretaría General del Consejo", E1819="132 - Civil y estructuras", E1819="136 - Mecánica", E1819="412 - Planificación", E1819="142 - Compras"), 25, 0)) +(IF(OR(S1819="GRADO ING. MECÁNICA", S1819="GRADO ING. ELÉCTRICA", S1819="GRADO DERECHO", S1819="GRADO ECONOMÍA", S1819="GRADO ING. TECNOLOGÍAS INDUSTRIALES"), 24, 0)) + (IF(AND(K1819&gt;=451, K1819&lt;=700), 23, 0)) + (IF(AND(AB1819&gt;=5, AB1819&lt;=8), 17, 0)) +(IF(_xludf.OR(_xludf.AND(AC1819&gt;=8, AC1819&lt;=10), _xludf.AND(AC1819&gt;=0, AC1819&lt;=5)), 16, 0)) + (IF(F1819="Madrid", 11, 0))))</f>
        <v>#NAME?</v>
      </c>
      <c r="AG1819" s="69"/>
      <c r="AH1819" s="71" t="s">
        <v>164</v>
      </c>
    </row>
    <row r="1820" spans="1:34" s="4" customFormat="1" ht="14.4" x14ac:dyDescent="0.3">
      <c r="A1820" s="66" t="s">
        <v>2669</v>
      </c>
      <c r="B1820" s="66" t="s">
        <v>4786</v>
      </c>
      <c r="C1820" s="33">
        <v>1819</v>
      </c>
      <c r="D1820" s="33" t="s">
        <v>5399</v>
      </c>
      <c r="E1820" s="34" t="s">
        <v>5359</v>
      </c>
      <c r="F1820" s="34" t="s">
        <v>18</v>
      </c>
      <c r="G1820" s="57">
        <v>45553</v>
      </c>
      <c r="H1820" s="57">
        <v>45838</v>
      </c>
      <c r="I1820" s="34">
        <f t="shared" si="84"/>
        <v>9</v>
      </c>
      <c r="J1820" s="34">
        <v>25</v>
      </c>
      <c r="K1820" s="36">
        <v>625</v>
      </c>
      <c r="L1820" s="34" t="s">
        <v>17</v>
      </c>
      <c r="M1820" s="35">
        <v>36930</v>
      </c>
      <c r="N1820" s="37">
        <f>(YEAR(TablaMadre[[#This Row],[ALTA]])-YEAR(M1820))</f>
        <v>23</v>
      </c>
      <c r="O1820" s="34" t="s">
        <v>414</v>
      </c>
      <c r="P1820" s="34" t="s">
        <v>19</v>
      </c>
      <c r="Q1820" s="34" t="s">
        <v>322</v>
      </c>
      <c r="R1820" s="58" t="s">
        <v>30</v>
      </c>
      <c r="S1820" s="34" t="s">
        <v>322</v>
      </c>
      <c r="T1820" s="34" t="s">
        <v>823</v>
      </c>
      <c r="U1820" s="34" t="s">
        <v>30</v>
      </c>
      <c r="V1820" s="34" t="s">
        <v>137</v>
      </c>
      <c r="W1820" s="34" t="s">
        <v>380</v>
      </c>
      <c r="X1820" s="34" t="s">
        <v>173</v>
      </c>
      <c r="Y1820" s="57"/>
      <c r="Z1820" s="34" t="e">
        <f t="shared" si="85"/>
        <v>#NUM!</v>
      </c>
      <c r="AA1820" s="34"/>
      <c r="AB1820" s="41">
        <v>9</v>
      </c>
      <c r="AC1820" s="41">
        <v>10</v>
      </c>
      <c r="AD1820" s="34"/>
      <c r="AE1820" s="59" t="str">
        <f t="shared" si="86"/>
        <v>SÍ</v>
      </c>
      <c r="AF1820" s="34" t="e" cm="1">
        <f t="array" aca="1" ref="AF1820" ca="1">MIN(100, MAX(0, (IF(R1820="ESTUDIANTE", 31, 0)) + (IF(I1820&lt;=3, 30, IF(I1820&lt;=6, 20, 0))) +(IF(OR(E1820="413 - Control de Costes y Enlace Construcción", E1820="480 - Secretaría General del Consejo", E1820="132 - Civil y estructuras", E1820="136 - Mecánica", E1820="412 - Planificación", E1820="142 - Compras"), 25, 0)) +(IF(OR(S1820="GRADO ING. MECÁNICA", S1820="GRADO ING. ELÉCTRICA", S1820="GRADO DERECHO", S1820="GRADO ECONOMÍA", S1820="GRADO ING. TECNOLOGÍAS INDUSTRIALES"), 24, 0)) + (IF(AND(K1820&gt;=451, K1820&lt;=700), 23, 0)) + (IF(AND(AB1820&gt;=5, AB1820&lt;=8), 17, 0)) +(IF(_xludf.OR(_xludf.AND(AC1820&gt;=8, AC1820&lt;=10), _xludf.AND(AC1820&gt;=0, AC1820&lt;=5)), 16, 0)) + (IF(F1820="Madrid", 11, 0))))</f>
        <v>#NAME?</v>
      </c>
      <c r="AG1820" s="69"/>
      <c r="AH1820" s="71" t="s">
        <v>164</v>
      </c>
    </row>
    <row r="1821" spans="1:34" s="4" customFormat="1" ht="14.4" x14ac:dyDescent="0.3">
      <c r="A1821" s="66" t="s">
        <v>2682</v>
      </c>
      <c r="B1821" s="66" t="s">
        <v>4799</v>
      </c>
      <c r="C1821" s="33">
        <v>1822</v>
      </c>
      <c r="D1821" s="33" t="s">
        <v>5400</v>
      </c>
      <c r="E1821" s="34" t="s">
        <v>5358</v>
      </c>
      <c r="F1821" s="34" t="s">
        <v>18</v>
      </c>
      <c r="G1821" s="57">
        <v>45558</v>
      </c>
      <c r="H1821" s="57">
        <v>45723</v>
      </c>
      <c r="I1821" s="34">
        <f t="shared" si="84"/>
        <v>5</v>
      </c>
      <c r="J1821" s="34">
        <v>25</v>
      </c>
      <c r="K1821" s="36">
        <v>625</v>
      </c>
      <c r="L1821" s="34" t="s">
        <v>29</v>
      </c>
      <c r="M1821" s="35">
        <v>37103</v>
      </c>
      <c r="N1821" s="37">
        <f>(YEAR(TablaMadre[[#This Row],[ALTA]])-YEAR(M1821))</f>
        <v>23</v>
      </c>
      <c r="O1821" s="34" t="s">
        <v>18</v>
      </c>
      <c r="P1821" s="34" t="s">
        <v>19</v>
      </c>
      <c r="Q1821" s="34" t="s">
        <v>297</v>
      </c>
      <c r="R1821" s="58" t="s">
        <v>30</v>
      </c>
      <c r="S1821" s="34" t="s">
        <v>297</v>
      </c>
      <c r="T1821" s="34"/>
      <c r="U1821" s="34" t="s">
        <v>30</v>
      </c>
      <c r="V1821" s="34" t="s">
        <v>84</v>
      </c>
      <c r="W1821" s="34" t="s">
        <v>23</v>
      </c>
      <c r="X1821" s="34" t="s">
        <v>164</v>
      </c>
      <c r="Y1821" s="57"/>
      <c r="Z1821" s="34" t="e">
        <f t="shared" si="85"/>
        <v>#NUM!</v>
      </c>
      <c r="AA1821" s="34"/>
      <c r="AB1821" s="41">
        <v>4</v>
      </c>
      <c r="AC1821" s="41">
        <v>6</v>
      </c>
      <c r="AD1821" s="34"/>
      <c r="AE1821" s="59" t="str">
        <f t="shared" si="86"/>
        <v>NO</v>
      </c>
      <c r="AF1821" s="34" t="e" cm="1">
        <f t="array" aca="1" ref="AF1821" ca="1">MIN(100, MAX(0, (IF(R1821="ESTUDIANTE", 31, 0)) + (IF(I1821&lt;=3, 30, IF(I1821&lt;=6, 20, 0))) +(IF(OR(E1821="413 - Control de Costes y Enlace Construcción", E1821="480 - Secretaría General del Consejo", E1821="132 - Civil y estructuras", E1821="136 - Mecánica", E1821="412 - Planificación", E1821="142 - Compras"), 25, 0)) +(IF(OR(S1821="GRADO ING. MECÁNICA", S1821="GRADO ING. ELÉCTRICA", S1821="GRADO DERECHO", S1821="GRADO ECONOMÍA", S1821="GRADO ING. TECNOLOGÍAS INDUSTRIALES"), 24, 0)) + (IF(AND(K1821&gt;=451, K1821&lt;=700), 23, 0)) + (IF(AND(AB1821&gt;=5, AB1821&lt;=8), 17, 0)) +(IF(_xludf.OR(_xludf.AND(AC1821&gt;=8, AC1821&lt;=10), _xludf.AND(AC1821&gt;=0, AC1821&lt;=5)), 16, 0)) + (IF(F1821="Madrid", 11, 0))))</f>
        <v>#NAME?</v>
      </c>
      <c r="AG1821" s="69"/>
      <c r="AH1821" s="71" t="s">
        <v>164</v>
      </c>
    </row>
    <row r="1822" spans="1:34" s="4" customFormat="1" ht="14.4" x14ac:dyDescent="0.3">
      <c r="A1822" s="66" t="s">
        <v>2683</v>
      </c>
      <c r="B1822" s="66" t="s">
        <v>4800</v>
      </c>
      <c r="C1822" s="33">
        <v>1823</v>
      </c>
      <c r="D1822" s="33" t="s">
        <v>5401</v>
      </c>
      <c r="E1822" s="34" t="s">
        <v>5285</v>
      </c>
      <c r="F1822" s="34" t="s">
        <v>18</v>
      </c>
      <c r="G1822" s="57">
        <v>45558</v>
      </c>
      <c r="H1822" s="57">
        <v>45808</v>
      </c>
      <c r="I1822" s="34">
        <f t="shared" si="84"/>
        <v>8</v>
      </c>
      <c r="J1822" s="34">
        <v>40</v>
      </c>
      <c r="K1822" s="36">
        <v>500</v>
      </c>
      <c r="L1822" s="34" t="s">
        <v>17</v>
      </c>
      <c r="M1822" s="35">
        <v>38346</v>
      </c>
      <c r="N1822" s="37">
        <f>(YEAR(TablaMadre[[#This Row],[ALTA]])-YEAR(M1822))</f>
        <v>20</v>
      </c>
      <c r="O1822" s="34" t="s">
        <v>18</v>
      </c>
      <c r="P1822" s="34" t="s">
        <v>19</v>
      </c>
      <c r="Q1822" s="34" t="s">
        <v>840</v>
      </c>
      <c r="R1822" s="34" t="s">
        <v>30</v>
      </c>
      <c r="S1822" s="34" t="s">
        <v>26</v>
      </c>
      <c r="T1822" s="34" t="s">
        <v>806</v>
      </c>
      <c r="U1822" s="34" t="str">
        <f>SUBSTITUTE($T1822, "INGUN", "/")</f>
        <v>N/A</v>
      </c>
      <c r="V1822" s="34" t="s">
        <v>27</v>
      </c>
      <c r="W1822" s="34" t="s">
        <v>23</v>
      </c>
      <c r="X1822" s="38" t="s">
        <v>164</v>
      </c>
      <c r="Y1822" s="62"/>
      <c r="Z1822" s="38" t="e">
        <f t="shared" si="85"/>
        <v>#NUM!</v>
      </c>
      <c r="AA1822" s="38"/>
      <c r="AB1822" s="41">
        <v>8</v>
      </c>
      <c r="AC1822" s="41">
        <v>10</v>
      </c>
      <c r="AD1822" s="38"/>
      <c r="AE1822" s="59" t="str">
        <f t="shared" si="86"/>
        <v>NO</v>
      </c>
      <c r="AF1822" s="34" t="e" cm="1">
        <f t="array" aca="1" ref="AF1822" ca="1">MIN(100, MAX(0, (IF(R1822="ESTUDIANTE", 31, 0)) + (IF(I1822&lt;=3, 30, IF(I1822&lt;=6, 20, 0))) +(IF(OR(E1822="413 - Control de Costes y Enlace Construcción", E1822="480 - Secretaría General del Consejo", E1822="132 - Civil y estructuras", E1822="136 - Mecánica", E1822="412 - Planificación", E1822="142 - Compras"), 25, 0)) +(IF(OR(S1822="GRADO ING. MECÁNICA", S1822="GRADO ING. ELÉCTRICA", S1822="GRADO DERECHO", S1822="GRADO ECONOMÍA", S1822="GRADO ING. TECNOLOGÍAS INDUSTRIALES"), 24, 0)) + (IF(AND(K1822&gt;=451, K1822&lt;=700), 23, 0)) + (IF(AND(AB1822&gt;=5, AB1822&lt;=8), 17, 0)) +(IF(_xludf.OR(_xludf.AND(AC1822&gt;=8, AC1822&lt;=10), _xludf.AND(AC1822&gt;=0, AC1822&lt;=5)), 16, 0)) + (IF(F1822="Madrid", 11, 0))))</f>
        <v>#NAME?</v>
      </c>
      <c r="AG1822" s="69"/>
      <c r="AH1822" s="71" t="s">
        <v>164</v>
      </c>
    </row>
    <row r="1823" spans="1:34" s="4" customFormat="1" ht="14.4" x14ac:dyDescent="0.3">
      <c r="A1823" s="66" t="s">
        <v>2799</v>
      </c>
      <c r="B1823" s="66" t="s">
        <v>4916</v>
      </c>
      <c r="C1823" s="33">
        <v>1820</v>
      </c>
      <c r="D1823" s="33" t="s">
        <v>5402</v>
      </c>
      <c r="E1823" s="34" t="s">
        <v>5216</v>
      </c>
      <c r="F1823" s="34" t="s">
        <v>18</v>
      </c>
      <c r="G1823" s="57">
        <v>45558</v>
      </c>
      <c r="H1823" s="57">
        <v>45629</v>
      </c>
      <c r="I1823" s="34">
        <f t="shared" si="84"/>
        <v>2</v>
      </c>
      <c r="J1823" s="34">
        <v>35</v>
      </c>
      <c r="K1823" s="36">
        <v>1200</v>
      </c>
      <c r="L1823" s="39" t="s">
        <v>29</v>
      </c>
      <c r="M1823" s="35">
        <v>37195</v>
      </c>
      <c r="N1823" s="37">
        <f>(YEAR(TablaMadre[[#This Row],[ALTA]])-YEAR(M1823))</f>
        <v>23</v>
      </c>
      <c r="O1823" s="34" t="s">
        <v>18</v>
      </c>
      <c r="P1823" s="34" t="s">
        <v>19</v>
      </c>
      <c r="Q1823" s="34" t="s">
        <v>791</v>
      </c>
      <c r="R1823" s="34" t="s">
        <v>21</v>
      </c>
      <c r="S1823" s="34" t="s">
        <v>297</v>
      </c>
      <c r="T1823" s="34"/>
      <c r="U1823" s="34" t="s">
        <v>42</v>
      </c>
      <c r="V1823" s="34" t="s">
        <v>84</v>
      </c>
      <c r="W1823" s="34" t="s">
        <v>28</v>
      </c>
      <c r="X1823" s="34" t="s">
        <v>164</v>
      </c>
      <c r="Y1823" s="57">
        <v>45904</v>
      </c>
      <c r="Z1823" s="34">
        <f t="shared" si="85"/>
        <v>0</v>
      </c>
      <c r="AA1823" s="34"/>
      <c r="AB1823" s="34">
        <v>8</v>
      </c>
      <c r="AC1823" s="34">
        <v>9</v>
      </c>
      <c r="AD1823" s="34"/>
      <c r="AE1823" s="59" t="str">
        <f t="shared" si="86"/>
        <v>NO</v>
      </c>
      <c r="AF1823" s="34" t="e" cm="1">
        <f t="array" aca="1" ref="AF1823" ca="1">MIN(100, MAX(0, (IF(R1823="ESTUDIANTE", 31, 0)) + (IF(I1823&lt;=3, 30, IF(I1823&lt;=6, 20, 0))) +(IF(OR(E1823="413 - Control de Costes y Enlace Construcción", E1823="480 - Secretaría General del Consejo", E1823="132 - Civil y estructuras", E1823="136 - Mecánica", E1823="412 - Planificación", E1823="142 - Compras"), 25, 0)) +(IF(OR(S1823="GRADO ING. MECÁNICA", S1823="GRADO ING. ELÉCTRICA", S1823="GRADO DERECHO", S1823="GRADO ECONOMÍA", S1823="GRADO ING. TECNOLOGÍAS INDUSTRIALES"), 24, 0)) + (IF(AND(K1823&gt;=451, K1823&lt;=700), 23, 0)) + (IF(AND(AB1823&gt;=5, AB1823&lt;=8), 17, 0)) +(IF(_xludf.OR(_xludf.AND(AC1823&gt;=8, AC1823&lt;=10), _xludf.AND(AC1823&gt;=0, AC1823&lt;=5)), 16, 0)) + (IF(F1823="Madrid", 11, 0))))</f>
        <v>#NAME?</v>
      </c>
      <c r="AG1823" s="69"/>
      <c r="AH1823" s="71" t="s">
        <v>164</v>
      </c>
    </row>
    <row r="1824" spans="1:34" ht="14.4" x14ac:dyDescent="0.3">
      <c r="A1824" s="66" t="s">
        <v>3028</v>
      </c>
      <c r="B1824" s="66" t="s">
        <v>5145</v>
      </c>
      <c r="C1824" s="33">
        <v>1821</v>
      </c>
      <c r="D1824" s="33" t="s">
        <v>5393</v>
      </c>
      <c r="E1824" s="34" t="s">
        <v>5277</v>
      </c>
      <c r="F1824" s="34" t="s">
        <v>18</v>
      </c>
      <c r="G1824" s="57">
        <v>45558</v>
      </c>
      <c r="H1824" s="57">
        <v>45649</v>
      </c>
      <c r="I1824" s="34">
        <f t="shared" si="84"/>
        <v>3</v>
      </c>
      <c r="J1824" s="34">
        <v>40</v>
      </c>
      <c r="K1824" s="36">
        <v>0</v>
      </c>
      <c r="L1824" s="34" t="s">
        <v>29</v>
      </c>
      <c r="M1824" s="35">
        <v>38113</v>
      </c>
      <c r="N1824" s="37">
        <f>(YEAR(TablaMadre[[#This Row],[ALTA]])-YEAR(M1824))</f>
        <v>20</v>
      </c>
      <c r="O1824" s="34" t="s">
        <v>18</v>
      </c>
      <c r="P1824" s="34" t="s">
        <v>19</v>
      </c>
      <c r="Q1824" s="34" t="s">
        <v>795</v>
      </c>
      <c r="R1824" s="34" t="s">
        <v>30</v>
      </c>
      <c r="S1824" s="34" t="s">
        <v>26</v>
      </c>
      <c r="T1824" s="34"/>
      <c r="U1824" s="34" t="s">
        <v>30</v>
      </c>
      <c r="V1824" s="34" t="s">
        <v>27</v>
      </c>
      <c r="W1824" s="34" t="s">
        <v>23</v>
      </c>
      <c r="X1824" s="34" t="s">
        <v>164</v>
      </c>
      <c r="Y1824" s="57"/>
      <c r="Z1824" s="34" t="e">
        <f t="shared" si="85"/>
        <v>#NUM!</v>
      </c>
      <c r="AA1824" s="34"/>
      <c r="AB1824" s="34"/>
      <c r="AC1824" s="34">
        <v>8</v>
      </c>
      <c r="AD1824" s="34"/>
      <c r="AE1824" s="59" t="str">
        <f t="shared" si="86"/>
        <v>NO</v>
      </c>
      <c r="AF1824" s="38" t="e" cm="1">
        <f t="array" aca="1" ref="AF1824" ca="1">MIN(100, MAX(0, (IF(R1824="ESTUDIANTE", 31, 0)) + (IF(I1824&lt;=3, 30, IF(I1824&lt;=6, 20, 0))) +(IF(OR(E1824="413 - Control de Costes y Enlace Construcción", E1824="480 - Secretaría General del Consejo", E1824="132 - Civil y estructuras", E1824="136 - Mecánica", E1824="412 - Planificación", E1824="142 - Compras"), 25, 0)) +(IF(OR(S1824="GRADO ING. MECÁNICA", S1824="GRADO ING. ELÉCTRICA", S1824="GRADO DERECHO", S1824="GRADO ECONOMÍA", S1824="GRADO ING. TECNOLOGÍAS INDUSTRIALES"), 24, 0)) + (IF(AND(K1824&gt;=451, K1824&lt;=700), 23, 0)) + (IF(AND(AB1824&gt;=5, AB1824&lt;=8), 17, 0)) +(IF(_xludf.OR(_xludf.AND(AC1824&gt;=8, AC1824&lt;=10), _xludf.AND(AC1824&gt;=0, AC1824&lt;=5)), 16, 0)) + (IF(F1824="Madrid", 11, 0))))</f>
        <v>#NAME?</v>
      </c>
      <c r="AG1824" s="68"/>
      <c r="AH1824" s="71" t="s">
        <v>164</v>
      </c>
    </row>
    <row r="1825" spans="1:34" ht="14.4" x14ac:dyDescent="0.3">
      <c r="A1825" s="66" t="s">
        <v>2803</v>
      </c>
      <c r="B1825" s="66" t="s">
        <v>4920</v>
      </c>
      <c r="C1825" s="33">
        <v>1824</v>
      </c>
      <c r="D1825" s="33" t="s">
        <v>5394</v>
      </c>
      <c r="E1825" s="34" t="s">
        <v>5249</v>
      </c>
      <c r="F1825" s="34" t="s">
        <v>18</v>
      </c>
      <c r="G1825" s="57">
        <v>45565</v>
      </c>
      <c r="H1825" s="57">
        <v>45747</v>
      </c>
      <c r="I1825" s="34">
        <f t="shared" si="84"/>
        <v>6</v>
      </c>
      <c r="J1825" s="34">
        <v>35</v>
      </c>
      <c r="K1825" s="36">
        <v>1200</v>
      </c>
      <c r="L1825" s="34" t="s">
        <v>29</v>
      </c>
      <c r="M1825" s="35">
        <v>36816</v>
      </c>
      <c r="N1825" s="37">
        <f>(YEAR(TablaMadre[[#This Row],[ALTA]])-YEAR(M1825))</f>
        <v>24</v>
      </c>
      <c r="O1825" s="34" t="s">
        <v>18</v>
      </c>
      <c r="P1825" s="34" t="s">
        <v>19</v>
      </c>
      <c r="Q1825" s="34" t="s">
        <v>297</v>
      </c>
      <c r="R1825" s="34" t="s">
        <v>21</v>
      </c>
      <c r="S1825" s="34" t="s">
        <v>297</v>
      </c>
      <c r="T1825" s="34" t="s">
        <v>820</v>
      </c>
      <c r="U1825" s="34" t="s">
        <v>30</v>
      </c>
      <c r="V1825" s="34" t="s">
        <v>40</v>
      </c>
      <c r="W1825" s="34" t="s">
        <v>28</v>
      </c>
      <c r="X1825" s="38" t="s">
        <v>173</v>
      </c>
      <c r="Y1825" s="62"/>
      <c r="Z1825" s="38" t="e">
        <f t="shared" si="85"/>
        <v>#NUM!</v>
      </c>
      <c r="AA1825" s="38"/>
      <c r="AB1825" s="34">
        <v>9</v>
      </c>
      <c r="AC1825" s="34">
        <v>8</v>
      </c>
      <c r="AD1825" s="38"/>
      <c r="AE1825" s="59" t="str">
        <f t="shared" si="86"/>
        <v>NO</v>
      </c>
      <c r="AF1825" s="38" t="e" cm="1">
        <f t="array" aca="1" ref="AF1825" ca="1">MIN(100, MAX(0, (IF(R1825="ESTUDIANTE", 31, 0)) + (IF(I1825&lt;=3, 30, IF(I1825&lt;=6, 20, 0))) +(IF(OR(E1825="413 - Control de Costes y Enlace Construcción", E1825="480 - Secretaría General del Consejo", E1825="132 - Civil y estructuras", E1825="136 - Mecánica", E1825="412 - Planificación", E1825="142 - Compras"), 25, 0)) +(IF(OR(S1825="GRADO ING. MECÁNICA", S1825="GRADO ING. ELÉCTRICA", S1825="GRADO DERECHO", S1825="GRADO ECONOMÍA", S1825="GRADO ING. TECNOLOGÍAS INDUSTRIALES"), 24, 0)) + (IF(AND(K1825&gt;=451, K1825&lt;=700), 23, 0)) + (IF(AND(AB1825&gt;=5, AB1825&lt;=8), 17, 0)) +(IF(_xludf.OR(_xludf.AND(AC1825&gt;=8, AC1825&lt;=10), _xludf.AND(AC1825&gt;=0, AC1825&lt;=5)), 16, 0)) + (IF(F1825="Madrid", 11, 0))))</f>
        <v>#NAME?</v>
      </c>
      <c r="AG1825" s="68"/>
      <c r="AH1825" s="71" t="s">
        <v>164</v>
      </c>
    </row>
    <row r="1826" spans="1:34" s="4" customFormat="1" ht="14.4" x14ac:dyDescent="0.3">
      <c r="A1826" s="66" t="s">
        <v>2804</v>
      </c>
      <c r="B1826" s="66" t="s">
        <v>4921</v>
      </c>
      <c r="C1826" s="33">
        <v>1825</v>
      </c>
      <c r="D1826" s="33" t="s">
        <v>5403</v>
      </c>
      <c r="E1826" s="34" t="s">
        <v>5372</v>
      </c>
      <c r="F1826" s="34" t="s">
        <v>18</v>
      </c>
      <c r="G1826" s="57">
        <v>45565</v>
      </c>
      <c r="H1826" s="57">
        <v>45758</v>
      </c>
      <c r="I1826" s="34">
        <f t="shared" si="84"/>
        <v>6</v>
      </c>
      <c r="J1826" s="34">
        <v>35</v>
      </c>
      <c r="K1826" s="36">
        <v>650</v>
      </c>
      <c r="L1826" s="34" t="s">
        <v>29</v>
      </c>
      <c r="M1826" s="35">
        <v>37116</v>
      </c>
      <c r="N1826" s="37">
        <f>(YEAR(TablaMadre[[#This Row],[ALTA]])-YEAR(M1826))</f>
        <v>23</v>
      </c>
      <c r="O1826" s="34" t="s">
        <v>191</v>
      </c>
      <c r="P1826" s="34" t="s">
        <v>19</v>
      </c>
      <c r="Q1826" s="34" t="s">
        <v>734</v>
      </c>
      <c r="R1826" s="58" t="s">
        <v>30</v>
      </c>
      <c r="S1826" s="34" t="s">
        <v>26</v>
      </c>
      <c r="T1826" s="34" t="s">
        <v>806</v>
      </c>
      <c r="U1826" s="34" t="str">
        <f>SUBSTITUTE($T1826, "INGUN", "/")</f>
        <v>N/A</v>
      </c>
      <c r="V1826" s="34" t="s">
        <v>27</v>
      </c>
      <c r="W1826" s="34" t="s">
        <v>28</v>
      </c>
      <c r="X1826" s="34" t="s">
        <v>173</v>
      </c>
      <c r="Y1826" s="57"/>
      <c r="Z1826" s="34" t="e">
        <f t="shared" si="85"/>
        <v>#NUM!</v>
      </c>
      <c r="AA1826" s="34"/>
      <c r="AB1826" s="34">
        <v>10</v>
      </c>
      <c r="AC1826" s="34">
        <v>10</v>
      </c>
      <c r="AD1826" s="34"/>
      <c r="AE1826" s="59" t="str">
        <f t="shared" si="86"/>
        <v>SÍ</v>
      </c>
      <c r="AF1826" s="34" t="e" cm="1">
        <f t="array" aca="1" ref="AF1826" ca="1">MIN(100, MAX(0, (IF(R1826="ESTUDIANTE", 31, 0)) + (IF(I1826&lt;=3, 30, IF(I1826&lt;=6, 20, 0))) +(IF(OR(E1826="413 - Control de Costes y Enlace Construcción", E1826="480 - Secretaría General del Consejo", E1826="132 - Civil y estructuras", E1826="136 - Mecánica", E1826="412 - Planificación", E1826="142 - Compras"), 25, 0)) +(IF(OR(S1826="GRADO ING. MECÁNICA", S1826="GRADO ING. ELÉCTRICA", S1826="GRADO DERECHO", S1826="GRADO ECONOMÍA", S1826="GRADO ING. TECNOLOGÍAS INDUSTRIALES"), 24, 0)) + (IF(AND(K1826&gt;=451, K1826&lt;=700), 23, 0)) + (IF(AND(AB1826&gt;=5, AB1826&lt;=8), 17, 0)) +(IF(_xludf.OR(_xludf.AND(AC1826&gt;=8, AC1826&lt;=10), _xludf.AND(AC1826&gt;=0, AC1826&lt;=5)), 16, 0)) + (IF(F1826="Madrid", 11, 0))))</f>
        <v>#NAME?</v>
      </c>
      <c r="AG1826" s="69"/>
      <c r="AH1826" s="71" t="s">
        <v>164</v>
      </c>
    </row>
    <row r="1827" spans="1:34" ht="14.4" x14ac:dyDescent="0.3">
      <c r="A1827" s="66" t="s">
        <v>2692</v>
      </c>
      <c r="B1827" s="66" t="s">
        <v>4809</v>
      </c>
      <c r="C1827" s="33">
        <v>1828</v>
      </c>
      <c r="D1827" s="33" t="s">
        <v>5404</v>
      </c>
      <c r="E1827" s="34" t="s">
        <v>5373</v>
      </c>
      <c r="F1827" s="34" t="s">
        <v>931</v>
      </c>
      <c r="G1827" s="57">
        <v>45572</v>
      </c>
      <c r="H1827" s="57">
        <v>45777</v>
      </c>
      <c r="I1827" s="34">
        <f t="shared" si="84"/>
        <v>6</v>
      </c>
      <c r="J1827" s="34">
        <v>40</v>
      </c>
      <c r="K1827" s="36">
        <v>500</v>
      </c>
      <c r="L1827" s="34" t="s">
        <v>17</v>
      </c>
      <c r="M1827" s="35">
        <v>28215</v>
      </c>
      <c r="N1827" s="37">
        <f>(YEAR(TablaMadre[[#This Row],[ALTA]])-YEAR(M1827))</f>
        <v>47</v>
      </c>
      <c r="O1827" s="34" t="s">
        <v>191</v>
      </c>
      <c r="P1827" s="34" t="s">
        <v>191</v>
      </c>
      <c r="Q1827" s="34" t="s">
        <v>830</v>
      </c>
      <c r="R1827" s="34" t="s">
        <v>30</v>
      </c>
      <c r="S1827" s="34" t="s">
        <v>26</v>
      </c>
      <c r="T1827" s="34" t="s">
        <v>806</v>
      </c>
      <c r="U1827" s="34" t="str">
        <f>SUBSTITUTE($T1827, "INGUN", "/")</f>
        <v>N/A</v>
      </c>
      <c r="V1827" s="34" t="s">
        <v>27</v>
      </c>
      <c r="W1827" s="34" t="s">
        <v>23</v>
      </c>
      <c r="X1827" s="38" t="s">
        <v>164</v>
      </c>
      <c r="Y1827" s="62"/>
      <c r="Z1827" s="38" t="e">
        <f t="shared" si="85"/>
        <v>#NUM!</v>
      </c>
      <c r="AA1827" s="38"/>
      <c r="AB1827" s="34">
        <v>3</v>
      </c>
      <c r="AC1827" s="34">
        <v>9</v>
      </c>
      <c r="AD1827" s="38"/>
      <c r="AE1827" s="59" t="str">
        <f t="shared" si="86"/>
        <v>SÍ</v>
      </c>
      <c r="AF1827" s="38" t="e" cm="1">
        <f t="array" aca="1" ref="AF1827" ca="1">MIN(100, MAX(0, (IF(R1827="ESTUDIANTE", 31, 0)) + (IF(I1827&lt;=3, 30, IF(I1827&lt;=6, 20, 0))) +(IF(OR(E1827="413 - Control de Costes y Enlace Construcción", E1827="480 - Secretaría General del Consejo", E1827="132 - Civil y estructuras", E1827="136 - Mecánica", E1827="412 - Planificación", E1827="142 - Compras"), 25, 0)) +(IF(OR(S1827="GRADO ING. MECÁNICA", S1827="GRADO ING. ELÉCTRICA", S1827="GRADO DERECHO", S1827="GRADO ECONOMÍA", S1827="GRADO ING. TECNOLOGÍAS INDUSTRIALES"), 24, 0)) + (IF(AND(K1827&gt;=451, K1827&lt;=700), 23, 0)) + (IF(AND(AB1827&gt;=5, AB1827&lt;=8), 17, 0)) +(IF(_xludf.OR(_xludf.AND(AC1827&gt;=8, AC1827&lt;=10), _xludf.AND(AC1827&gt;=0, AC1827&lt;=5)), 16, 0)) + (IF(F1827="Madrid", 11, 0))))</f>
        <v>#NAME?</v>
      </c>
      <c r="AG1827" s="68"/>
      <c r="AH1827" s="71" t="s">
        <v>164</v>
      </c>
    </row>
    <row r="1828" spans="1:34" s="4" customFormat="1" ht="14.4" x14ac:dyDescent="0.3">
      <c r="A1828" s="66" t="s">
        <v>2694</v>
      </c>
      <c r="B1828" s="66" t="s">
        <v>4811</v>
      </c>
      <c r="C1828" s="33">
        <v>1829</v>
      </c>
      <c r="D1828" s="33" t="s">
        <v>5405</v>
      </c>
      <c r="E1828" s="34" t="s">
        <v>5246</v>
      </c>
      <c r="F1828" s="34" t="s">
        <v>18</v>
      </c>
      <c r="G1828" s="57">
        <v>45572</v>
      </c>
      <c r="H1828" s="57">
        <v>45777</v>
      </c>
      <c r="I1828" s="34">
        <f t="shared" si="84"/>
        <v>6</v>
      </c>
      <c r="J1828" s="34">
        <v>40</v>
      </c>
      <c r="K1828" s="36">
        <v>500</v>
      </c>
      <c r="L1828" s="34" t="s">
        <v>29</v>
      </c>
      <c r="M1828" s="35">
        <v>33690</v>
      </c>
      <c r="N1828" s="37">
        <f>(YEAR(TablaMadre[[#This Row],[ALTA]])-YEAR(M1828))</f>
        <v>32</v>
      </c>
      <c r="O1828" s="34" t="s">
        <v>191</v>
      </c>
      <c r="P1828" s="34" t="s">
        <v>191</v>
      </c>
      <c r="Q1828" s="34" t="s">
        <v>830</v>
      </c>
      <c r="R1828" s="34" t="s">
        <v>30</v>
      </c>
      <c r="S1828" s="34" t="s">
        <v>26</v>
      </c>
      <c r="T1828" s="34" t="s">
        <v>806</v>
      </c>
      <c r="U1828" s="34" t="str">
        <f>SUBSTITUTE($T1828, "INGUN", "/")</f>
        <v>N/A</v>
      </c>
      <c r="V1828" s="34" t="s">
        <v>27</v>
      </c>
      <c r="W1828" s="34" t="s">
        <v>23</v>
      </c>
      <c r="X1828" s="34" t="s">
        <v>164</v>
      </c>
      <c r="Y1828" s="57"/>
      <c r="Z1828" s="34" t="e">
        <f t="shared" si="85"/>
        <v>#NUM!</v>
      </c>
      <c r="AA1828" s="34"/>
      <c r="AB1828" s="41">
        <v>3</v>
      </c>
      <c r="AC1828" s="34">
        <v>9</v>
      </c>
      <c r="AD1828" s="34"/>
      <c r="AE1828" s="59" t="str">
        <f t="shared" si="86"/>
        <v>SÍ</v>
      </c>
      <c r="AF1828" s="34" t="e" cm="1">
        <f t="array" aca="1" ref="AF1828" ca="1">MIN(100, MAX(0, (IF(R1828="ESTUDIANTE", 31, 0)) + (IF(I1828&lt;=3, 30, IF(I1828&lt;=6, 20, 0))) +(IF(OR(E1828="413 - Control de Costes y Enlace Construcción", E1828="480 - Secretaría General del Consejo", E1828="132 - Civil y estructuras", E1828="136 - Mecánica", E1828="412 - Planificación", E1828="142 - Compras"), 25, 0)) +(IF(OR(S1828="GRADO ING. MECÁNICA", S1828="GRADO ING. ELÉCTRICA", S1828="GRADO DERECHO", S1828="GRADO ECONOMÍA", S1828="GRADO ING. TECNOLOGÍAS INDUSTRIALES"), 24, 0)) + (IF(AND(K1828&gt;=451, K1828&lt;=700), 23, 0)) + (IF(AND(AB1828&gt;=5, AB1828&lt;=8), 17, 0)) +(IF(_xludf.OR(_xludf.AND(AC1828&gt;=8, AC1828&lt;=10), _xludf.AND(AC1828&gt;=0, AC1828&lt;=5)), 16, 0)) + (IF(F1828="Madrid", 11, 0))))</f>
        <v>#NAME?</v>
      </c>
      <c r="AG1828" s="69"/>
      <c r="AH1828" s="71" t="s">
        <v>164</v>
      </c>
    </row>
    <row r="1829" spans="1:34" ht="14.4" x14ac:dyDescent="0.3">
      <c r="A1829" s="66" t="s">
        <v>2695</v>
      </c>
      <c r="B1829" s="66" t="s">
        <v>4812</v>
      </c>
      <c r="C1829" s="33">
        <v>1830</v>
      </c>
      <c r="D1829" s="33" t="s">
        <v>5396</v>
      </c>
      <c r="E1829" s="34" t="s">
        <v>5246</v>
      </c>
      <c r="F1829" s="34" t="s">
        <v>18</v>
      </c>
      <c r="G1829" s="57">
        <v>45572</v>
      </c>
      <c r="H1829" s="57">
        <v>45777</v>
      </c>
      <c r="I1829" s="34">
        <f t="shared" si="84"/>
        <v>6</v>
      </c>
      <c r="J1829" s="34">
        <v>40</v>
      </c>
      <c r="K1829" s="36">
        <v>500</v>
      </c>
      <c r="L1829" s="34" t="s">
        <v>17</v>
      </c>
      <c r="M1829" s="35">
        <v>35055</v>
      </c>
      <c r="N1829" s="37">
        <f>(YEAR(TablaMadre[[#This Row],[ALTA]])-YEAR(M1829))</f>
        <v>29</v>
      </c>
      <c r="O1829" s="34" t="s">
        <v>302</v>
      </c>
      <c r="P1829" s="34" t="s">
        <v>302</v>
      </c>
      <c r="Q1829" s="34" t="s">
        <v>830</v>
      </c>
      <c r="R1829" s="34" t="s">
        <v>30</v>
      </c>
      <c r="S1829" s="34" t="s">
        <v>26</v>
      </c>
      <c r="T1829" s="34" t="s">
        <v>806</v>
      </c>
      <c r="U1829" s="34" t="str">
        <f>SUBSTITUTE($T1829, "INGUN", "/")</f>
        <v>N/A</v>
      </c>
      <c r="V1829" s="34" t="s">
        <v>27</v>
      </c>
      <c r="W1829" s="34" t="s">
        <v>23</v>
      </c>
      <c r="X1829" s="34" t="s">
        <v>164</v>
      </c>
      <c r="Y1829" s="57"/>
      <c r="Z1829" s="34" t="e">
        <f t="shared" si="85"/>
        <v>#NUM!</v>
      </c>
      <c r="AA1829" s="34"/>
      <c r="AB1829" s="41">
        <v>2</v>
      </c>
      <c r="AC1829" s="41" t="s">
        <v>831</v>
      </c>
      <c r="AD1829" s="34"/>
      <c r="AE1829" s="59" t="str">
        <f t="shared" si="86"/>
        <v>SÍ</v>
      </c>
      <c r="AF1829" s="38" t="e" cm="1">
        <f t="array" aca="1" ref="AF1829" ca="1">MIN(100, MAX(0, (IF(R1829="ESTUDIANTE", 31, 0)) + (IF(I1829&lt;=3, 30, IF(I1829&lt;=6, 20, 0))) +(IF(OR(E1829="413 - Control de Costes y Enlace Construcción", E1829="480 - Secretaría General del Consejo", E1829="132 - Civil y estructuras", E1829="136 - Mecánica", E1829="412 - Planificación", E1829="142 - Compras"), 25, 0)) +(IF(OR(S1829="GRADO ING. MECÁNICA", S1829="GRADO ING. ELÉCTRICA", S1829="GRADO DERECHO", S1829="GRADO ECONOMÍA", S1829="GRADO ING. TECNOLOGÍAS INDUSTRIALES"), 24, 0)) + (IF(AND(K1829&gt;=451, K1829&lt;=700), 23, 0)) + (IF(AND(AB1829&gt;=5, AB1829&lt;=8), 17, 0)) +(IF(_xludf.OR(_xludf.AND(AC1829&gt;=8, AC1829&lt;=10), _xludf.AND(AC1829&gt;=0, AC1829&lt;=5)), 16, 0)) + (IF(F1829="Madrid", 11, 0))))</f>
        <v>#NAME?</v>
      </c>
      <c r="AG1829" s="68"/>
      <c r="AH1829" s="71" t="s">
        <v>164</v>
      </c>
    </row>
    <row r="1830" spans="1:34" s="4" customFormat="1" ht="14.4" x14ac:dyDescent="0.3">
      <c r="A1830" s="66" t="s">
        <v>2696</v>
      </c>
      <c r="B1830" s="66" t="s">
        <v>4813</v>
      </c>
      <c r="C1830" s="33">
        <v>1831</v>
      </c>
      <c r="D1830" s="33" t="s">
        <v>5397</v>
      </c>
      <c r="E1830" s="34" t="s">
        <v>5246</v>
      </c>
      <c r="F1830" s="34" t="s">
        <v>18</v>
      </c>
      <c r="G1830" s="57">
        <v>45572</v>
      </c>
      <c r="H1830" s="57">
        <v>45777</v>
      </c>
      <c r="I1830" s="34">
        <f t="shared" si="84"/>
        <v>6</v>
      </c>
      <c r="J1830" s="34">
        <v>40</v>
      </c>
      <c r="K1830" s="36">
        <v>500</v>
      </c>
      <c r="L1830" s="34" t="s">
        <v>17</v>
      </c>
      <c r="M1830" s="35">
        <v>31764</v>
      </c>
      <c r="N1830" s="37">
        <f>(YEAR(TablaMadre[[#This Row],[ALTA]])-YEAR(M1830))</f>
        <v>38</v>
      </c>
      <c r="O1830" s="34" t="s">
        <v>18</v>
      </c>
      <c r="P1830" s="34" t="s">
        <v>19</v>
      </c>
      <c r="Q1830" s="34" t="s">
        <v>830</v>
      </c>
      <c r="R1830" s="34" t="s">
        <v>30</v>
      </c>
      <c r="S1830" s="34" t="s">
        <v>26</v>
      </c>
      <c r="T1830" s="34" t="s">
        <v>806</v>
      </c>
      <c r="U1830" s="34" t="str">
        <f>SUBSTITUTE($T1830, "INGUN", "/")</f>
        <v>N/A</v>
      </c>
      <c r="V1830" s="34" t="s">
        <v>27</v>
      </c>
      <c r="W1830" s="34" t="s">
        <v>23</v>
      </c>
      <c r="X1830" s="34" t="s">
        <v>164</v>
      </c>
      <c r="Y1830" s="57"/>
      <c r="Z1830" s="34" t="e">
        <f t="shared" si="85"/>
        <v>#NUM!</v>
      </c>
      <c r="AA1830" s="34"/>
      <c r="AB1830" s="41">
        <v>6</v>
      </c>
      <c r="AC1830" s="41">
        <v>4</v>
      </c>
      <c r="AD1830" s="34"/>
      <c r="AE1830" s="59" t="str">
        <f t="shared" si="86"/>
        <v>NO</v>
      </c>
      <c r="AF1830" s="34" t="e" cm="1">
        <f t="array" aca="1" ref="AF1830" ca="1">MIN(100, MAX(0, (IF(R1830="ESTUDIANTE", 31, 0)) + (IF(I1830&lt;=3, 30, IF(I1830&lt;=6, 20, 0))) +(IF(OR(E1830="413 - Control de Costes y Enlace Construcción", E1830="480 - Secretaría General del Consejo", E1830="132 - Civil y estructuras", E1830="136 - Mecánica", E1830="412 - Planificación", E1830="142 - Compras"), 25, 0)) +(IF(OR(S1830="GRADO ING. MECÁNICA", S1830="GRADO ING. ELÉCTRICA", S1830="GRADO DERECHO", S1830="GRADO ECONOMÍA", S1830="GRADO ING. TECNOLOGÍAS INDUSTRIALES"), 24, 0)) + (IF(AND(K1830&gt;=451, K1830&lt;=700), 23, 0)) + (IF(AND(AB1830&gt;=5, AB1830&lt;=8), 17, 0)) +(IF(_xludf.OR(_xludf.AND(AC1830&gt;=8, AC1830&lt;=10), _xludf.AND(AC1830&gt;=0, AC1830&lt;=5)), 16, 0)) + (IF(F1830="Madrid", 11, 0))))</f>
        <v>#NAME?</v>
      </c>
      <c r="AG1830" s="69"/>
      <c r="AH1830" s="71" t="s">
        <v>164</v>
      </c>
    </row>
    <row r="1831" spans="1:34" s="4" customFormat="1" ht="14.4" x14ac:dyDescent="0.3">
      <c r="A1831" s="66" t="s">
        <v>2705</v>
      </c>
      <c r="B1831" s="66" t="s">
        <v>4822</v>
      </c>
      <c r="C1831" s="33">
        <v>1826</v>
      </c>
      <c r="D1831" s="33" t="s">
        <v>5393</v>
      </c>
      <c r="E1831" s="34" t="s">
        <v>5277</v>
      </c>
      <c r="F1831" s="34" t="s">
        <v>18</v>
      </c>
      <c r="G1831" s="57">
        <v>45572</v>
      </c>
      <c r="H1831" s="57">
        <v>45655</v>
      </c>
      <c r="I1831" s="34">
        <f t="shared" si="84"/>
        <v>2</v>
      </c>
      <c r="J1831" s="34">
        <v>40</v>
      </c>
      <c r="K1831" s="36">
        <v>0</v>
      </c>
      <c r="L1831" s="34" t="s">
        <v>29</v>
      </c>
      <c r="M1831" s="35">
        <v>36485</v>
      </c>
      <c r="N1831" s="37">
        <f>(YEAR(TablaMadre[[#This Row],[ALTA]])-YEAR(M1831))</f>
        <v>25</v>
      </c>
      <c r="O1831" s="34" t="s">
        <v>153</v>
      </c>
      <c r="P1831" s="34" t="s">
        <v>153</v>
      </c>
      <c r="Q1831" s="34" t="s">
        <v>734</v>
      </c>
      <c r="R1831" s="34" t="s">
        <v>30</v>
      </c>
      <c r="S1831" s="34" t="s">
        <v>26</v>
      </c>
      <c r="T1831" s="34"/>
      <c r="U1831" s="34" t="s">
        <v>30</v>
      </c>
      <c r="V1831" s="34" t="s">
        <v>27</v>
      </c>
      <c r="W1831" s="34" t="s">
        <v>23</v>
      </c>
      <c r="X1831" s="38" t="s">
        <v>164</v>
      </c>
      <c r="Y1831" s="62"/>
      <c r="Z1831" s="38" t="e">
        <f t="shared" si="85"/>
        <v>#NUM!</v>
      </c>
      <c r="AA1831" s="38"/>
      <c r="AB1831" s="34">
        <v>10</v>
      </c>
      <c r="AC1831" s="34"/>
      <c r="AD1831" s="38"/>
      <c r="AE1831" s="59" t="str">
        <f t="shared" si="86"/>
        <v>SÍ</v>
      </c>
      <c r="AF1831" s="34" t="e" cm="1">
        <f t="array" aca="1" ref="AF1831" ca="1">MIN(100, MAX(0, (IF(R1831="ESTUDIANTE", 31, 0)) + (IF(I1831&lt;=3, 30, IF(I1831&lt;=6, 20, 0))) +(IF(OR(E1831="413 - Control de Costes y Enlace Construcción", E1831="480 - Secretaría General del Consejo", E1831="132 - Civil y estructuras", E1831="136 - Mecánica", E1831="412 - Planificación", E1831="142 - Compras"), 25, 0)) +(IF(OR(S1831="GRADO ING. MECÁNICA", S1831="GRADO ING. ELÉCTRICA", S1831="GRADO DERECHO", S1831="GRADO ECONOMÍA", S1831="GRADO ING. TECNOLOGÍAS INDUSTRIALES"), 24, 0)) + (IF(AND(K1831&gt;=451, K1831&lt;=700), 23, 0)) + (IF(AND(AB1831&gt;=5, AB1831&lt;=8), 17, 0)) +(IF(_xludf.OR(_xludf.AND(AC1831&gt;=8, AC1831&lt;=10), _xludf.AND(AC1831&gt;=0, AC1831&lt;=5)), 16, 0)) + (IF(F1831="Madrid", 11, 0))))</f>
        <v>#NAME?</v>
      </c>
      <c r="AG1831" s="69"/>
      <c r="AH1831" s="71" t="s">
        <v>164</v>
      </c>
    </row>
    <row r="1832" spans="1:34" s="4" customFormat="1" ht="14.4" x14ac:dyDescent="0.3">
      <c r="A1832" s="66" t="s">
        <v>2806</v>
      </c>
      <c r="B1832" s="66" t="s">
        <v>4923</v>
      </c>
      <c r="C1832" s="33">
        <v>1827</v>
      </c>
      <c r="D1832" s="33" t="s">
        <v>5394</v>
      </c>
      <c r="E1832" s="34" t="s">
        <v>5343</v>
      </c>
      <c r="F1832" s="34" t="s">
        <v>18</v>
      </c>
      <c r="G1832" s="57">
        <v>45572</v>
      </c>
      <c r="H1832" s="57">
        <v>45753</v>
      </c>
      <c r="I1832" s="34">
        <f t="shared" si="84"/>
        <v>5</v>
      </c>
      <c r="J1832" s="34">
        <v>35</v>
      </c>
      <c r="K1832" s="36">
        <v>1200</v>
      </c>
      <c r="L1832" s="34" t="s">
        <v>17</v>
      </c>
      <c r="M1832" s="35">
        <v>36760</v>
      </c>
      <c r="N1832" s="37">
        <f>(YEAR(TablaMadre[[#This Row],[ALTA]])-YEAR(M1832))</f>
        <v>24</v>
      </c>
      <c r="O1832" s="34" t="s">
        <v>146</v>
      </c>
      <c r="P1832" s="34" t="s">
        <v>19</v>
      </c>
      <c r="Q1832" s="34" t="s">
        <v>297</v>
      </c>
      <c r="R1832" s="34" t="s">
        <v>21</v>
      </c>
      <c r="S1832" s="34" t="s">
        <v>297</v>
      </c>
      <c r="T1832" s="34" t="s">
        <v>823</v>
      </c>
      <c r="U1832" s="34" t="s">
        <v>30</v>
      </c>
      <c r="V1832" s="34" t="s">
        <v>22</v>
      </c>
      <c r="W1832" s="34" t="s">
        <v>28</v>
      </c>
      <c r="X1832" s="34" t="s">
        <v>173</v>
      </c>
      <c r="Y1832" s="57"/>
      <c r="Z1832" s="34" t="e">
        <f t="shared" si="85"/>
        <v>#NUM!</v>
      </c>
      <c r="AA1832" s="34"/>
      <c r="AB1832" s="34">
        <v>8</v>
      </c>
      <c r="AC1832" s="34">
        <v>10</v>
      </c>
      <c r="AD1832" s="34"/>
      <c r="AE1832" s="59" t="str">
        <f t="shared" si="86"/>
        <v>SÍ</v>
      </c>
      <c r="AF1832" s="34" t="e" cm="1">
        <f t="array" aca="1" ref="AF1832" ca="1">MIN(100, MAX(0, (IF(R1832="ESTUDIANTE", 31, 0)) + (IF(I1832&lt;=3, 30, IF(I1832&lt;=6, 20, 0))) +(IF(OR(E1832="413 - Control de Costes y Enlace Construcción", E1832="480 - Secretaría General del Consejo", E1832="132 - Civil y estructuras", E1832="136 - Mecánica", E1832="412 - Planificación", E1832="142 - Compras"), 25, 0)) +(IF(OR(S1832="GRADO ING. MECÁNICA", S1832="GRADO ING. ELÉCTRICA", S1832="GRADO DERECHO", S1832="GRADO ECONOMÍA", S1832="GRADO ING. TECNOLOGÍAS INDUSTRIALES"), 24, 0)) + (IF(AND(K1832&gt;=451, K1832&lt;=700), 23, 0)) + (IF(AND(AB1832&gt;=5, AB1832&lt;=8), 17, 0)) +(IF(_xludf.OR(_xludf.AND(AC1832&gt;=8, AC1832&lt;=10), _xludf.AND(AC1832&gt;=0, AC1832&lt;=5)), 16, 0)) + (IF(F1832="Madrid", 11, 0))))</f>
        <v>#NAME?</v>
      </c>
      <c r="AG1832" s="69"/>
      <c r="AH1832" s="71" t="s">
        <v>164</v>
      </c>
    </row>
    <row r="1833" spans="1:34" s="4" customFormat="1" ht="14.4" x14ac:dyDescent="0.3">
      <c r="A1833" s="66" t="s">
        <v>2811</v>
      </c>
      <c r="B1833" s="66" t="s">
        <v>4928</v>
      </c>
      <c r="C1833" s="33">
        <v>1832</v>
      </c>
      <c r="D1833" s="33" t="s">
        <v>5395</v>
      </c>
      <c r="E1833" s="34" t="s">
        <v>5343</v>
      </c>
      <c r="F1833" s="34" t="s">
        <v>18</v>
      </c>
      <c r="G1833" s="57">
        <v>45572</v>
      </c>
      <c r="H1833" s="57">
        <v>45869</v>
      </c>
      <c r="I1833" s="34">
        <f t="shared" si="84"/>
        <v>9</v>
      </c>
      <c r="J1833" s="34">
        <v>35</v>
      </c>
      <c r="K1833" s="36">
        <v>700</v>
      </c>
      <c r="L1833" s="34" t="s">
        <v>17</v>
      </c>
      <c r="M1833" s="35">
        <v>36848</v>
      </c>
      <c r="N1833" s="37">
        <f>(YEAR(TablaMadre[[#This Row],[ALTA]])-YEAR(M1833))</f>
        <v>24</v>
      </c>
      <c r="O1833" s="34" t="s">
        <v>18</v>
      </c>
      <c r="P1833" s="34" t="s">
        <v>19</v>
      </c>
      <c r="Q1833" s="34" t="s">
        <v>136</v>
      </c>
      <c r="R1833" s="34" t="s">
        <v>30</v>
      </c>
      <c r="S1833" s="34" t="s">
        <v>136</v>
      </c>
      <c r="T1833" s="34" t="s">
        <v>806</v>
      </c>
      <c r="U1833" s="34" t="str">
        <f>SUBSTITUTE($T1833, "INGUN", "/")</f>
        <v>N/A</v>
      </c>
      <c r="V1833" s="34" t="s">
        <v>114</v>
      </c>
      <c r="W1833" s="34" t="s">
        <v>28</v>
      </c>
      <c r="X1833" s="34" t="s">
        <v>173</v>
      </c>
      <c r="Y1833" s="57"/>
      <c r="Z1833" s="34" t="e">
        <f t="shared" si="85"/>
        <v>#NUM!</v>
      </c>
      <c r="AA1833" s="34"/>
      <c r="AB1833" s="34">
        <v>8</v>
      </c>
      <c r="AC1833" s="34">
        <v>9</v>
      </c>
      <c r="AD1833" s="34"/>
      <c r="AE1833" s="59" t="str">
        <f t="shared" si="86"/>
        <v>NO</v>
      </c>
      <c r="AF1833" s="34" t="e" cm="1">
        <f t="array" aca="1" ref="AF1833" ca="1">MIN(100, MAX(0, (IF(R1833="ESTUDIANTE", 31, 0)) + (IF(I1833&lt;=3, 30, IF(I1833&lt;=6, 20, 0))) +(IF(OR(E1833="413 - Control de Costes y Enlace Construcción", E1833="480 - Secretaría General del Consejo", E1833="132 - Civil y estructuras", E1833="136 - Mecánica", E1833="412 - Planificación", E1833="142 - Compras"), 25, 0)) +(IF(OR(S1833="GRADO ING. MECÁNICA", S1833="GRADO ING. ELÉCTRICA", S1833="GRADO DERECHO", S1833="GRADO ECONOMÍA", S1833="GRADO ING. TECNOLOGÍAS INDUSTRIALES"), 24, 0)) + (IF(AND(K1833&gt;=451, K1833&lt;=700), 23, 0)) + (IF(AND(AB1833&gt;=5, AB1833&lt;=8), 17, 0)) +(IF(_xludf.OR(_xludf.AND(AC1833&gt;=8, AC1833&lt;=10), _xludf.AND(AC1833&gt;=0, AC1833&lt;=5)), 16, 0)) + (IF(F1833="Madrid", 11, 0))))</f>
        <v>#NAME?</v>
      </c>
      <c r="AG1833" s="69"/>
      <c r="AH1833" s="71" t="s">
        <v>164</v>
      </c>
    </row>
    <row r="1834" spans="1:34" s="4" customFormat="1" ht="14.4" x14ac:dyDescent="0.3">
      <c r="A1834" s="66" t="s">
        <v>2812</v>
      </c>
      <c r="B1834" s="66" t="s">
        <v>4929</v>
      </c>
      <c r="C1834" s="33">
        <v>1833</v>
      </c>
      <c r="D1834" s="33" t="s">
        <v>5396</v>
      </c>
      <c r="E1834" s="34" t="s">
        <v>5343</v>
      </c>
      <c r="F1834" s="34" t="s">
        <v>18</v>
      </c>
      <c r="G1834" s="57">
        <v>45572</v>
      </c>
      <c r="H1834" s="57">
        <v>45919</v>
      </c>
      <c r="I1834" s="34">
        <f t="shared" si="84"/>
        <v>11</v>
      </c>
      <c r="J1834" s="34">
        <v>35</v>
      </c>
      <c r="K1834" s="36">
        <v>700</v>
      </c>
      <c r="L1834" s="34" t="s">
        <v>17</v>
      </c>
      <c r="M1834" s="39">
        <v>36677</v>
      </c>
      <c r="N1834" s="37">
        <f>(YEAR(TablaMadre[[#This Row],[ALTA]])-YEAR(M1834))</f>
        <v>24</v>
      </c>
      <c r="O1834" s="34" t="s">
        <v>18</v>
      </c>
      <c r="P1834" s="34" t="s">
        <v>19</v>
      </c>
      <c r="Q1834" s="34" t="s">
        <v>297</v>
      </c>
      <c r="R1834" s="34" t="s">
        <v>30</v>
      </c>
      <c r="S1834" s="34" t="s">
        <v>297</v>
      </c>
      <c r="T1834" s="34" t="s">
        <v>806</v>
      </c>
      <c r="U1834" s="34" t="str">
        <f>SUBSTITUTE($T1834, "INGUN", "/")</f>
        <v>N/A</v>
      </c>
      <c r="V1834" s="34" t="s">
        <v>22</v>
      </c>
      <c r="W1834" s="34" t="s">
        <v>28</v>
      </c>
      <c r="X1834" s="34" t="s">
        <v>173</v>
      </c>
      <c r="Y1834" s="57"/>
      <c r="Z1834" s="34" t="e">
        <f t="shared" si="85"/>
        <v>#NUM!</v>
      </c>
      <c r="AA1834" s="34"/>
      <c r="AB1834" s="41">
        <v>9</v>
      </c>
      <c r="AC1834" s="41">
        <v>10</v>
      </c>
      <c r="AD1834" s="34"/>
      <c r="AE1834" s="59" t="str">
        <f t="shared" si="86"/>
        <v>NO</v>
      </c>
      <c r="AF1834" s="34" t="e" cm="1">
        <f t="array" aca="1" ref="AF1834" ca="1">MIN(100, MAX(0, (IF(R1834="ESTUDIANTE", 31, 0)) + (IF(I1834&lt;=3, 30, IF(I1834&lt;=6, 20, 0))) +(IF(OR(E1834="413 - Control de Costes y Enlace Construcción", E1834="480 - Secretaría General del Consejo", E1834="132 - Civil y estructuras", E1834="136 - Mecánica", E1834="412 - Planificación", E1834="142 - Compras"), 25, 0)) +(IF(OR(S1834="GRADO ING. MECÁNICA", S1834="GRADO ING. ELÉCTRICA", S1834="GRADO DERECHO", S1834="GRADO ECONOMÍA", S1834="GRADO ING. TECNOLOGÍAS INDUSTRIALES"), 24, 0)) + (IF(AND(K1834&gt;=451, K1834&lt;=700), 23, 0)) + (IF(AND(AB1834&gt;=5, AB1834&lt;=8), 17, 0)) +(IF(_xludf.OR(_xludf.AND(AC1834&gt;=8, AC1834&lt;=10), _xludf.AND(AC1834&gt;=0, AC1834&lt;=5)), 16, 0)) + (IF(F1834="Madrid", 11, 0))))</f>
        <v>#NAME?</v>
      </c>
      <c r="AG1834" s="69"/>
      <c r="AH1834" s="71" t="s">
        <v>164</v>
      </c>
    </row>
    <row r="1835" spans="1:34" s="4" customFormat="1" ht="14.4" x14ac:dyDescent="0.3">
      <c r="A1835" s="66" t="s">
        <v>2713</v>
      </c>
      <c r="B1835" s="66" t="s">
        <v>4830</v>
      </c>
      <c r="C1835" s="33">
        <v>1834</v>
      </c>
      <c r="D1835" s="33" t="s">
        <v>5397</v>
      </c>
      <c r="E1835" s="34" t="s">
        <v>5324</v>
      </c>
      <c r="F1835" s="34" t="s">
        <v>18</v>
      </c>
      <c r="G1835" s="57">
        <v>45575</v>
      </c>
      <c r="H1835" s="57">
        <v>45685</v>
      </c>
      <c r="I1835" s="34">
        <f t="shared" si="84"/>
        <v>3</v>
      </c>
      <c r="J1835" s="34">
        <v>35</v>
      </c>
      <c r="K1835" s="36">
        <v>450</v>
      </c>
      <c r="L1835" s="34" t="s">
        <v>29</v>
      </c>
      <c r="M1835" s="35">
        <v>33693</v>
      </c>
      <c r="N1835" s="37">
        <f>(YEAR(TablaMadre[[#This Row],[ALTA]])-YEAR(M1835))</f>
        <v>32</v>
      </c>
      <c r="O1835" s="34" t="s">
        <v>18</v>
      </c>
      <c r="P1835" s="34" t="s">
        <v>19</v>
      </c>
      <c r="Q1835" s="34" t="s">
        <v>802</v>
      </c>
      <c r="R1835" s="58" t="s">
        <v>30</v>
      </c>
      <c r="S1835" s="34" t="s">
        <v>26</v>
      </c>
      <c r="T1835" s="34"/>
      <c r="U1835" s="34" t="s">
        <v>42</v>
      </c>
      <c r="V1835" s="34" t="s">
        <v>27</v>
      </c>
      <c r="W1835" s="34" t="s">
        <v>91</v>
      </c>
      <c r="X1835" s="34" t="s">
        <v>164</v>
      </c>
      <c r="Y1835" s="57"/>
      <c r="Z1835" s="34" t="e">
        <f t="shared" si="85"/>
        <v>#NUM!</v>
      </c>
      <c r="AA1835" s="34"/>
      <c r="AB1835" s="34"/>
      <c r="AC1835" s="34"/>
      <c r="AD1835" s="34"/>
      <c r="AE1835" s="59" t="str">
        <f t="shared" si="86"/>
        <v>NO</v>
      </c>
      <c r="AF1835" s="34" t="e" cm="1">
        <f t="array" aca="1" ref="AF1835" ca="1">MIN(100, MAX(0, (IF(R1835="ESTUDIANTE", 31, 0)) + (IF(I1835&lt;=3, 30, IF(I1835&lt;=6, 20, 0))) +(IF(OR(E1835="413 - Control de Costes y Enlace Construcción", E1835="480 - Secretaría General del Consejo", E1835="132 - Civil y estructuras", E1835="136 - Mecánica", E1835="412 - Planificación", E1835="142 - Compras"), 25, 0)) +(IF(OR(S1835="GRADO ING. MECÁNICA", S1835="GRADO ING. ELÉCTRICA", S1835="GRADO DERECHO", S1835="GRADO ECONOMÍA", S1835="GRADO ING. TECNOLOGÍAS INDUSTRIALES"), 24, 0)) + (IF(AND(K1835&gt;=451, K1835&lt;=700), 23, 0)) + (IF(AND(AB1835&gt;=5, AB1835&lt;=8), 17, 0)) +(IF(_xludf.OR(_xludf.AND(AC1835&gt;=8, AC1835&lt;=10), _xludf.AND(AC1835&gt;=0, AC1835&lt;=5)), 16, 0)) + (IF(F1835="Madrid", 11, 0))))</f>
        <v>#NAME?</v>
      </c>
      <c r="AG1835" s="69"/>
      <c r="AH1835" s="71" t="s">
        <v>164</v>
      </c>
    </row>
    <row r="1836" spans="1:34" s="4" customFormat="1" ht="14.4" x14ac:dyDescent="0.3">
      <c r="A1836" s="66" t="s">
        <v>2697</v>
      </c>
      <c r="B1836" s="66" t="s">
        <v>4814</v>
      </c>
      <c r="C1836" s="33">
        <v>1835</v>
      </c>
      <c r="D1836" s="33" t="s">
        <v>5398</v>
      </c>
      <c r="E1836" s="34" t="s">
        <v>5248</v>
      </c>
      <c r="F1836" s="34" t="s">
        <v>18</v>
      </c>
      <c r="G1836" s="57">
        <v>45579</v>
      </c>
      <c r="H1836" s="57">
        <v>45685</v>
      </c>
      <c r="I1836" s="34">
        <f t="shared" si="84"/>
        <v>3</v>
      </c>
      <c r="J1836" s="34">
        <v>35</v>
      </c>
      <c r="K1836" s="36">
        <v>1200</v>
      </c>
      <c r="L1836" s="34" t="s">
        <v>17</v>
      </c>
      <c r="M1836" s="35">
        <v>36801</v>
      </c>
      <c r="N1836" s="37">
        <f>(YEAR(TablaMadre[[#This Row],[ALTA]])-YEAR(M1836))</f>
        <v>24</v>
      </c>
      <c r="O1836" s="34" t="s">
        <v>558</v>
      </c>
      <c r="P1836" s="34" t="s">
        <v>19</v>
      </c>
      <c r="Q1836" s="34" t="s">
        <v>626</v>
      </c>
      <c r="R1836" s="34" t="s">
        <v>21</v>
      </c>
      <c r="S1836" s="34" t="s">
        <v>322</v>
      </c>
      <c r="T1836" s="34"/>
      <c r="U1836" s="34" t="s">
        <v>30</v>
      </c>
      <c r="V1836" s="34" t="s">
        <v>310</v>
      </c>
      <c r="W1836" s="34" t="s">
        <v>181</v>
      </c>
      <c r="X1836" s="34" t="s">
        <v>164</v>
      </c>
      <c r="Y1836" s="57"/>
      <c r="Z1836" s="34" t="e">
        <f t="shared" si="85"/>
        <v>#NUM!</v>
      </c>
      <c r="AA1836" s="34"/>
      <c r="AB1836" s="34">
        <v>6</v>
      </c>
      <c r="AC1836" s="34" t="s">
        <v>797</v>
      </c>
      <c r="AD1836" s="34"/>
      <c r="AE1836" s="59" t="str">
        <f t="shared" si="86"/>
        <v>SÍ</v>
      </c>
      <c r="AF1836" s="34" t="e" cm="1">
        <f t="array" aca="1" ref="AF1836" ca="1">MIN(100, MAX(0, (IF(R1836="ESTUDIANTE", 31, 0)) + (IF(I1836&lt;=3, 30, IF(I1836&lt;=6, 20, 0))) +(IF(OR(E1836="413 - Control de Costes y Enlace Construcción", E1836="480 - Secretaría General del Consejo", E1836="132 - Civil y estructuras", E1836="136 - Mecánica", E1836="412 - Planificación", E1836="142 - Compras"), 25, 0)) +(IF(OR(S1836="GRADO ING. MECÁNICA", S1836="GRADO ING. ELÉCTRICA", S1836="GRADO DERECHO", S1836="GRADO ECONOMÍA", S1836="GRADO ING. TECNOLOGÍAS INDUSTRIALES"), 24, 0)) + (IF(AND(K1836&gt;=451, K1836&lt;=700), 23, 0)) + (IF(AND(AB1836&gt;=5, AB1836&lt;=8), 17, 0)) +(IF(_xludf.OR(_xludf.AND(AC1836&gt;=8, AC1836&lt;=10), _xludf.AND(AC1836&gt;=0, AC1836&lt;=5)), 16, 0)) + (IF(F1836="Madrid", 11, 0))))</f>
        <v>#NAME?</v>
      </c>
      <c r="AG1836" s="69"/>
      <c r="AH1836" s="71" t="s">
        <v>164</v>
      </c>
    </row>
    <row r="1837" spans="1:34" s="4" customFormat="1" ht="14.4" x14ac:dyDescent="0.3">
      <c r="A1837" s="66" t="s">
        <v>2700</v>
      </c>
      <c r="B1837" s="66" t="s">
        <v>4817</v>
      </c>
      <c r="C1837" s="33">
        <v>1837</v>
      </c>
      <c r="D1837" s="33" t="s">
        <v>5399</v>
      </c>
      <c r="E1837" s="34" t="s">
        <v>5374</v>
      </c>
      <c r="F1837" s="34" t="s">
        <v>18</v>
      </c>
      <c r="G1837" s="57">
        <v>45579</v>
      </c>
      <c r="H1837" s="57">
        <v>45826</v>
      </c>
      <c r="I1837" s="34">
        <f t="shared" si="84"/>
        <v>8</v>
      </c>
      <c r="J1837" s="34">
        <v>35</v>
      </c>
      <c r="K1837" s="36">
        <v>800</v>
      </c>
      <c r="L1837" s="34" t="s">
        <v>17</v>
      </c>
      <c r="M1837" s="35">
        <v>37609</v>
      </c>
      <c r="N1837" s="37">
        <f>(YEAR(TablaMadre[[#This Row],[ALTA]])-YEAR(M1837))</f>
        <v>22</v>
      </c>
      <c r="O1837" s="34" t="s">
        <v>411</v>
      </c>
      <c r="P1837" s="34" t="s">
        <v>19</v>
      </c>
      <c r="Q1837" s="34" t="s">
        <v>850</v>
      </c>
      <c r="R1837" s="34" t="s">
        <v>21</v>
      </c>
      <c r="S1837" s="34" t="s">
        <v>274</v>
      </c>
      <c r="T1837" s="34" t="s">
        <v>806</v>
      </c>
      <c r="U1837" s="34" t="str">
        <f>SUBSTITUTE($T1837, "INGUN", "/")</f>
        <v>N/A</v>
      </c>
      <c r="V1837" s="34" t="s">
        <v>158</v>
      </c>
      <c r="W1837" s="34" t="s">
        <v>181</v>
      </c>
      <c r="X1837" s="38" t="s">
        <v>164</v>
      </c>
      <c r="Y1837" s="62"/>
      <c r="Z1837" s="38" t="e">
        <f t="shared" si="85"/>
        <v>#NUM!</v>
      </c>
      <c r="AA1837" s="38"/>
      <c r="AB1837" s="34">
        <v>8</v>
      </c>
      <c r="AC1837" s="34">
        <v>10</v>
      </c>
      <c r="AD1837" s="38"/>
      <c r="AE1837" s="59" t="str">
        <f t="shared" si="86"/>
        <v>SÍ</v>
      </c>
      <c r="AF1837" s="34" t="e" cm="1">
        <f t="array" aca="1" ref="AF1837" ca="1">MIN(100, MAX(0, (IF(R1837="ESTUDIANTE", 31, 0)) + (IF(I1837&lt;=3, 30, IF(I1837&lt;=6, 20, 0))) +(IF(OR(E1837="413 - Control de Costes y Enlace Construcción", E1837="480 - Secretaría General del Consejo", E1837="132 - Civil y estructuras", E1837="136 - Mecánica", E1837="412 - Planificación", E1837="142 - Compras"), 25, 0)) +(IF(OR(S1837="GRADO ING. MECÁNICA", S1837="GRADO ING. ELÉCTRICA", S1837="GRADO DERECHO", S1837="GRADO ECONOMÍA", S1837="GRADO ING. TECNOLOGÍAS INDUSTRIALES"), 24, 0)) + (IF(AND(K1837&gt;=451, K1837&lt;=700), 23, 0)) + (IF(AND(AB1837&gt;=5, AB1837&lt;=8), 17, 0)) +(IF(_xludf.OR(_xludf.AND(AC1837&gt;=8, AC1837&lt;=10), _xludf.AND(AC1837&gt;=0, AC1837&lt;=5)), 16, 0)) + (IF(F1837="Madrid", 11, 0))))</f>
        <v>#NAME?</v>
      </c>
      <c r="AG1837" s="69"/>
      <c r="AH1837" s="71" t="s">
        <v>164</v>
      </c>
    </row>
    <row r="1838" spans="1:34" ht="14.4" x14ac:dyDescent="0.3">
      <c r="A1838" s="66" t="s">
        <v>2815</v>
      </c>
      <c r="B1838" s="66" t="s">
        <v>4932</v>
      </c>
      <c r="C1838" s="33">
        <v>1836</v>
      </c>
      <c r="D1838" s="33" t="s">
        <v>5400</v>
      </c>
      <c r="E1838" s="34" t="s">
        <v>5367</v>
      </c>
      <c r="F1838" s="34" t="s">
        <v>18</v>
      </c>
      <c r="G1838" s="57">
        <v>45579</v>
      </c>
      <c r="H1838" s="57">
        <v>45760</v>
      </c>
      <c r="I1838" s="34">
        <f t="shared" si="84"/>
        <v>5</v>
      </c>
      <c r="J1838" s="34">
        <v>35</v>
      </c>
      <c r="K1838" s="36">
        <v>1200</v>
      </c>
      <c r="L1838" s="34" t="s">
        <v>17</v>
      </c>
      <c r="M1838" s="35">
        <v>36977</v>
      </c>
      <c r="N1838" s="37">
        <f>(YEAR(TablaMadre[[#This Row],[ALTA]])-YEAR(M1838))</f>
        <v>23</v>
      </c>
      <c r="O1838" s="34" t="s">
        <v>18</v>
      </c>
      <c r="P1838" s="34" t="s">
        <v>19</v>
      </c>
      <c r="Q1838" s="34" t="s">
        <v>297</v>
      </c>
      <c r="R1838" s="34" t="s">
        <v>21</v>
      </c>
      <c r="S1838" s="34" t="s">
        <v>297</v>
      </c>
      <c r="T1838" s="34" t="s">
        <v>820</v>
      </c>
      <c r="U1838" s="34" t="s">
        <v>30</v>
      </c>
      <c r="V1838" s="34" t="s">
        <v>56</v>
      </c>
      <c r="W1838" s="34" t="s">
        <v>28</v>
      </c>
      <c r="X1838" s="34" t="s">
        <v>173</v>
      </c>
      <c r="Y1838" s="57"/>
      <c r="Z1838" s="34" t="e">
        <f t="shared" si="85"/>
        <v>#NUM!</v>
      </c>
      <c r="AA1838" s="34"/>
      <c r="AB1838" s="34">
        <v>9</v>
      </c>
      <c r="AC1838" s="34">
        <v>9</v>
      </c>
      <c r="AD1838" s="34"/>
      <c r="AE1838" s="59" t="str">
        <f t="shared" si="86"/>
        <v>NO</v>
      </c>
      <c r="AF1838" s="38" t="e" cm="1">
        <f t="array" aca="1" ref="AF1838" ca="1">MIN(100, MAX(0, (IF(R1838="ESTUDIANTE", 31, 0)) + (IF(I1838&lt;=3, 30, IF(I1838&lt;=6, 20, 0))) +(IF(OR(E1838="413 - Control de Costes y Enlace Construcción", E1838="480 - Secretaría General del Consejo", E1838="132 - Civil y estructuras", E1838="136 - Mecánica", E1838="412 - Planificación", E1838="142 - Compras"), 25, 0)) +(IF(OR(S1838="GRADO ING. MECÁNICA", S1838="GRADO ING. ELÉCTRICA", S1838="GRADO DERECHO", S1838="GRADO ECONOMÍA", S1838="GRADO ING. TECNOLOGÍAS INDUSTRIALES"), 24, 0)) + (IF(AND(K1838&gt;=451, K1838&lt;=700), 23, 0)) + (IF(AND(AB1838&gt;=5, AB1838&lt;=8), 17, 0)) +(IF(_xludf.OR(_xludf.AND(AC1838&gt;=8, AC1838&lt;=10), _xludf.AND(AC1838&gt;=0, AC1838&lt;=5)), 16, 0)) + (IF(F1838="Madrid", 11, 0))))</f>
        <v>#NAME?</v>
      </c>
      <c r="AG1838" s="68"/>
      <c r="AH1838" s="71" t="s">
        <v>164</v>
      </c>
    </row>
    <row r="1839" spans="1:34" s="4" customFormat="1" ht="14.4" x14ac:dyDescent="0.3">
      <c r="A1839" s="66" t="s">
        <v>2817</v>
      </c>
      <c r="B1839" s="66" t="s">
        <v>4934</v>
      </c>
      <c r="C1839" s="33">
        <v>1838</v>
      </c>
      <c r="D1839" s="33" t="s">
        <v>5401</v>
      </c>
      <c r="E1839" s="34" t="s">
        <v>5236</v>
      </c>
      <c r="F1839" s="34" t="s">
        <v>18</v>
      </c>
      <c r="G1839" s="57">
        <v>45586</v>
      </c>
      <c r="H1839" s="57">
        <v>45950</v>
      </c>
      <c r="I1839" s="34">
        <f t="shared" si="84"/>
        <v>11</v>
      </c>
      <c r="J1839" s="34">
        <v>35</v>
      </c>
      <c r="K1839" s="36">
        <v>800</v>
      </c>
      <c r="L1839" s="34" t="s">
        <v>29</v>
      </c>
      <c r="M1839" s="39">
        <v>36346</v>
      </c>
      <c r="N1839" s="37">
        <f>(YEAR(TablaMadre[[#This Row],[ALTA]])-YEAR(M1839))</f>
        <v>25</v>
      </c>
      <c r="O1839" s="34" t="s">
        <v>18</v>
      </c>
      <c r="P1839" s="34" t="s">
        <v>19</v>
      </c>
      <c r="Q1839" s="34" t="s">
        <v>882</v>
      </c>
      <c r="R1839" s="34" t="s">
        <v>21</v>
      </c>
      <c r="S1839" s="34" t="s">
        <v>882</v>
      </c>
      <c r="T1839" s="34" t="s">
        <v>806</v>
      </c>
      <c r="U1839" s="34" t="str">
        <f>SUBSTITUTE($T1839, "INGUN", "/")</f>
        <v>N/A</v>
      </c>
      <c r="V1839" s="34" t="s">
        <v>56</v>
      </c>
      <c r="W1839" s="34" t="s">
        <v>28</v>
      </c>
      <c r="X1839" s="34" t="s">
        <v>173</v>
      </c>
      <c r="Y1839" s="57"/>
      <c r="Z1839" s="34" t="e">
        <f t="shared" si="85"/>
        <v>#NUM!</v>
      </c>
      <c r="AA1839" s="34"/>
      <c r="AB1839" s="34">
        <v>8</v>
      </c>
      <c r="AC1839" s="34">
        <v>8</v>
      </c>
      <c r="AD1839" s="34"/>
      <c r="AE1839" s="59" t="str">
        <f t="shared" si="86"/>
        <v>NO</v>
      </c>
      <c r="AF1839" s="34" t="e" cm="1">
        <f t="array" aca="1" ref="AF1839" ca="1">MIN(100, MAX(0, (IF(R1839="ESTUDIANTE", 31, 0)) + (IF(I1839&lt;=3, 30, IF(I1839&lt;=6, 20, 0))) +(IF(OR(E1839="413 - Control de Costes y Enlace Construcción", E1839="480 - Secretaría General del Consejo", E1839="132 - Civil y estructuras", E1839="136 - Mecánica", E1839="412 - Planificación", E1839="142 - Compras"), 25, 0)) +(IF(OR(S1839="GRADO ING. MECÁNICA", S1839="GRADO ING. ELÉCTRICA", S1839="GRADO DERECHO", S1839="GRADO ECONOMÍA", S1839="GRADO ING. TECNOLOGÍAS INDUSTRIALES"), 24, 0)) + (IF(AND(K1839&gt;=451, K1839&lt;=700), 23, 0)) + (IF(AND(AB1839&gt;=5, AB1839&lt;=8), 17, 0)) +(IF(_xludf.OR(_xludf.AND(AC1839&gt;=8, AC1839&lt;=10), _xludf.AND(AC1839&gt;=0, AC1839&lt;=5)), 16, 0)) + (IF(F1839="Madrid", 11, 0))))</f>
        <v>#NAME?</v>
      </c>
      <c r="AG1839" s="69"/>
      <c r="AH1839" s="71" t="s">
        <v>164</v>
      </c>
    </row>
    <row r="1840" spans="1:34" s="4" customFormat="1" ht="14.4" x14ac:dyDescent="0.3">
      <c r="A1840" s="66" t="s">
        <v>2818</v>
      </c>
      <c r="B1840" s="66" t="s">
        <v>4935</v>
      </c>
      <c r="C1840" s="33">
        <v>1839</v>
      </c>
      <c r="D1840" s="33" t="s">
        <v>5402</v>
      </c>
      <c r="E1840" s="34" t="s">
        <v>5217</v>
      </c>
      <c r="F1840" s="34" t="s">
        <v>18</v>
      </c>
      <c r="G1840" s="57">
        <v>45588</v>
      </c>
      <c r="H1840" s="57">
        <v>45950</v>
      </c>
      <c r="I1840" s="34">
        <f t="shared" si="84"/>
        <v>11</v>
      </c>
      <c r="J1840" s="34">
        <v>30</v>
      </c>
      <c r="K1840" s="36">
        <v>600</v>
      </c>
      <c r="L1840" s="34" t="s">
        <v>17</v>
      </c>
      <c r="M1840" s="39">
        <v>36544</v>
      </c>
      <c r="N1840" s="37">
        <f>(YEAR(TablaMadre[[#This Row],[ALTA]])-YEAR(M1840))</f>
        <v>24</v>
      </c>
      <c r="O1840" s="34" t="s">
        <v>18</v>
      </c>
      <c r="P1840" s="34" t="s">
        <v>19</v>
      </c>
      <c r="Q1840" s="34" t="s">
        <v>326</v>
      </c>
      <c r="R1840" s="58" t="s">
        <v>30</v>
      </c>
      <c r="S1840" s="34" t="s">
        <v>326</v>
      </c>
      <c r="T1840" s="34" t="s">
        <v>806</v>
      </c>
      <c r="U1840" s="34" t="str">
        <f>SUBSTITUTE($T1840, "INGUN", "/")</f>
        <v>N/A</v>
      </c>
      <c r="V1840" s="34" t="s">
        <v>22</v>
      </c>
      <c r="W1840" s="34" t="s">
        <v>28</v>
      </c>
      <c r="X1840" s="34" t="s">
        <v>173</v>
      </c>
      <c r="Y1840" s="57"/>
      <c r="Z1840" s="34" t="e">
        <f t="shared" si="85"/>
        <v>#NUM!</v>
      </c>
      <c r="AA1840" s="34"/>
      <c r="AB1840" s="34">
        <v>8</v>
      </c>
      <c r="AC1840" s="34">
        <v>9</v>
      </c>
      <c r="AD1840" s="34"/>
      <c r="AE1840" s="59" t="str">
        <f t="shared" si="86"/>
        <v>NO</v>
      </c>
      <c r="AF1840" s="34" t="e" cm="1">
        <f t="array" aca="1" ref="AF1840" ca="1">MIN(100, MAX(0, (IF(R1840="ESTUDIANTE", 31, 0)) + (IF(I1840&lt;=3, 30, IF(I1840&lt;=6, 20, 0))) +(IF(OR(E1840="413 - Control de Costes y Enlace Construcción", E1840="480 - Secretaría General del Consejo", E1840="132 - Civil y estructuras", E1840="136 - Mecánica", E1840="412 - Planificación", E1840="142 - Compras"), 25, 0)) +(IF(OR(S1840="GRADO ING. MECÁNICA", S1840="GRADO ING. ELÉCTRICA", S1840="GRADO DERECHO", S1840="GRADO ECONOMÍA", S1840="GRADO ING. TECNOLOGÍAS INDUSTRIALES"), 24, 0)) + (IF(AND(K1840&gt;=451, K1840&lt;=700), 23, 0)) + (IF(AND(AB1840&gt;=5, AB1840&lt;=8), 17, 0)) +(IF(_xludf.OR(_xludf.AND(AC1840&gt;=8, AC1840&lt;=10), _xludf.AND(AC1840&gt;=0, AC1840&lt;=5)), 16, 0)) + (IF(F1840="Madrid", 11, 0))))</f>
        <v>#NAME?</v>
      </c>
      <c r="AG1840" s="69"/>
      <c r="AH1840" s="71" t="s">
        <v>164</v>
      </c>
    </row>
    <row r="1841" spans="1:51" s="4" customFormat="1" ht="14.4" x14ac:dyDescent="0.3">
      <c r="A1841" s="66" t="s">
        <v>2819</v>
      </c>
      <c r="B1841" s="66" t="s">
        <v>4936</v>
      </c>
      <c r="C1841" s="33">
        <v>1840</v>
      </c>
      <c r="D1841" s="33" t="s">
        <v>5393</v>
      </c>
      <c r="E1841" s="34" t="s">
        <v>5366</v>
      </c>
      <c r="F1841" s="34" t="s">
        <v>18</v>
      </c>
      <c r="G1841" s="57">
        <v>45593</v>
      </c>
      <c r="H1841" s="57">
        <v>45774</v>
      </c>
      <c r="I1841" s="34">
        <f t="shared" si="84"/>
        <v>5</v>
      </c>
      <c r="J1841" s="34">
        <v>35</v>
      </c>
      <c r="K1841" s="36">
        <v>900</v>
      </c>
      <c r="L1841" s="34" t="s">
        <v>17</v>
      </c>
      <c r="M1841" s="35">
        <v>36345</v>
      </c>
      <c r="N1841" s="37">
        <f>(YEAR(TablaMadre[[#This Row],[ALTA]])-YEAR(M1841))</f>
        <v>25</v>
      </c>
      <c r="O1841" s="34" t="s">
        <v>118</v>
      </c>
      <c r="P1841" s="34" t="s">
        <v>19</v>
      </c>
      <c r="Q1841" s="34" t="s">
        <v>827</v>
      </c>
      <c r="R1841" s="34" t="s">
        <v>21</v>
      </c>
      <c r="S1841" s="34" t="s">
        <v>473</v>
      </c>
      <c r="T1841" s="34" t="s">
        <v>806</v>
      </c>
      <c r="U1841" s="34" t="str">
        <f>SUBSTITUTE($T1841, "INGUN", "/")</f>
        <v>N/A</v>
      </c>
      <c r="V1841" s="34" t="s">
        <v>22</v>
      </c>
      <c r="W1841" s="34" t="s">
        <v>28</v>
      </c>
      <c r="X1841" s="34" t="s">
        <v>173</v>
      </c>
      <c r="Y1841" s="57"/>
      <c r="Z1841" s="34" t="e">
        <f t="shared" si="85"/>
        <v>#NUM!</v>
      </c>
      <c r="AA1841" s="34"/>
      <c r="AB1841" s="34">
        <v>10</v>
      </c>
      <c r="AC1841" s="34" t="s">
        <v>828</v>
      </c>
      <c r="AD1841" s="34"/>
      <c r="AE1841" s="59" t="str">
        <f t="shared" si="86"/>
        <v>SÍ</v>
      </c>
      <c r="AF1841" s="34" t="e" cm="1">
        <f t="array" aca="1" ref="AF1841" ca="1">MIN(100, MAX(0, (IF(R1841="ESTUDIANTE", 31, 0)) + (IF(I1841&lt;=3, 30, IF(I1841&lt;=6, 20, 0))) +(IF(OR(E1841="413 - Control de Costes y Enlace Construcción", E1841="480 - Secretaría General del Consejo", E1841="132 - Civil y estructuras", E1841="136 - Mecánica", E1841="412 - Planificación", E1841="142 - Compras"), 25, 0)) +(IF(OR(S1841="GRADO ING. MECÁNICA", S1841="GRADO ING. ELÉCTRICA", S1841="GRADO DERECHO", S1841="GRADO ECONOMÍA", S1841="GRADO ING. TECNOLOGÍAS INDUSTRIALES"), 24, 0)) + (IF(AND(K1841&gt;=451, K1841&lt;=700), 23, 0)) + (IF(AND(AB1841&gt;=5, AB1841&lt;=8), 17, 0)) +(IF(_xludf.OR(_xludf.AND(AC1841&gt;=8, AC1841&lt;=10), _xludf.AND(AC1841&gt;=0, AC1841&lt;=5)), 16, 0)) + (IF(F1841="Madrid", 11, 0))))</f>
        <v>#NAME?</v>
      </c>
      <c r="AG1841" s="69"/>
      <c r="AH1841" s="71" t="s">
        <v>164</v>
      </c>
    </row>
    <row r="1842" spans="1:51" ht="14.4" x14ac:dyDescent="0.3">
      <c r="A1842" s="66" t="s">
        <v>2820</v>
      </c>
      <c r="B1842" s="66" t="s">
        <v>4937</v>
      </c>
      <c r="C1842" s="33">
        <v>1841</v>
      </c>
      <c r="D1842" s="33" t="s">
        <v>5394</v>
      </c>
      <c r="E1842" s="34" t="s">
        <v>5299</v>
      </c>
      <c r="F1842" s="34" t="s">
        <v>558</v>
      </c>
      <c r="G1842" s="57">
        <v>45600</v>
      </c>
      <c r="H1842" s="57">
        <v>45653</v>
      </c>
      <c r="I1842" s="34">
        <f t="shared" si="84"/>
        <v>1</v>
      </c>
      <c r="J1842" s="34">
        <v>35</v>
      </c>
      <c r="K1842" s="36">
        <v>700</v>
      </c>
      <c r="L1842" s="34" t="s">
        <v>29</v>
      </c>
      <c r="M1842" s="35">
        <v>36648</v>
      </c>
      <c r="N1842" s="37">
        <f>(YEAR(TablaMadre[[#This Row],[ALTA]])-YEAR(M1842))</f>
        <v>24</v>
      </c>
      <c r="O1842" s="34" t="s">
        <v>558</v>
      </c>
      <c r="P1842" s="34" t="s">
        <v>19</v>
      </c>
      <c r="Q1842" s="34" t="s">
        <v>738</v>
      </c>
      <c r="R1842" s="58" t="s">
        <v>30</v>
      </c>
      <c r="S1842" s="34" t="s">
        <v>280</v>
      </c>
      <c r="T1842" s="34"/>
      <c r="U1842" s="34" t="s">
        <v>30</v>
      </c>
      <c r="V1842" s="34" t="s">
        <v>310</v>
      </c>
      <c r="W1842" s="34" t="s">
        <v>28</v>
      </c>
      <c r="X1842" s="38" t="s">
        <v>173</v>
      </c>
      <c r="Y1842" s="62"/>
      <c r="Z1842" s="38" t="e">
        <f t="shared" si="85"/>
        <v>#NUM!</v>
      </c>
      <c r="AA1842" s="38"/>
      <c r="AB1842" s="34" t="s">
        <v>693</v>
      </c>
      <c r="AC1842" s="34">
        <v>8</v>
      </c>
      <c r="AD1842" s="38"/>
      <c r="AE1842" s="59" t="str">
        <f t="shared" si="86"/>
        <v>NO</v>
      </c>
      <c r="AF1842" s="38" t="e" cm="1">
        <f t="array" aca="1" ref="AF1842" ca="1">MIN(100, MAX(0, (IF(R1842="ESTUDIANTE", 31, 0)) + (IF(I1842&lt;=3, 30, IF(I1842&lt;=6, 20, 0))) +(IF(OR(E1842="413 - Control de Costes y Enlace Construcción", E1842="480 - Secretaría General del Consejo", E1842="132 - Civil y estructuras", E1842="136 - Mecánica", E1842="412 - Planificación", E1842="142 - Compras"), 25, 0)) +(IF(OR(S1842="GRADO ING. MECÁNICA", S1842="GRADO ING. ELÉCTRICA", S1842="GRADO DERECHO", S1842="GRADO ECONOMÍA", S1842="GRADO ING. TECNOLOGÍAS INDUSTRIALES"), 24, 0)) + (IF(AND(K1842&gt;=451, K1842&lt;=700), 23, 0)) + (IF(AND(AB1842&gt;=5, AB1842&lt;=8), 17, 0)) +(IF(_xludf.OR(_xludf.AND(AC1842&gt;=8, AC1842&lt;=10), _xludf.AND(AC1842&gt;=0, AC1842&lt;=5)), 16, 0)) + (IF(F1842="Madrid", 11, 0))))</f>
        <v>#NAME?</v>
      </c>
      <c r="AG1842" s="68"/>
      <c r="AH1842" s="71" t="s">
        <v>164</v>
      </c>
    </row>
    <row r="1843" spans="1:51" s="4" customFormat="1" ht="14.4" x14ac:dyDescent="0.3">
      <c r="A1843" s="66" t="s">
        <v>2821</v>
      </c>
      <c r="B1843" s="66" t="s">
        <v>4938</v>
      </c>
      <c r="C1843" s="33">
        <v>1842</v>
      </c>
      <c r="D1843" s="33" t="s">
        <v>5403</v>
      </c>
      <c r="E1843" s="34" t="s">
        <v>5357</v>
      </c>
      <c r="F1843" s="34" t="s">
        <v>18</v>
      </c>
      <c r="G1843" s="57">
        <v>45600</v>
      </c>
      <c r="H1843" s="57">
        <v>45750</v>
      </c>
      <c r="I1843" s="34">
        <f t="shared" si="84"/>
        <v>4</v>
      </c>
      <c r="J1843" s="34">
        <v>35</v>
      </c>
      <c r="K1843" s="36">
        <v>800</v>
      </c>
      <c r="L1843" s="34" t="s">
        <v>29</v>
      </c>
      <c r="M1843" s="35">
        <v>36748</v>
      </c>
      <c r="N1843" s="37">
        <f>(YEAR(TablaMadre[[#This Row],[ALTA]])-YEAR(M1843))</f>
        <v>24</v>
      </c>
      <c r="O1843" s="34" t="s">
        <v>191</v>
      </c>
      <c r="P1843" s="34" t="s">
        <v>191</v>
      </c>
      <c r="Q1843" s="34" t="s">
        <v>821</v>
      </c>
      <c r="R1843" s="34" t="s">
        <v>21</v>
      </c>
      <c r="S1843" s="34" t="s">
        <v>821</v>
      </c>
      <c r="T1843" s="34" t="s">
        <v>806</v>
      </c>
      <c r="U1843" s="34" t="str">
        <f>SUBSTITUTE($T1843, "INGUN", "/")</f>
        <v>N/A</v>
      </c>
      <c r="V1843" s="34" t="s">
        <v>56</v>
      </c>
      <c r="W1843" s="34" t="s">
        <v>28</v>
      </c>
      <c r="X1843" s="34" t="s">
        <v>173</v>
      </c>
      <c r="Y1843" s="57"/>
      <c r="Z1843" s="34" t="e">
        <f t="shared" si="85"/>
        <v>#NUM!</v>
      </c>
      <c r="AA1843" s="34"/>
      <c r="AB1843" s="41">
        <v>10</v>
      </c>
      <c r="AC1843" s="34">
        <v>10</v>
      </c>
      <c r="AD1843" s="34"/>
      <c r="AE1843" s="59" t="str">
        <f t="shared" si="86"/>
        <v>SÍ</v>
      </c>
      <c r="AF1843" s="34" t="e" cm="1">
        <f t="array" aca="1" ref="AF1843" ca="1">MIN(100, MAX(0, (IF(R1843="ESTUDIANTE", 31, 0)) + (IF(I1843&lt;=3, 30, IF(I1843&lt;=6, 20, 0))) +(IF(OR(E1843="413 - Control de Costes y Enlace Construcción", E1843="480 - Secretaría General del Consejo", E1843="132 - Civil y estructuras", E1843="136 - Mecánica", E1843="412 - Planificación", E1843="142 - Compras"), 25, 0)) +(IF(OR(S1843="GRADO ING. MECÁNICA", S1843="GRADO ING. ELÉCTRICA", S1843="GRADO DERECHO", S1843="GRADO ECONOMÍA", S1843="GRADO ING. TECNOLOGÍAS INDUSTRIALES"), 24, 0)) + (IF(AND(K1843&gt;=451, K1843&lt;=700), 23, 0)) + (IF(AND(AB1843&gt;=5, AB1843&lt;=8), 17, 0)) +(IF(_xludf.OR(_xludf.AND(AC1843&gt;=8, AC1843&lt;=10), _xludf.AND(AC1843&gt;=0, AC1843&lt;=5)), 16, 0)) + (IF(F1843="Madrid", 11, 0))))</f>
        <v>#NAME?</v>
      </c>
      <c r="AG1843" s="69"/>
      <c r="AH1843" s="71" t="s">
        <v>164</v>
      </c>
    </row>
    <row r="1844" spans="1:51" s="4" customFormat="1" ht="14.4" x14ac:dyDescent="0.3">
      <c r="A1844" s="66" t="s">
        <v>2822</v>
      </c>
      <c r="B1844" s="66" t="s">
        <v>4939</v>
      </c>
      <c r="C1844" s="33">
        <v>1843</v>
      </c>
      <c r="D1844" s="33" t="s">
        <v>5404</v>
      </c>
      <c r="E1844" s="34" t="s">
        <v>5366</v>
      </c>
      <c r="F1844" s="34" t="s">
        <v>18</v>
      </c>
      <c r="G1844" s="57">
        <v>45600</v>
      </c>
      <c r="H1844" s="57">
        <v>45780</v>
      </c>
      <c r="I1844" s="34">
        <f t="shared" si="84"/>
        <v>5</v>
      </c>
      <c r="J1844" s="34">
        <v>35</v>
      </c>
      <c r="K1844" s="36">
        <v>1200</v>
      </c>
      <c r="L1844" s="34" t="s">
        <v>17</v>
      </c>
      <c r="M1844" s="35">
        <v>36487</v>
      </c>
      <c r="N1844" s="37">
        <f>(YEAR(TablaMadre[[#This Row],[ALTA]])-YEAR(M1844))</f>
        <v>25</v>
      </c>
      <c r="O1844" s="34" t="s">
        <v>950</v>
      </c>
      <c r="P1844" s="34" t="s">
        <v>19</v>
      </c>
      <c r="Q1844" s="34" t="s">
        <v>832</v>
      </c>
      <c r="R1844" s="34" t="s">
        <v>21</v>
      </c>
      <c r="S1844" s="34" t="s">
        <v>321</v>
      </c>
      <c r="T1844" s="34" t="s">
        <v>823</v>
      </c>
      <c r="U1844" s="34" t="s">
        <v>21</v>
      </c>
      <c r="V1844" s="34" t="s">
        <v>22</v>
      </c>
      <c r="W1844" s="34" t="s">
        <v>28</v>
      </c>
      <c r="X1844" s="34" t="s">
        <v>173</v>
      </c>
      <c r="Y1844" s="57"/>
      <c r="Z1844" s="34" t="e">
        <f t="shared" si="85"/>
        <v>#NUM!</v>
      </c>
      <c r="AA1844" s="34"/>
      <c r="AB1844" s="34" t="s">
        <v>833</v>
      </c>
      <c r="AC1844" s="34">
        <v>9</v>
      </c>
      <c r="AD1844" s="34"/>
      <c r="AE1844" s="59" t="str">
        <f t="shared" si="86"/>
        <v>SÍ</v>
      </c>
      <c r="AF1844" s="34" t="e" cm="1">
        <f t="array" aca="1" ref="AF1844" ca="1">MIN(100, MAX(0, (IF(R1844="ESTUDIANTE", 31, 0)) + (IF(I1844&lt;=3, 30, IF(I1844&lt;=6, 20, 0))) +(IF(OR(E1844="413 - Control de Costes y Enlace Construcción", E1844="480 - Secretaría General del Consejo", E1844="132 - Civil y estructuras", E1844="136 - Mecánica", E1844="412 - Planificación", E1844="142 - Compras"), 25, 0)) +(IF(OR(S1844="GRADO ING. MECÁNICA", S1844="GRADO ING. ELÉCTRICA", S1844="GRADO DERECHO", S1844="GRADO ECONOMÍA", S1844="GRADO ING. TECNOLOGÍAS INDUSTRIALES"), 24, 0)) + (IF(AND(K1844&gt;=451, K1844&lt;=700), 23, 0)) + (IF(AND(AB1844&gt;=5, AB1844&lt;=8), 17, 0)) +(IF(_xludf.OR(_xludf.AND(AC1844&gt;=8, AC1844&lt;=10), _xludf.AND(AC1844&gt;=0, AC1844&lt;=5)), 16, 0)) + (IF(F1844="Madrid", 11, 0))))</f>
        <v>#NAME?</v>
      </c>
      <c r="AG1844" s="69"/>
      <c r="AH1844" s="71" t="s">
        <v>164</v>
      </c>
    </row>
    <row r="1845" spans="1:51" s="4" customFormat="1" ht="15.75" customHeight="1" x14ac:dyDescent="0.3">
      <c r="A1845" s="66" t="s">
        <v>2823</v>
      </c>
      <c r="B1845" s="66" t="s">
        <v>4940</v>
      </c>
      <c r="C1845" s="33">
        <v>1844</v>
      </c>
      <c r="D1845" s="33" t="s">
        <v>5405</v>
      </c>
      <c r="E1845" s="34" t="s">
        <v>5222</v>
      </c>
      <c r="F1845" s="34" t="s">
        <v>18</v>
      </c>
      <c r="G1845" s="57">
        <v>45600</v>
      </c>
      <c r="H1845" s="57">
        <v>45780</v>
      </c>
      <c r="I1845" s="34">
        <f t="shared" si="84"/>
        <v>5</v>
      </c>
      <c r="J1845" s="34">
        <v>35</v>
      </c>
      <c r="K1845" s="36">
        <v>1000</v>
      </c>
      <c r="L1845" s="34" t="s">
        <v>29</v>
      </c>
      <c r="M1845" s="35">
        <v>36805</v>
      </c>
      <c r="N1845" s="37">
        <f>(YEAR(TablaMadre[[#This Row],[ALTA]])-YEAR(M1845))</f>
        <v>24</v>
      </c>
      <c r="O1845" s="34" t="s">
        <v>18</v>
      </c>
      <c r="P1845" s="34" t="s">
        <v>19</v>
      </c>
      <c r="Q1845" s="34" t="s">
        <v>695</v>
      </c>
      <c r="R1845" s="34" t="s">
        <v>21</v>
      </c>
      <c r="S1845" s="34" t="s">
        <v>695</v>
      </c>
      <c r="T1845" s="34" t="s">
        <v>806</v>
      </c>
      <c r="U1845" s="34" t="str">
        <f>SUBSTITUTE($T1845, "INGUN", "/")</f>
        <v>N/A</v>
      </c>
      <c r="V1845" s="34" t="s">
        <v>40</v>
      </c>
      <c r="W1845" s="34" t="s">
        <v>28</v>
      </c>
      <c r="X1845" s="34" t="s">
        <v>173</v>
      </c>
      <c r="Y1845" s="57"/>
      <c r="Z1845" s="34" t="e">
        <f t="shared" si="85"/>
        <v>#NUM!</v>
      </c>
      <c r="AA1845" s="34"/>
      <c r="AB1845" s="34">
        <v>7</v>
      </c>
      <c r="AC1845" s="34">
        <v>8</v>
      </c>
      <c r="AD1845" s="34"/>
      <c r="AE1845" s="59" t="str">
        <f t="shared" si="86"/>
        <v>NO</v>
      </c>
      <c r="AF1845" s="34" t="e" cm="1">
        <f t="array" aca="1" ref="AF1845" ca="1">MIN(100, MAX(0, (IF(R1845="ESTUDIANTE", 31, 0)) + (IF(I1845&lt;=3, 30, IF(I1845&lt;=6, 20, 0))) +(IF(OR(E1845="413 - Control de Costes y Enlace Construcción", E1845="480 - Secretaría General del Consejo", E1845="132 - Civil y estructuras", E1845="136 - Mecánica", E1845="412 - Planificación", E1845="142 - Compras"), 25, 0)) +(IF(OR(S1845="GRADO ING. MECÁNICA", S1845="GRADO ING. ELÉCTRICA", S1845="GRADO DERECHO", S1845="GRADO ECONOMÍA", S1845="GRADO ING. TECNOLOGÍAS INDUSTRIALES"), 24, 0)) + (IF(AND(K1845&gt;=451, K1845&lt;=700), 23, 0)) + (IF(AND(AB1845&gt;=5, AB1845&lt;=8), 17, 0)) +(IF(_xludf.OR(_xludf.AND(AC1845&gt;=8, AC1845&lt;=10), _xludf.AND(AC1845&gt;=0, AC1845&lt;=5)), 16, 0)) + (IF(F1845="Madrid", 11, 0))))</f>
        <v>#NAME?</v>
      </c>
      <c r="AG1845" s="69"/>
      <c r="AH1845" s="71" t="s">
        <v>164</v>
      </c>
    </row>
    <row r="1846" spans="1:51" s="4" customFormat="1" ht="14.4" x14ac:dyDescent="0.3">
      <c r="A1846" s="66" t="s">
        <v>2824</v>
      </c>
      <c r="B1846" s="66" t="s">
        <v>4941</v>
      </c>
      <c r="C1846" s="33">
        <v>1845</v>
      </c>
      <c r="D1846" s="33" t="s">
        <v>5396</v>
      </c>
      <c r="E1846" s="34" t="s">
        <v>5328</v>
      </c>
      <c r="F1846" s="34" t="s">
        <v>18</v>
      </c>
      <c r="G1846" s="57">
        <v>45600</v>
      </c>
      <c r="H1846" s="57">
        <v>45828</v>
      </c>
      <c r="I1846" s="34">
        <f t="shared" si="84"/>
        <v>7</v>
      </c>
      <c r="J1846" s="34">
        <v>35</v>
      </c>
      <c r="K1846" s="36">
        <v>500</v>
      </c>
      <c r="L1846" s="37" t="s">
        <v>17</v>
      </c>
      <c r="M1846" s="35">
        <v>35950</v>
      </c>
      <c r="N1846" s="37">
        <f>(YEAR(TablaMadre[[#This Row],[ALTA]])-YEAR(M1846))</f>
        <v>26</v>
      </c>
      <c r="O1846" s="34" t="s">
        <v>18</v>
      </c>
      <c r="P1846" s="34" t="s">
        <v>19</v>
      </c>
      <c r="Q1846" s="34" t="s">
        <v>851</v>
      </c>
      <c r="R1846" s="58" t="s">
        <v>30</v>
      </c>
      <c r="S1846" s="34" t="s">
        <v>26</v>
      </c>
      <c r="T1846" s="34" t="s">
        <v>806</v>
      </c>
      <c r="U1846" s="34" t="str">
        <f>SUBSTITUTE($T1846, "INGUN", "/")</f>
        <v>N/A</v>
      </c>
      <c r="V1846" s="34" t="s">
        <v>27</v>
      </c>
      <c r="W1846" s="34" t="s">
        <v>28</v>
      </c>
      <c r="X1846" s="34" t="s">
        <v>164</v>
      </c>
      <c r="Y1846" s="57">
        <v>46009</v>
      </c>
      <c r="Z1846" s="34">
        <f t="shared" si="85"/>
        <v>0</v>
      </c>
      <c r="AA1846" s="34"/>
      <c r="AB1846" s="34">
        <v>10</v>
      </c>
      <c r="AC1846" s="34">
        <v>3</v>
      </c>
      <c r="AD1846" s="34"/>
      <c r="AE1846" s="59" t="str">
        <f t="shared" si="86"/>
        <v>NO</v>
      </c>
      <c r="AF1846" s="34" t="e" cm="1">
        <f t="array" aca="1" ref="AF1846" ca="1">MIN(100, MAX(0, (IF(R1846="ESTUDIANTE", 31, 0)) + (IF(I1846&lt;=3, 30, IF(I1846&lt;=6, 20, 0))) +(IF(OR(E1846="413 - Control de Costes y Enlace Construcción", E1846="480 - Secretaría General del Consejo", E1846="132 - Civil y estructuras", E1846="136 - Mecánica", E1846="412 - Planificación", E1846="142 - Compras"), 25, 0)) +(IF(OR(S1846="GRADO ING. MECÁNICA", S1846="GRADO ING. ELÉCTRICA", S1846="GRADO DERECHO", S1846="GRADO ECONOMÍA", S1846="GRADO ING. TECNOLOGÍAS INDUSTRIALES"), 24, 0)) + (IF(AND(K1846&gt;=451, K1846&lt;=700), 23, 0)) + (IF(AND(AB1846&gt;=5, AB1846&lt;=8), 17, 0)) +(IF(_xludf.OR(_xludf.AND(AC1846&gt;=8, AC1846&lt;=10), _xludf.AND(AC1846&gt;=0, AC1846&lt;=5)), 16, 0)) + (IF(F1846="Madrid", 11, 0))))</f>
        <v>#NAME?</v>
      </c>
      <c r="AG1846" s="69"/>
      <c r="AH1846" s="71" t="s">
        <v>164</v>
      </c>
    </row>
    <row r="1847" spans="1:51" s="4" customFormat="1" ht="14.4" x14ac:dyDescent="0.3">
      <c r="A1847" s="66" t="s">
        <v>2825</v>
      </c>
      <c r="B1847" s="66" t="s">
        <v>4942</v>
      </c>
      <c r="C1847" s="33">
        <v>1846</v>
      </c>
      <c r="D1847" s="33" t="s">
        <v>5397</v>
      </c>
      <c r="E1847" s="34" t="s">
        <v>5222</v>
      </c>
      <c r="F1847" s="34" t="s">
        <v>18</v>
      </c>
      <c r="G1847" s="57">
        <v>45600</v>
      </c>
      <c r="H1847" s="57">
        <v>45933</v>
      </c>
      <c r="I1847" s="34">
        <f t="shared" si="84"/>
        <v>10</v>
      </c>
      <c r="J1847" s="34">
        <v>35</v>
      </c>
      <c r="K1847" s="36">
        <v>900</v>
      </c>
      <c r="L1847" s="37" t="s">
        <v>17</v>
      </c>
      <c r="M1847" s="39">
        <v>36040</v>
      </c>
      <c r="N1847" s="37">
        <f>(YEAR(TablaMadre[[#This Row],[ALTA]])-YEAR(M1847))</f>
        <v>26</v>
      </c>
      <c r="O1847" s="34" t="s">
        <v>18</v>
      </c>
      <c r="P1847" s="34" t="s">
        <v>19</v>
      </c>
      <c r="Q1847" s="34" t="s">
        <v>297</v>
      </c>
      <c r="R1847" s="34" t="s">
        <v>21</v>
      </c>
      <c r="S1847" s="34" t="s">
        <v>297</v>
      </c>
      <c r="T1847" s="34" t="s">
        <v>806</v>
      </c>
      <c r="U1847" s="34" t="str">
        <f>SUBSTITUTE($T1847, "INGUN", "/")</f>
        <v>N/A</v>
      </c>
      <c r="V1847" s="34" t="s">
        <v>56</v>
      </c>
      <c r="W1847" s="34" t="s">
        <v>28</v>
      </c>
      <c r="X1847" s="34" t="s">
        <v>173</v>
      </c>
      <c r="Y1847" s="57"/>
      <c r="Z1847" s="34" t="e">
        <f t="shared" si="85"/>
        <v>#NUM!</v>
      </c>
      <c r="AA1847" s="34"/>
      <c r="AB1847" s="34">
        <v>8</v>
      </c>
      <c r="AC1847" s="34">
        <v>9</v>
      </c>
      <c r="AD1847" s="34"/>
      <c r="AE1847" s="59" t="str">
        <f t="shared" si="86"/>
        <v>NO</v>
      </c>
      <c r="AF1847" s="34" t="e" cm="1">
        <f t="array" aca="1" ref="AF1847" ca="1">MIN(100, MAX(0, (IF(R1847="ESTUDIANTE", 31, 0)) + (IF(I1847&lt;=3, 30, IF(I1847&lt;=6, 20, 0))) +(IF(OR(E1847="413 - Control de Costes y Enlace Construcción", E1847="480 - Secretaría General del Consejo", E1847="132 - Civil y estructuras", E1847="136 - Mecánica", E1847="412 - Planificación", E1847="142 - Compras"), 25, 0)) +(IF(OR(S1847="GRADO ING. MECÁNICA", S1847="GRADO ING. ELÉCTRICA", S1847="GRADO DERECHO", S1847="GRADO ECONOMÍA", S1847="GRADO ING. TECNOLOGÍAS INDUSTRIALES"), 24, 0)) + (IF(AND(K1847&gt;=451, K1847&lt;=700), 23, 0)) + (IF(AND(AB1847&gt;=5, AB1847&lt;=8), 17, 0)) +(IF(_xludf.OR(_xludf.AND(AC1847&gt;=8, AC1847&lt;=10), _xludf.AND(AC1847&gt;=0, AC1847&lt;=5)), 16, 0)) + (IF(F1847="Madrid", 11, 0))))</f>
        <v>#NAME?</v>
      </c>
      <c r="AG1847" s="69"/>
      <c r="AH1847" s="71" t="s">
        <v>164</v>
      </c>
    </row>
    <row r="1848" spans="1:51" s="4" customFormat="1" ht="16.5" customHeight="1" x14ac:dyDescent="0.3">
      <c r="A1848" s="66" t="s">
        <v>2826</v>
      </c>
      <c r="B1848" s="66" t="s">
        <v>4943</v>
      </c>
      <c r="C1848" s="33">
        <v>1847</v>
      </c>
      <c r="D1848" s="33" t="s">
        <v>5393</v>
      </c>
      <c r="E1848" s="34" t="s">
        <v>5222</v>
      </c>
      <c r="F1848" s="34" t="s">
        <v>18</v>
      </c>
      <c r="G1848" s="57">
        <v>45600</v>
      </c>
      <c r="H1848" s="57">
        <v>45933</v>
      </c>
      <c r="I1848" s="34">
        <f t="shared" si="84"/>
        <v>10</v>
      </c>
      <c r="J1848" s="34">
        <v>30</v>
      </c>
      <c r="K1848" s="36">
        <v>600</v>
      </c>
      <c r="L1848" s="37" t="s">
        <v>17</v>
      </c>
      <c r="M1848" s="39">
        <v>36886</v>
      </c>
      <c r="N1848" s="37">
        <f>(YEAR(TablaMadre[[#This Row],[ALTA]])-YEAR(M1848))</f>
        <v>24</v>
      </c>
      <c r="O1848" s="34" t="s">
        <v>202</v>
      </c>
      <c r="P1848" s="34" t="s">
        <v>19</v>
      </c>
      <c r="Q1848" s="34" t="s">
        <v>297</v>
      </c>
      <c r="R1848" s="58" t="s">
        <v>30</v>
      </c>
      <c r="S1848" s="34" t="s">
        <v>297</v>
      </c>
      <c r="T1848" s="34" t="s">
        <v>806</v>
      </c>
      <c r="U1848" s="34" t="str">
        <f>SUBSTITUTE($T1848, "INGUN", "/")</f>
        <v>N/A</v>
      </c>
      <c r="V1848" s="34" t="s">
        <v>56</v>
      </c>
      <c r="W1848" s="34" t="s">
        <v>28</v>
      </c>
      <c r="X1848" s="34" t="s">
        <v>173</v>
      </c>
      <c r="Y1848" s="57"/>
      <c r="Z1848" s="34" t="e">
        <f t="shared" si="85"/>
        <v>#NUM!</v>
      </c>
      <c r="AA1848" s="34"/>
      <c r="AB1848" s="34">
        <v>7</v>
      </c>
      <c r="AC1848" s="34">
        <v>9</v>
      </c>
      <c r="AD1848" s="34"/>
      <c r="AE1848" s="59" t="str">
        <f t="shared" si="86"/>
        <v>SÍ</v>
      </c>
      <c r="AF1848" s="34" t="e" cm="1">
        <f t="array" aca="1" ref="AF1848" ca="1">MIN(100, MAX(0, (IF(R1848="ESTUDIANTE", 31, 0)) + (IF(I1848&lt;=3, 30, IF(I1848&lt;=6, 20, 0))) +(IF(OR(E1848="413 - Control de Costes y Enlace Construcción", E1848="480 - Secretaría General del Consejo", E1848="132 - Civil y estructuras", E1848="136 - Mecánica", E1848="412 - Planificación", E1848="142 - Compras"), 25, 0)) +(IF(OR(S1848="GRADO ING. MECÁNICA", S1848="GRADO ING. ELÉCTRICA", S1848="GRADO DERECHO", S1848="GRADO ECONOMÍA", S1848="GRADO ING. TECNOLOGÍAS INDUSTRIALES"), 24, 0)) + (IF(AND(K1848&gt;=451, K1848&lt;=700), 23, 0)) + (IF(AND(AB1848&gt;=5, AB1848&lt;=8), 17, 0)) +(IF(_xludf.OR(_xludf.AND(AC1848&gt;=8, AC1848&lt;=10), _xludf.AND(AC1848&gt;=0, AC1848&lt;=5)), 16, 0)) + (IF(F1848="Madrid", 11, 0))))</f>
        <v>#NAME?</v>
      </c>
      <c r="AG1848" s="69"/>
      <c r="AH1848" s="71" t="s">
        <v>164</v>
      </c>
    </row>
    <row r="1849" spans="1:51" s="4" customFormat="1" ht="14.4" x14ac:dyDescent="0.3">
      <c r="A1849" s="66" t="s">
        <v>2827</v>
      </c>
      <c r="B1849" s="66" t="s">
        <v>4944</v>
      </c>
      <c r="C1849" s="33">
        <v>1848</v>
      </c>
      <c r="D1849" s="33" t="s">
        <v>5394</v>
      </c>
      <c r="E1849" s="34" t="s">
        <v>5222</v>
      </c>
      <c r="F1849" s="34" t="s">
        <v>118</v>
      </c>
      <c r="G1849" s="57">
        <v>45600</v>
      </c>
      <c r="H1849" s="57">
        <v>45964</v>
      </c>
      <c r="I1849" s="34">
        <f t="shared" si="84"/>
        <v>11</v>
      </c>
      <c r="J1849" s="34">
        <v>35</v>
      </c>
      <c r="K1849" s="36">
        <v>800</v>
      </c>
      <c r="L1849" s="37" t="s">
        <v>17</v>
      </c>
      <c r="M1849" s="39">
        <v>36262</v>
      </c>
      <c r="N1849" s="37">
        <f>(YEAR(TablaMadre[[#This Row],[ALTA]])-YEAR(M1849))</f>
        <v>25</v>
      </c>
      <c r="O1849" s="34" t="s">
        <v>118</v>
      </c>
      <c r="P1849" s="34" t="s">
        <v>19</v>
      </c>
      <c r="Q1849" s="34" t="s">
        <v>884</v>
      </c>
      <c r="R1849" s="34" t="s">
        <v>21</v>
      </c>
      <c r="S1849" s="34" t="s">
        <v>884</v>
      </c>
      <c r="T1849" s="34" t="s">
        <v>806</v>
      </c>
      <c r="U1849" s="34" t="str">
        <f>SUBSTITUTE($T1849, "INGUN", "/")</f>
        <v>N/A</v>
      </c>
      <c r="V1849" s="34" t="s">
        <v>163</v>
      </c>
      <c r="W1849" s="34" t="s">
        <v>28</v>
      </c>
      <c r="X1849" s="34" t="s">
        <v>173</v>
      </c>
      <c r="Y1849" s="57"/>
      <c r="Z1849" s="34" t="e">
        <f t="shared" si="85"/>
        <v>#NUM!</v>
      </c>
      <c r="AA1849" s="34"/>
      <c r="AB1849" s="34">
        <v>10</v>
      </c>
      <c r="AC1849" s="34">
        <v>9</v>
      </c>
      <c r="AD1849" s="34"/>
      <c r="AE1849" s="59" t="str">
        <f t="shared" si="86"/>
        <v>NO</v>
      </c>
      <c r="AF1849" s="34" t="e" cm="1">
        <f t="array" aca="1" ref="AF1849" ca="1">MIN(100, MAX(0, (IF(R1849="ESTUDIANTE", 31, 0)) + (IF(I1849&lt;=3, 30, IF(I1849&lt;=6, 20, 0))) +(IF(OR(E1849="413 - Control de Costes y Enlace Construcción", E1849="480 - Secretaría General del Consejo", E1849="132 - Civil y estructuras", E1849="136 - Mecánica", E1849="412 - Planificación", E1849="142 - Compras"), 25, 0)) +(IF(OR(S1849="GRADO ING. MECÁNICA", S1849="GRADO ING. ELÉCTRICA", S1849="GRADO DERECHO", S1849="GRADO ECONOMÍA", S1849="GRADO ING. TECNOLOGÍAS INDUSTRIALES"), 24, 0)) + (IF(AND(K1849&gt;=451, K1849&lt;=700), 23, 0)) + (IF(AND(AB1849&gt;=5, AB1849&lt;=8), 17, 0)) +(IF(_xludf.OR(_xludf.AND(AC1849&gt;=8, AC1849&lt;=10), _xludf.AND(AC1849&gt;=0, AC1849&lt;=5)), 16, 0)) + (IF(F1849="Madrid", 11, 0))))</f>
        <v>#NAME?</v>
      </c>
      <c r="AG1849" s="69"/>
      <c r="AH1849" s="71" t="s">
        <v>164</v>
      </c>
    </row>
    <row r="1850" spans="1:51" s="4" customFormat="1" ht="14.4" x14ac:dyDescent="0.3">
      <c r="A1850" s="66" t="s">
        <v>2828</v>
      </c>
      <c r="B1850" s="66" t="s">
        <v>4945</v>
      </c>
      <c r="C1850" s="33">
        <v>1849</v>
      </c>
      <c r="D1850" s="33" t="s">
        <v>5395</v>
      </c>
      <c r="E1850" s="34" t="s">
        <v>5306</v>
      </c>
      <c r="F1850" s="34" t="s">
        <v>18</v>
      </c>
      <c r="G1850" s="57">
        <v>45603</v>
      </c>
      <c r="H1850" s="57">
        <v>45750</v>
      </c>
      <c r="I1850" s="34">
        <f t="shared" si="84"/>
        <v>4</v>
      </c>
      <c r="J1850" s="34">
        <v>35</v>
      </c>
      <c r="K1850" s="36">
        <v>1200</v>
      </c>
      <c r="L1850" s="34" t="s">
        <v>17</v>
      </c>
      <c r="M1850" s="35">
        <v>36530</v>
      </c>
      <c r="N1850" s="37">
        <f>(YEAR(TablaMadre[[#This Row],[ALTA]])-YEAR(M1850))</f>
        <v>24</v>
      </c>
      <c r="O1850" s="34" t="s">
        <v>118</v>
      </c>
      <c r="P1850" s="34" t="s">
        <v>19</v>
      </c>
      <c r="Q1850" s="34" t="s">
        <v>136</v>
      </c>
      <c r="R1850" s="34" t="s">
        <v>21</v>
      </c>
      <c r="S1850" s="34" t="s">
        <v>136</v>
      </c>
      <c r="T1850" s="34" t="s">
        <v>822</v>
      </c>
      <c r="U1850" s="34" t="s">
        <v>30</v>
      </c>
      <c r="V1850" s="34" t="s">
        <v>107</v>
      </c>
      <c r="W1850" s="34" t="s">
        <v>28</v>
      </c>
      <c r="X1850" s="34" t="s">
        <v>173</v>
      </c>
      <c r="Y1850" s="57"/>
      <c r="Z1850" s="34" t="e">
        <f t="shared" si="85"/>
        <v>#NUM!</v>
      </c>
      <c r="AA1850" s="34"/>
      <c r="AB1850" s="34"/>
      <c r="AC1850" s="34">
        <v>10</v>
      </c>
      <c r="AD1850" s="34"/>
      <c r="AE1850" s="59" t="str">
        <f t="shared" si="86"/>
        <v>SÍ</v>
      </c>
      <c r="AF1850" s="34" t="e" cm="1">
        <f t="array" aca="1" ref="AF1850" ca="1">MIN(100, MAX(0, (IF(R1850="ESTUDIANTE", 31, 0)) + (IF(I1850&lt;=3, 30, IF(I1850&lt;=6, 20, 0))) +(IF(OR(E1850="413 - Control de Costes y Enlace Construcción", E1850="480 - Secretaría General del Consejo", E1850="132 - Civil y estructuras", E1850="136 - Mecánica", E1850="412 - Planificación", E1850="142 - Compras"), 25, 0)) +(IF(OR(S1850="GRADO ING. MECÁNICA", S1850="GRADO ING. ELÉCTRICA", S1850="GRADO DERECHO", S1850="GRADO ECONOMÍA", S1850="GRADO ING. TECNOLOGÍAS INDUSTRIALES"), 24, 0)) + (IF(AND(K1850&gt;=451, K1850&lt;=700), 23, 0)) + (IF(AND(AB1850&gt;=5, AB1850&lt;=8), 17, 0)) +(IF(_xludf.OR(_xludf.AND(AC1850&gt;=8, AC1850&lt;=10), _xludf.AND(AC1850&gt;=0, AC1850&lt;=5)), 16, 0)) + (IF(F1850="Madrid", 11, 0))))</f>
        <v>#NAME?</v>
      </c>
      <c r="AG1850" s="69"/>
      <c r="AH1850" s="71" t="s">
        <v>164</v>
      </c>
    </row>
    <row r="1851" spans="1:51" s="4" customFormat="1" ht="14.4" x14ac:dyDescent="0.3">
      <c r="A1851" s="66" t="s">
        <v>2829</v>
      </c>
      <c r="B1851" s="66" t="s">
        <v>4946</v>
      </c>
      <c r="C1851" s="33">
        <v>1850</v>
      </c>
      <c r="D1851" s="33" t="s">
        <v>5396</v>
      </c>
      <c r="E1851" s="34" t="s">
        <v>5339</v>
      </c>
      <c r="F1851" s="34" t="s">
        <v>18</v>
      </c>
      <c r="G1851" s="57">
        <v>45607</v>
      </c>
      <c r="H1851" s="57">
        <v>45787</v>
      </c>
      <c r="I1851" s="34">
        <f t="shared" si="84"/>
        <v>5</v>
      </c>
      <c r="J1851" s="34">
        <v>35</v>
      </c>
      <c r="K1851" s="36">
        <v>900</v>
      </c>
      <c r="L1851" s="39" t="s">
        <v>29</v>
      </c>
      <c r="M1851" s="35">
        <v>36877</v>
      </c>
      <c r="N1851" s="37">
        <f>(YEAR(TablaMadre[[#This Row],[ALTA]])-YEAR(M1851))</f>
        <v>24</v>
      </c>
      <c r="O1851" s="34" t="s">
        <v>18</v>
      </c>
      <c r="P1851" s="34" t="s">
        <v>19</v>
      </c>
      <c r="Q1851" s="34" t="s">
        <v>297</v>
      </c>
      <c r="R1851" s="34" t="s">
        <v>21</v>
      </c>
      <c r="S1851" s="34" t="s">
        <v>297</v>
      </c>
      <c r="T1851" s="34" t="s">
        <v>806</v>
      </c>
      <c r="U1851" s="34" t="str">
        <f>SUBSTITUTE($T1851, "INGUN", "/")</f>
        <v>N/A</v>
      </c>
      <c r="V1851" s="34" t="s">
        <v>56</v>
      </c>
      <c r="W1851" s="34" t="s">
        <v>28</v>
      </c>
      <c r="X1851" s="34" t="s">
        <v>173</v>
      </c>
      <c r="Y1851" s="57"/>
      <c r="Z1851" s="34" t="e">
        <f t="shared" si="85"/>
        <v>#NUM!</v>
      </c>
      <c r="AA1851" s="34"/>
      <c r="AB1851" s="34">
        <v>8</v>
      </c>
      <c r="AC1851" s="34">
        <v>10</v>
      </c>
      <c r="AD1851" s="34"/>
      <c r="AE1851" s="59" t="str">
        <f t="shared" si="86"/>
        <v>NO</v>
      </c>
      <c r="AF1851" s="34" t="e" cm="1">
        <f t="array" aca="1" ref="AF1851" ca="1">MIN(100, MAX(0, (IF(R1851="ESTUDIANTE", 31, 0)) + (IF(I1851&lt;=3, 30, IF(I1851&lt;=6, 20, 0))) +(IF(OR(E1851="413 - Control de Costes y Enlace Construcción", E1851="480 - Secretaría General del Consejo", E1851="132 - Civil y estructuras", E1851="136 - Mecánica", E1851="412 - Planificación", E1851="142 - Compras"), 25, 0)) +(IF(OR(S1851="GRADO ING. MECÁNICA", S1851="GRADO ING. ELÉCTRICA", S1851="GRADO DERECHO", S1851="GRADO ECONOMÍA", S1851="GRADO ING. TECNOLOGÍAS INDUSTRIALES"), 24, 0)) + (IF(AND(K1851&gt;=451, K1851&lt;=700), 23, 0)) + (IF(AND(AB1851&gt;=5, AB1851&lt;=8), 17, 0)) +(IF(_xludf.OR(_xludf.AND(AC1851&gt;=8, AC1851&lt;=10), _xludf.AND(AC1851&gt;=0, AC1851&lt;=5)), 16, 0)) + (IF(F1851="Madrid", 11, 0))))</f>
        <v>#NAME?</v>
      </c>
      <c r="AG1851" s="69"/>
      <c r="AH1851" s="71" t="s">
        <v>164</v>
      </c>
    </row>
    <row r="1852" spans="1:51" s="4" customFormat="1" ht="14.4" x14ac:dyDescent="0.3">
      <c r="A1852" s="66" t="s">
        <v>2830</v>
      </c>
      <c r="B1852" s="66" t="s">
        <v>4947</v>
      </c>
      <c r="C1852" s="33">
        <v>1851</v>
      </c>
      <c r="D1852" s="33" t="s">
        <v>5397</v>
      </c>
      <c r="E1852" s="34" t="s">
        <v>5219</v>
      </c>
      <c r="F1852" s="34" t="s">
        <v>18</v>
      </c>
      <c r="G1852" s="57">
        <v>45607</v>
      </c>
      <c r="H1852" s="57">
        <v>45787</v>
      </c>
      <c r="I1852" s="34">
        <f t="shared" si="84"/>
        <v>5</v>
      </c>
      <c r="J1852" s="34">
        <v>35</v>
      </c>
      <c r="K1852" s="36">
        <v>1200</v>
      </c>
      <c r="L1852" s="34" t="s">
        <v>29</v>
      </c>
      <c r="M1852" s="35">
        <v>36206</v>
      </c>
      <c r="N1852" s="37">
        <f>(YEAR(TablaMadre[[#This Row],[ALTA]])-YEAR(M1852))</f>
        <v>25</v>
      </c>
      <c r="O1852" s="34" t="s">
        <v>257</v>
      </c>
      <c r="P1852" s="34" t="s">
        <v>19</v>
      </c>
      <c r="Q1852" s="34" t="s">
        <v>307</v>
      </c>
      <c r="R1852" s="34" t="s">
        <v>21</v>
      </c>
      <c r="S1852" s="34" t="s">
        <v>307</v>
      </c>
      <c r="T1852" s="34" t="s">
        <v>834</v>
      </c>
      <c r="U1852" s="34" t="s">
        <v>30</v>
      </c>
      <c r="V1852" s="34" t="s">
        <v>22</v>
      </c>
      <c r="W1852" s="34" t="s">
        <v>28</v>
      </c>
      <c r="X1852" s="40" t="s">
        <v>173</v>
      </c>
      <c r="Y1852" s="63"/>
      <c r="Z1852" s="40" t="e">
        <f t="shared" si="85"/>
        <v>#NUM!</v>
      </c>
      <c r="AA1852" s="40"/>
      <c r="AB1852" s="34">
        <v>10</v>
      </c>
      <c r="AC1852" s="34">
        <v>10</v>
      </c>
      <c r="AD1852" s="40"/>
      <c r="AE1852" s="59" t="str">
        <f t="shared" si="86"/>
        <v>SÍ</v>
      </c>
      <c r="AF1852" s="40" t="e" cm="1">
        <f t="array" aca="1" ref="AF1852" ca="1">MIN(100, MAX(0, (IF(R1852="ESTUDIANTE", 31, 0)) + (IF(I1852&lt;=3, 30, IF(I1852&lt;=6, 20, 0))) +(IF(OR(E1852="413 - Control de Costes y Enlace Construcción", E1852="480 - Secretaría General del Consejo", E1852="132 - Civil y estructuras", E1852="136 - Mecánica", E1852="412 - Planificación", E1852="142 - Compras"), 25, 0)) +(IF(OR(S1852="GRADO ING. MECÁNICA", S1852="GRADO ING. ELÉCTRICA", S1852="GRADO DERECHO", S1852="GRADO ECONOMÍA", S1852="GRADO ING. TECNOLOGÍAS INDUSTRIALES"), 24, 0)) + (IF(AND(K1852&gt;=451, K1852&lt;=700), 23, 0)) + (IF(AND(AB1852&gt;=5, AB1852&lt;=8), 17, 0)) +(IF(_xludf.OR(_xludf.AND(AC1852&gt;=8, AC1852&lt;=10), _xludf.AND(AC1852&gt;=0, AC1852&lt;=5)), 16, 0)) + (IF(F1852="Madrid", 11, 0))))</f>
        <v>#NAME?</v>
      </c>
      <c r="AG1852" s="70"/>
      <c r="AH1852" s="71" t="s">
        <v>164</v>
      </c>
      <c r="AI1852" s="9"/>
      <c r="AJ1852" s="9"/>
      <c r="AK1852" s="9"/>
      <c r="AL1852" s="9"/>
      <c r="AM1852" s="9"/>
      <c r="AN1852" s="9"/>
      <c r="AO1852" s="9"/>
      <c r="AP1852" s="9"/>
      <c r="AQ1852" s="9"/>
      <c r="AR1852" s="9"/>
      <c r="AS1852" s="9"/>
      <c r="AT1852" s="9"/>
      <c r="AU1852" s="9"/>
      <c r="AV1852" s="9"/>
      <c r="AW1852" s="9"/>
      <c r="AX1852" s="9"/>
      <c r="AY1852" s="9"/>
    </row>
    <row r="1853" spans="1:51" s="4" customFormat="1" ht="14.4" x14ac:dyDescent="0.3">
      <c r="A1853" s="66" t="s">
        <v>2831</v>
      </c>
      <c r="B1853" s="66" t="s">
        <v>4948</v>
      </c>
      <c r="C1853" s="33">
        <v>1852</v>
      </c>
      <c r="D1853" s="33" t="s">
        <v>5398</v>
      </c>
      <c r="E1853" s="34" t="s">
        <v>5339</v>
      </c>
      <c r="F1853" s="34" t="s">
        <v>18</v>
      </c>
      <c r="G1853" s="57">
        <v>45607</v>
      </c>
      <c r="H1853" s="57">
        <v>45830</v>
      </c>
      <c r="I1853" s="34">
        <f t="shared" si="84"/>
        <v>7</v>
      </c>
      <c r="J1853" s="34">
        <v>35</v>
      </c>
      <c r="K1853" s="36">
        <v>700</v>
      </c>
      <c r="L1853" s="39" t="s">
        <v>17</v>
      </c>
      <c r="M1853" s="35">
        <v>37563</v>
      </c>
      <c r="N1853" s="37">
        <f>(YEAR(TablaMadre[[#This Row],[ALTA]])-YEAR(M1853))</f>
        <v>22</v>
      </c>
      <c r="O1853" s="34" t="s">
        <v>525</v>
      </c>
      <c r="P1853" s="34" t="s">
        <v>19</v>
      </c>
      <c r="Q1853" s="34" t="s">
        <v>297</v>
      </c>
      <c r="R1853" s="34" t="s">
        <v>30</v>
      </c>
      <c r="S1853" s="34" t="s">
        <v>297</v>
      </c>
      <c r="T1853" s="34" t="s">
        <v>806</v>
      </c>
      <c r="U1853" s="34" t="str">
        <f>SUBSTITUTE($T1853, "INGUN", "/")</f>
        <v>N/A</v>
      </c>
      <c r="V1853" s="34" t="s">
        <v>22</v>
      </c>
      <c r="W1853" s="34" t="s">
        <v>28</v>
      </c>
      <c r="X1853" s="34" t="s">
        <v>173</v>
      </c>
      <c r="Y1853" s="57"/>
      <c r="Z1853" s="34" t="e">
        <f t="shared" si="85"/>
        <v>#NUM!</v>
      </c>
      <c r="AA1853" s="34"/>
      <c r="AB1853" s="34">
        <v>9</v>
      </c>
      <c r="AC1853" s="34">
        <v>9</v>
      </c>
      <c r="AD1853" s="34"/>
      <c r="AE1853" s="59" t="str">
        <f t="shared" si="86"/>
        <v>SÍ</v>
      </c>
      <c r="AF1853" s="34" t="e" cm="1">
        <f t="array" aca="1" ref="AF1853" ca="1">MIN(100, MAX(0, (IF(R1853="ESTUDIANTE", 31, 0)) + (IF(I1853&lt;=3, 30, IF(I1853&lt;=6, 20, 0))) +(IF(OR(E1853="413 - Control de Costes y Enlace Construcción", E1853="480 - Secretaría General del Consejo", E1853="132 - Civil y estructuras", E1853="136 - Mecánica", E1853="412 - Planificación", E1853="142 - Compras"), 25, 0)) +(IF(OR(S1853="GRADO ING. MECÁNICA", S1853="GRADO ING. ELÉCTRICA", S1853="GRADO DERECHO", S1853="GRADO ECONOMÍA", S1853="GRADO ING. TECNOLOGÍAS INDUSTRIALES"), 24, 0)) + (IF(AND(K1853&gt;=451, K1853&lt;=700), 23, 0)) + (IF(AND(AB1853&gt;=5, AB1853&lt;=8), 17, 0)) +(IF(_xludf.OR(_xludf.AND(AC1853&gt;=8, AC1853&lt;=10), _xludf.AND(AC1853&gt;=0, AC1853&lt;=5)), 16, 0)) + (IF(F1853="Madrid", 11, 0))))</f>
        <v>#NAME?</v>
      </c>
      <c r="AG1853" s="69"/>
      <c r="AH1853" s="71" t="s">
        <v>164</v>
      </c>
    </row>
    <row r="1854" spans="1:51" s="4" customFormat="1" ht="14.4" x14ac:dyDescent="0.3">
      <c r="A1854" s="66" t="s">
        <v>2832</v>
      </c>
      <c r="B1854" s="66" t="s">
        <v>4949</v>
      </c>
      <c r="C1854" s="33">
        <v>1853</v>
      </c>
      <c r="D1854" s="33" t="s">
        <v>5399</v>
      </c>
      <c r="E1854" s="34" t="s">
        <v>5339</v>
      </c>
      <c r="F1854" s="34" t="s">
        <v>18</v>
      </c>
      <c r="G1854" s="57">
        <v>45607</v>
      </c>
      <c r="H1854" s="57">
        <v>45858</v>
      </c>
      <c r="I1854" s="34">
        <f t="shared" si="84"/>
        <v>8</v>
      </c>
      <c r="J1854" s="34">
        <v>35</v>
      </c>
      <c r="K1854" s="36">
        <v>700</v>
      </c>
      <c r="L1854" s="34" t="s">
        <v>29</v>
      </c>
      <c r="M1854" s="35">
        <v>36403</v>
      </c>
      <c r="N1854" s="37">
        <f>(YEAR(TablaMadre[[#This Row],[ALTA]])-YEAR(M1854))</f>
        <v>25</v>
      </c>
      <c r="O1854" s="34" t="s">
        <v>153</v>
      </c>
      <c r="P1854" s="34" t="s">
        <v>273</v>
      </c>
      <c r="Q1854" s="34" t="s">
        <v>863</v>
      </c>
      <c r="R1854" s="34" t="s">
        <v>30</v>
      </c>
      <c r="S1854" s="34" t="s">
        <v>321</v>
      </c>
      <c r="T1854" s="34" t="s">
        <v>806</v>
      </c>
      <c r="U1854" s="34" t="str">
        <f>SUBSTITUTE($T1854, "INGUN", "/")</f>
        <v>N/A</v>
      </c>
      <c r="V1854" s="34" t="s">
        <v>67</v>
      </c>
      <c r="W1854" s="34" t="s">
        <v>28</v>
      </c>
      <c r="X1854" s="40" t="s">
        <v>173</v>
      </c>
      <c r="Y1854" s="63"/>
      <c r="Z1854" s="40" t="e">
        <f t="shared" si="85"/>
        <v>#NUM!</v>
      </c>
      <c r="AA1854" s="40"/>
      <c r="AB1854" s="34">
        <v>10</v>
      </c>
      <c r="AC1854" s="34">
        <v>9</v>
      </c>
      <c r="AD1854" s="40"/>
      <c r="AE1854" s="59" t="str">
        <f t="shared" si="86"/>
        <v>SÍ</v>
      </c>
      <c r="AF1854" s="40" t="e" cm="1">
        <f t="array" aca="1" ref="AF1854" ca="1">MIN(100, MAX(0, (IF(R1854="ESTUDIANTE", 31, 0)) + (IF(I1854&lt;=3, 30, IF(I1854&lt;=6, 20, 0))) +(IF(OR(E1854="413 - Control de Costes y Enlace Construcción", E1854="480 - Secretaría General del Consejo", E1854="132 - Civil y estructuras", E1854="136 - Mecánica", E1854="412 - Planificación", E1854="142 - Compras"), 25, 0)) +(IF(OR(S1854="GRADO ING. MECÁNICA", S1854="GRADO ING. ELÉCTRICA", S1854="GRADO DERECHO", S1854="GRADO ECONOMÍA", S1854="GRADO ING. TECNOLOGÍAS INDUSTRIALES"), 24, 0)) + (IF(AND(K1854&gt;=451, K1854&lt;=700), 23, 0)) + (IF(AND(AB1854&gt;=5, AB1854&lt;=8), 17, 0)) +(IF(_xludf.OR(_xludf.AND(AC1854&gt;=8, AC1854&lt;=10), _xludf.AND(AC1854&gt;=0, AC1854&lt;=5)), 16, 0)) + (IF(F1854="Madrid", 11, 0))))</f>
        <v>#NAME?</v>
      </c>
      <c r="AG1854" s="70"/>
      <c r="AH1854" s="71" t="s">
        <v>164</v>
      </c>
      <c r="AI1854" s="9"/>
      <c r="AJ1854" s="9"/>
      <c r="AK1854" s="9"/>
      <c r="AL1854" s="9"/>
      <c r="AM1854" s="9"/>
      <c r="AN1854" s="9"/>
      <c r="AO1854" s="9"/>
      <c r="AP1854" s="9"/>
      <c r="AQ1854" s="9"/>
      <c r="AR1854" s="9"/>
      <c r="AS1854" s="9"/>
      <c r="AT1854" s="9"/>
      <c r="AU1854" s="9"/>
      <c r="AV1854" s="9"/>
      <c r="AW1854" s="9"/>
      <c r="AX1854" s="9"/>
      <c r="AY1854" s="9"/>
    </row>
    <row r="1855" spans="1:51" s="4" customFormat="1" ht="14.4" x14ac:dyDescent="0.3">
      <c r="A1855" s="66" t="s">
        <v>2833</v>
      </c>
      <c r="B1855" s="66" t="s">
        <v>4950</v>
      </c>
      <c r="C1855" s="33">
        <v>1854</v>
      </c>
      <c r="D1855" s="33" t="s">
        <v>5400</v>
      </c>
      <c r="E1855" s="34" t="s">
        <v>5236</v>
      </c>
      <c r="F1855" s="34" t="s">
        <v>18</v>
      </c>
      <c r="G1855" s="57">
        <v>45607</v>
      </c>
      <c r="H1855" s="57">
        <v>45971</v>
      </c>
      <c r="I1855" s="34">
        <f t="shared" si="84"/>
        <v>11</v>
      </c>
      <c r="J1855" s="34">
        <v>35</v>
      </c>
      <c r="K1855" s="36">
        <v>700</v>
      </c>
      <c r="L1855" s="39" t="s">
        <v>17</v>
      </c>
      <c r="M1855" s="39">
        <v>37965</v>
      </c>
      <c r="N1855" s="37">
        <f>(YEAR(TablaMadre[[#This Row],[ALTA]])-YEAR(M1855))</f>
        <v>21</v>
      </c>
      <c r="O1855" s="34" t="s">
        <v>18</v>
      </c>
      <c r="P1855" s="34" t="s">
        <v>19</v>
      </c>
      <c r="Q1855" s="34" t="s">
        <v>354</v>
      </c>
      <c r="R1855" s="34" t="s">
        <v>30</v>
      </c>
      <c r="S1855" s="34" t="s">
        <v>354</v>
      </c>
      <c r="T1855" s="34" t="s">
        <v>806</v>
      </c>
      <c r="U1855" s="34" t="str">
        <f>SUBSTITUTE($T1855, "INGUN", "/")</f>
        <v>N/A</v>
      </c>
      <c r="V1855" s="34" t="s">
        <v>74</v>
      </c>
      <c r="W1855" s="34" t="s">
        <v>28</v>
      </c>
      <c r="X1855" s="34" t="s">
        <v>173</v>
      </c>
      <c r="Y1855" s="57"/>
      <c r="Z1855" s="34" t="e">
        <f t="shared" si="85"/>
        <v>#NUM!</v>
      </c>
      <c r="AA1855" s="34"/>
      <c r="AB1855" s="34">
        <v>10</v>
      </c>
      <c r="AC1855" s="34">
        <v>10</v>
      </c>
      <c r="AD1855" s="34"/>
      <c r="AE1855" s="59" t="str">
        <f t="shared" si="86"/>
        <v>NO</v>
      </c>
      <c r="AF1855" s="34" t="e" cm="1">
        <f t="array" aca="1" ref="AF1855" ca="1">MIN(100, MAX(0, (IF(R1855="ESTUDIANTE", 31, 0)) + (IF(I1855&lt;=3, 30, IF(I1855&lt;=6, 20, 0))) +(IF(OR(E1855="413 - Control de Costes y Enlace Construcción", E1855="480 - Secretaría General del Consejo", E1855="132 - Civil y estructuras", E1855="136 - Mecánica", E1855="412 - Planificación", E1855="142 - Compras"), 25, 0)) +(IF(OR(S1855="GRADO ING. MECÁNICA", S1855="GRADO ING. ELÉCTRICA", S1855="GRADO DERECHO", S1855="GRADO ECONOMÍA", S1855="GRADO ING. TECNOLOGÍAS INDUSTRIALES"), 24, 0)) + (IF(AND(K1855&gt;=451, K1855&lt;=700), 23, 0)) + (IF(AND(AB1855&gt;=5, AB1855&lt;=8), 17, 0)) +(IF(_xludf.OR(_xludf.AND(AC1855&gt;=8, AC1855&lt;=10), _xludf.AND(AC1855&gt;=0, AC1855&lt;=5)), 16, 0)) + (IF(F1855="Madrid", 11, 0))))</f>
        <v>#NAME?</v>
      </c>
      <c r="AG1855" s="69"/>
      <c r="AH1855" s="71" t="s">
        <v>164</v>
      </c>
    </row>
    <row r="1856" spans="1:51" ht="15.75" customHeight="1" x14ac:dyDescent="0.3">
      <c r="A1856" s="66" t="s">
        <v>2835</v>
      </c>
      <c r="B1856" s="66" t="s">
        <v>4952</v>
      </c>
      <c r="C1856" s="33">
        <v>1856</v>
      </c>
      <c r="D1856" s="33" t="s">
        <v>5401</v>
      </c>
      <c r="E1856" s="34" t="s">
        <v>5222</v>
      </c>
      <c r="F1856" s="34" t="s">
        <v>18</v>
      </c>
      <c r="G1856" s="57">
        <v>45608</v>
      </c>
      <c r="H1856" s="57">
        <v>45787</v>
      </c>
      <c r="I1856" s="34">
        <f t="shared" si="84"/>
        <v>5</v>
      </c>
      <c r="J1856" s="34">
        <v>35</v>
      </c>
      <c r="K1856" s="36">
        <v>900</v>
      </c>
      <c r="L1856" s="34" t="s">
        <v>17</v>
      </c>
      <c r="M1856" s="35">
        <v>36963</v>
      </c>
      <c r="N1856" s="37">
        <f>(YEAR(TablaMadre[[#This Row],[ALTA]])-YEAR(M1856))</f>
        <v>23</v>
      </c>
      <c r="O1856" s="34" t="s">
        <v>153</v>
      </c>
      <c r="P1856" s="34" t="s">
        <v>19</v>
      </c>
      <c r="Q1856" s="34" t="s">
        <v>644</v>
      </c>
      <c r="R1856" s="34" t="s">
        <v>21</v>
      </c>
      <c r="S1856" s="34" t="s">
        <v>321</v>
      </c>
      <c r="T1856" s="34" t="s">
        <v>806</v>
      </c>
      <c r="U1856" s="34" t="str">
        <f>SUBSTITUTE($T1856, "INGUN", "/")</f>
        <v>N/A</v>
      </c>
      <c r="V1856" s="34" t="s">
        <v>22</v>
      </c>
      <c r="W1856" s="34" t="s">
        <v>28</v>
      </c>
      <c r="X1856" s="34" t="s">
        <v>173</v>
      </c>
      <c r="Y1856" s="57"/>
      <c r="Z1856" s="34" t="e">
        <f t="shared" si="85"/>
        <v>#NUM!</v>
      </c>
      <c r="AA1856" s="34"/>
      <c r="AB1856" s="34">
        <v>10</v>
      </c>
      <c r="AC1856" s="34">
        <v>10</v>
      </c>
      <c r="AD1856" s="34"/>
      <c r="AE1856" s="59" t="str">
        <f t="shared" si="86"/>
        <v>SÍ</v>
      </c>
      <c r="AF1856" s="38" t="e" cm="1">
        <f t="array" aca="1" ref="AF1856" ca="1">MIN(100, MAX(0, (IF(R1856="ESTUDIANTE", 31, 0)) + (IF(I1856&lt;=3, 30, IF(I1856&lt;=6, 20, 0))) +(IF(OR(E1856="413 - Control de Costes y Enlace Construcción", E1856="480 - Secretaría General del Consejo", E1856="132 - Civil y estructuras", E1856="136 - Mecánica", E1856="412 - Planificación", E1856="142 - Compras"), 25, 0)) +(IF(OR(S1856="GRADO ING. MECÁNICA", S1856="GRADO ING. ELÉCTRICA", S1856="GRADO DERECHO", S1856="GRADO ECONOMÍA", S1856="GRADO ING. TECNOLOGÍAS INDUSTRIALES"), 24, 0)) + (IF(AND(K1856&gt;=451, K1856&lt;=700), 23, 0)) + (IF(AND(AB1856&gt;=5, AB1856&lt;=8), 17, 0)) +(IF(_xludf.OR(_xludf.AND(AC1856&gt;=8, AC1856&lt;=10), _xludf.AND(AC1856&gt;=0, AC1856&lt;=5)), 16, 0)) + (IF(F1856="Madrid", 11, 0))))</f>
        <v>#NAME?</v>
      </c>
      <c r="AG1856" s="68"/>
      <c r="AH1856" s="71" t="s">
        <v>164</v>
      </c>
    </row>
    <row r="1857" spans="1:34" s="4" customFormat="1" ht="14.4" x14ac:dyDescent="0.3">
      <c r="A1857" s="66" t="s">
        <v>3029</v>
      </c>
      <c r="B1857" s="66" t="s">
        <v>5146</v>
      </c>
      <c r="C1857" s="33">
        <v>1855</v>
      </c>
      <c r="D1857" s="33" t="s">
        <v>5402</v>
      </c>
      <c r="E1857" s="34" t="s">
        <v>5285</v>
      </c>
      <c r="F1857" s="34" t="s">
        <v>931</v>
      </c>
      <c r="G1857" s="57">
        <v>45608</v>
      </c>
      <c r="H1857" s="57">
        <v>45624</v>
      </c>
      <c r="I1857" s="34">
        <f t="shared" si="84"/>
        <v>0</v>
      </c>
      <c r="J1857" s="34">
        <v>40</v>
      </c>
      <c r="K1857" s="36" t="s">
        <v>34</v>
      </c>
      <c r="L1857" s="39" t="s">
        <v>17</v>
      </c>
      <c r="M1857" s="35">
        <v>36297</v>
      </c>
      <c r="N1857" s="37">
        <f>(YEAR(TablaMadre[[#This Row],[ALTA]])-YEAR(M1857))</f>
        <v>25</v>
      </c>
      <c r="O1857" s="34"/>
      <c r="P1857" s="34"/>
      <c r="Q1857" s="34" t="s">
        <v>789</v>
      </c>
      <c r="R1857" s="58" t="s">
        <v>30</v>
      </c>
      <c r="S1857" s="34" t="s">
        <v>26</v>
      </c>
      <c r="T1857" s="34"/>
      <c r="U1857" s="34"/>
      <c r="V1857" s="34" t="s">
        <v>27</v>
      </c>
      <c r="W1857" s="34" t="s">
        <v>181</v>
      </c>
      <c r="X1857" s="38" t="s">
        <v>164</v>
      </c>
      <c r="Y1857" s="62"/>
      <c r="Z1857" s="38" t="e">
        <f t="shared" si="85"/>
        <v>#NUM!</v>
      </c>
      <c r="AA1857" s="38"/>
      <c r="AB1857" s="34"/>
      <c r="AC1857" s="34"/>
      <c r="AD1857" s="38"/>
      <c r="AE1857" s="59" t="str">
        <f t="shared" si="86"/>
        <v>SÍ</v>
      </c>
      <c r="AF1857" s="34" t="e" cm="1">
        <f t="array" aca="1" ref="AF1857" ca="1">MIN(100, MAX(0, (IF(R1857="ESTUDIANTE", 31, 0)) + (IF(I1857&lt;=3, 30, IF(I1857&lt;=6, 20, 0))) +(IF(OR(E1857="413 - Control de Costes y Enlace Construcción", E1857="480 - Secretaría General del Consejo", E1857="132 - Civil y estructuras", E1857="136 - Mecánica", E1857="412 - Planificación", E1857="142 - Compras"), 25, 0)) +(IF(OR(S1857="GRADO ING. MECÁNICA", S1857="GRADO ING. ELÉCTRICA", S1857="GRADO DERECHO", S1857="GRADO ECONOMÍA", S1857="GRADO ING. TECNOLOGÍAS INDUSTRIALES"), 24, 0)) + (IF(AND(K1857&gt;=451, K1857&lt;=700), 23, 0)) + (IF(AND(AB1857&gt;=5, AB1857&lt;=8), 17, 0)) +(IF(_xludf.OR(_xludf.AND(AC1857&gt;=8, AC1857&lt;=10), _xludf.AND(AC1857&gt;=0, AC1857&lt;=5)), 16, 0)) + (IF(F1857="Madrid", 11, 0))))</f>
        <v>#NAME?</v>
      </c>
      <c r="AG1857" s="69"/>
      <c r="AH1857" s="71" t="s">
        <v>164</v>
      </c>
    </row>
    <row r="1858" spans="1:34" s="4" customFormat="1" ht="14.4" x14ac:dyDescent="0.3">
      <c r="A1858" s="66" t="s">
        <v>2710</v>
      </c>
      <c r="B1858" s="66" t="s">
        <v>4827</v>
      </c>
      <c r="C1858" s="33">
        <v>1857</v>
      </c>
      <c r="D1858" s="33" t="s">
        <v>5393</v>
      </c>
      <c r="E1858" s="34" t="s">
        <v>5329</v>
      </c>
      <c r="F1858" s="34" t="s">
        <v>18</v>
      </c>
      <c r="G1858" s="57">
        <v>45609</v>
      </c>
      <c r="H1858" s="57">
        <v>45838</v>
      </c>
      <c r="I1858" s="34">
        <f t="shared" ref="I1858:I1921" si="88">DATEDIF(G1858, H1858, "M")</f>
        <v>7</v>
      </c>
      <c r="J1858" s="34">
        <v>10</v>
      </c>
      <c r="K1858" s="36">
        <v>2000</v>
      </c>
      <c r="L1858" s="34" t="s">
        <v>29</v>
      </c>
      <c r="M1858" s="35">
        <v>34985</v>
      </c>
      <c r="N1858" s="37">
        <f>(YEAR(TablaMadre[[#This Row],[ALTA]])-YEAR(M1858))</f>
        <v>29</v>
      </c>
      <c r="O1858" s="34" t="s">
        <v>420</v>
      </c>
      <c r="P1858" s="34" t="s">
        <v>420</v>
      </c>
      <c r="Q1858" s="34" t="s">
        <v>382</v>
      </c>
      <c r="R1858" s="34" t="s">
        <v>21</v>
      </c>
      <c r="S1858" s="34" t="s">
        <v>382</v>
      </c>
      <c r="T1858" s="34" t="s">
        <v>806</v>
      </c>
      <c r="U1858" s="34" t="str">
        <f>SUBSTITUTE($T1858, "INGUN", "/")</f>
        <v>N/A</v>
      </c>
      <c r="V1858" s="34" t="s">
        <v>90</v>
      </c>
      <c r="W1858" s="34" t="s">
        <v>23</v>
      </c>
      <c r="X1858" s="34" t="s">
        <v>164</v>
      </c>
      <c r="Y1858" s="57"/>
      <c r="Z1858" s="34" t="e">
        <f t="shared" ref="Z1858:Z1921" si="89">DATEDIF(H1858, Y1858, "y")</f>
        <v>#NUM!</v>
      </c>
      <c r="AA1858" s="34"/>
      <c r="AB1858" s="34"/>
      <c r="AC1858" s="34">
        <v>9</v>
      </c>
      <c r="AD1858" s="34"/>
      <c r="AE1858" s="59" t="str">
        <f t="shared" si="86"/>
        <v>SÍ</v>
      </c>
      <c r="AF1858" s="34" t="e" cm="1">
        <f t="array" aca="1" ref="AF1858" ca="1">MIN(100, MAX(0, (IF(R1858="ESTUDIANTE", 31, 0)) + (IF(I1858&lt;=3, 30, IF(I1858&lt;=6, 20, 0))) +(IF(OR(E1858="413 - Control de Costes y Enlace Construcción", E1858="480 - Secretaría General del Consejo", E1858="132 - Civil y estructuras", E1858="136 - Mecánica", E1858="412 - Planificación", E1858="142 - Compras"), 25, 0)) +(IF(OR(S1858="GRADO ING. MECÁNICA", S1858="GRADO ING. ELÉCTRICA", S1858="GRADO DERECHO", S1858="GRADO ECONOMÍA", S1858="GRADO ING. TECNOLOGÍAS INDUSTRIALES"), 24, 0)) + (IF(AND(K1858&gt;=451, K1858&lt;=700), 23, 0)) + (IF(AND(AB1858&gt;=5, AB1858&lt;=8), 17, 0)) +(IF(_xludf.OR(_xludf.AND(AC1858&gt;=8, AC1858&lt;=10), _xludf.AND(AC1858&gt;=0, AC1858&lt;=5)), 16, 0)) + (IF(F1858="Madrid", 11, 0))))</f>
        <v>#NAME?</v>
      </c>
      <c r="AG1858" s="69"/>
      <c r="AH1858" s="71" t="s">
        <v>164</v>
      </c>
    </row>
    <row r="1859" spans="1:34" s="4" customFormat="1" ht="14.4" x14ac:dyDescent="0.3">
      <c r="A1859" s="66" t="s">
        <v>2628</v>
      </c>
      <c r="B1859" s="66" t="s">
        <v>4745</v>
      </c>
      <c r="C1859" s="33">
        <v>1861</v>
      </c>
      <c r="D1859" s="33" t="s">
        <v>5394</v>
      </c>
      <c r="E1859" s="34" t="s">
        <v>5370</v>
      </c>
      <c r="F1859" s="34" t="s">
        <v>18</v>
      </c>
      <c r="G1859" s="57">
        <v>45611</v>
      </c>
      <c r="H1859" s="57">
        <v>45855</v>
      </c>
      <c r="I1859" s="34">
        <f t="shared" si="88"/>
        <v>8</v>
      </c>
      <c r="J1859" s="34">
        <v>20</v>
      </c>
      <c r="K1859" s="36">
        <v>400</v>
      </c>
      <c r="L1859" s="34" t="s">
        <v>17</v>
      </c>
      <c r="M1859" s="35">
        <v>37412</v>
      </c>
      <c r="N1859" s="37">
        <f>(YEAR(TablaMadre[[#This Row],[ALTA]])-YEAR(M1859))</f>
        <v>22</v>
      </c>
      <c r="O1859" s="34" t="s">
        <v>18</v>
      </c>
      <c r="P1859" s="34" t="s">
        <v>19</v>
      </c>
      <c r="Q1859" s="34" t="s">
        <v>322</v>
      </c>
      <c r="R1859" s="58" t="s">
        <v>30</v>
      </c>
      <c r="S1859" s="34" t="s">
        <v>322</v>
      </c>
      <c r="T1859" s="34" t="s">
        <v>806</v>
      </c>
      <c r="U1859" s="34" t="str">
        <f>SUBSTITUTE($T1859, "INGUN", "/")</f>
        <v>N/A</v>
      </c>
      <c r="V1859" s="34" t="s">
        <v>67</v>
      </c>
      <c r="W1859" s="34" t="s">
        <v>91</v>
      </c>
      <c r="X1859" s="40" t="s">
        <v>164</v>
      </c>
      <c r="Y1859" s="63"/>
      <c r="Z1859" s="40" t="e">
        <f t="shared" si="89"/>
        <v>#NUM!</v>
      </c>
      <c r="AA1859" s="40"/>
      <c r="AB1859" s="34">
        <v>10</v>
      </c>
      <c r="AC1859" s="34">
        <v>10</v>
      </c>
      <c r="AD1859" s="40"/>
      <c r="AE1859" s="59" t="str">
        <f t="shared" ref="AE1859:AE1922" si="90">IF(F1859=O1859, "NO", "SÍ")</f>
        <v>NO</v>
      </c>
      <c r="AF1859" s="34" t="e" cm="1">
        <f t="array" aca="1" ref="AF1859" ca="1">MIN(100, MAX(0, (IF(R1859="ESTUDIANTE", 31, 0)) + (IF(I1859&lt;=3, 30, IF(I1859&lt;=6, 20, 0))) +(IF(OR(E1859="413 - Control de Costes y Enlace Construcción", E1859="480 - Secretaría General del Consejo", E1859="132 - Civil y estructuras", E1859="136 - Mecánica", E1859="412 - Planificación", E1859="142 - Compras"), 25, 0)) +(IF(OR(S1859="GRADO ING. MECÁNICA", S1859="GRADO ING. ELÉCTRICA", S1859="GRADO DERECHO", S1859="GRADO ECONOMÍA", S1859="GRADO ING. TECNOLOGÍAS INDUSTRIALES"), 24, 0)) + (IF(AND(K1859&gt;=451, K1859&lt;=700), 23, 0)) + (IF(AND(AB1859&gt;=5, AB1859&lt;=8), 17, 0)) +(IF(_xludf.OR(_xludf.AND(AC1859&gt;=8, AC1859&lt;=10), _xludf.AND(AC1859&gt;=0, AC1859&lt;=5)), 16, 0)) + (IF(F1859="Madrid", 11, 0))))</f>
        <v>#NAME?</v>
      </c>
      <c r="AG1859" s="69"/>
      <c r="AH1859" s="71" t="s">
        <v>164</v>
      </c>
    </row>
    <row r="1860" spans="1:34" s="4" customFormat="1" ht="14.4" x14ac:dyDescent="0.3">
      <c r="A1860" s="66" t="s">
        <v>2837</v>
      </c>
      <c r="B1860" s="66" t="s">
        <v>4954</v>
      </c>
      <c r="C1860" s="33">
        <v>1858</v>
      </c>
      <c r="D1860" s="33" t="s">
        <v>5403</v>
      </c>
      <c r="E1860" s="34" t="s">
        <v>5285</v>
      </c>
      <c r="F1860" s="34" t="s">
        <v>558</v>
      </c>
      <c r="G1860" s="57">
        <v>45611</v>
      </c>
      <c r="H1860" s="57">
        <v>45790</v>
      </c>
      <c r="I1860" s="34">
        <f t="shared" si="88"/>
        <v>5</v>
      </c>
      <c r="J1860" s="34">
        <v>35</v>
      </c>
      <c r="K1860" s="36">
        <v>1200</v>
      </c>
      <c r="L1860" s="34" t="s">
        <v>29</v>
      </c>
      <c r="M1860" s="35">
        <v>36318</v>
      </c>
      <c r="N1860" s="37">
        <f>(YEAR(TablaMadre[[#This Row],[ALTA]])-YEAR(M1860))</f>
        <v>25</v>
      </c>
      <c r="O1860" s="34" t="s">
        <v>558</v>
      </c>
      <c r="P1860" s="34" t="s">
        <v>19</v>
      </c>
      <c r="Q1860" s="34" t="s">
        <v>322</v>
      </c>
      <c r="R1860" s="34" t="s">
        <v>21</v>
      </c>
      <c r="S1860" s="34" t="s">
        <v>322</v>
      </c>
      <c r="T1860" s="34" t="s">
        <v>823</v>
      </c>
      <c r="U1860" s="34" t="s">
        <v>30</v>
      </c>
      <c r="V1860" s="34" t="s">
        <v>107</v>
      </c>
      <c r="W1860" s="34" t="s">
        <v>28</v>
      </c>
      <c r="X1860" s="34" t="s">
        <v>173</v>
      </c>
      <c r="Y1860" s="57"/>
      <c r="Z1860" s="34" t="e">
        <f t="shared" si="89"/>
        <v>#NUM!</v>
      </c>
      <c r="AA1860" s="34"/>
      <c r="AB1860" s="34">
        <v>10</v>
      </c>
      <c r="AC1860" s="34">
        <v>7</v>
      </c>
      <c r="AD1860" s="34"/>
      <c r="AE1860" s="59" t="str">
        <f t="shared" si="90"/>
        <v>NO</v>
      </c>
      <c r="AF1860" s="34" t="e" cm="1">
        <f t="array" aca="1" ref="AF1860" ca="1">MIN(100, MAX(0, (IF(R1860="ESTUDIANTE", 31, 0)) + (IF(I1860&lt;=3, 30, IF(I1860&lt;=6, 20, 0))) +(IF(OR(E1860="413 - Control de Costes y Enlace Construcción", E1860="480 - Secretaría General del Consejo", E1860="132 - Civil y estructuras", E1860="136 - Mecánica", E1860="412 - Planificación", E1860="142 - Compras"), 25, 0)) +(IF(OR(S1860="GRADO ING. MECÁNICA", S1860="GRADO ING. ELÉCTRICA", S1860="GRADO DERECHO", S1860="GRADO ECONOMÍA", S1860="GRADO ING. TECNOLOGÍAS INDUSTRIALES"), 24, 0)) + (IF(AND(K1860&gt;=451, K1860&lt;=700), 23, 0)) + (IF(AND(AB1860&gt;=5, AB1860&lt;=8), 17, 0)) +(IF(_xludf.OR(_xludf.AND(AC1860&gt;=8, AC1860&lt;=10), _xludf.AND(AC1860&gt;=0, AC1860&lt;=5)), 16, 0)) + (IF(F1860="Madrid", 11, 0))))</f>
        <v>#NAME?</v>
      </c>
      <c r="AG1860" s="69"/>
      <c r="AH1860" s="71" t="s">
        <v>164</v>
      </c>
    </row>
    <row r="1861" spans="1:34" s="4" customFormat="1" ht="14.4" x14ac:dyDescent="0.3">
      <c r="A1861" s="66" t="s">
        <v>2838</v>
      </c>
      <c r="B1861" s="66" t="s">
        <v>4955</v>
      </c>
      <c r="C1861" s="33">
        <v>1859</v>
      </c>
      <c r="D1861" s="33" t="s">
        <v>5404</v>
      </c>
      <c r="E1861" s="34" t="s">
        <v>5246</v>
      </c>
      <c r="F1861" s="34" t="s">
        <v>558</v>
      </c>
      <c r="G1861" s="57">
        <v>45611</v>
      </c>
      <c r="H1861" s="57">
        <v>45790</v>
      </c>
      <c r="I1861" s="34">
        <f t="shared" si="88"/>
        <v>5</v>
      </c>
      <c r="J1861" s="34">
        <v>20</v>
      </c>
      <c r="K1861" s="36">
        <v>500</v>
      </c>
      <c r="L1861" s="34" t="s">
        <v>29</v>
      </c>
      <c r="M1861" s="35">
        <v>36371</v>
      </c>
      <c r="N1861" s="37">
        <f>(YEAR(TablaMadre[[#This Row],[ALTA]])-YEAR(M1861))</f>
        <v>25</v>
      </c>
      <c r="O1861" s="34" t="s">
        <v>191</v>
      </c>
      <c r="P1861" s="34" t="s">
        <v>19</v>
      </c>
      <c r="Q1861" s="34" t="s">
        <v>322</v>
      </c>
      <c r="R1861" s="58" t="s">
        <v>30</v>
      </c>
      <c r="S1861" s="34" t="s">
        <v>322</v>
      </c>
      <c r="T1861" s="34" t="s">
        <v>823</v>
      </c>
      <c r="U1861" s="34" t="s">
        <v>30</v>
      </c>
      <c r="V1861" s="34" t="s">
        <v>310</v>
      </c>
      <c r="W1861" s="34" t="s">
        <v>28</v>
      </c>
      <c r="X1861" s="34" t="s">
        <v>173</v>
      </c>
      <c r="Y1861" s="57"/>
      <c r="Z1861" s="34" t="e">
        <f t="shared" si="89"/>
        <v>#NUM!</v>
      </c>
      <c r="AA1861" s="34"/>
      <c r="AB1861" s="34">
        <v>9</v>
      </c>
      <c r="AC1861" s="34">
        <v>9</v>
      </c>
      <c r="AD1861" s="34"/>
      <c r="AE1861" s="59" t="str">
        <f t="shared" si="90"/>
        <v>SÍ</v>
      </c>
      <c r="AF1861" s="34" t="e" cm="1">
        <f t="array" aca="1" ref="AF1861" ca="1">MIN(100, MAX(0, (IF(R1861="ESTUDIANTE", 31, 0)) + (IF(I1861&lt;=3, 30, IF(I1861&lt;=6, 20, 0))) +(IF(OR(E1861="413 - Control de Costes y Enlace Construcción", E1861="480 - Secretaría General del Consejo", E1861="132 - Civil y estructuras", E1861="136 - Mecánica", E1861="412 - Planificación", E1861="142 - Compras"), 25, 0)) +(IF(OR(S1861="GRADO ING. MECÁNICA", S1861="GRADO ING. ELÉCTRICA", S1861="GRADO DERECHO", S1861="GRADO ECONOMÍA", S1861="GRADO ING. TECNOLOGÍAS INDUSTRIALES"), 24, 0)) + (IF(AND(K1861&gt;=451, K1861&lt;=700), 23, 0)) + (IF(AND(AB1861&gt;=5, AB1861&lt;=8), 17, 0)) +(IF(_xludf.OR(_xludf.AND(AC1861&gt;=8, AC1861&lt;=10), _xludf.AND(AC1861&gt;=0, AC1861&lt;=5)), 16, 0)) + (IF(F1861="Madrid", 11, 0))))</f>
        <v>#NAME?</v>
      </c>
      <c r="AG1861" s="69"/>
      <c r="AH1861" s="71" t="s">
        <v>164</v>
      </c>
    </row>
    <row r="1862" spans="1:34" s="9" customFormat="1" ht="14.4" x14ac:dyDescent="0.3">
      <c r="A1862" s="66" t="s">
        <v>2839</v>
      </c>
      <c r="B1862" s="66" t="s">
        <v>4956</v>
      </c>
      <c r="C1862" s="33">
        <v>1860</v>
      </c>
      <c r="D1862" s="33" t="s">
        <v>5405</v>
      </c>
      <c r="E1862" s="34" t="s">
        <v>5285</v>
      </c>
      <c r="F1862" s="34" t="s">
        <v>558</v>
      </c>
      <c r="G1862" s="57">
        <v>45611</v>
      </c>
      <c r="H1862" s="57">
        <v>45790</v>
      </c>
      <c r="I1862" s="34">
        <f t="shared" si="88"/>
        <v>5</v>
      </c>
      <c r="J1862" s="34">
        <v>25</v>
      </c>
      <c r="K1862" s="36">
        <v>625</v>
      </c>
      <c r="L1862" s="34" t="s">
        <v>17</v>
      </c>
      <c r="M1862" s="35">
        <v>37301</v>
      </c>
      <c r="N1862" s="37">
        <f>(YEAR(TablaMadre[[#This Row],[ALTA]])-YEAR(M1862))</f>
        <v>22</v>
      </c>
      <c r="O1862" s="34" t="s">
        <v>92</v>
      </c>
      <c r="P1862" s="34" t="s">
        <v>19</v>
      </c>
      <c r="Q1862" s="34" t="s">
        <v>136</v>
      </c>
      <c r="R1862" s="58" t="s">
        <v>30</v>
      </c>
      <c r="S1862" s="34" t="s">
        <v>136</v>
      </c>
      <c r="T1862" s="34" t="s">
        <v>835</v>
      </c>
      <c r="U1862" s="34" t="s">
        <v>30</v>
      </c>
      <c r="V1862" s="34" t="s">
        <v>107</v>
      </c>
      <c r="W1862" s="34" t="s">
        <v>28</v>
      </c>
      <c r="X1862" s="34" t="s">
        <v>173</v>
      </c>
      <c r="Y1862" s="57"/>
      <c r="Z1862" s="34" t="e">
        <f t="shared" si="89"/>
        <v>#NUM!</v>
      </c>
      <c r="AA1862" s="34"/>
      <c r="AB1862" s="34">
        <v>8</v>
      </c>
      <c r="AC1862" s="34">
        <v>9</v>
      </c>
      <c r="AD1862" s="34"/>
      <c r="AE1862" s="59" t="str">
        <f t="shared" si="90"/>
        <v>SÍ</v>
      </c>
      <c r="AF1862" s="40" t="e" cm="1">
        <f t="array" aca="1" ref="AF1862" ca="1">MIN(100, MAX(0, (IF(R1862="ESTUDIANTE", 31, 0)) + (IF(I1862&lt;=3, 30, IF(I1862&lt;=6, 20, 0))) +(IF(OR(E1862="413 - Control de Costes y Enlace Construcción", E1862="480 - Secretaría General del Consejo", E1862="132 - Civil y estructuras", E1862="136 - Mecánica", E1862="412 - Planificación", E1862="142 - Compras"), 25, 0)) +(IF(OR(S1862="GRADO ING. MECÁNICA", S1862="GRADO ING. ELÉCTRICA", S1862="GRADO DERECHO", S1862="GRADO ECONOMÍA", S1862="GRADO ING. TECNOLOGÍAS INDUSTRIALES"), 24, 0)) + (IF(AND(K1862&gt;=451, K1862&lt;=700), 23, 0)) + (IF(AND(AB1862&gt;=5, AB1862&lt;=8), 17, 0)) +(IF(_xludf.OR(_xludf.AND(AC1862&gt;=8, AC1862&lt;=10), _xludf.AND(AC1862&gt;=0, AC1862&lt;=5)), 16, 0)) + (IF(F1862="Madrid", 11, 0))))</f>
        <v>#NAME?</v>
      </c>
      <c r="AG1862" s="70"/>
      <c r="AH1862" s="71" t="s">
        <v>164</v>
      </c>
    </row>
    <row r="1863" spans="1:34" s="4" customFormat="1" ht="14.4" x14ac:dyDescent="0.3">
      <c r="A1863" s="66" t="s">
        <v>2841</v>
      </c>
      <c r="B1863" s="66" t="s">
        <v>4958</v>
      </c>
      <c r="C1863" s="33">
        <v>1862</v>
      </c>
      <c r="D1863" s="33" t="s">
        <v>5396</v>
      </c>
      <c r="E1863" s="34" t="s">
        <v>5361</v>
      </c>
      <c r="F1863" s="34" t="s">
        <v>18</v>
      </c>
      <c r="G1863" s="57">
        <v>45614</v>
      </c>
      <c r="H1863" s="57">
        <v>45808</v>
      </c>
      <c r="I1863" s="34">
        <f t="shared" si="88"/>
        <v>6</v>
      </c>
      <c r="J1863" s="34">
        <v>35</v>
      </c>
      <c r="K1863" s="36">
        <v>700</v>
      </c>
      <c r="L1863" s="34" t="s">
        <v>17</v>
      </c>
      <c r="M1863" s="35">
        <v>36537</v>
      </c>
      <c r="N1863" s="37">
        <f>(YEAR(TablaMadre[[#This Row],[ALTA]])-YEAR(M1863))</f>
        <v>24</v>
      </c>
      <c r="O1863" s="34" t="s">
        <v>265</v>
      </c>
      <c r="P1863" s="34" t="s">
        <v>265</v>
      </c>
      <c r="Q1863" s="34" t="s">
        <v>151</v>
      </c>
      <c r="R1863" s="34" t="s">
        <v>30</v>
      </c>
      <c r="S1863" s="34" t="s">
        <v>151</v>
      </c>
      <c r="T1863" s="34" t="s">
        <v>806</v>
      </c>
      <c r="U1863" s="34" t="str">
        <f>SUBSTITUTE($T1863, "INGUN", "/")</f>
        <v>N/A</v>
      </c>
      <c r="V1863" s="34" t="s">
        <v>90</v>
      </c>
      <c r="W1863" s="34" t="s">
        <v>28</v>
      </c>
      <c r="X1863" s="34" t="s">
        <v>173</v>
      </c>
      <c r="Y1863" s="57"/>
      <c r="Z1863" s="34" t="e">
        <f t="shared" si="89"/>
        <v>#NUM!</v>
      </c>
      <c r="AA1863" s="34"/>
      <c r="AB1863" s="34">
        <v>10</v>
      </c>
      <c r="AC1863" s="34">
        <v>10</v>
      </c>
      <c r="AD1863" s="34"/>
      <c r="AE1863" s="59" t="str">
        <f t="shared" si="90"/>
        <v>SÍ</v>
      </c>
      <c r="AF1863" s="34" t="e" cm="1">
        <f t="array" aca="1" ref="AF1863" ca="1">MIN(100, MAX(0, (IF(R1863="ESTUDIANTE", 31, 0)) + (IF(I1863&lt;=3, 30, IF(I1863&lt;=6, 20, 0))) +(IF(OR(E1863="413 - Control de Costes y Enlace Construcción", E1863="480 - Secretaría General del Consejo", E1863="132 - Civil y estructuras", E1863="136 - Mecánica", E1863="412 - Planificación", E1863="142 - Compras"), 25, 0)) +(IF(OR(S1863="GRADO ING. MECÁNICA", S1863="GRADO ING. ELÉCTRICA", S1863="GRADO DERECHO", S1863="GRADO ECONOMÍA", S1863="GRADO ING. TECNOLOGÍAS INDUSTRIALES"), 24, 0)) + (IF(AND(K1863&gt;=451, K1863&lt;=700), 23, 0)) + (IF(AND(AB1863&gt;=5, AB1863&lt;=8), 17, 0)) +(IF(_xludf.OR(_xludf.AND(AC1863&gt;=8, AC1863&lt;=10), _xludf.AND(AC1863&gt;=0, AC1863&lt;=5)), 16, 0)) + (IF(F1863="Madrid", 11, 0))))</f>
        <v>#NAME?</v>
      </c>
      <c r="AG1863" s="69"/>
      <c r="AH1863" s="71" t="s">
        <v>164</v>
      </c>
    </row>
    <row r="1864" spans="1:34" s="4" customFormat="1" ht="14.4" x14ac:dyDescent="0.3">
      <c r="A1864" s="66" t="s">
        <v>2842</v>
      </c>
      <c r="B1864" s="66" t="s">
        <v>4959</v>
      </c>
      <c r="C1864" s="33">
        <v>1863</v>
      </c>
      <c r="D1864" s="33" t="s">
        <v>5397</v>
      </c>
      <c r="E1864" s="34" t="s">
        <v>5233</v>
      </c>
      <c r="F1864" s="34" t="s">
        <v>118</v>
      </c>
      <c r="G1864" s="57">
        <v>45614</v>
      </c>
      <c r="H1864" s="57">
        <v>45942</v>
      </c>
      <c r="I1864" s="34">
        <f t="shared" si="88"/>
        <v>10</v>
      </c>
      <c r="J1864" s="34">
        <v>35</v>
      </c>
      <c r="K1864" s="36">
        <v>900</v>
      </c>
      <c r="L1864" s="34" t="s">
        <v>17</v>
      </c>
      <c r="M1864" s="39">
        <v>36665</v>
      </c>
      <c r="N1864" s="37">
        <f>(YEAR(TablaMadre[[#This Row],[ALTA]])-YEAR(M1864))</f>
        <v>24</v>
      </c>
      <c r="O1864" s="34" t="s">
        <v>118</v>
      </c>
      <c r="P1864" s="34" t="s">
        <v>19</v>
      </c>
      <c r="Q1864" s="34" t="s">
        <v>297</v>
      </c>
      <c r="R1864" s="34" t="s">
        <v>21</v>
      </c>
      <c r="S1864" s="34" t="s">
        <v>297</v>
      </c>
      <c r="T1864" s="34" t="s">
        <v>806</v>
      </c>
      <c r="U1864" s="34" t="str">
        <f>SUBSTITUTE($T1864, "INGUN", "/")</f>
        <v>N/A</v>
      </c>
      <c r="V1864" s="34" t="s">
        <v>37</v>
      </c>
      <c r="W1864" s="34" t="s">
        <v>28</v>
      </c>
      <c r="X1864" s="34" t="s">
        <v>173</v>
      </c>
      <c r="Y1864" s="57"/>
      <c r="Z1864" s="34" t="e">
        <f t="shared" si="89"/>
        <v>#NUM!</v>
      </c>
      <c r="AA1864" s="34"/>
      <c r="AB1864" s="34">
        <v>10</v>
      </c>
      <c r="AC1864" s="34">
        <v>8</v>
      </c>
      <c r="AD1864" s="34"/>
      <c r="AE1864" s="59" t="str">
        <f t="shared" si="90"/>
        <v>NO</v>
      </c>
      <c r="AF1864" s="34" t="e" cm="1">
        <f t="array" aca="1" ref="AF1864" ca="1">MIN(100, MAX(0, (IF(R1864="ESTUDIANTE", 31, 0)) + (IF(I1864&lt;=3, 30, IF(I1864&lt;=6, 20, 0))) +(IF(OR(E1864="413 - Control de Costes y Enlace Construcción", E1864="480 - Secretaría General del Consejo", E1864="132 - Civil y estructuras", E1864="136 - Mecánica", E1864="412 - Planificación", E1864="142 - Compras"), 25, 0)) +(IF(OR(S1864="GRADO ING. MECÁNICA", S1864="GRADO ING. ELÉCTRICA", S1864="GRADO DERECHO", S1864="GRADO ECONOMÍA", S1864="GRADO ING. TECNOLOGÍAS INDUSTRIALES"), 24, 0)) + (IF(AND(K1864&gt;=451, K1864&lt;=700), 23, 0)) + (IF(AND(AB1864&gt;=5, AB1864&lt;=8), 17, 0)) +(IF(_xludf.OR(_xludf.AND(AC1864&gt;=8, AC1864&lt;=10), _xludf.AND(AC1864&gt;=0, AC1864&lt;=5)), 16, 0)) + (IF(F1864="Madrid", 11, 0))))</f>
        <v>#NAME?</v>
      </c>
      <c r="AG1864" s="69"/>
      <c r="AH1864" s="71" t="s">
        <v>164</v>
      </c>
    </row>
    <row r="1865" spans="1:34" s="4" customFormat="1" ht="14.4" x14ac:dyDescent="0.3">
      <c r="A1865" s="66" t="s">
        <v>2843</v>
      </c>
      <c r="B1865" s="66" t="s">
        <v>4960</v>
      </c>
      <c r="C1865" s="33">
        <v>1864</v>
      </c>
      <c r="D1865" s="33" t="s">
        <v>5393</v>
      </c>
      <c r="E1865" s="34" t="s">
        <v>5375</v>
      </c>
      <c r="F1865" s="34" t="s">
        <v>18</v>
      </c>
      <c r="G1865" s="57">
        <v>45621</v>
      </c>
      <c r="H1865" s="57">
        <v>45801</v>
      </c>
      <c r="I1865" s="34">
        <f t="shared" si="88"/>
        <v>5</v>
      </c>
      <c r="J1865" s="34">
        <v>35</v>
      </c>
      <c r="K1865" s="36">
        <v>1200</v>
      </c>
      <c r="L1865" s="34" t="s">
        <v>17</v>
      </c>
      <c r="M1865" s="35">
        <v>37061</v>
      </c>
      <c r="N1865" s="37">
        <f>(YEAR(TablaMadre[[#This Row],[ALTA]])-YEAR(M1865))</f>
        <v>23</v>
      </c>
      <c r="O1865" s="34" t="s">
        <v>18</v>
      </c>
      <c r="P1865" s="34" t="s">
        <v>19</v>
      </c>
      <c r="Q1865" s="34" t="s">
        <v>136</v>
      </c>
      <c r="R1865" s="34" t="s">
        <v>21</v>
      </c>
      <c r="S1865" s="34" t="s">
        <v>136</v>
      </c>
      <c r="T1865" s="34" t="s">
        <v>823</v>
      </c>
      <c r="U1865" s="34" t="s">
        <v>30</v>
      </c>
      <c r="V1865" s="34" t="s">
        <v>67</v>
      </c>
      <c r="W1865" s="34" t="s">
        <v>28</v>
      </c>
      <c r="X1865" s="34" t="s">
        <v>173</v>
      </c>
      <c r="Y1865" s="57"/>
      <c r="Z1865" s="34" t="e">
        <f t="shared" si="89"/>
        <v>#NUM!</v>
      </c>
      <c r="AA1865" s="34"/>
      <c r="AB1865" s="34">
        <v>8</v>
      </c>
      <c r="AC1865" s="34">
        <v>9</v>
      </c>
      <c r="AD1865" s="34"/>
      <c r="AE1865" s="59" t="str">
        <f t="shared" si="90"/>
        <v>NO</v>
      </c>
      <c r="AF1865" s="34" t="e" cm="1">
        <f t="array" aca="1" ref="AF1865" ca="1">MIN(100, MAX(0, (IF(R1865="ESTUDIANTE", 31, 0)) + (IF(I1865&lt;=3, 30, IF(I1865&lt;=6, 20, 0))) +(IF(OR(E1865="413 - Control de Costes y Enlace Construcción", E1865="480 - Secretaría General del Consejo", E1865="132 - Civil y estructuras", E1865="136 - Mecánica", E1865="412 - Planificación", E1865="142 - Compras"), 25, 0)) +(IF(OR(S1865="GRADO ING. MECÁNICA", S1865="GRADO ING. ELÉCTRICA", S1865="GRADO DERECHO", S1865="GRADO ECONOMÍA", S1865="GRADO ING. TECNOLOGÍAS INDUSTRIALES"), 24, 0)) + (IF(AND(K1865&gt;=451, K1865&lt;=700), 23, 0)) + (IF(AND(AB1865&gt;=5, AB1865&lt;=8), 17, 0)) +(IF(_xludf.OR(_xludf.AND(AC1865&gt;=8, AC1865&lt;=10), _xludf.AND(AC1865&gt;=0, AC1865&lt;=5)), 16, 0)) + (IF(F1865="Madrid", 11, 0))))</f>
        <v>#NAME?</v>
      </c>
      <c r="AG1865" s="69"/>
      <c r="AH1865" s="71" t="s">
        <v>164</v>
      </c>
    </row>
    <row r="1866" spans="1:34" s="4" customFormat="1" ht="14.4" x14ac:dyDescent="0.3">
      <c r="A1866" s="66" t="s">
        <v>2844</v>
      </c>
      <c r="B1866" s="66" t="s">
        <v>4961</v>
      </c>
      <c r="C1866" s="33">
        <v>1865</v>
      </c>
      <c r="D1866" s="33" t="s">
        <v>5394</v>
      </c>
      <c r="E1866" s="34" t="s">
        <v>5306</v>
      </c>
      <c r="F1866" s="34" t="s">
        <v>18</v>
      </c>
      <c r="G1866" s="57">
        <v>45621</v>
      </c>
      <c r="H1866" s="57">
        <v>45801</v>
      </c>
      <c r="I1866" s="34">
        <f t="shared" si="88"/>
        <v>5</v>
      </c>
      <c r="J1866" s="34">
        <v>35</v>
      </c>
      <c r="K1866" s="36">
        <v>900</v>
      </c>
      <c r="L1866" s="34" t="s">
        <v>29</v>
      </c>
      <c r="M1866" s="35">
        <v>36057</v>
      </c>
      <c r="N1866" s="37">
        <f>(YEAR(TablaMadre[[#This Row],[ALTA]])-YEAR(M1866))</f>
        <v>26</v>
      </c>
      <c r="O1866" s="34" t="s">
        <v>18</v>
      </c>
      <c r="P1866" s="34" t="s">
        <v>19</v>
      </c>
      <c r="Q1866" s="34" t="s">
        <v>297</v>
      </c>
      <c r="R1866" s="34" t="s">
        <v>21</v>
      </c>
      <c r="S1866" s="34" t="s">
        <v>297</v>
      </c>
      <c r="T1866" s="34" t="s">
        <v>806</v>
      </c>
      <c r="U1866" s="34" t="str">
        <f>SUBSTITUTE($T1866, "INGUN", "/")</f>
        <v>N/A</v>
      </c>
      <c r="V1866" s="34" t="s">
        <v>22</v>
      </c>
      <c r="W1866" s="34" t="s">
        <v>28</v>
      </c>
      <c r="X1866" s="34" t="s">
        <v>173</v>
      </c>
      <c r="Y1866" s="57"/>
      <c r="Z1866" s="34" t="e">
        <f t="shared" si="89"/>
        <v>#NUM!</v>
      </c>
      <c r="AA1866" s="34"/>
      <c r="AB1866" s="34" t="s">
        <v>833</v>
      </c>
      <c r="AC1866" s="34">
        <v>10</v>
      </c>
      <c r="AD1866" s="34"/>
      <c r="AE1866" s="59" t="str">
        <f t="shared" si="90"/>
        <v>NO</v>
      </c>
      <c r="AF1866" s="34" t="e" cm="1">
        <f t="array" aca="1" ref="AF1866" ca="1">MIN(100, MAX(0, (IF(R1866="ESTUDIANTE", 31, 0)) + (IF(I1866&lt;=3, 30, IF(I1866&lt;=6, 20, 0))) +(IF(OR(E1866="413 - Control de Costes y Enlace Construcción", E1866="480 - Secretaría General del Consejo", E1866="132 - Civil y estructuras", E1866="136 - Mecánica", E1866="412 - Planificación", E1866="142 - Compras"), 25, 0)) +(IF(OR(S1866="GRADO ING. MECÁNICA", S1866="GRADO ING. ELÉCTRICA", S1866="GRADO DERECHO", S1866="GRADO ECONOMÍA", S1866="GRADO ING. TECNOLOGÍAS INDUSTRIALES"), 24, 0)) + (IF(AND(K1866&gt;=451, K1866&lt;=700), 23, 0)) + (IF(AND(AB1866&gt;=5, AB1866&lt;=8), 17, 0)) +(IF(_xludf.OR(_xludf.AND(AC1866&gt;=8, AC1866&lt;=10), _xludf.AND(AC1866&gt;=0, AC1866&lt;=5)), 16, 0)) + (IF(F1866="Madrid", 11, 0))))</f>
        <v>#NAME?</v>
      </c>
      <c r="AG1866" s="69"/>
      <c r="AH1866" s="71" t="s">
        <v>164</v>
      </c>
    </row>
    <row r="1867" spans="1:34" s="4" customFormat="1" ht="14.4" x14ac:dyDescent="0.3">
      <c r="A1867" s="66" t="s">
        <v>2845</v>
      </c>
      <c r="B1867" s="66" t="s">
        <v>4962</v>
      </c>
      <c r="C1867" s="33">
        <v>1866</v>
      </c>
      <c r="D1867" s="33" t="s">
        <v>5395</v>
      </c>
      <c r="E1867" s="34" t="s">
        <v>5216</v>
      </c>
      <c r="F1867" s="34" t="s">
        <v>18</v>
      </c>
      <c r="G1867" s="57">
        <v>45621</v>
      </c>
      <c r="H1867" s="57">
        <v>45801</v>
      </c>
      <c r="I1867" s="34">
        <f t="shared" si="88"/>
        <v>5</v>
      </c>
      <c r="J1867" s="34">
        <v>35</v>
      </c>
      <c r="K1867" s="36">
        <v>900</v>
      </c>
      <c r="L1867" s="34" t="s">
        <v>17</v>
      </c>
      <c r="M1867" s="35">
        <v>37078</v>
      </c>
      <c r="N1867" s="37">
        <f>(YEAR(TablaMadre[[#This Row],[ALTA]])-YEAR(M1867))</f>
        <v>23</v>
      </c>
      <c r="O1867" s="34" t="s">
        <v>18</v>
      </c>
      <c r="P1867" s="34" t="s">
        <v>19</v>
      </c>
      <c r="Q1867" s="34" t="s">
        <v>297</v>
      </c>
      <c r="R1867" s="34" t="s">
        <v>21</v>
      </c>
      <c r="S1867" s="34" t="s">
        <v>297</v>
      </c>
      <c r="T1867" s="34" t="s">
        <v>806</v>
      </c>
      <c r="U1867" s="34" t="str">
        <f>SUBSTITUTE($T1867, "INGUN", "/")</f>
        <v>N/A</v>
      </c>
      <c r="V1867" s="34" t="s">
        <v>56</v>
      </c>
      <c r="W1867" s="34" t="s">
        <v>28</v>
      </c>
      <c r="X1867" s="34" t="s">
        <v>173</v>
      </c>
      <c r="Y1867" s="57"/>
      <c r="Z1867" s="34" t="e">
        <f t="shared" si="89"/>
        <v>#NUM!</v>
      </c>
      <c r="AA1867" s="34"/>
      <c r="AB1867" s="34">
        <v>9</v>
      </c>
      <c r="AC1867" s="34">
        <v>9</v>
      </c>
      <c r="AD1867" s="34"/>
      <c r="AE1867" s="59" t="str">
        <f t="shared" si="90"/>
        <v>NO</v>
      </c>
      <c r="AF1867" s="34" t="e" cm="1">
        <f t="array" aca="1" ref="AF1867" ca="1">MIN(100, MAX(0, (IF(R1867="ESTUDIANTE", 31, 0)) + (IF(I1867&lt;=3, 30, IF(I1867&lt;=6, 20, 0))) +(IF(OR(E1867="413 - Control de Costes y Enlace Construcción", E1867="480 - Secretaría General del Consejo", E1867="132 - Civil y estructuras", E1867="136 - Mecánica", E1867="412 - Planificación", E1867="142 - Compras"), 25, 0)) +(IF(OR(S1867="GRADO ING. MECÁNICA", S1867="GRADO ING. ELÉCTRICA", S1867="GRADO DERECHO", S1867="GRADO ECONOMÍA", S1867="GRADO ING. TECNOLOGÍAS INDUSTRIALES"), 24, 0)) + (IF(AND(K1867&gt;=451, K1867&lt;=700), 23, 0)) + (IF(AND(AB1867&gt;=5, AB1867&lt;=8), 17, 0)) +(IF(_xludf.OR(_xludf.AND(AC1867&gt;=8, AC1867&lt;=10), _xludf.AND(AC1867&gt;=0, AC1867&lt;=5)), 16, 0)) + (IF(F1867="Madrid", 11, 0))))</f>
        <v>#NAME?</v>
      </c>
      <c r="AG1867" s="69"/>
      <c r="AH1867" s="71" t="s">
        <v>164</v>
      </c>
    </row>
    <row r="1868" spans="1:34" s="4" customFormat="1" ht="15" customHeight="1" x14ac:dyDescent="0.3">
      <c r="A1868" s="66" t="s">
        <v>2846</v>
      </c>
      <c r="B1868" s="66" t="s">
        <v>4963</v>
      </c>
      <c r="C1868" s="33">
        <v>1867</v>
      </c>
      <c r="D1868" s="33" t="s">
        <v>5396</v>
      </c>
      <c r="E1868" s="34" t="s">
        <v>5222</v>
      </c>
      <c r="F1868" s="34" t="s">
        <v>558</v>
      </c>
      <c r="G1868" s="57">
        <v>45628</v>
      </c>
      <c r="H1868" s="57">
        <v>45808</v>
      </c>
      <c r="I1868" s="34">
        <f t="shared" si="88"/>
        <v>5</v>
      </c>
      <c r="J1868" s="34">
        <v>35</v>
      </c>
      <c r="K1868" s="36">
        <v>1000</v>
      </c>
      <c r="L1868" s="34" t="s">
        <v>29</v>
      </c>
      <c r="M1868" s="35">
        <v>36956</v>
      </c>
      <c r="N1868" s="37">
        <f>(YEAR(TablaMadre[[#This Row],[ALTA]])-YEAR(M1868))</f>
        <v>23</v>
      </c>
      <c r="O1868" s="34" t="s">
        <v>558</v>
      </c>
      <c r="P1868" s="34" t="s">
        <v>19</v>
      </c>
      <c r="Q1868" s="34" t="s">
        <v>841</v>
      </c>
      <c r="R1868" s="34" t="s">
        <v>21</v>
      </c>
      <c r="S1868" s="34" t="s">
        <v>841</v>
      </c>
      <c r="T1868" s="34" t="s">
        <v>842</v>
      </c>
      <c r="U1868" s="34" t="s">
        <v>21</v>
      </c>
      <c r="V1868" s="34" t="s">
        <v>310</v>
      </c>
      <c r="W1868" s="34" t="s">
        <v>28</v>
      </c>
      <c r="X1868" s="34" t="s">
        <v>173</v>
      </c>
      <c r="Y1868" s="57"/>
      <c r="Z1868" s="34" t="e">
        <f t="shared" si="89"/>
        <v>#NUM!</v>
      </c>
      <c r="AA1868" s="34"/>
      <c r="AB1868" s="34">
        <v>8</v>
      </c>
      <c r="AC1868" s="34">
        <v>9</v>
      </c>
      <c r="AD1868" s="34"/>
      <c r="AE1868" s="59" t="str">
        <f t="shared" si="90"/>
        <v>NO</v>
      </c>
      <c r="AF1868" s="34" t="e" cm="1">
        <f t="array" aca="1" ref="AF1868" ca="1">MIN(100, MAX(0, (IF(R1868="ESTUDIANTE", 31, 0)) + (IF(I1868&lt;=3, 30, IF(I1868&lt;=6, 20, 0))) +(IF(OR(E1868="413 - Control de Costes y Enlace Construcción", E1868="480 - Secretaría General del Consejo", E1868="132 - Civil y estructuras", E1868="136 - Mecánica", E1868="412 - Planificación", E1868="142 - Compras"), 25, 0)) +(IF(OR(S1868="GRADO ING. MECÁNICA", S1868="GRADO ING. ELÉCTRICA", S1868="GRADO DERECHO", S1868="GRADO ECONOMÍA", S1868="GRADO ING. TECNOLOGÍAS INDUSTRIALES"), 24, 0)) + (IF(AND(K1868&gt;=451, K1868&lt;=700), 23, 0)) + (IF(AND(AB1868&gt;=5, AB1868&lt;=8), 17, 0)) +(IF(_xludf.OR(_xludf.AND(AC1868&gt;=8, AC1868&lt;=10), _xludf.AND(AC1868&gt;=0, AC1868&lt;=5)), 16, 0)) + (IF(F1868="Madrid", 11, 0))))</f>
        <v>#NAME?</v>
      </c>
      <c r="AG1868" s="69"/>
      <c r="AH1868" s="71" t="s">
        <v>164</v>
      </c>
    </row>
    <row r="1869" spans="1:34" s="4" customFormat="1" ht="16.5" customHeight="1" x14ac:dyDescent="0.3">
      <c r="A1869" s="66" t="s">
        <v>2847</v>
      </c>
      <c r="B1869" s="66" t="s">
        <v>4964</v>
      </c>
      <c r="C1869" s="33">
        <v>1868</v>
      </c>
      <c r="D1869" s="33" t="s">
        <v>5397</v>
      </c>
      <c r="E1869" s="34" t="s">
        <v>5376</v>
      </c>
      <c r="F1869" s="34" t="s">
        <v>18</v>
      </c>
      <c r="G1869" s="57">
        <v>45635</v>
      </c>
      <c r="H1869" s="57">
        <v>45813</v>
      </c>
      <c r="I1869" s="34">
        <f t="shared" si="88"/>
        <v>5</v>
      </c>
      <c r="J1869" s="34">
        <v>35</v>
      </c>
      <c r="K1869" s="36">
        <v>500</v>
      </c>
      <c r="L1869" s="34" t="s">
        <v>17</v>
      </c>
      <c r="M1869" s="35">
        <v>38461</v>
      </c>
      <c r="N1869" s="37">
        <f>(YEAR(TablaMadre[[#This Row],[ALTA]])-YEAR(M1869))</f>
        <v>19</v>
      </c>
      <c r="O1869" s="34" t="s">
        <v>18</v>
      </c>
      <c r="P1869" s="34" t="s">
        <v>19</v>
      </c>
      <c r="Q1869" s="34" t="s">
        <v>359</v>
      </c>
      <c r="R1869" s="58" t="s">
        <v>30</v>
      </c>
      <c r="S1869" s="34" t="s">
        <v>26</v>
      </c>
      <c r="T1869" s="34" t="s">
        <v>806</v>
      </c>
      <c r="U1869" s="34" t="str">
        <f>SUBSTITUTE($T1869, "INGUN", "/")</f>
        <v>N/A</v>
      </c>
      <c r="V1869" s="34" t="s">
        <v>27</v>
      </c>
      <c r="W1869" s="34" t="s">
        <v>28</v>
      </c>
      <c r="X1869" s="34" t="s">
        <v>173</v>
      </c>
      <c r="Y1869" s="57"/>
      <c r="Z1869" s="34" t="e">
        <f t="shared" si="89"/>
        <v>#NUM!</v>
      </c>
      <c r="AA1869" s="34"/>
      <c r="AB1869" s="34">
        <v>10</v>
      </c>
      <c r="AC1869" s="34">
        <v>10</v>
      </c>
      <c r="AD1869" s="34"/>
      <c r="AE1869" s="59" t="str">
        <f t="shared" si="90"/>
        <v>NO</v>
      </c>
      <c r="AF1869" s="34" t="e" cm="1">
        <f t="array" aca="1" ref="AF1869" ca="1">MIN(100, MAX(0, (IF(R1869="ESTUDIANTE", 31, 0)) + (IF(I1869&lt;=3, 30, IF(I1869&lt;=6, 20, 0))) +(IF(OR(E1869="413 - Control de Costes y Enlace Construcción", E1869="480 - Secretaría General del Consejo", E1869="132 - Civil y estructuras", E1869="136 - Mecánica", E1869="412 - Planificación", E1869="142 - Compras"), 25, 0)) +(IF(OR(S1869="GRADO ING. MECÁNICA", S1869="GRADO ING. ELÉCTRICA", S1869="GRADO DERECHO", S1869="GRADO ECONOMÍA", S1869="GRADO ING. TECNOLOGÍAS INDUSTRIALES"), 24, 0)) + (IF(AND(K1869&gt;=451, K1869&lt;=700), 23, 0)) + (IF(AND(AB1869&gt;=5, AB1869&lt;=8), 17, 0)) +(IF(_xludf.OR(_xludf.AND(AC1869&gt;=8, AC1869&lt;=10), _xludf.AND(AC1869&gt;=0, AC1869&lt;=5)), 16, 0)) + (IF(F1869="Madrid", 11, 0))))</f>
        <v>#NAME?</v>
      </c>
      <c r="AG1869" s="69"/>
      <c r="AH1869" s="71" t="s">
        <v>164</v>
      </c>
    </row>
    <row r="1870" spans="1:34" ht="14.4" x14ac:dyDescent="0.3">
      <c r="A1870" s="66" t="s">
        <v>2848</v>
      </c>
      <c r="B1870" s="66" t="s">
        <v>4965</v>
      </c>
      <c r="C1870" s="33">
        <v>1869</v>
      </c>
      <c r="D1870" s="33" t="s">
        <v>5398</v>
      </c>
      <c r="E1870" s="34" t="s">
        <v>5233</v>
      </c>
      <c r="F1870" s="34" t="s">
        <v>558</v>
      </c>
      <c r="G1870" s="57">
        <v>45642</v>
      </c>
      <c r="H1870" s="57">
        <v>45821</v>
      </c>
      <c r="I1870" s="34">
        <f t="shared" si="88"/>
        <v>5</v>
      </c>
      <c r="J1870" s="34">
        <v>35</v>
      </c>
      <c r="K1870" s="36">
        <v>1200</v>
      </c>
      <c r="L1870" s="34" t="s">
        <v>17</v>
      </c>
      <c r="M1870" s="35">
        <v>36452</v>
      </c>
      <c r="N1870" s="37">
        <f>(YEAR(TablaMadre[[#This Row],[ALTA]])-YEAR(M1870))</f>
        <v>25</v>
      </c>
      <c r="O1870" s="34" t="s">
        <v>558</v>
      </c>
      <c r="P1870" s="34" t="s">
        <v>19</v>
      </c>
      <c r="Q1870" s="34" t="s">
        <v>848</v>
      </c>
      <c r="R1870" s="34" t="s">
        <v>21</v>
      </c>
      <c r="S1870" s="34" t="s">
        <v>322</v>
      </c>
      <c r="T1870" s="34" t="s">
        <v>823</v>
      </c>
      <c r="U1870" s="34" t="s">
        <v>30</v>
      </c>
      <c r="V1870" s="34" t="s">
        <v>310</v>
      </c>
      <c r="W1870" s="34" t="s">
        <v>28</v>
      </c>
      <c r="X1870" s="38" t="s">
        <v>164</v>
      </c>
      <c r="Y1870" s="62">
        <v>45822</v>
      </c>
      <c r="Z1870" s="38">
        <f t="shared" si="89"/>
        <v>0</v>
      </c>
      <c r="AA1870" s="38"/>
      <c r="AB1870" s="34">
        <v>10</v>
      </c>
      <c r="AC1870" s="34">
        <v>10</v>
      </c>
      <c r="AD1870" s="38"/>
      <c r="AE1870" s="59" t="str">
        <f t="shared" si="90"/>
        <v>NO</v>
      </c>
      <c r="AF1870" s="38" t="e" cm="1">
        <f t="array" aca="1" ref="AF1870" ca="1">MIN(100, MAX(0, (IF(R1870="ESTUDIANTE", 31, 0)) + (IF(I1870&lt;=3, 30, IF(I1870&lt;=6, 20, 0))) +(IF(OR(E1870="413 - Control de Costes y Enlace Construcción", E1870="480 - Secretaría General del Consejo", E1870="132 - Civil y estructuras", E1870="136 - Mecánica", E1870="412 - Planificación", E1870="142 - Compras"), 25, 0)) +(IF(OR(S1870="GRADO ING. MECÁNICA", S1870="GRADO ING. ELÉCTRICA", S1870="GRADO DERECHO", S1870="GRADO ECONOMÍA", S1870="GRADO ING. TECNOLOGÍAS INDUSTRIALES"), 24, 0)) + (IF(AND(K1870&gt;=451, K1870&lt;=700), 23, 0)) + (IF(AND(AB1870&gt;=5, AB1870&lt;=8), 17, 0)) +(IF(_xludf.OR(_xludf.AND(AC1870&gt;=8, AC1870&lt;=10), _xludf.AND(AC1870&gt;=0, AC1870&lt;=5)), 16, 0)) + (IF(F1870="Madrid", 11, 0))))</f>
        <v>#NAME?</v>
      </c>
      <c r="AG1870" s="68"/>
      <c r="AH1870" s="71" t="s">
        <v>164</v>
      </c>
    </row>
    <row r="1871" spans="1:34" ht="15.75" customHeight="1" x14ac:dyDescent="0.3">
      <c r="A1871" s="66" t="s">
        <v>2849</v>
      </c>
      <c r="B1871" s="66" t="s">
        <v>4966</v>
      </c>
      <c r="C1871" s="33">
        <v>1870</v>
      </c>
      <c r="D1871" s="33" t="s">
        <v>5399</v>
      </c>
      <c r="E1871" s="34" t="s">
        <v>5327</v>
      </c>
      <c r="F1871" s="34" t="s">
        <v>18</v>
      </c>
      <c r="G1871" s="57">
        <v>45642</v>
      </c>
      <c r="H1871" s="57">
        <v>45823</v>
      </c>
      <c r="I1871" s="34">
        <f t="shared" si="88"/>
        <v>5</v>
      </c>
      <c r="J1871" s="34">
        <v>35</v>
      </c>
      <c r="K1871" s="36">
        <v>700</v>
      </c>
      <c r="L1871" s="34" t="s">
        <v>17</v>
      </c>
      <c r="M1871" s="39">
        <v>37399</v>
      </c>
      <c r="N1871" s="37">
        <f>(YEAR(TablaMadre[[#This Row],[ALTA]])-YEAR(M1871))</f>
        <v>22</v>
      </c>
      <c r="O1871" s="34" t="s">
        <v>411</v>
      </c>
      <c r="P1871" s="34" t="s">
        <v>19</v>
      </c>
      <c r="Q1871" s="34" t="s">
        <v>849</v>
      </c>
      <c r="R1871" s="34" t="s">
        <v>30</v>
      </c>
      <c r="S1871" s="34" t="s">
        <v>627</v>
      </c>
      <c r="T1871" s="34" t="s">
        <v>806</v>
      </c>
      <c r="U1871" s="34" t="str">
        <f>SUBSTITUTE($T1871, "INGUN", "/")</f>
        <v>N/A</v>
      </c>
      <c r="V1871" s="34" t="s">
        <v>182</v>
      </c>
      <c r="W1871" s="34" t="s">
        <v>28</v>
      </c>
      <c r="X1871" s="38" t="s">
        <v>173</v>
      </c>
      <c r="Y1871" s="62"/>
      <c r="Z1871" s="38" t="e">
        <f t="shared" si="89"/>
        <v>#NUM!</v>
      </c>
      <c r="AA1871" s="38"/>
      <c r="AB1871" s="34">
        <v>10</v>
      </c>
      <c r="AC1871" s="34">
        <v>9</v>
      </c>
      <c r="AD1871" s="38"/>
      <c r="AE1871" s="59" t="str">
        <f t="shared" si="90"/>
        <v>SÍ</v>
      </c>
      <c r="AF1871" s="38" t="e" cm="1">
        <f t="array" aca="1" ref="AF1871" ca="1">MIN(100, MAX(0, (IF(R1871="ESTUDIANTE", 31, 0)) + (IF(I1871&lt;=3, 30, IF(I1871&lt;=6, 20, 0))) +(IF(OR(E1871="413 - Control de Costes y Enlace Construcción", E1871="480 - Secretaría General del Consejo", E1871="132 - Civil y estructuras", E1871="136 - Mecánica", E1871="412 - Planificación", E1871="142 - Compras"), 25, 0)) +(IF(OR(S1871="GRADO ING. MECÁNICA", S1871="GRADO ING. ELÉCTRICA", S1871="GRADO DERECHO", S1871="GRADO ECONOMÍA", S1871="GRADO ING. TECNOLOGÍAS INDUSTRIALES"), 24, 0)) + (IF(AND(K1871&gt;=451, K1871&lt;=700), 23, 0)) + (IF(AND(AB1871&gt;=5, AB1871&lt;=8), 17, 0)) +(IF(_xludf.OR(_xludf.AND(AC1871&gt;=8, AC1871&lt;=10), _xludf.AND(AC1871&gt;=0, AC1871&lt;=5)), 16, 0)) + (IF(F1871="Madrid", 11, 0))))</f>
        <v>#NAME?</v>
      </c>
      <c r="AG1871" s="68"/>
      <c r="AH1871" s="71" t="s">
        <v>164</v>
      </c>
    </row>
    <row r="1872" spans="1:34" s="4" customFormat="1" ht="14.4" x14ac:dyDescent="0.3">
      <c r="A1872" s="66" t="s">
        <v>2856</v>
      </c>
      <c r="B1872" s="66" t="s">
        <v>4973</v>
      </c>
      <c r="C1872" s="33">
        <v>1871</v>
      </c>
      <c r="D1872" s="33" t="s">
        <v>5400</v>
      </c>
      <c r="E1872" s="34" t="s">
        <v>5216</v>
      </c>
      <c r="F1872" s="34" t="s">
        <v>558</v>
      </c>
      <c r="G1872" s="57">
        <v>45659</v>
      </c>
      <c r="H1872" s="57">
        <v>45838</v>
      </c>
      <c r="I1872" s="34">
        <f t="shared" si="88"/>
        <v>5</v>
      </c>
      <c r="J1872" s="34">
        <v>35</v>
      </c>
      <c r="K1872" s="36">
        <v>1200</v>
      </c>
      <c r="L1872" s="34" t="s">
        <v>29</v>
      </c>
      <c r="M1872" s="35">
        <v>37224</v>
      </c>
      <c r="N1872" s="37">
        <f>(YEAR(TablaMadre[[#This Row],[ALTA]])-YEAR(M1872))</f>
        <v>24</v>
      </c>
      <c r="O1872" s="34" t="s">
        <v>558</v>
      </c>
      <c r="P1872" s="34" t="s">
        <v>19</v>
      </c>
      <c r="Q1872" s="34" t="s">
        <v>626</v>
      </c>
      <c r="R1872" s="34" t="s">
        <v>21</v>
      </c>
      <c r="S1872" s="34" t="s">
        <v>322</v>
      </c>
      <c r="T1872" s="34" t="s">
        <v>823</v>
      </c>
      <c r="U1872" s="34" t="s">
        <v>30</v>
      </c>
      <c r="V1872" s="34" t="s">
        <v>310</v>
      </c>
      <c r="W1872" s="34" t="s">
        <v>28</v>
      </c>
      <c r="X1872" s="34" t="s">
        <v>173</v>
      </c>
      <c r="Y1872" s="57"/>
      <c r="Z1872" s="34" t="e">
        <f t="shared" si="89"/>
        <v>#NUM!</v>
      </c>
      <c r="AA1872" s="34"/>
      <c r="AB1872" s="34">
        <v>10</v>
      </c>
      <c r="AC1872" s="34">
        <v>8</v>
      </c>
      <c r="AD1872" s="34"/>
      <c r="AE1872" s="59" t="str">
        <f t="shared" si="90"/>
        <v>NO</v>
      </c>
      <c r="AF1872" s="34" t="e" cm="1">
        <f t="array" aca="1" ref="AF1872" ca="1">MIN(100, MAX(0, (IF(R1872="ESTUDIANTE", 31, 0)) + (IF(I1872&lt;=3, 30, IF(I1872&lt;=6, 20, 0))) +(IF(OR(E1872="413 - Control de Costes y Enlace Construcción", E1872="480 - Secretaría General del Consejo", E1872="132 - Civil y estructuras", E1872="136 - Mecánica", E1872="412 - Planificación", E1872="142 - Compras"), 25, 0)) +(IF(OR(S1872="GRADO ING. MECÁNICA", S1872="GRADO ING. ELÉCTRICA", S1872="GRADO DERECHO", S1872="GRADO ECONOMÍA", S1872="GRADO ING. TECNOLOGÍAS INDUSTRIALES"), 24, 0)) + (IF(AND(K1872&gt;=451, K1872&lt;=700), 23, 0)) + (IF(AND(AB1872&gt;=5, AB1872&lt;=8), 17, 0)) +(IF(_xludf.OR(_xludf.AND(AC1872&gt;=8, AC1872&lt;=10), _xludf.AND(AC1872&gt;=0, AC1872&lt;=5)), 16, 0)) + (IF(F1872="Madrid", 11, 0))))</f>
        <v>#NAME?</v>
      </c>
      <c r="AG1872" s="69"/>
      <c r="AH1872" s="71" t="s">
        <v>164</v>
      </c>
    </row>
    <row r="1873" spans="1:51" ht="14.4" x14ac:dyDescent="0.3">
      <c r="A1873" s="66" t="s">
        <v>2714</v>
      </c>
      <c r="B1873" s="66" t="s">
        <v>4831</v>
      </c>
      <c r="C1873" s="33">
        <v>1873</v>
      </c>
      <c r="D1873" s="33" t="s">
        <v>5401</v>
      </c>
      <c r="E1873" s="34" t="s">
        <v>5236</v>
      </c>
      <c r="F1873" s="34" t="s">
        <v>18</v>
      </c>
      <c r="G1873" s="57">
        <v>45670</v>
      </c>
      <c r="H1873" s="57">
        <v>45842</v>
      </c>
      <c r="I1873" s="34">
        <f t="shared" si="88"/>
        <v>5</v>
      </c>
      <c r="J1873" s="34">
        <v>35</v>
      </c>
      <c r="K1873" s="36">
        <v>700</v>
      </c>
      <c r="L1873" s="34" t="s">
        <v>17</v>
      </c>
      <c r="M1873" s="35">
        <v>37332</v>
      </c>
      <c r="N1873" s="37">
        <f>(YEAR(TablaMadre[[#This Row],[ALTA]])-YEAR(M1873))</f>
        <v>23</v>
      </c>
      <c r="O1873" s="34" t="s">
        <v>18</v>
      </c>
      <c r="P1873" s="34" t="s">
        <v>19</v>
      </c>
      <c r="Q1873" s="34" t="s">
        <v>855</v>
      </c>
      <c r="R1873" s="34" t="s">
        <v>30</v>
      </c>
      <c r="S1873" s="34" t="s">
        <v>855</v>
      </c>
      <c r="T1873" s="34" t="s">
        <v>806</v>
      </c>
      <c r="U1873" s="34" t="str">
        <f>SUBSTITUTE($T1873, "INGUN", "/")</f>
        <v>N/A</v>
      </c>
      <c r="V1873" s="34" t="s">
        <v>137</v>
      </c>
      <c r="W1873" s="34" t="s">
        <v>181</v>
      </c>
      <c r="X1873" s="34" t="s">
        <v>164</v>
      </c>
      <c r="Y1873" s="57"/>
      <c r="Z1873" s="57" t="e">
        <f t="shared" si="89"/>
        <v>#NUM!</v>
      </c>
      <c r="AA1873" s="57"/>
      <c r="AB1873" s="34">
        <v>9</v>
      </c>
      <c r="AC1873" s="34">
        <v>10</v>
      </c>
      <c r="AD1873" s="34"/>
      <c r="AE1873" s="59" t="str">
        <f t="shared" si="90"/>
        <v>NO</v>
      </c>
      <c r="AF1873" s="38" t="e" cm="1">
        <f t="array" aca="1" ref="AF1873" ca="1">MIN(100, MAX(0, (IF(R1873="ESTUDIANTE", 31, 0)) + (IF(I1873&lt;=3, 30, IF(I1873&lt;=6, 20, 0))) +(IF(OR(E1873="413 - Control de Costes y Enlace Construcción", E1873="480 - Secretaría General del Consejo", E1873="132 - Civil y estructuras", E1873="136 - Mecánica", E1873="412 - Planificación", E1873="142 - Compras"), 25, 0)) +(IF(OR(S1873="GRADO ING. MECÁNICA", S1873="GRADO ING. ELÉCTRICA", S1873="GRADO DERECHO", S1873="GRADO ECONOMÍA", S1873="GRADO ING. TECNOLOGÍAS INDUSTRIALES"), 24, 0)) + (IF(AND(K1873&gt;=451, K1873&lt;=700), 23, 0)) + (IF(AND(AB1873&gt;=5, AB1873&lt;=8), 17, 0)) +(IF(_xludf.OR(_xludf.AND(AC1873&gt;=8, AC1873&lt;=10), _xludf.AND(AC1873&gt;=0, AC1873&lt;=5)), 16, 0)) + (IF(F1873="Madrid", 11, 0))))</f>
        <v>#NAME?</v>
      </c>
      <c r="AG1873" s="68"/>
      <c r="AH1873" s="71" t="s">
        <v>164</v>
      </c>
    </row>
    <row r="1874" spans="1:51" s="4" customFormat="1" ht="14.4" x14ac:dyDescent="0.3">
      <c r="A1874" s="66" t="s">
        <v>2715</v>
      </c>
      <c r="B1874" s="66" t="s">
        <v>4832</v>
      </c>
      <c r="C1874" s="33">
        <v>1876</v>
      </c>
      <c r="D1874" s="33" t="s">
        <v>5402</v>
      </c>
      <c r="E1874" s="34" t="s">
        <v>5285</v>
      </c>
      <c r="F1874" s="34" t="s">
        <v>118</v>
      </c>
      <c r="G1874" s="57">
        <v>45670</v>
      </c>
      <c r="H1874" s="57">
        <v>45856</v>
      </c>
      <c r="I1874" s="34">
        <f t="shared" si="88"/>
        <v>6</v>
      </c>
      <c r="J1874" s="34">
        <v>35</v>
      </c>
      <c r="K1874" s="36">
        <v>700</v>
      </c>
      <c r="L1874" s="34" t="s">
        <v>17</v>
      </c>
      <c r="M1874" s="35">
        <v>37342</v>
      </c>
      <c r="N1874" s="37">
        <f>(YEAR(TablaMadre[[#This Row],[ALTA]])-YEAR(M1874))</f>
        <v>23</v>
      </c>
      <c r="O1874" s="34" t="s">
        <v>118</v>
      </c>
      <c r="P1874" s="34" t="s">
        <v>19</v>
      </c>
      <c r="Q1874" s="34" t="s">
        <v>829</v>
      </c>
      <c r="R1874" s="34" t="s">
        <v>30</v>
      </c>
      <c r="S1874" s="34" t="s">
        <v>322</v>
      </c>
      <c r="T1874" s="34" t="s">
        <v>806</v>
      </c>
      <c r="U1874" s="34" t="str">
        <f>SUBSTITUTE($T1874, "INGUN", "/")</f>
        <v>N/A</v>
      </c>
      <c r="V1874" s="34" t="s">
        <v>37</v>
      </c>
      <c r="W1874" s="34" t="s">
        <v>91</v>
      </c>
      <c r="X1874" s="38" t="s">
        <v>164</v>
      </c>
      <c r="Y1874" s="62"/>
      <c r="Z1874" s="62" t="e">
        <f t="shared" si="89"/>
        <v>#NUM!</v>
      </c>
      <c r="AA1874" s="62"/>
      <c r="AB1874" s="34">
        <v>10</v>
      </c>
      <c r="AC1874" s="34">
        <v>9</v>
      </c>
      <c r="AD1874" s="38"/>
      <c r="AE1874" s="59" t="str">
        <f t="shared" si="90"/>
        <v>NO</v>
      </c>
      <c r="AF1874" s="34" t="e" cm="1">
        <f t="array" aca="1" ref="AF1874" ca="1">MIN(100, MAX(0, (IF(R1874="ESTUDIANTE", 31, 0)) + (IF(I1874&lt;=3, 30, IF(I1874&lt;=6, 20, 0))) +(IF(OR(E1874="413 - Control de Costes y Enlace Construcción", E1874="480 - Secretaría General del Consejo", E1874="132 - Civil y estructuras", E1874="136 - Mecánica", E1874="412 - Planificación", E1874="142 - Compras"), 25, 0)) +(IF(OR(S1874="GRADO ING. MECÁNICA", S1874="GRADO ING. ELÉCTRICA", S1874="GRADO DERECHO", S1874="GRADO ECONOMÍA", S1874="GRADO ING. TECNOLOGÍAS INDUSTRIALES"), 24, 0)) + (IF(AND(K1874&gt;=451, K1874&lt;=700), 23, 0)) + (IF(AND(AB1874&gt;=5, AB1874&lt;=8), 17, 0)) +(IF(_xludf.OR(_xludf.AND(AC1874&gt;=8, AC1874&lt;=10), _xludf.AND(AC1874&gt;=0, AC1874&lt;=5)), 16, 0)) + (IF(F1874="Madrid", 11, 0))))</f>
        <v>#NAME?</v>
      </c>
      <c r="AG1874" s="69"/>
      <c r="AH1874" s="71" t="s">
        <v>164</v>
      </c>
    </row>
    <row r="1875" spans="1:51" s="4" customFormat="1" ht="14.4" x14ac:dyDescent="0.3">
      <c r="A1875" s="66" t="s">
        <v>2717</v>
      </c>
      <c r="B1875" s="66" t="s">
        <v>4834</v>
      </c>
      <c r="C1875" s="33">
        <v>1872</v>
      </c>
      <c r="D1875" s="33" t="s">
        <v>5393</v>
      </c>
      <c r="E1875" s="34" t="s">
        <v>5323</v>
      </c>
      <c r="F1875" s="34" t="s">
        <v>118</v>
      </c>
      <c r="G1875" s="57">
        <v>45670</v>
      </c>
      <c r="H1875" s="57">
        <v>45775</v>
      </c>
      <c r="I1875" s="34">
        <f t="shared" si="88"/>
        <v>3</v>
      </c>
      <c r="J1875" s="34">
        <v>25</v>
      </c>
      <c r="K1875" s="36">
        <v>500</v>
      </c>
      <c r="L1875" s="34" t="s">
        <v>17</v>
      </c>
      <c r="M1875" s="35">
        <v>37908</v>
      </c>
      <c r="N1875" s="37">
        <f>(YEAR(TablaMadre[[#This Row],[ALTA]])-YEAR(M1875))</f>
        <v>22</v>
      </c>
      <c r="O1875" s="34" t="s">
        <v>118</v>
      </c>
      <c r="P1875" s="34" t="s">
        <v>19</v>
      </c>
      <c r="Q1875" s="34" t="s">
        <v>829</v>
      </c>
      <c r="R1875" s="58" t="s">
        <v>30</v>
      </c>
      <c r="S1875" s="34" t="s">
        <v>322</v>
      </c>
      <c r="T1875" s="34" t="s">
        <v>806</v>
      </c>
      <c r="U1875" s="34" t="str">
        <f>SUBSTITUTE($T1875, "INGUN", "/")</f>
        <v>N/A</v>
      </c>
      <c r="V1875" s="34" t="s">
        <v>37</v>
      </c>
      <c r="W1875" s="34" t="s">
        <v>91</v>
      </c>
      <c r="X1875" s="38" t="s">
        <v>173</v>
      </c>
      <c r="Y1875" s="62"/>
      <c r="Z1875" s="62" t="e">
        <f t="shared" si="89"/>
        <v>#NUM!</v>
      </c>
      <c r="AA1875" s="62"/>
      <c r="AB1875" s="34">
        <v>9</v>
      </c>
      <c r="AC1875" s="34">
        <v>9</v>
      </c>
      <c r="AD1875" s="38"/>
      <c r="AE1875" s="59" t="str">
        <f t="shared" si="90"/>
        <v>NO</v>
      </c>
      <c r="AF1875" s="34" t="e" cm="1">
        <f t="array" aca="1" ref="AF1875" ca="1">MIN(100, MAX(0, (IF(R1875="ESTUDIANTE", 31, 0)) + (IF(I1875&lt;=3, 30, IF(I1875&lt;=6, 20, 0))) +(IF(OR(E1875="413 - Control de Costes y Enlace Construcción", E1875="480 - Secretaría General del Consejo", E1875="132 - Civil y estructuras", E1875="136 - Mecánica", E1875="412 - Planificación", E1875="142 - Compras"), 25, 0)) +(IF(OR(S1875="GRADO ING. MECÁNICA", S1875="GRADO ING. ELÉCTRICA", S1875="GRADO DERECHO", S1875="GRADO ECONOMÍA", S1875="GRADO ING. TECNOLOGÍAS INDUSTRIALES"), 24, 0)) + (IF(AND(K1875&gt;=451, K1875&lt;=700), 23, 0)) + (IF(AND(AB1875&gt;=5, AB1875&lt;=8), 17, 0)) +(IF(_xludf.OR(_xludf.AND(AC1875&gt;=8, AC1875&lt;=10), _xludf.AND(AC1875&gt;=0, AC1875&lt;=5)), 16, 0)) + (IF(F1875="Madrid", 11, 0))))</f>
        <v>#NAME?</v>
      </c>
      <c r="AG1875" s="69"/>
      <c r="AH1875" s="71" t="s">
        <v>164</v>
      </c>
    </row>
    <row r="1876" spans="1:51" s="4" customFormat="1" ht="14.4" x14ac:dyDescent="0.3">
      <c r="A1876" s="66" t="s">
        <v>2857</v>
      </c>
      <c r="B1876" s="66" t="s">
        <v>4974</v>
      </c>
      <c r="C1876" s="33">
        <v>1877</v>
      </c>
      <c r="D1876" s="33" t="s">
        <v>5394</v>
      </c>
      <c r="E1876" s="34" t="s">
        <v>5314</v>
      </c>
      <c r="F1876" s="34" t="s">
        <v>18</v>
      </c>
      <c r="G1876" s="57">
        <v>45670</v>
      </c>
      <c r="H1876" s="57">
        <v>46034</v>
      </c>
      <c r="I1876" s="34">
        <f t="shared" si="88"/>
        <v>11</v>
      </c>
      <c r="J1876" s="34">
        <v>35</v>
      </c>
      <c r="K1876" s="36">
        <v>1200</v>
      </c>
      <c r="L1876" s="34" t="s">
        <v>17</v>
      </c>
      <c r="M1876" s="39">
        <v>36836</v>
      </c>
      <c r="N1876" s="37">
        <f>(YEAR(TablaMadre[[#This Row],[ALTA]])-YEAR(M1876))</f>
        <v>25</v>
      </c>
      <c r="O1876" s="34" t="s">
        <v>18</v>
      </c>
      <c r="P1876" s="34" t="s">
        <v>19</v>
      </c>
      <c r="Q1876" s="34" t="s">
        <v>884</v>
      </c>
      <c r="R1876" s="34" t="s">
        <v>21</v>
      </c>
      <c r="S1876" s="34" t="s">
        <v>884</v>
      </c>
      <c r="T1876" s="34" t="s">
        <v>892</v>
      </c>
      <c r="U1876" s="34" t="s">
        <v>30</v>
      </c>
      <c r="V1876" s="34" t="s">
        <v>84</v>
      </c>
      <c r="W1876" s="34" t="s">
        <v>28</v>
      </c>
      <c r="X1876" s="34" t="s">
        <v>173</v>
      </c>
      <c r="Y1876" s="34"/>
      <c r="Z1876" s="34" t="e">
        <f t="shared" si="89"/>
        <v>#NUM!</v>
      </c>
      <c r="AA1876" s="34"/>
      <c r="AB1876" s="34">
        <v>10</v>
      </c>
      <c r="AC1876" s="34">
        <v>9</v>
      </c>
      <c r="AD1876" s="34"/>
      <c r="AE1876" s="59" t="str">
        <f t="shared" si="90"/>
        <v>NO</v>
      </c>
      <c r="AF1876" s="34" t="e" cm="1">
        <f t="array" aca="1" ref="AF1876" ca="1">MIN(100, MAX(0, (IF(R1876="ESTUDIANTE", 31, 0)) + (IF(I1876&lt;=3, 30, IF(I1876&lt;=6, 20, 0))) +(IF(OR(E1876="413 - Control de Costes y Enlace Construcción", E1876="480 - Secretaría General del Consejo", E1876="132 - Civil y estructuras", E1876="136 - Mecánica", E1876="412 - Planificación", E1876="142 - Compras"), 25, 0)) +(IF(OR(S1876="GRADO ING. MECÁNICA", S1876="GRADO ING. ELÉCTRICA", S1876="GRADO DERECHO", S1876="GRADO ECONOMÍA", S1876="GRADO ING. TECNOLOGÍAS INDUSTRIALES"), 24, 0)) + (IF(AND(K1876&gt;=451, K1876&lt;=700), 23, 0)) + (IF(AND(AB1876&gt;=5, AB1876&lt;=8), 17, 0)) +(IF(_xludf.OR(_xludf.AND(AC1876&gt;=8, AC1876&lt;=10), _xludf.AND(AC1876&gt;=0, AC1876&lt;=5)), 16, 0)) + (IF(F1876="Madrid", 11, 0))))</f>
        <v>#NAME?</v>
      </c>
      <c r="AG1876" s="69"/>
      <c r="AH1876" s="71" t="s">
        <v>164</v>
      </c>
    </row>
    <row r="1877" spans="1:51" ht="14.4" x14ac:dyDescent="0.3">
      <c r="A1877" s="66" t="s">
        <v>2858</v>
      </c>
      <c r="B1877" s="66" t="s">
        <v>4975</v>
      </c>
      <c r="C1877" s="33">
        <v>1875</v>
      </c>
      <c r="D1877" s="33" t="s">
        <v>5403</v>
      </c>
      <c r="E1877" s="34" t="s">
        <v>5251</v>
      </c>
      <c r="F1877" s="34" t="s">
        <v>18</v>
      </c>
      <c r="G1877" s="57">
        <v>45670</v>
      </c>
      <c r="H1877" s="57">
        <v>45850</v>
      </c>
      <c r="I1877" s="34">
        <f t="shared" si="88"/>
        <v>5</v>
      </c>
      <c r="J1877" s="34">
        <v>35</v>
      </c>
      <c r="K1877" s="36">
        <v>700</v>
      </c>
      <c r="L1877" s="34" t="s">
        <v>29</v>
      </c>
      <c r="M1877" s="35">
        <v>37042</v>
      </c>
      <c r="N1877" s="37">
        <f>(YEAR(TablaMadre[[#This Row],[ALTA]])-YEAR(M1877))</f>
        <v>24</v>
      </c>
      <c r="O1877" s="34" t="s">
        <v>18</v>
      </c>
      <c r="P1877" s="34" t="s">
        <v>19</v>
      </c>
      <c r="Q1877" s="34" t="s">
        <v>384</v>
      </c>
      <c r="R1877" s="34" t="s">
        <v>30</v>
      </c>
      <c r="S1877" s="34" t="s">
        <v>384</v>
      </c>
      <c r="T1877" s="34" t="s">
        <v>806</v>
      </c>
      <c r="U1877" s="34" t="str">
        <f>SUBSTITUTE($T1877, "INGUN", "/")</f>
        <v>N/A</v>
      </c>
      <c r="V1877" s="34" t="s">
        <v>22</v>
      </c>
      <c r="W1877" s="34" t="s">
        <v>28</v>
      </c>
      <c r="X1877" s="34" t="s">
        <v>173</v>
      </c>
      <c r="Y1877" s="57"/>
      <c r="Z1877" s="34" t="e">
        <f t="shared" si="89"/>
        <v>#NUM!</v>
      </c>
      <c r="AA1877" s="34"/>
      <c r="AB1877" s="34">
        <v>10</v>
      </c>
      <c r="AC1877" s="34">
        <v>10</v>
      </c>
      <c r="AD1877" s="34"/>
      <c r="AE1877" s="59" t="str">
        <f t="shared" si="90"/>
        <v>NO</v>
      </c>
      <c r="AF1877" s="38" t="e" cm="1">
        <f t="array" aca="1" ref="AF1877" ca="1">MIN(100, MAX(0, (IF(R1877="ESTUDIANTE", 31, 0)) + (IF(I1877&lt;=3, 30, IF(I1877&lt;=6, 20, 0))) +(IF(OR(E1877="413 - Control de Costes y Enlace Construcción", E1877="480 - Secretaría General del Consejo", E1877="132 - Civil y estructuras", E1877="136 - Mecánica", E1877="412 - Planificación", E1877="142 - Compras"), 25, 0)) +(IF(OR(S1877="GRADO ING. MECÁNICA", S1877="GRADO ING. ELÉCTRICA", S1877="GRADO DERECHO", S1877="GRADO ECONOMÍA", S1877="GRADO ING. TECNOLOGÍAS INDUSTRIALES"), 24, 0)) + (IF(AND(K1877&gt;=451, K1877&lt;=700), 23, 0)) + (IF(AND(AB1877&gt;=5, AB1877&lt;=8), 17, 0)) +(IF(_xludf.OR(_xludf.AND(AC1877&gt;=8, AC1877&lt;=10), _xludf.AND(AC1877&gt;=0, AC1877&lt;=5)), 16, 0)) + (IF(F1877="Madrid", 11, 0))))</f>
        <v>#NAME?</v>
      </c>
      <c r="AG1877" s="68"/>
      <c r="AH1877" s="71" t="s">
        <v>164</v>
      </c>
    </row>
    <row r="1878" spans="1:51" s="4" customFormat="1" ht="14.4" x14ac:dyDescent="0.3">
      <c r="A1878" s="66" t="s">
        <v>2861</v>
      </c>
      <c r="B1878" s="66" t="s">
        <v>4978</v>
      </c>
      <c r="C1878" s="33">
        <v>1878</v>
      </c>
      <c r="D1878" s="33" t="s">
        <v>5404</v>
      </c>
      <c r="E1878" s="34" t="s">
        <v>5323</v>
      </c>
      <c r="F1878" s="34" t="s">
        <v>118</v>
      </c>
      <c r="G1878" s="57">
        <v>45670</v>
      </c>
      <c r="H1878" s="57">
        <v>46034</v>
      </c>
      <c r="I1878" s="34">
        <f t="shared" si="88"/>
        <v>11</v>
      </c>
      <c r="J1878" s="34">
        <v>35</v>
      </c>
      <c r="K1878" s="36">
        <v>700</v>
      </c>
      <c r="L1878" s="34" t="s">
        <v>29</v>
      </c>
      <c r="M1878" s="39">
        <v>36257</v>
      </c>
      <c r="N1878" s="37">
        <f>(YEAR(TablaMadre[[#This Row],[ALTA]])-YEAR(M1878))</f>
        <v>26</v>
      </c>
      <c r="O1878" s="34" t="s">
        <v>118</v>
      </c>
      <c r="P1878" s="34" t="s">
        <v>19</v>
      </c>
      <c r="Q1878" s="34" t="s">
        <v>893</v>
      </c>
      <c r="R1878" s="34" t="s">
        <v>30</v>
      </c>
      <c r="S1878" s="34" t="s">
        <v>473</v>
      </c>
      <c r="T1878" s="34" t="s">
        <v>806</v>
      </c>
      <c r="U1878" s="34" t="str">
        <f>SUBSTITUTE($T1878, "INGUN", "/")</f>
        <v>N/A</v>
      </c>
      <c r="V1878" s="34" t="s">
        <v>37</v>
      </c>
      <c r="W1878" s="34" t="s">
        <v>28</v>
      </c>
      <c r="X1878" s="34" t="s">
        <v>173</v>
      </c>
      <c r="Y1878" s="34"/>
      <c r="Z1878" s="34" t="e">
        <f t="shared" si="89"/>
        <v>#NUM!</v>
      </c>
      <c r="AA1878" s="34"/>
      <c r="AB1878" s="34">
        <v>10</v>
      </c>
      <c r="AC1878" s="34">
        <v>9</v>
      </c>
      <c r="AD1878" s="34"/>
      <c r="AE1878" s="59" t="str">
        <f t="shared" si="90"/>
        <v>NO</v>
      </c>
      <c r="AF1878" s="34" t="e" cm="1">
        <f t="array" aca="1" ref="AF1878" ca="1">MIN(100, MAX(0, (IF(R1878="ESTUDIANTE", 31, 0)) + (IF(I1878&lt;=3, 30, IF(I1878&lt;=6, 20, 0))) +(IF(OR(E1878="413 - Control de Costes y Enlace Construcción", E1878="480 - Secretaría General del Consejo", E1878="132 - Civil y estructuras", E1878="136 - Mecánica", E1878="412 - Planificación", E1878="142 - Compras"), 25, 0)) +(IF(OR(S1878="GRADO ING. MECÁNICA", S1878="GRADO ING. ELÉCTRICA", S1878="GRADO DERECHO", S1878="GRADO ECONOMÍA", S1878="GRADO ING. TECNOLOGÍAS INDUSTRIALES"), 24, 0)) + (IF(AND(K1878&gt;=451, K1878&lt;=700), 23, 0)) + (IF(AND(AB1878&gt;=5, AB1878&lt;=8), 17, 0)) +(IF(_xludf.OR(_xludf.AND(AC1878&gt;=8, AC1878&lt;=10), _xludf.AND(AC1878&gt;=0, AC1878&lt;=5)), 16, 0)) + (IF(F1878="Madrid", 11, 0))))</f>
        <v>#NAME?</v>
      </c>
      <c r="AG1878" s="69"/>
      <c r="AH1878" s="71" t="s">
        <v>164</v>
      </c>
    </row>
    <row r="1879" spans="1:51" s="4" customFormat="1" ht="14.4" x14ac:dyDescent="0.3">
      <c r="A1879" s="66" t="s">
        <v>2862</v>
      </c>
      <c r="B1879" s="66" t="s">
        <v>4979</v>
      </c>
      <c r="C1879" s="33">
        <v>1879</v>
      </c>
      <c r="D1879" s="33" t="s">
        <v>5405</v>
      </c>
      <c r="E1879" s="34" t="s">
        <v>5377</v>
      </c>
      <c r="F1879" s="34" t="s">
        <v>18</v>
      </c>
      <c r="G1879" s="57">
        <v>45670</v>
      </c>
      <c r="H1879" s="57">
        <v>46034</v>
      </c>
      <c r="I1879" s="34">
        <f t="shared" si="88"/>
        <v>11</v>
      </c>
      <c r="J1879" s="34">
        <v>35</v>
      </c>
      <c r="K1879" s="36">
        <v>700</v>
      </c>
      <c r="L1879" s="34" t="s">
        <v>17</v>
      </c>
      <c r="M1879" s="39">
        <v>37616</v>
      </c>
      <c r="N1879" s="37">
        <f>(YEAR(TablaMadre[[#This Row],[ALTA]])-YEAR(M1879))</f>
        <v>23</v>
      </c>
      <c r="O1879" s="34" t="s">
        <v>18</v>
      </c>
      <c r="P1879" s="34" t="s">
        <v>19</v>
      </c>
      <c r="Q1879" s="34" t="s">
        <v>354</v>
      </c>
      <c r="R1879" s="34" t="s">
        <v>30</v>
      </c>
      <c r="S1879" s="34" t="s">
        <v>354</v>
      </c>
      <c r="T1879" s="34" t="s">
        <v>806</v>
      </c>
      <c r="U1879" s="34" t="str">
        <f>SUBSTITUTE($T1879, "INGUN", "/")</f>
        <v>N/A</v>
      </c>
      <c r="V1879" s="34" t="s">
        <v>114</v>
      </c>
      <c r="W1879" s="34" t="s">
        <v>28</v>
      </c>
      <c r="X1879" s="34" t="s">
        <v>173</v>
      </c>
      <c r="Y1879" s="34"/>
      <c r="Z1879" s="34" t="e">
        <f t="shared" si="89"/>
        <v>#NUM!</v>
      </c>
      <c r="AA1879" s="34"/>
      <c r="AB1879" s="34">
        <v>9</v>
      </c>
      <c r="AC1879" s="34">
        <v>9</v>
      </c>
      <c r="AD1879" s="34"/>
      <c r="AE1879" s="59" t="str">
        <f t="shared" si="90"/>
        <v>NO</v>
      </c>
      <c r="AF1879" s="34" t="e" cm="1">
        <f t="array" aca="1" ref="AF1879" ca="1">MIN(100, MAX(0, (IF(R1879="ESTUDIANTE", 31, 0)) + (IF(I1879&lt;=3, 30, IF(I1879&lt;=6, 20, 0))) +(IF(OR(E1879="413 - Control de Costes y Enlace Construcción", E1879="480 - Secretaría General del Consejo", E1879="132 - Civil y estructuras", E1879="136 - Mecánica", E1879="412 - Planificación", E1879="142 - Compras"), 25, 0)) +(IF(OR(S1879="GRADO ING. MECÁNICA", S1879="GRADO ING. ELÉCTRICA", S1879="GRADO DERECHO", S1879="GRADO ECONOMÍA", S1879="GRADO ING. TECNOLOGÍAS INDUSTRIALES"), 24, 0)) + (IF(AND(K1879&gt;=451, K1879&lt;=700), 23, 0)) + (IF(AND(AB1879&gt;=5, AB1879&lt;=8), 17, 0)) +(IF(_xludf.OR(_xludf.AND(AC1879&gt;=8, AC1879&lt;=10), _xludf.AND(AC1879&gt;=0, AC1879&lt;=5)), 16, 0)) + (IF(F1879="Madrid", 11, 0))))</f>
        <v>#NAME?</v>
      </c>
      <c r="AG1879" s="69"/>
      <c r="AH1879" s="71" t="s">
        <v>164</v>
      </c>
    </row>
    <row r="1880" spans="1:51" s="4" customFormat="1" ht="14.4" x14ac:dyDescent="0.3">
      <c r="A1880" s="66" t="s">
        <v>2864</v>
      </c>
      <c r="B1880" s="66" t="s">
        <v>4981</v>
      </c>
      <c r="C1880" s="33">
        <v>1874</v>
      </c>
      <c r="D1880" s="33" t="s">
        <v>5396</v>
      </c>
      <c r="E1880" s="34" t="s">
        <v>5339</v>
      </c>
      <c r="F1880" s="34" t="s">
        <v>18</v>
      </c>
      <c r="G1880" s="57">
        <v>45670</v>
      </c>
      <c r="H1880" s="57">
        <v>45850</v>
      </c>
      <c r="I1880" s="34">
        <f t="shared" si="88"/>
        <v>5</v>
      </c>
      <c r="J1880" s="34">
        <v>35</v>
      </c>
      <c r="K1880" s="36">
        <v>900</v>
      </c>
      <c r="L1880" s="34" t="s">
        <v>29</v>
      </c>
      <c r="M1880" s="35">
        <v>36482</v>
      </c>
      <c r="N1880" s="37">
        <f>(YEAR(TablaMadre[[#This Row],[ALTA]])-YEAR(M1880))</f>
        <v>26</v>
      </c>
      <c r="O1880" s="34" t="s">
        <v>808</v>
      </c>
      <c r="P1880" s="34" t="s">
        <v>808</v>
      </c>
      <c r="Q1880" s="34" t="s">
        <v>322</v>
      </c>
      <c r="R1880" s="34" t="s">
        <v>21</v>
      </c>
      <c r="S1880" s="34" t="s">
        <v>322</v>
      </c>
      <c r="T1880" s="34" t="s">
        <v>861</v>
      </c>
      <c r="U1880" s="34" t="s">
        <v>30</v>
      </c>
      <c r="V1880" s="34" t="s">
        <v>22</v>
      </c>
      <c r="W1880" s="34" t="s">
        <v>28</v>
      </c>
      <c r="X1880" s="34" t="s">
        <v>173</v>
      </c>
      <c r="Y1880" s="57"/>
      <c r="Z1880" s="34" t="e">
        <f t="shared" si="89"/>
        <v>#NUM!</v>
      </c>
      <c r="AA1880" s="34"/>
      <c r="AB1880" s="34">
        <v>4</v>
      </c>
      <c r="AC1880" s="34">
        <v>8</v>
      </c>
      <c r="AD1880" s="34"/>
      <c r="AE1880" s="59" t="str">
        <f t="shared" si="90"/>
        <v>SÍ</v>
      </c>
      <c r="AF1880" s="34" t="e" cm="1">
        <f t="array" aca="1" ref="AF1880" ca="1">MIN(100, MAX(0, (IF(R1880="ESTUDIANTE", 31, 0)) + (IF(I1880&lt;=3, 30, IF(I1880&lt;=6, 20, 0))) +(IF(OR(E1880="413 - Control de Costes y Enlace Construcción", E1880="480 - Secretaría General del Consejo", E1880="132 - Civil y estructuras", E1880="136 - Mecánica", E1880="412 - Planificación", E1880="142 - Compras"), 25, 0)) +(IF(OR(S1880="GRADO ING. MECÁNICA", S1880="GRADO ING. ELÉCTRICA", S1880="GRADO DERECHO", S1880="GRADO ECONOMÍA", S1880="GRADO ING. TECNOLOGÍAS INDUSTRIALES"), 24, 0)) + (IF(AND(K1880&gt;=451, K1880&lt;=700), 23, 0)) + (IF(AND(AB1880&gt;=5, AB1880&lt;=8), 17, 0)) +(IF(_xludf.OR(_xludf.AND(AC1880&gt;=8, AC1880&lt;=10), _xludf.AND(AC1880&gt;=0, AC1880&lt;=5)), 16, 0)) + (IF(F1880="Madrid", 11, 0))))</f>
        <v>#NAME?</v>
      </c>
      <c r="AG1880" s="69"/>
      <c r="AH1880" s="71" t="s">
        <v>164</v>
      </c>
    </row>
    <row r="1881" spans="1:51" ht="14.4" x14ac:dyDescent="0.3">
      <c r="A1881" s="66" t="s">
        <v>2720</v>
      </c>
      <c r="B1881" s="66" t="s">
        <v>4837</v>
      </c>
      <c r="C1881" s="33">
        <v>1880</v>
      </c>
      <c r="D1881" s="33" t="s">
        <v>5397</v>
      </c>
      <c r="E1881" s="34" t="s">
        <v>5378</v>
      </c>
      <c r="F1881" s="34" t="s">
        <v>273</v>
      </c>
      <c r="G1881" s="57">
        <v>45677</v>
      </c>
      <c r="H1881" s="57">
        <v>45857</v>
      </c>
      <c r="I1881" s="34">
        <f t="shared" si="88"/>
        <v>5</v>
      </c>
      <c r="J1881" s="34">
        <v>35</v>
      </c>
      <c r="K1881" s="36">
        <v>1200</v>
      </c>
      <c r="L1881" s="34" t="s">
        <v>17</v>
      </c>
      <c r="M1881" s="35">
        <v>36693</v>
      </c>
      <c r="N1881" s="37">
        <f>(YEAR(TablaMadre[[#This Row],[ALTA]])-YEAR(M1881))</f>
        <v>25</v>
      </c>
      <c r="O1881" s="34" t="s">
        <v>18</v>
      </c>
      <c r="P1881" s="34" t="s">
        <v>19</v>
      </c>
      <c r="Q1881" s="34" t="s">
        <v>322</v>
      </c>
      <c r="R1881" s="34" t="s">
        <v>21</v>
      </c>
      <c r="S1881" s="34" t="s">
        <v>322</v>
      </c>
      <c r="T1881" s="34" t="s">
        <v>823</v>
      </c>
      <c r="U1881" s="34" t="s">
        <v>30</v>
      </c>
      <c r="V1881" s="34" t="s">
        <v>137</v>
      </c>
      <c r="W1881" s="34" t="s">
        <v>380</v>
      </c>
      <c r="X1881" s="38" t="s">
        <v>173</v>
      </c>
      <c r="Y1881" s="62"/>
      <c r="Z1881" s="62" t="e">
        <f t="shared" si="89"/>
        <v>#NUM!</v>
      </c>
      <c r="AA1881" s="62"/>
      <c r="AB1881" s="34">
        <v>9</v>
      </c>
      <c r="AC1881" s="34"/>
      <c r="AD1881" s="38"/>
      <c r="AE1881" s="59" t="str">
        <f t="shared" si="90"/>
        <v>SÍ</v>
      </c>
      <c r="AF1881" s="38" t="e" cm="1">
        <f t="array" aca="1" ref="AF1881" ca="1">MIN(100, MAX(0, (IF(R1881="ESTUDIANTE", 31, 0)) + (IF(I1881&lt;=3, 30, IF(I1881&lt;=6, 20, 0))) +(IF(OR(E1881="413 - Control de Costes y Enlace Construcción", E1881="480 - Secretaría General del Consejo", E1881="132 - Civil y estructuras", E1881="136 - Mecánica", E1881="412 - Planificación", E1881="142 - Compras"), 25, 0)) +(IF(OR(S1881="GRADO ING. MECÁNICA", S1881="GRADO ING. ELÉCTRICA", S1881="GRADO DERECHO", S1881="GRADO ECONOMÍA", S1881="GRADO ING. TECNOLOGÍAS INDUSTRIALES"), 24, 0)) + (IF(AND(K1881&gt;=451, K1881&lt;=700), 23, 0)) + (IF(AND(AB1881&gt;=5, AB1881&lt;=8), 17, 0)) +(IF(_xludf.OR(_xludf.AND(AC1881&gt;=8, AC1881&lt;=10), _xludf.AND(AC1881&gt;=0, AC1881&lt;=5)), 16, 0)) + (IF(F1881="Madrid", 11, 0))))</f>
        <v>#NAME?</v>
      </c>
      <c r="AG1881" s="68"/>
      <c r="AH1881" s="71" t="s">
        <v>164</v>
      </c>
    </row>
    <row r="1882" spans="1:51" s="4" customFormat="1" ht="16.5" customHeight="1" x14ac:dyDescent="0.3">
      <c r="A1882" s="66" t="s">
        <v>2865</v>
      </c>
      <c r="B1882" s="66" t="s">
        <v>4982</v>
      </c>
      <c r="C1882" s="33">
        <v>1883</v>
      </c>
      <c r="D1882" s="33" t="s">
        <v>5393</v>
      </c>
      <c r="E1882" s="34" t="s">
        <v>5379</v>
      </c>
      <c r="F1882" s="34" t="s">
        <v>18</v>
      </c>
      <c r="G1882" s="57">
        <v>45677</v>
      </c>
      <c r="H1882" s="57">
        <v>46041</v>
      </c>
      <c r="I1882" s="34">
        <f t="shared" si="88"/>
        <v>11</v>
      </c>
      <c r="J1882" s="34">
        <v>35</v>
      </c>
      <c r="K1882" s="36">
        <v>800</v>
      </c>
      <c r="L1882" s="34" t="s">
        <v>17</v>
      </c>
      <c r="M1882" s="39">
        <v>37704</v>
      </c>
      <c r="N1882" s="37">
        <f>(YEAR(TablaMadre[[#This Row],[ALTA]])-YEAR(M1882))</f>
        <v>22</v>
      </c>
      <c r="O1882" s="34" t="s">
        <v>18</v>
      </c>
      <c r="P1882" s="34" t="s">
        <v>19</v>
      </c>
      <c r="Q1882" s="34" t="s">
        <v>895</v>
      </c>
      <c r="R1882" s="34" t="s">
        <v>21</v>
      </c>
      <c r="S1882" s="34" t="s">
        <v>896</v>
      </c>
      <c r="T1882" s="34" t="s">
        <v>806</v>
      </c>
      <c r="U1882" s="34" t="str">
        <f>SUBSTITUTE($T1882, "INGUN", "/")</f>
        <v>N/A</v>
      </c>
      <c r="V1882" s="34" t="s">
        <v>84</v>
      </c>
      <c r="W1882" s="34" t="s">
        <v>28</v>
      </c>
      <c r="X1882" s="34" t="s">
        <v>173</v>
      </c>
      <c r="Y1882" s="34"/>
      <c r="Z1882" s="34" t="e">
        <f t="shared" si="89"/>
        <v>#NUM!</v>
      </c>
      <c r="AA1882" s="34"/>
      <c r="AB1882" s="34">
        <v>9</v>
      </c>
      <c r="AC1882" s="34">
        <v>10</v>
      </c>
      <c r="AD1882" s="34"/>
      <c r="AE1882" s="59" t="str">
        <f t="shared" si="90"/>
        <v>NO</v>
      </c>
      <c r="AF1882" s="34" t="e" cm="1">
        <f t="array" aca="1" ref="AF1882" ca="1">MIN(100, MAX(0, (IF(R1882="ESTUDIANTE", 31, 0)) + (IF(I1882&lt;=3, 30, IF(I1882&lt;=6, 20, 0))) +(IF(OR(E1882="413 - Control de Costes y Enlace Construcción", E1882="480 - Secretaría General del Consejo", E1882="132 - Civil y estructuras", E1882="136 - Mecánica", E1882="412 - Planificación", E1882="142 - Compras"), 25, 0)) +(IF(OR(S1882="GRADO ING. MECÁNICA", S1882="GRADO ING. ELÉCTRICA", S1882="GRADO DERECHO", S1882="GRADO ECONOMÍA", S1882="GRADO ING. TECNOLOGÍAS INDUSTRIALES"), 24, 0)) + (IF(AND(K1882&gt;=451, K1882&lt;=700), 23, 0)) + (IF(AND(AB1882&gt;=5, AB1882&lt;=8), 17, 0)) +(IF(_xludf.OR(_xludf.AND(AC1882&gt;=8, AC1882&lt;=10), _xludf.AND(AC1882&gt;=0, AC1882&lt;=5)), 16, 0)) + (IF(F1882="Madrid", 11, 0))))</f>
        <v>#NAME?</v>
      </c>
      <c r="AG1882" s="69"/>
      <c r="AH1882" s="71" t="s">
        <v>164</v>
      </c>
    </row>
    <row r="1883" spans="1:51" s="4" customFormat="1" ht="14.4" x14ac:dyDescent="0.3">
      <c r="A1883" s="66" t="s">
        <v>2866</v>
      </c>
      <c r="B1883" s="66" t="s">
        <v>4983</v>
      </c>
      <c r="C1883" s="33">
        <v>1881</v>
      </c>
      <c r="D1883" s="33" t="s">
        <v>5394</v>
      </c>
      <c r="E1883" s="34" t="s">
        <v>5216</v>
      </c>
      <c r="F1883" s="34" t="s">
        <v>18</v>
      </c>
      <c r="G1883" s="57">
        <v>45677</v>
      </c>
      <c r="H1883" s="57">
        <v>45857</v>
      </c>
      <c r="I1883" s="34">
        <f t="shared" si="88"/>
        <v>5</v>
      </c>
      <c r="J1883" s="34">
        <v>35</v>
      </c>
      <c r="K1883" s="36">
        <v>650</v>
      </c>
      <c r="L1883" s="34" t="s">
        <v>29</v>
      </c>
      <c r="M1883" s="35">
        <v>32356</v>
      </c>
      <c r="N1883" s="37">
        <f>(YEAR(TablaMadre[[#This Row],[ALTA]])-YEAR(M1883))</f>
        <v>37</v>
      </c>
      <c r="O1883" s="34" t="s">
        <v>302</v>
      </c>
      <c r="P1883" s="34" t="s">
        <v>19</v>
      </c>
      <c r="Q1883" s="34" t="s">
        <v>862</v>
      </c>
      <c r="R1883" s="58" t="s">
        <v>30</v>
      </c>
      <c r="S1883" s="34" t="s">
        <v>26</v>
      </c>
      <c r="T1883" s="34" t="s">
        <v>806</v>
      </c>
      <c r="U1883" s="34" t="str">
        <f>SUBSTITUTE($T1883, "INGUN", "/")</f>
        <v>N/A</v>
      </c>
      <c r="V1883" s="34" t="s">
        <v>27</v>
      </c>
      <c r="W1883" s="34" t="s">
        <v>28</v>
      </c>
      <c r="X1883" s="34" t="s">
        <v>173</v>
      </c>
      <c r="Y1883" s="57"/>
      <c r="Z1883" s="34" t="e">
        <f t="shared" si="89"/>
        <v>#NUM!</v>
      </c>
      <c r="AA1883" s="34"/>
      <c r="AB1883" s="34">
        <v>9</v>
      </c>
      <c r="AC1883" s="34">
        <v>8</v>
      </c>
      <c r="AD1883" s="34"/>
      <c r="AE1883" s="59" t="str">
        <f t="shared" si="90"/>
        <v>SÍ</v>
      </c>
      <c r="AF1883" s="38" t="e" cm="1">
        <f t="array" aca="1" ref="AF1883" ca="1">MIN(100, MAX(0, (IF(R1883="ESTUDIANTE", 31, 0)) + (IF(I1883&lt;=3, 30, IF(I1883&lt;=6, 20, 0))) +(IF(OR(E1883="413 - Control de Costes y Enlace Construcción", E1883="480 - Secretaría General del Consejo", E1883="132 - Civil y estructuras", E1883="136 - Mecánica", E1883="412 - Planificación", E1883="142 - Compras"), 25, 0)) +(IF(OR(S1883="GRADO ING. MECÁNICA", S1883="GRADO ING. ELÉCTRICA", S1883="GRADO DERECHO", S1883="GRADO ECONOMÍA", S1883="GRADO ING. TECNOLOGÍAS INDUSTRIALES"), 24, 0)) + (IF(AND(K1883&gt;=451, K1883&lt;=700), 23, 0)) + (IF(AND(AB1883&gt;=5, AB1883&lt;=8), 17, 0)) +(IF(_xludf.OR(_xludf.AND(AC1883&gt;=8, AC1883&lt;=10), _xludf.AND(AC1883&gt;=0, AC1883&lt;=5)), 16, 0)) + (IF(F1883="Madrid", 11, 0))))</f>
        <v>#NAME?</v>
      </c>
      <c r="AG1883" s="68"/>
      <c r="AH1883" s="71" t="s">
        <v>164</v>
      </c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</row>
    <row r="1884" spans="1:51" s="4" customFormat="1" ht="14.4" x14ac:dyDescent="0.3">
      <c r="A1884" s="66" t="s">
        <v>2869</v>
      </c>
      <c r="B1884" s="66" t="s">
        <v>4986</v>
      </c>
      <c r="C1884" s="33">
        <v>1882</v>
      </c>
      <c r="D1884" s="33" t="s">
        <v>5395</v>
      </c>
      <c r="E1884" s="34" t="s">
        <v>5368</v>
      </c>
      <c r="F1884" s="34" t="s">
        <v>18</v>
      </c>
      <c r="G1884" s="57">
        <v>45677</v>
      </c>
      <c r="H1884" s="57">
        <v>46041</v>
      </c>
      <c r="I1884" s="34">
        <f t="shared" si="88"/>
        <v>11</v>
      </c>
      <c r="J1884" s="34">
        <v>35</v>
      </c>
      <c r="K1884" s="36">
        <v>700</v>
      </c>
      <c r="L1884" s="34" t="s">
        <v>17</v>
      </c>
      <c r="M1884" s="35">
        <v>37244</v>
      </c>
      <c r="N1884" s="37">
        <f>(YEAR(TablaMadre[[#This Row],[ALTA]])-YEAR(M1884))</f>
        <v>24</v>
      </c>
      <c r="O1884" s="34" t="s">
        <v>205</v>
      </c>
      <c r="P1884" s="34" t="s">
        <v>19</v>
      </c>
      <c r="Q1884" s="34" t="s">
        <v>627</v>
      </c>
      <c r="R1884" s="34" t="s">
        <v>30</v>
      </c>
      <c r="S1884" s="34" t="s">
        <v>627</v>
      </c>
      <c r="T1884" s="34" t="s">
        <v>806</v>
      </c>
      <c r="U1884" s="34" t="str">
        <f>SUBSTITUTE($T1884, "INGUN", "/")</f>
        <v>N/A</v>
      </c>
      <c r="V1884" s="34" t="s">
        <v>182</v>
      </c>
      <c r="W1884" s="34" t="s">
        <v>28</v>
      </c>
      <c r="X1884" s="38" t="s">
        <v>173</v>
      </c>
      <c r="Y1884" s="38"/>
      <c r="Z1884" s="38" t="e">
        <f t="shared" si="89"/>
        <v>#NUM!</v>
      </c>
      <c r="AA1884" s="38"/>
      <c r="AB1884" s="34">
        <v>10</v>
      </c>
      <c r="AC1884" s="34">
        <v>7</v>
      </c>
      <c r="AD1884" s="38"/>
      <c r="AE1884" s="59" t="str">
        <f t="shared" si="90"/>
        <v>SÍ</v>
      </c>
      <c r="AF1884" s="34" t="e" cm="1">
        <f t="array" aca="1" ref="AF1884" ca="1">MIN(100, MAX(0, (IF(R1884="ESTUDIANTE", 31, 0)) + (IF(I1884&lt;=3, 30, IF(I1884&lt;=6, 20, 0))) +(IF(OR(E1884="413 - Control de Costes y Enlace Construcción", E1884="480 - Secretaría General del Consejo", E1884="132 - Civil y estructuras", E1884="136 - Mecánica", E1884="412 - Planificación", E1884="142 - Compras"), 25, 0)) +(IF(OR(S1884="GRADO ING. MECÁNICA", S1884="GRADO ING. ELÉCTRICA", S1884="GRADO DERECHO", S1884="GRADO ECONOMÍA", S1884="GRADO ING. TECNOLOGÍAS INDUSTRIALES"), 24, 0)) + (IF(AND(K1884&gt;=451, K1884&lt;=700), 23, 0)) + (IF(AND(AB1884&gt;=5, AB1884&lt;=8), 17, 0)) +(IF(_xludf.OR(_xludf.AND(AC1884&gt;=8, AC1884&lt;=10), _xludf.AND(AC1884&gt;=0, AC1884&lt;=5)), 16, 0)) + (IF(F1884="Madrid", 11, 0))))</f>
        <v>#NAME?</v>
      </c>
      <c r="AG1884" s="69"/>
      <c r="AH1884" s="71" t="s">
        <v>164</v>
      </c>
    </row>
    <row r="1885" spans="1:51" ht="14.4" x14ac:dyDescent="0.3">
      <c r="A1885" s="66" t="s">
        <v>2721</v>
      </c>
      <c r="B1885" s="66" t="s">
        <v>4838</v>
      </c>
      <c r="C1885" s="33">
        <v>1884</v>
      </c>
      <c r="D1885" s="33" t="s">
        <v>5396</v>
      </c>
      <c r="E1885" s="34" t="s">
        <v>5313</v>
      </c>
      <c r="F1885" s="34" t="s">
        <v>18</v>
      </c>
      <c r="G1885" s="57">
        <v>45684</v>
      </c>
      <c r="H1885" s="57">
        <v>45754</v>
      </c>
      <c r="I1885" s="34">
        <f t="shared" si="88"/>
        <v>2</v>
      </c>
      <c r="J1885" s="34">
        <v>30</v>
      </c>
      <c r="K1885" s="36">
        <v>600</v>
      </c>
      <c r="L1885" s="34" t="s">
        <v>17</v>
      </c>
      <c r="M1885" s="39">
        <v>37766</v>
      </c>
      <c r="N1885" s="37">
        <f>(YEAR(TablaMadre[[#This Row],[ALTA]])-YEAR(M1885))</f>
        <v>22</v>
      </c>
      <c r="O1885" s="34" t="s">
        <v>18</v>
      </c>
      <c r="P1885" s="34" t="s">
        <v>19</v>
      </c>
      <c r="Q1885" s="34" t="s">
        <v>825</v>
      </c>
      <c r="R1885" s="58" t="s">
        <v>30</v>
      </c>
      <c r="S1885" s="34" t="s">
        <v>627</v>
      </c>
      <c r="T1885" s="34" t="s">
        <v>806</v>
      </c>
      <c r="U1885" s="34" t="str">
        <f>SUBSTITUTE($T1885, "INGUN", "/")</f>
        <v>N/A</v>
      </c>
      <c r="V1885" s="34" t="s">
        <v>182</v>
      </c>
      <c r="W1885" s="34" t="s">
        <v>181</v>
      </c>
      <c r="X1885" s="38" t="s">
        <v>164</v>
      </c>
      <c r="Y1885" s="62"/>
      <c r="Z1885" s="62" t="e">
        <f t="shared" si="89"/>
        <v>#NUM!</v>
      </c>
      <c r="AA1885" s="62"/>
      <c r="AB1885" s="34"/>
      <c r="AC1885" s="34">
        <v>10</v>
      </c>
      <c r="AD1885" s="38"/>
      <c r="AE1885" s="59" t="str">
        <f t="shared" si="90"/>
        <v>NO</v>
      </c>
      <c r="AF1885" s="38" t="e" cm="1">
        <f t="array" aca="1" ref="AF1885" ca="1">MIN(100, MAX(0, (IF(R1885="ESTUDIANTE", 31, 0)) + (IF(I1885&lt;=3, 30, IF(I1885&lt;=6, 20, 0))) +(IF(OR(E1885="413 - Control de Costes y Enlace Construcción", E1885="480 - Secretaría General del Consejo", E1885="132 - Civil y estructuras", E1885="136 - Mecánica", E1885="412 - Planificación", E1885="142 - Compras"), 25, 0)) +(IF(OR(S1885="GRADO ING. MECÁNICA", S1885="GRADO ING. ELÉCTRICA", S1885="GRADO DERECHO", S1885="GRADO ECONOMÍA", S1885="GRADO ING. TECNOLOGÍAS INDUSTRIALES"), 24, 0)) + (IF(AND(K1885&gt;=451, K1885&lt;=700), 23, 0)) + (IF(AND(AB1885&gt;=5, AB1885&lt;=8), 17, 0)) +(IF(_xludf.OR(_xludf.AND(AC1885&gt;=8, AC1885&lt;=10), _xludf.AND(AC1885&gt;=0, AC1885&lt;=5)), 16, 0)) + (IF(F1885="Madrid", 11, 0))))</f>
        <v>#NAME?</v>
      </c>
      <c r="AG1885" s="68"/>
      <c r="AH1885" s="71" t="s">
        <v>164</v>
      </c>
    </row>
    <row r="1886" spans="1:51" s="4" customFormat="1" ht="14.4" x14ac:dyDescent="0.3">
      <c r="A1886" s="66" t="s">
        <v>2872</v>
      </c>
      <c r="B1886" s="66" t="s">
        <v>4989</v>
      </c>
      <c r="C1886" s="33">
        <v>1885</v>
      </c>
      <c r="D1886" s="33" t="s">
        <v>5397</v>
      </c>
      <c r="E1886" s="34" t="s">
        <v>5313</v>
      </c>
      <c r="F1886" s="34" t="s">
        <v>18</v>
      </c>
      <c r="G1886" s="57">
        <v>45684</v>
      </c>
      <c r="H1886" s="57">
        <v>45864</v>
      </c>
      <c r="I1886" s="34">
        <f t="shared" si="88"/>
        <v>5</v>
      </c>
      <c r="J1886" s="34">
        <v>20</v>
      </c>
      <c r="K1886" s="36">
        <v>500</v>
      </c>
      <c r="L1886" s="34" t="s">
        <v>17</v>
      </c>
      <c r="M1886" s="35">
        <v>36794</v>
      </c>
      <c r="N1886" s="37">
        <f>(YEAR(TablaMadre[[#This Row],[ALTA]])-YEAR(M1886))</f>
        <v>25</v>
      </c>
      <c r="O1886" s="34" t="s">
        <v>118</v>
      </c>
      <c r="P1886" s="34" t="s">
        <v>19</v>
      </c>
      <c r="Q1886" s="34" t="s">
        <v>869</v>
      </c>
      <c r="R1886" s="58" t="s">
        <v>30</v>
      </c>
      <c r="S1886" s="34" t="s">
        <v>151</v>
      </c>
      <c r="T1886" s="34" t="s">
        <v>870</v>
      </c>
      <c r="U1886" s="34" t="s">
        <v>30</v>
      </c>
      <c r="V1886" s="34" t="s">
        <v>22</v>
      </c>
      <c r="W1886" s="34" t="s">
        <v>28</v>
      </c>
      <c r="X1886" s="34" t="s">
        <v>173</v>
      </c>
      <c r="Y1886" s="57"/>
      <c r="Z1886" s="34" t="e">
        <f t="shared" si="89"/>
        <v>#NUM!</v>
      </c>
      <c r="AA1886" s="34"/>
      <c r="AB1886" s="34">
        <v>9</v>
      </c>
      <c r="AC1886" s="34">
        <v>10</v>
      </c>
      <c r="AD1886" s="34"/>
      <c r="AE1886" s="59" t="str">
        <f t="shared" si="90"/>
        <v>SÍ</v>
      </c>
      <c r="AF1886" s="34" t="e" cm="1">
        <f t="array" aca="1" ref="AF1886" ca="1">MIN(100, MAX(0, (IF(R1886="ESTUDIANTE", 31, 0)) + (IF(I1886&lt;=3, 30, IF(I1886&lt;=6, 20, 0))) +(IF(OR(E1886="413 - Control de Costes y Enlace Construcción", E1886="480 - Secretaría General del Consejo", E1886="132 - Civil y estructuras", E1886="136 - Mecánica", E1886="412 - Planificación", E1886="142 - Compras"), 25, 0)) +(IF(OR(S1886="GRADO ING. MECÁNICA", S1886="GRADO ING. ELÉCTRICA", S1886="GRADO DERECHO", S1886="GRADO ECONOMÍA", S1886="GRADO ING. TECNOLOGÍAS INDUSTRIALES"), 24, 0)) + (IF(AND(K1886&gt;=451, K1886&lt;=700), 23, 0)) + (IF(AND(AB1886&gt;=5, AB1886&lt;=8), 17, 0)) +(IF(_xludf.OR(_xludf.AND(AC1886&gt;=8, AC1886&lt;=10), _xludf.AND(AC1886&gt;=0, AC1886&lt;=5)), 16, 0)) + (IF(F1886="Madrid", 11, 0))))</f>
        <v>#NAME?</v>
      </c>
      <c r="AG1886" s="69"/>
      <c r="AH1886" s="71" t="s">
        <v>164</v>
      </c>
    </row>
    <row r="1887" spans="1:51" s="4" customFormat="1" ht="14.4" x14ac:dyDescent="0.3">
      <c r="A1887" s="66" t="s">
        <v>2876</v>
      </c>
      <c r="B1887" s="66" t="s">
        <v>4993</v>
      </c>
      <c r="C1887" s="33">
        <v>1886</v>
      </c>
      <c r="D1887" s="33" t="s">
        <v>5398</v>
      </c>
      <c r="E1887" s="34" t="s">
        <v>5313</v>
      </c>
      <c r="F1887" s="34" t="s">
        <v>18</v>
      </c>
      <c r="G1887" s="57">
        <v>45684</v>
      </c>
      <c r="H1887" s="57">
        <v>45864</v>
      </c>
      <c r="I1887" s="34">
        <f t="shared" si="88"/>
        <v>5</v>
      </c>
      <c r="J1887" s="34">
        <v>35</v>
      </c>
      <c r="K1887" s="36">
        <v>900</v>
      </c>
      <c r="L1887" s="34" t="s">
        <v>17</v>
      </c>
      <c r="M1887" s="35">
        <v>36920</v>
      </c>
      <c r="N1887" s="37">
        <f>(YEAR(TablaMadre[[#This Row],[ALTA]])-YEAR(M1887))</f>
        <v>24</v>
      </c>
      <c r="O1887" s="34" t="s">
        <v>273</v>
      </c>
      <c r="P1887" s="34" t="s">
        <v>19</v>
      </c>
      <c r="Q1887" s="34" t="s">
        <v>297</v>
      </c>
      <c r="R1887" s="34" t="s">
        <v>21</v>
      </c>
      <c r="S1887" s="34" t="s">
        <v>297</v>
      </c>
      <c r="T1887" s="34" t="s">
        <v>806</v>
      </c>
      <c r="U1887" s="34" t="str">
        <f>SUBSTITUTE($T1887, "INGUN", "/")</f>
        <v>N/A</v>
      </c>
      <c r="V1887" s="34" t="s">
        <v>84</v>
      </c>
      <c r="W1887" s="34" t="s">
        <v>28</v>
      </c>
      <c r="X1887" s="34" t="s">
        <v>173</v>
      </c>
      <c r="Y1887" s="57"/>
      <c r="Z1887" s="34" t="e">
        <f t="shared" si="89"/>
        <v>#NUM!</v>
      </c>
      <c r="AA1887" s="34"/>
      <c r="AB1887" s="34">
        <v>9</v>
      </c>
      <c r="AC1887" s="34">
        <v>9</v>
      </c>
      <c r="AD1887" s="34"/>
      <c r="AE1887" s="59" t="str">
        <f t="shared" si="90"/>
        <v>SÍ</v>
      </c>
      <c r="AF1887" s="34" t="e" cm="1">
        <f t="array" aca="1" ref="AF1887" ca="1">MIN(100, MAX(0, (IF(R1887="ESTUDIANTE", 31, 0)) + (IF(I1887&lt;=3, 30, IF(I1887&lt;=6, 20, 0))) +(IF(OR(E1887="413 - Control de Costes y Enlace Construcción", E1887="480 - Secretaría General del Consejo", E1887="132 - Civil y estructuras", E1887="136 - Mecánica", E1887="412 - Planificación", E1887="142 - Compras"), 25, 0)) +(IF(OR(S1887="GRADO ING. MECÁNICA", S1887="GRADO ING. ELÉCTRICA", S1887="GRADO DERECHO", S1887="GRADO ECONOMÍA", S1887="GRADO ING. TECNOLOGÍAS INDUSTRIALES"), 24, 0)) + (IF(AND(K1887&gt;=451, K1887&lt;=700), 23, 0)) + (IF(AND(AB1887&gt;=5, AB1887&lt;=8), 17, 0)) +(IF(_xludf.OR(_xludf.AND(AC1887&gt;=8, AC1887&lt;=10), _xludf.AND(AC1887&gt;=0, AC1887&lt;=5)), 16, 0)) + (IF(F1887="Madrid", 11, 0))))</f>
        <v>#NAME?</v>
      </c>
      <c r="AG1887" s="69"/>
      <c r="AH1887" s="71" t="s">
        <v>164</v>
      </c>
    </row>
    <row r="1888" spans="1:51" s="4" customFormat="1" ht="14.4" x14ac:dyDescent="0.3">
      <c r="A1888" s="66" t="s">
        <v>2877</v>
      </c>
      <c r="B1888" s="66" t="s">
        <v>4994</v>
      </c>
      <c r="C1888" s="33">
        <v>1887</v>
      </c>
      <c r="D1888" s="33" t="s">
        <v>5399</v>
      </c>
      <c r="E1888" s="34" t="s">
        <v>5368</v>
      </c>
      <c r="F1888" s="34" t="s">
        <v>18</v>
      </c>
      <c r="G1888" s="57">
        <v>45684</v>
      </c>
      <c r="H1888" s="57">
        <v>46048</v>
      </c>
      <c r="I1888" s="34">
        <f t="shared" si="88"/>
        <v>11</v>
      </c>
      <c r="J1888" s="34">
        <v>35</v>
      </c>
      <c r="K1888" s="36">
        <v>700</v>
      </c>
      <c r="L1888" s="34" t="s">
        <v>17</v>
      </c>
      <c r="M1888" s="39">
        <v>37545</v>
      </c>
      <c r="N1888" s="37">
        <f>(YEAR(TablaMadre[[#This Row],[ALTA]])-YEAR(M1888))</f>
        <v>23</v>
      </c>
      <c r="O1888" s="34" t="s">
        <v>18</v>
      </c>
      <c r="P1888" s="34" t="s">
        <v>19</v>
      </c>
      <c r="Q1888" s="34" t="s">
        <v>326</v>
      </c>
      <c r="R1888" s="34" t="s">
        <v>30</v>
      </c>
      <c r="S1888" s="34" t="s">
        <v>326</v>
      </c>
      <c r="T1888" s="34" t="s">
        <v>806</v>
      </c>
      <c r="U1888" s="34" t="str">
        <f>SUBSTITUTE($T1888, "INGUN", "/")</f>
        <v>N/A</v>
      </c>
      <c r="V1888" s="34" t="s">
        <v>22</v>
      </c>
      <c r="W1888" s="34" t="s">
        <v>28</v>
      </c>
      <c r="X1888" s="34" t="s">
        <v>173</v>
      </c>
      <c r="Y1888" s="34"/>
      <c r="Z1888" s="34" t="e">
        <f t="shared" si="89"/>
        <v>#NUM!</v>
      </c>
      <c r="AA1888" s="34"/>
      <c r="AB1888" s="34">
        <v>8</v>
      </c>
      <c r="AC1888" s="34">
        <v>8</v>
      </c>
      <c r="AD1888" s="34"/>
      <c r="AE1888" s="59" t="str">
        <f t="shared" si="90"/>
        <v>NO</v>
      </c>
      <c r="AF1888" s="34" t="e" cm="1">
        <f t="array" aca="1" ref="AF1888" ca="1">MIN(100, MAX(0, (IF(R1888="ESTUDIANTE", 31, 0)) + (IF(I1888&lt;=3, 30, IF(I1888&lt;=6, 20, 0))) +(IF(OR(E1888="413 - Control de Costes y Enlace Construcción", E1888="480 - Secretaría General del Consejo", E1888="132 - Civil y estructuras", E1888="136 - Mecánica", E1888="412 - Planificación", E1888="142 - Compras"), 25, 0)) +(IF(OR(S1888="GRADO ING. MECÁNICA", S1888="GRADO ING. ELÉCTRICA", S1888="GRADO DERECHO", S1888="GRADO ECONOMÍA", S1888="GRADO ING. TECNOLOGÍAS INDUSTRIALES"), 24, 0)) + (IF(AND(K1888&gt;=451, K1888&lt;=700), 23, 0)) + (IF(AND(AB1888&gt;=5, AB1888&lt;=8), 17, 0)) +(IF(_xludf.OR(_xludf.AND(AC1888&gt;=8, AC1888&lt;=10), _xludf.AND(AC1888&gt;=0, AC1888&lt;=5)), 16, 0)) + (IF(F1888="Madrid", 11, 0))))</f>
        <v>#NAME?</v>
      </c>
      <c r="AG1888" s="69"/>
      <c r="AH1888" s="71" t="s">
        <v>164</v>
      </c>
    </row>
    <row r="1889" spans="1:51" ht="14.4" x14ac:dyDescent="0.3">
      <c r="A1889" s="66" t="s">
        <v>2722</v>
      </c>
      <c r="B1889" s="66" t="s">
        <v>4839</v>
      </c>
      <c r="C1889" s="33">
        <v>1888</v>
      </c>
      <c r="D1889" s="33" t="s">
        <v>5400</v>
      </c>
      <c r="E1889" s="34" t="s">
        <v>5314</v>
      </c>
      <c r="F1889" s="34" t="s">
        <v>18</v>
      </c>
      <c r="G1889" s="57">
        <v>45687</v>
      </c>
      <c r="H1889" s="57">
        <v>45771</v>
      </c>
      <c r="I1889" s="34">
        <f t="shared" si="88"/>
        <v>2</v>
      </c>
      <c r="J1889" s="34">
        <v>35</v>
      </c>
      <c r="K1889" s="36">
        <v>700</v>
      </c>
      <c r="L1889" s="34" t="s">
        <v>17</v>
      </c>
      <c r="M1889" s="35">
        <v>37375</v>
      </c>
      <c r="N1889" s="37">
        <f>(YEAR(TablaMadre[[#This Row],[ALTA]])-YEAR(M1889))</f>
        <v>23</v>
      </c>
      <c r="O1889" s="34" t="s">
        <v>18</v>
      </c>
      <c r="P1889" s="34" t="s">
        <v>19</v>
      </c>
      <c r="Q1889" s="34" t="s">
        <v>306</v>
      </c>
      <c r="R1889" s="34" t="s">
        <v>30</v>
      </c>
      <c r="S1889" s="34" t="s">
        <v>307</v>
      </c>
      <c r="T1889" s="34" t="s">
        <v>806</v>
      </c>
      <c r="U1889" s="34" t="str">
        <f>SUBSTITUTE($T1889, "INGUN", "/")</f>
        <v>N/A</v>
      </c>
      <c r="V1889" s="34" t="s">
        <v>22</v>
      </c>
      <c r="W1889" s="34" t="s">
        <v>91</v>
      </c>
      <c r="X1889" s="38" t="s">
        <v>164</v>
      </c>
      <c r="Y1889" s="62"/>
      <c r="Z1889" s="62" t="e">
        <f t="shared" si="89"/>
        <v>#NUM!</v>
      </c>
      <c r="AA1889" s="62"/>
      <c r="AB1889" s="34"/>
      <c r="AC1889" s="34">
        <v>9</v>
      </c>
      <c r="AD1889" s="38"/>
      <c r="AE1889" s="59" t="str">
        <f t="shared" si="90"/>
        <v>NO</v>
      </c>
      <c r="AF1889" s="38" t="e" cm="1">
        <f t="array" aca="1" ref="AF1889" ca="1">MIN(100, MAX(0, (IF(R1889="ESTUDIANTE", 31, 0)) + (IF(I1889&lt;=3, 30, IF(I1889&lt;=6, 20, 0))) +(IF(OR(E1889="413 - Control de Costes y Enlace Construcción", E1889="480 - Secretaría General del Consejo", E1889="132 - Civil y estructuras", E1889="136 - Mecánica", E1889="412 - Planificación", E1889="142 - Compras"), 25, 0)) +(IF(OR(S1889="GRADO ING. MECÁNICA", S1889="GRADO ING. ELÉCTRICA", S1889="GRADO DERECHO", S1889="GRADO ECONOMÍA", S1889="GRADO ING. TECNOLOGÍAS INDUSTRIALES"), 24, 0)) + (IF(AND(K1889&gt;=451, K1889&lt;=700), 23, 0)) + (IF(AND(AB1889&gt;=5, AB1889&lt;=8), 17, 0)) +(IF(_xludf.OR(_xludf.AND(AC1889&gt;=8, AC1889&lt;=10), _xludf.AND(AC1889&gt;=0, AC1889&lt;=5)), 16, 0)) + (IF(F1889="Madrid", 11, 0))))</f>
        <v>#NAME?</v>
      </c>
      <c r="AG1889" s="68"/>
      <c r="AH1889" s="71" t="s">
        <v>164</v>
      </c>
    </row>
    <row r="1890" spans="1:51" s="4" customFormat="1" ht="14.4" x14ac:dyDescent="0.3">
      <c r="A1890" s="66" t="s">
        <v>2725</v>
      </c>
      <c r="B1890" s="66" t="s">
        <v>4842</v>
      </c>
      <c r="C1890" s="33">
        <v>1896</v>
      </c>
      <c r="D1890" s="33" t="s">
        <v>5401</v>
      </c>
      <c r="E1890" s="34" t="s">
        <v>5222</v>
      </c>
      <c r="F1890" s="34" t="s">
        <v>558</v>
      </c>
      <c r="G1890" s="57">
        <v>45691</v>
      </c>
      <c r="H1890" s="57">
        <v>45869</v>
      </c>
      <c r="I1890" s="34">
        <f t="shared" si="88"/>
        <v>5</v>
      </c>
      <c r="J1890" s="34">
        <v>35</v>
      </c>
      <c r="K1890" s="36">
        <v>1200</v>
      </c>
      <c r="L1890" s="34" t="s">
        <v>29</v>
      </c>
      <c r="M1890" s="35">
        <v>36372</v>
      </c>
      <c r="N1890" s="37">
        <f>(YEAR(TablaMadre[[#This Row],[ALTA]])-YEAR(M1890))</f>
        <v>26</v>
      </c>
      <c r="O1890" s="34" t="s">
        <v>525</v>
      </c>
      <c r="P1890" s="34" t="s">
        <v>19</v>
      </c>
      <c r="Q1890" s="34" t="s">
        <v>297</v>
      </c>
      <c r="R1890" s="34" t="s">
        <v>21</v>
      </c>
      <c r="S1890" s="34" t="s">
        <v>297</v>
      </c>
      <c r="T1890" s="34" t="s">
        <v>820</v>
      </c>
      <c r="U1890" s="34" t="s">
        <v>30</v>
      </c>
      <c r="V1890" s="34" t="s">
        <v>79</v>
      </c>
      <c r="W1890" s="34" t="s">
        <v>23</v>
      </c>
      <c r="X1890" s="38" t="s">
        <v>164</v>
      </c>
      <c r="Y1890" s="62"/>
      <c r="Z1890" s="62" t="e">
        <f t="shared" si="89"/>
        <v>#NUM!</v>
      </c>
      <c r="AA1890" s="62"/>
      <c r="AB1890" s="34">
        <v>5</v>
      </c>
      <c r="AC1890" s="34">
        <v>6</v>
      </c>
      <c r="AD1890" s="38"/>
      <c r="AE1890" s="59" t="str">
        <f t="shared" si="90"/>
        <v>SÍ</v>
      </c>
      <c r="AF1890" s="34" t="e" cm="1">
        <f t="array" aca="1" ref="AF1890" ca="1">MIN(100, MAX(0, (IF(R1890="ESTUDIANTE", 31, 0)) + (IF(I1890&lt;=3, 30, IF(I1890&lt;=6, 20, 0))) +(IF(OR(E1890="413 - Control de Costes y Enlace Construcción", E1890="480 - Secretaría General del Consejo", E1890="132 - Civil y estructuras", E1890="136 - Mecánica", E1890="412 - Planificación", E1890="142 - Compras"), 25, 0)) +(IF(OR(S1890="GRADO ING. MECÁNICA", S1890="GRADO ING. ELÉCTRICA", S1890="GRADO DERECHO", S1890="GRADO ECONOMÍA", S1890="GRADO ING. TECNOLOGÍAS INDUSTRIALES"), 24, 0)) + (IF(AND(K1890&gt;=451, K1890&lt;=700), 23, 0)) + (IF(AND(AB1890&gt;=5, AB1890&lt;=8), 17, 0)) +(IF(_xludf.OR(_xludf.AND(AC1890&gt;=8, AC1890&lt;=10), _xludf.AND(AC1890&gt;=0, AC1890&lt;=5)), 16, 0)) + (IF(F1890="Madrid", 11, 0))))</f>
        <v>#NAME?</v>
      </c>
      <c r="AG1890" s="69"/>
      <c r="AH1890" s="71" t="s">
        <v>164</v>
      </c>
    </row>
    <row r="1891" spans="1:51" s="4" customFormat="1" ht="14.4" x14ac:dyDescent="0.3">
      <c r="A1891" s="66" t="s">
        <v>2729</v>
      </c>
      <c r="B1891" s="66" t="s">
        <v>4846</v>
      </c>
      <c r="C1891" s="33">
        <v>1895</v>
      </c>
      <c r="D1891" s="33" t="s">
        <v>5402</v>
      </c>
      <c r="E1891" s="34" t="s">
        <v>5345</v>
      </c>
      <c r="F1891" s="34" t="s">
        <v>18</v>
      </c>
      <c r="G1891" s="57">
        <v>45691</v>
      </c>
      <c r="H1891" s="57">
        <v>45869</v>
      </c>
      <c r="I1891" s="34">
        <f t="shared" si="88"/>
        <v>5</v>
      </c>
      <c r="J1891" s="34">
        <v>30</v>
      </c>
      <c r="K1891" s="36">
        <v>600</v>
      </c>
      <c r="L1891" s="34" t="s">
        <v>17</v>
      </c>
      <c r="M1891" s="35">
        <v>37936</v>
      </c>
      <c r="N1891" s="37">
        <f>(YEAR(TablaMadre[[#This Row],[ALTA]])-YEAR(M1891))</f>
        <v>22</v>
      </c>
      <c r="O1891" s="34" t="s">
        <v>18</v>
      </c>
      <c r="P1891" s="34" t="s">
        <v>19</v>
      </c>
      <c r="Q1891" s="34" t="s">
        <v>322</v>
      </c>
      <c r="R1891" s="58" t="s">
        <v>30</v>
      </c>
      <c r="S1891" s="34" t="s">
        <v>322</v>
      </c>
      <c r="T1891" s="34" t="s">
        <v>806</v>
      </c>
      <c r="U1891" s="34" t="str">
        <f>SUBSTITUTE($T1891, "INGUN", "/")</f>
        <v>N/A</v>
      </c>
      <c r="V1891" s="34" t="s">
        <v>67</v>
      </c>
      <c r="W1891" s="34" t="s">
        <v>91</v>
      </c>
      <c r="X1891" s="34" t="s">
        <v>164</v>
      </c>
      <c r="Y1891" s="57"/>
      <c r="Z1891" s="57" t="e">
        <f t="shared" si="89"/>
        <v>#NUM!</v>
      </c>
      <c r="AA1891" s="57"/>
      <c r="AB1891" s="34">
        <v>10</v>
      </c>
      <c r="AC1891" s="34">
        <v>10</v>
      </c>
      <c r="AD1891" s="34"/>
      <c r="AE1891" s="59" t="str">
        <f t="shared" si="90"/>
        <v>NO</v>
      </c>
      <c r="AF1891" s="34" t="e" cm="1">
        <f t="array" aca="1" ref="AF1891" ca="1">MIN(100, MAX(0, (IF(R1891="ESTUDIANTE", 31, 0)) + (IF(I1891&lt;=3, 30, IF(I1891&lt;=6, 20, 0))) +(IF(OR(E1891="413 - Control de Costes y Enlace Construcción", E1891="480 - Secretaría General del Consejo", E1891="132 - Civil y estructuras", E1891="136 - Mecánica", E1891="412 - Planificación", E1891="142 - Compras"), 25, 0)) +(IF(OR(S1891="GRADO ING. MECÁNICA", S1891="GRADO ING. ELÉCTRICA", S1891="GRADO DERECHO", S1891="GRADO ECONOMÍA", S1891="GRADO ING. TECNOLOGÍAS INDUSTRIALES"), 24, 0)) + (IF(AND(K1891&gt;=451, K1891&lt;=700), 23, 0)) + (IF(AND(AB1891&gt;=5, AB1891&lt;=8), 17, 0)) +(IF(_xludf.OR(_xludf.AND(AC1891&gt;=8, AC1891&lt;=10), _xludf.AND(AC1891&gt;=0, AC1891&lt;=5)), 16, 0)) + (IF(F1891="Madrid", 11, 0))))</f>
        <v>#NAME?</v>
      </c>
      <c r="AG1891" s="69"/>
      <c r="AH1891" s="71" t="s">
        <v>164</v>
      </c>
    </row>
    <row r="1892" spans="1:51" s="4" customFormat="1" ht="14.4" x14ac:dyDescent="0.3">
      <c r="A1892" s="66" t="s">
        <v>2732</v>
      </c>
      <c r="B1892" s="66" t="s">
        <v>4849</v>
      </c>
      <c r="C1892" s="33">
        <v>1892</v>
      </c>
      <c r="D1892" s="33" t="s">
        <v>5393</v>
      </c>
      <c r="E1892" s="34" t="s">
        <v>5285</v>
      </c>
      <c r="F1892" s="34" t="s">
        <v>18</v>
      </c>
      <c r="G1892" s="57">
        <v>45691</v>
      </c>
      <c r="H1892" s="57">
        <v>45869</v>
      </c>
      <c r="I1892" s="34">
        <f t="shared" si="88"/>
        <v>5</v>
      </c>
      <c r="J1892" s="34">
        <v>25</v>
      </c>
      <c r="K1892" s="36">
        <v>500</v>
      </c>
      <c r="L1892" s="34" t="s">
        <v>17</v>
      </c>
      <c r="M1892" s="35">
        <v>37776</v>
      </c>
      <c r="N1892" s="37">
        <f>(YEAR(TablaMadre[[#This Row],[ALTA]])-YEAR(M1892))</f>
        <v>22</v>
      </c>
      <c r="O1892" s="34" t="s">
        <v>18</v>
      </c>
      <c r="P1892" s="34" t="s">
        <v>19</v>
      </c>
      <c r="Q1892" s="34" t="s">
        <v>136</v>
      </c>
      <c r="R1892" s="58" t="s">
        <v>30</v>
      </c>
      <c r="S1892" s="34" t="s">
        <v>136</v>
      </c>
      <c r="T1892" s="34" t="s">
        <v>806</v>
      </c>
      <c r="U1892" s="34" t="str">
        <f>SUBSTITUTE($T1892, "INGUN", "/")</f>
        <v>N/A</v>
      </c>
      <c r="V1892" s="34" t="s">
        <v>67</v>
      </c>
      <c r="W1892" s="34" t="s">
        <v>23</v>
      </c>
      <c r="X1892" s="38" t="s">
        <v>164</v>
      </c>
      <c r="Y1892" s="62"/>
      <c r="Z1892" s="62" t="e">
        <f t="shared" si="89"/>
        <v>#NUM!</v>
      </c>
      <c r="AA1892" s="62"/>
      <c r="AB1892" s="34">
        <v>7</v>
      </c>
      <c r="AC1892" s="34">
        <v>9</v>
      </c>
      <c r="AD1892" s="38"/>
      <c r="AE1892" s="59" t="str">
        <f t="shared" si="90"/>
        <v>NO</v>
      </c>
      <c r="AF1892" s="34" t="e" cm="1">
        <f t="array" aca="1" ref="AF1892" ca="1">MIN(100, MAX(0, (IF(R1892="ESTUDIANTE", 31, 0)) + (IF(I1892&lt;=3, 30, IF(I1892&lt;=6, 20, 0))) +(IF(OR(E1892="413 - Control de Costes y Enlace Construcción", E1892="480 - Secretaría General del Consejo", E1892="132 - Civil y estructuras", E1892="136 - Mecánica", E1892="412 - Planificación", E1892="142 - Compras"), 25, 0)) +(IF(OR(S1892="GRADO ING. MECÁNICA", S1892="GRADO ING. ELÉCTRICA", S1892="GRADO DERECHO", S1892="GRADO ECONOMÍA", S1892="GRADO ING. TECNOLOGÍAS INDUSTRIALES"), 24, 0)) + (IF(AND(K1892&gt;=451, K1892&lt;=700), 23, 0)) + (IF(AND(AB1892&gt;=5, AB1892&lt;=8), 17, 0)) +(IF(_xludf.OR(_xludf.AND(AC1892&gt;=8, AC1892&lt;=10), _xludf.AND(AC1892&gt;=0, AC1892&lt;=5)), 16, 0)) + (IF(F1892="Madrid", 11, 0))))</f>
        <v>#NAME?</v>
      </c>
      <c r="AG1892" s="69"/>
      <c r="AH1892" s="71" t="s">
        <v>164</v>
      </c>
    </row>
    <row r="1893" spans="1:51" s="4" customFormat="1" ht="14.4" x14ac:dyDescent="0.3">
      <c r="A1893" s="66" t="s">
        <v>2736</v>
      </c>
      <c r="B1893" s="66" t="s">
        <v>4853</v>
      </c>
      <c r="C1893" s="33">
        <v>1891</v>
      </c>
      <c r="D1893" s="33" t="s">
        <v>5394</v>
      </c>
      <c r="E1893" s="34" t="s">
        <v>5285</v>
      </c>
      <c r="F1893" s="34" t="s">
        <v>18</v>
      </c>
      <c r="G1893" s="57">
        <v>45691</v>
      </c>
      <c r="H1893" s="57">
        <v>45869</v>
      </c>
      <c r="I1893" s="34">
        <f t="shared" si="88"/>
        <v>5</v>
      </c>
      <c r="J1893" s="34">
        <v>25</v>
      </c>
      <c r="K1893" s="36">
        <v>500</v>
      </c>
      <c r="L1893" s="34" t="s">
        <v>17</v>
      </c>
      <c r="M1893" s="35">
        <v>37636</v>
      </c>
      <c r="N1893" s="37">
        <f>(YEAR(TablaMadre[[#This Row],[ALTA]])-YEAR(M1893))</f>
        <v>22</v>
      </c>
      <c r="O1893" s="34" t="s">
        <v>18</v>
      </c>
      <c r="P1893" s="34" t="s">
        <v>19</v>
      </c>
      <c r="Q1893" s="34" t="s">
        <v>136</v>
      </c>
      <c r="R1893" s="58" t="s">
        <v>30</v>
      </c>
      <c r="S1893" s="34" t="s">
        <v>136</v>
      </c>
      <c r="T1893" s="34" t="s">
        <v>806</v>
      </c>
      <c r="U1893" s="34" t="str">
        <f>SUBSTITUTE($T1893, "INGUN", "/")</f>
        <v>N/A</v>
      </c>
      <c r="V1893" s="34" t="s">
        <v>67</v>
      </c>
      <c r="W1893" s="34" t="s">
        <v>23</v>
      </c>
      <c r="X1893" s="34" t="s">
        <v>164</v>
      </c>
      <c r="Y1893" s="57"/>
      <c r="Z1893" s="57" t="e">
        <f t="shared" si="89"/>
        <v>#NUM!</v>
      </c>
      <c r="AA1893" s="57"/>
      <c r="AB1893" s="34">
        <v>10</v>
      </c>
      <c r="AC1893" s="34">
        <v>10</v>
      </c>
      <c r="AD1893" s="34"/>
      <c r="AE1893" s="59" t="str">
        <f t="shared" si="90"/>
        <v>NO</v>
      </c>
      <c r="AF1893" s="38" t="e" cm="1">
        <f t="array" aca="1" ref="AF1893" ca="1">MIN(100, MAX(0, (IF(R1893="ESTUDIANTE", 31, 0)) + (IF(I1893&lt;=3, 30, IF(I1893&lt;=6, 20, 0))) +(IF(OR(E1893="413 - Control de Costes y Enlace Construcción", E1893="480 - Secretaría General del Consejo", E1893="132 - Civil y estructuras", E1893="136 - Mecánica", E1893="412 - Planificación", E1893="142 - Compras"), 25, 0)) +(IF(OR(S1893="GRADO ING. MECÁNICA", S1893="GRADO ING. ELÉCTRICA", S1893="GRADO DERECHO", S1893="GRADO ECONOMÍA", S1893="GRADO ING. TECNOLOGÍAS INDUSTRIALES"), 24, 0)) + (IF(AND(K1893&gt;=451, K1893&lt;=700), 23, 0)) + (IF(AND(AB1893&gt;=5, AB1893&lt;=8), 17, 0)) +(IF(_xludf.OR(_xludf.AND(AC1893&gt;=8, AC1893&lt;=10), _xludf.AND(AC1893&gt;=0, AC1893&lt;=5)), 16, 0)) + (IF(F1893="Madrid", 11, 0))))</f>
        <v>#NAME?</v>
      </c>
      <c r="AG1893" s="68"/>
      <c r="AH1893" s="71" t="s">
        <v>164</v>
      </c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</row>
    <row r="1894" spans="1:51" ht="14.4" x14ac:dyDescent="0.3">
      <c r="A1894" s="66" t="s">
        <v>2737</v>
      </c>
      <c r="B1894" s="66" t="s">
        <v>4854</v>
      </c>
      <c r="C1894" s="33">
        <v>1889</v>
      </c>
      <c r="D1894" s="33" t="s">
        <v>5403</v>
      </c>
      <c r="E1894" s="34" t="s">
        <v>5285</v>
      </c>
      <c r="F1894" s="34" t="s">
        <v>18</v>
      </c>
      <c r="G1894" s="57">
        <v>45691</v>
      </c>
      <c r="H1894" s="57">
        <v>45777</v>
      </c>
      <c r="I1894" s="34">
        <f t="shared" si="88"/>
        <v>2</v>
      </c>
      <c r="J1894" s="34">
        <v>35</v>
      </c>
      <c r="K1894" s="36">
        <v>700</v>
      </c>
      <c r="L1894" s="34" t="s">
        <v>17</v>
      </c>
      <c r="M1894" s="35">
        <v>36951</v>
      </c>
      <c r="N1894" s="37">
        <f>(YEAR(TablaMadre[[#This Row],[ALTA]])-YEAR(M1894))</f>
        <v>24</v>
      </c>
      <c r="O1894" s="34" t="s">
        <v>18</v>
      </c>
      <c r="P1894" s="34" t="s">
        <v>19</v>
      </c>
      <c r="Q1894" s="34" t="s">
        <v>136</v>
      </c>
      <c r="R1894" s="34" t="s">
        <v>30</v>
      </c>
      <c r="S1894" s="34" t="s">
        <v>136</v>
      </c>
      <c r="T1894" s="34" t="s">
        <v>806</v>
      </c>
      <c r="U1894" s="34" t="str">
        <f>SUBSTITUTE($T1894, "INGUN", "/")</f>
        <v>N/A</v>
      </c>
      <c r="V1894" s="34" t="s">
        <v>67</v>
      </c>
      <c r="W1894" s="34" t="s">
        <v>91</v>
      </c>
      <c r="X1894" s="34" t="s">
        <v>164</v>
      </c>
      <c r="Y1894" s="57"/>
      <c r="Z1894" s="57" t="e">
        <f t="shared" si="89"/>
        <v>#NUM!</v>
      </c>
      <c r="AA1894" s="57"/>
      <c r="AB1894" s="34"/>
      <c r="AC1894" s="34">
        <v>7</v>
      </c>
      <c r="AD1894" s="34"/>
      <c r="AE1894" s="59" t="str">
        <f t="shared" si="90"/>
        <v>NO</v>
      </c>
      <c r="AF1894" s="38" t="e" cm="1">
        <f t="array" aca="1" ref="AF1894" ca="1">MIN(100, MAX(0, (IF(R1894="ESTUDIANTE", 31, 0)) + (IF(I1894&lt;=3, 30, IF(I1894&lt;=6, 20, 0))) +(IF(OR(E1894="413 - Control de Costes y Enlace Construcción", E1894="480 - Secretaría General del Consejo", E1894="132 - Civil y estructuras", E1894="136 - Mecánica", E1894="412 - Planificación", E1894="142 - Compras"), 25, 0)) +(IF(OR(S1894="GRADO ING. MECÁNICA", S1894="GRADO ING. ELÉCTRICA", S1894="GRADO DERECHO", S1894="GRADO ECONOMÍA", S1894="GRADO ING. TECNOLOGÍAS INDUSTRIALES"), 24, 0)) + (IF(AND(K1894&gt;=451, K1894&lt;=700), 23, 0)) + (IF(AND(AB1894&gt;=5, AB1894&lt;=8), 17, 0)) +(IF(_xludf.OR(_xludf.AND(AC1894&gt;=8, AC1894&lt;=10), _xludf.AND(AC1894&gt;=0, AC1894&lt;=5)), 16, 0)) + (IF(F1894="Madrid", 11, 0))))</f>
        <v>#NAME?</v>
      </c>
      <c r="AG1894" s="68"/>
      <c r="AH1894" s="71" t="s">
        <v>164</v>
      </c>
    </row>
    <row r="1895" spans="1:51" s="4" customFormat="1" ht="14.4" x14ac:dyDescent="0.3">
      <c r="A1895" s="66" t="s">
        <v>2739</v>
      </c>
      <c r="B1895" s="66" t="s">
        <v>4856</v>
      </c>
      <c r="C1895" s="33">
        <v>1894</v>
      </c>
      <c r="D1895" s="33" t="s">
        <v>5404</v>
      </c>
      <c r="E1895" s="34" t="s">
        <v>5322</v>
      </c>
      <c r="F1895" s="34" t="s">
        <v>18</v>
      </c>
      <c r="G1895" s="57">
        <v>45691</v>
      </c>
      <c r="H1895" s="57">
        <v>45869</v>
      </c>
      <c r="I1895" s="34">
        <f t="shared" si="88"/>
        <v>5</v>
      </c>
      <c r="J1895" s="34">
        <v>35</v>
      </c>
      <c r="K1895" s="36">
        <v>700</v>
      </c>
      <c r="L1895" s="34" t="s">
        <v>17</v>
      </c>
      <c r="M1895" s="35">
        <v>37919</v>
      </c>
      <c r="N1895" s="37">
        <f>(YEAR(TablaMadre[[#This Row],[ALTA]])-YEAR(M1895))</f>
        <v>22</v>
      </c>
      <c r="O1895" s="34" t="s">
        <v>121</v>
      </c>
      <c r="P1895" s="34" t="s">
        <v>19</v>
      </c>
      <c r="Q1895" s="34" t="s">
        <v>136</v>
      </c>
      <c r="R1895" s="34" t="s">
        <v>30</v>
      </c>
      <c r="S1895" s="34" t="s">
        <v>136</v>
      </c>
      <c r="T1895" s="34" t="s">
        <v>806</v>
      </c>
      <c r="U1895" s="34" t="str">
        <f>SUBSTITUTE($T1895, "INGUN", "/")</f>
        <v>N/A</v>
      </c>
      <c r="V1895" s="34" t="s">
        <v>67</v>
      </c>
      <c r="W1895" s="34" t="s">
        <v>380</v>
      </c>
      <c r="X1895" s="34" t="s">
        <v>164</v>
      </c>
      <c r="Y1895" s="57"/>
      <c r="Z1895" s="57" t="e">
        <f t="shared" si="89"/>
        <v>#NUM!</v>
      </c>
      <c r="AA1895" s="57"/>
      <c r="AB1895" s="34">
        <v>9</v>
      </c>
      <c r="AC1895" s="34">
        <v>9</v>
      </c>
      <c r="AD1895" s="34"/>
      <c r="AE1895" s="59" t="str">
        <f t="shared" si="90"/>
        <v>SÍ</v>
      </c>
      <c r="AF1895" s="34" t="e" cm="1">
        <f t="array" aca="1" ref="AF1895" ca="1">MIN(100, MAX(0, (IF(R1895="ESTUDIANTE", 31, 0)) + (IF(I1895&lt;=3, 30, IF(I1895&lt;=6, 20, 0))) +(IF(OR(E1895="413 - Control de Costes y Enlace Construcción", E1895="480 - Secretaría General del Consejo", E1895="132 - Civil y estructuras", E1895="136 - Mecánica", E1895="412 - Planificación", E1895="142 - Compras"), 25, 0)) +(IF(OR(S1895="GRADO ING. MECÁNICA", S1895="GRADO ING. ELÉCTRICA", S1895="GRADO DERECHO", S1895="GRADO ECONOMÍA", S1895="GRADO ING. TECNOLOGÍAS INDUSTRIALES"), 24, 0)) + (IF(AND(K1895&gt;=451, K1895&lt;=700), 23, 0)) + (IF(AND(AB1895&gt;=5, AB1895&lt;=8), 17, 0)) +(IF(_xludf.OR(_xludf.AND(AC1895&gt;=8, AC1895&lt;=10), _xludf.AND(AC1895&gt;=0, AC1895&lt;=5)), 16, 0)) + (IF(F1895="Madrid", 11, 0))))</f>
        <v>#NAME?</v>
      </c>
      <c r="AG1895" s="69"/>
      <c r="AH1895" s="71" t="s">
        <v>164</v>
      </c>
    </row>
    <row r="1896" spans="1:51" s="4" customFormat="1" ht="14.4" x14ac:dyDescent="0.3">
      <c r="A1896" s="66" t="s">
        <v>2878</v>
      </c>
      <c r="B1896" s="66" t="s">
        <v>4995</v>
      </c>
      <c r="C1896" s="33">
        <v>1893</v>
      </c>
      <c r="D1896" s="33" t="s">
        <v>5405</v>
      </c>
      <c r="E1896" s="34" t="s">
        <v>5233</v>
      </c>
      <c r="F1896" s="34" t="s">
        <v>558</v>
      </c>
      <c r="G1896" s="57">
        <v>45691</v>
      </c>
      <c r="H1896" s="57">
        <v>45869</v>
      </c>
      <c r="I1896" s="34">
        <f t="shared" si="88"/>
        <v>5</v>
      </c>
      <c r="J1896" s="34">
        <v>35</v>
      </c>
      <c r="K1896" s="36">
        <v>1200</v>
      </c>
      <c r="L1896" s="34" t="s">
        <v>29</v>
      </c>
      <c r="M1896" s="35">
        <v>36901</v>
      </c>
      <c r="N1896" s="37">
        <f>(YEAR(TablaMadre[[#This Row],[ALTA]])-YEAR(M1896))</f>
        <v>24</v>
      </c>
      <c r="O1896" s="34" t="s">
        <v>558</v>
      </c>
      <c r="P1896" s="34" t="s">
        <v>19</v>
      </c>
      <c r="Q1896" s="34" t="s">
        <v>848</v>
      </c>
      <c r="R1896" s="34" t="s">
        <v>21</v>
      </c>
      <c r="S1896" s="34" t="s">
        <v>322</v>
      </c>
      <c r="T1896" s="34" t="s">
        <v>823</v>
      </c>
      <c r="U1896" s="34" t="s">
        <v>30</v>
      </c>
      <c r="V1896" s="34" t="s">
        <v>310</v>
      </c>
      <c r="W1896" s="34" t="s">
        <v>28</v>
      </c>
      <c r="X1896" s="38" t="s">
        <v>173</v>
      </c>
      <c r="Y1896" s="62"/>
      <c r="Z1896" s="38" t="e">
        <f t="shared" si="89"/>
        <v>#NUM!</v>
      </c>
      <c r="AA1896" s="38"/>
      <c r="AB1896" s="34">
        <v>10</v>
      </c>
      <c r="AC1896" s="34">
        <v>9</v>
      </c>
      <c r="AD1896" s="38"/>
      <c r="AE1896" s="59" t="str">
        <f t="shared" si="90"/>
        <v>NO</v>
      </c>
      <c r="AF1896" s="34" t="e" cm="1">
        <f t="array" aca="1" ref="AF1896" ca="1">MIN(100, MAX(0, (IF(R1896="ESTUDIANTE", 31, 0)) + (IF(I1896&lt;=3, 30, IF(I1896&lt;=6, 20, 0))) +(IF(OR(E1896="413 - Control de Costes y Enlace Construcción", E1896="480 - Secretaría General del Consejo", E1896="132 - Civil y estructuras", E1896="136 - Mecánica", E1896="412 - Planificación", E1896="142 - Compras"), 25, 0)) +(IF(OR(S1896="GRADO ING. MECÁNICA", S1896="GRADO ING. ELÉCTRICA", S1896="GRADO DERECHO", S1896="GRADO ECONOMÍA", S1896="GRADO ING. TECNOLOGÍAS INDUSTRIALES"), 24, 0)) + (IF(AND(K1896&gt;=451, K1896&lt;=700), 23, 0)) + (IF(AND(AB1896&gt;=5, AB1896&lt;=8), 17, 0)) +(IF(_xludf.OR(_xludf.AND(AC1896&gt;=8, AC1896&lt;=10), _xludf.AND(AC1896&gt;=0, AC1896&lt;=5)), 16, 0)) + (IF(F1896="Madrid", 11, 0))))</f>
        <v>#NAME?</v>
      </c>
      <c r="AG1896" s="69"/>
      <c r="AH1896" s="71" t="s">
        <v>164</v>
      </c>
    </row>
    <row r="1897" spans="1:51" ht="14.4" x14ac:dyDescent="0.3">
      <c r="A1897" s="66" t="s">
        <v>2879</v>
      </c>
      <c r="B1897" s="66" t="s">
        <v>4996</v>
      </c>
      <c r="C1897" s="33">
        <v>1899</v>
      </c>
      <c r="D1897" s="33" t="s">
        <v>5396</v>
      </c>
      <c r="E1897" s="34" t="s">
        <v>5285</v>
      </c>
      <c r="F1897" s="34" t="s">
        <v>18</v>
      </c>
      <c r="G1897" s="57">
        <v>45691</v>
      </c>
      <c r="H1897" s="57">
        <v>46055</v>
      </c>
      <c r="I1897" s="34">
        <f t="shared" si="88"/>
        <v>11</v>
      </c>
      <c r="J1897" s="34">
        <v>35</v>
      </c>
      <c r="K1897" s="36">
        <v>900</v>
      </c>
      <c r="L1897" s="34" t="s">
        <v>17</v>
      </c>
      <c r="M1897" s="39">
        <v>37618</v>
      </c>
      <c r="N1897" s="37">
        <f>(YEAR(TablaMadre[[#This Row],[ALTA]])-YEAR(M1897))</f>
        <v>23</v>
      </c>
      <c r="O1897" s="34" t="s">
        <v>18</v>
      </c>
      <c r="P1897" s="34" t="s">
        <v>19</v>
      </c>
      <c r="Q1897" s="34" t="s">
        <v>136</v>
      </c>
      <c r="R1897" s="34" t="s">
        <v>21</v>
      </c>
      <c r="S1897" s="34" t="s">
        <v>136</v>
      </c>
      <c r="T1897" s="34" t="s">
        <v>806</v>
      </c>
      <c r="U1897" s="34" t="str">
        <f>SUBSTITUTE($T1897, "INGUN", "/")</f>
        <v>N/A</v>
      </c>
      <c r="V1897" s="34" t="s">
        <v>40</v>
      </c>
      <c r="W1897" s="34" t="s">
        <v>28</v>
      </c>
      <c r="X1897" s="34" t="s">
        <v>173</v>
      </c>
      <c r="Y1897" s="34"/>
      <c r="Z1897" s="34" t="e">
        <f t="shared" si="89"/>
        <v>#NUM!</v>
      </c>
      <c r="AA1897" s="34"/>
      <c r="AB1897" s="34">
        <v>9</v>
      </c>
      <c r="AC1897" s="34">
        <v>9</v>
      </c>
      <c r="AD1897" s="34"/>
      <c r="AE1897" s="59" t="str">
        <f t="shared" si="90"/>
        <v>NO</v>
      </c>
      <c r="AF1897" s="38" t="e" cm="1">
        <f t="array" aca="1" ref="AF1897" ca="1">MIN(100, MAX(0, (IF(R1897="ESTUDIANTE", 31, 0)) + (IF(I1897&lt;=3, 30, IF(I1897&lt;=6, 20, 0))) +(IF(OR(E1897="413 - Control de Costes y Enlace Construcción", E1897="480 - Secretaría General del Consejo", E1897="132 - Civil y estructuras", E1897="136 - Mecánica", E1897="412 - Planificación", E1897="142 - Compras"), 25, 0)) +(IF(OR(S1897="GRADO ING. MECÁNICA", S1897="GRADO ING. ELÉCTRICA", S1897="GRADO DERECHO", S1897="GRADO ECONOMÍA", S1897="GRADO ING. TECNOLOGÍAS INDUSTRIALES"), 24, 0)) + (IF(AND(K1897&gt;=451, K1897&lt;=700), 23, 0)) + (IF(AND(AB1897&gt;=5, AB1897&lt;=8), 17, 0)) +(IF(_xludf.OR(_xludf.AND(AC1897&gt;=8, AC1897&lt;=10), _xludf.AND(AC1897&gt;=0, AC1897&lt;=5)), 16, 0)) + (IF(F1897="Madrid", 11, 0))))</f>
        <v>#NAME?</v>
      </c>
      <c r="AG1897" s="68"/>
      <c r="AH1897" s="71" t="s">
        <v>164</v>
      </c>
    </row>
    <row r="1898" spans="1:51" ht="14.4" x14ac:dyDescent="0.3">
      <c r="A1898" s="66" t="s">
        <v>2880</v>
      </c>
      <c r="B1898" s="66" t="s">
        <v>4997</v>
      </c>
      <c r="C1898" s="33">
        <v>1897</v>
      </c>
      <c r="D1898" s="33" t="s">
        <v>5397</v>
      </c>
      <c r="E1898" s="34" t="s">
        <v>5322</v>
      </c>
      <c r="F1898" s="34" t="s">
        <v>18</v>
      </c>
      <c r="G1898" s="57">
        <v>45691</v>
      </c>
      <c r="H1898" s="57">
        <v>45869</v>
      </c>
      <c r="I1898" s="34">
        <f t="shared" si="88"/>
        <v>5</v>
      </c>
      <c r="J1898" s="34">
        <v>35</v>
      </c>
      <c r="K1898" s="36">
        <v>1200</v>
      </c>
      <c r="L1898" s="34" t="s">
        <v>17</v>
      </c>
      <c r="M1898" s="35">
        <v>36824</v>
      </c>
      <c r="N1898" s="37">
        <f>(YEAR(TablaMadre[[#This Row],[ALTA]])-YEAR(M1898))</f>
        <v>25</v>
      </c>
      <c r="O1898" s="34" t="s">
        <v>18</v>
      </c>
      <c r="P1898" s="34" t="s">
        <v>19</v>
      </c>
      <c r="Q1898" s="34" t="s">
        <v>322</v>
      </c>
      <c r="R1898" s="34" t="s">
        <v>21</v>
      </c>
      <c r="S1898" s="34" t="s">
        <v>322</v>
      </c>
      <c r="T1898" s="34" t="s">
        <v>823</v>
      </c>
      <c r="U1898" s="34" t="s">
        <v>30</v>
      </c>
      <c r="V1898" s="34" t="s">
        <v>67</v>
      </c>
      <c r="W1898" s="34" t="s">
        <v>28</v>
      </c>
      <c r="X1898" s="38" t="s">
        <v>173</v>
      </c>
      <c r="Y1898" s="62"/>
      <c r="Z1898" s="38" t="e">
        <f t="shared" si="89"/>
        <v>#NUM!</v>
      </c>
      <c r="AA1898" s="38"/>
      <c r="AB1898" s="34">
        <v>10</v>
      </c>
      <c r="AC1898" s="34">
        <v>10</v>
      </c>
      <c r="AD1898" s="38"/>
      <c r="AE1898" s="59" t="str">
        <f t="shared" si="90"/>
        <v>NO</v>
      </c>
      <c r="AF1898" s="38" t="e" cm="1">
        <f t="array" aca="1" ref="AF1898" ca="1">MIN(100, MAX(0, (IF(R1898="ESTUDIANTE", 31, 0)) + (IF(I1898&lt;=3, 30, IF(I1898&lt;=6, 20, 0))) +(IF(OR(E1898="413 - Control de Costes y Enlace Construcción", E1898="480 - Secretaría General del Consejo", E1898="132 - Civil y estructuras", E1898="136 - Mecánica", E1898="412 - Planificación", E1898="142 - Compras"), 25, 0)) +(IF(OR(S1898="GRADO ING. MECÁNICA", S1898="GRADO ING. ELÉCTRICA", S1898="GRADO DERECHO", S1898="GRADO ECONOMÍA", S1898="GRADO ING. TECNOLOGÍAS INDUSTRIALES"), 24, 0)) + (IF(AND(K1898&gt;=451, K1898&lt;=700), 23, 0)) + (IF(AND(AB1898&gt;=5, AB1898&lt;=8), 17, 0)) +(IF(_xludf.OR(_xludf.AND(AC1898&gt;=8, AC1898&lt;=10), _xludf.AND(AC1898&gt;=0, AC1898&lt;=5)), 16, 0)) + (IF(F1898="Madrid", 11, 0))))</f>
        <v>#NAME?</v>
      </c>
      <c r="AG1898" s="68"/>
      <c r="AH1898" s="71" t="s">
        <v>164</v>
      </c>
    </row>
    <row r="1899" spans="1:51" s="4" customFormat="1" ht="14.4" x14ac:dyDescent="0.3">
      <c r="A1899" s="66" t="s">
        <v>2886</v>
      </c>
      <c r="B1899" s="66" t="s">
        <v>5003</v>
      </c>
      <c r="C1899" s="33">
        <v>1890</v>
      </c>
      <c r="D1899" s="33" t="s">
        <v>5393</v>
      </c>
      <c r="E1899" s="34" t="s">
        <v>5233</v>
      </c>
      <c r="F1899" s="34" t="s">
        <v>18</v>
      </c>
      <c r="G1899" s="57">
        <v>45691</v>
      </c>
      <c r="H1899" s="57">
        <v>45831</v>
      </c>
      <c r="I1899" s="34">
        <f t="shared" si="88"/>
        <v>4</v>
      </c>
      <c r="J1899" s="34">
        <v>20</v>
      </c>
      <c r="K1899" s="36">
        <v>400</v>
      </c>
      <c r="L1899" s="34" t="s">
        <v>17</v>
      </c>
      <c r="M1899" s="35">
        <v>37017</v>
      </c>
      <c r="N1899" s="37">
        <f>(YEAR(TablaMadre[[#This Row],[ALTA]])-YEAR(M1899))</f>
        <v>24</v>
      </c>
      <c r="O1899" s="34" t="s">
        <v>790</v>
      </c>
      <c r="P1899" s="34" t="s">
        <v>790</v>
      </c>
      <c r="Q1899" s="34" t="s">
        <v>136</v>
      </c>
      <c r="R1899" s="58" t="s">
        <v>30</v>
      </c>
      <c r="S1899" s="34" t="s">
        <v>136</v>
      </c>
      <c r="T1899" s="34" t="s">
        <v>806</v>
      </c>
      <c r="U1899" s="34" t="str">
        <f t="shared" ref="U1899:U1909" si="91">SUBSTITUTE($T1899, "INGUN", "/")</f>
        <v>N/A</v>
      </c>
      <c r="V1899" s="34" t="s">
        <v>67</v>
      </c>
      <c r="W1899" s="34" t="s">
        <v>28</v>
      </c>
      <c r="X1899" s="34" t="s">
        <v>173</v>
      </c>
      <c r="Y1899" s="57"/>
      <c r="Z1899" s="34" t="e">
        <f t="shared" si="89"/>
        <v>#NUM!</v>
      </c>
      <c r="AA1899" s="34"/>
      <c r="AB1899" s="34">
        <v>10</v>
      </c>
      <c r="AC1899" s="34">
        <v>8</v>
      </c>
      <c r="AD1899" s="34"/>
      <c r="AE1899" s="59" t="str">
        <f t="shared" si="90"/>
        <v>SÍ</v>
      </c>
      <c r="AF1899" s="34" t="e" cm="1">
        <f t="array" aca="1" ref="AF1899" ca="1">MIN(100, MAX(0, (IF(R1899="ESTUDIANTE", 31, 0)) + (IF(I1899&lt;=3, 30, IF(I1899&lt;=6, 20, 0))) +(IF(OR(E1899="413 - Control de Costes y Enlace Construcción", E1899="480 - Secretaría General del Consejo", E1899="132 - Civil y estructuras", E1899="136 - Mecánica", E1899="412 - Planificación", E1899="142 - Compras"), 25, 0)) +(IF(OR(S1899="GRADO ING. MECÁNICA", S1899="GRADO ING. ELÉCTRICA", S1899="GRADO DERECHO", S1899="GRADO ECONOMÍA", S1899="GRADO ING. TECNOLOGÍAS INDUSTRIALES"), 24, 0)) + (IF(AND(K1899&gt;=451, K1899&lt;=700), 23, 0)) + (IF(AND(AB1899&gt;=5, AB1899&lt;=8), 17, 0)) +(IF(_xludf.OR(_xludf.AND(AC1899&gt;=8, AC1899&lt;=10), _xludf.AND(AC1899&gt;=0, AC1899&lt;=5)), 16, 0)) + (IF(F1899="Madrid", 11, 0))))</f>
        <v>#NAME?</v>
      </c>
      <c r="AG1899" s="69"/>
      <c r="AH1899" s="71" t="s">
        <v>164</v>
      </c>
    </row>
    <row r="1900" spans="1:51" s="4" customFormat="1" ht="17.25" customHeight="1" x14ac:dyDescent="0.3">
      <c r="A1900" s="66" t="s">
        <v>2887</v>
      </c>
      <c r="B1900" s="66" t="s">
        <v>5004</v>
      </c>
      <c r="C1900" s="33">
        <v>1898</v>
      </c>
      <c r="D1900" s="33" t="s">
        <v>5394</v>
      </c>
      <c r="E1900" s="34" t="s">
        <v>5233</v>
      </c>
      <c r="F1900" s="34" t="s">
        <v>18</v>
      </c>
      <c r="G1900" s="57">
        <v>45691</v>
      </c>
      <c r="H1900" s="57">
        <v>45956</v>
      </c>
      <c r="I1900" s="34">
        <f t="shared" si="88"/>
        <v>8</v>
      </c>
      <c r="J1900" s="34">
        <v>35</v>
      </c>
      <c r="K1900" s="36">
        <v>900</v>
      </c>
      <c r="L1900" s="34" t="s">
        <v>29</v>
      </c>
      <c r="M1900" s="39">
        <v>37359</v>
      </c>
      <c r="N1900" s="37">
        <f>(YEAR(TablaMadre[[#This Row],[ALTA]])-YEAR(M1900))</f>
        <v>23</v>
      </c>
      <c r="O1900" s="34" t="s">
        <v>18</v>
      </c>
      <c r="P1900" s="34" t="s">
        <v>19</v>
      </c>
      <c r="Q1900" s="34" t="s">
        <v>136</v>
      </c>
      <c r="R1900" s="34" t="s">
        <v>21</v>
      </c>
      <c r="S1900" s="34" t="s">
        <v>136</v>
      </c>
      <c r="T1900" s="34" t="s">
        <v>806</v>
      </c>
      <c r="U1900" s="34" t="str">
        <f t="shared" si="91"/>
        <v>N/A</v>
      </c>
      <c r="V1900" s="34" t="s">
        <v>22</v>
      </c>
      <c r="W1900" s="34" t="s">
        <v>28</v>
      </c>
      <c r="X1900" s="34" t="s">
        <v>173</v>
      </c>
      <c r="Y1900" s="57"/>
      <c r="Z1900" s="34" t="e">
        <f t="shared" si="89"/>
        <v>#NUM!</v>
      </c>
      <c r="AA1900" s="34"/>
      <c r="AB1900" s="34">
        <v>9</v>
      </c>
      <c r="AC1900" s="34">
        <v>8</v>
      </c>
      <c r="AD1900" s="34"/>
      <c r="AE1900" s="59" t="str">
        <f t="shared" si="90"/>
        <v>NO</v>
      </c>
      <c r="AF1900" s="34" t="e" cm="1">
        <f t="array" aca="1" ref="AF1900" ca="1">MIN(100, MAX(0, (IF(R1900="ESTUDIANTE", 31, 0)) + (IF(I1900&lt;=3, 30, IF(I1900&lt;=6, 20, 0))) +(IF(OR(E1900="413 - Control de Costes y Enlace Construcción", E1900="480 - Secretaría General del Consejo", E1900="132 - Civil y estructuras", E1900="136 - Mecánica", E1900="412 - Planificación", E1900="142 - Compras"), 25, 0)) +(IF(OR(S1900="GRADO ING. MECÁNICA", S1900="GRADO ING. ELÉCTRICA", S1900="GRADO DERECHO", S1900="GRADO ECONOMÍA", S1900="GRADO ING. TECNOLOGÍAS INDUSTRIALES"), 24, 0)) + (IF(AND(K1900&gt;=451, K1900&lt;=700), 23, 0)) + (IF(AND(AB1900&gt;=5, AB1900&lt;=8), 17, 0)) +(IF(_xludf.OR(_xludf.AND(AC1900&gt;=8, AC1900&lt;=10), _xludf.AND(AC1900&gt;=0, AC1900&lt;=5)), 16, 0)) + (IF(F1900="Madrid", 11, 0))))</f>
        <v>#NAME?</v>
      </c>
      <c r="AG1900" s="69"/>
      <c r="AH1900" s="71" t="s">
        <v>164</v>
      </c>
    </row>
    <row r="1901" spans="1:51" s="4" customFormat="1" ht="14.25" customHeight="1" x14ac:dyDescent="0.3">
      <c r="A1901" s="66" t="s">
        <v>2741</v>
      </c>
      <c r="B1901" s="66" t="s">
        <v>4858</v>
      </c>
      <c r="C1901" s="33">
        <v>1902</v>
      </c>
      <c r="D1901" s="33" t="s">
        <v>5395</v>
      </c>
      <c r="E1901" s="34" t="s">
        <v>5380</v>
      </c>
      <c r="F1901" s="34" t="s">
        <v>18</v>
      </c>
      <c r="G1901" s="57">
        <v>45693</v>
      </c>
      <c r="H1901" s="57">
        <v>46057</v>
      </c>
      <c r="I1901" s="34">
        <f t="shared" si="88"/>
        <v>11</v>
      </c>
      <c r="J1901" s="34">
        <v>35</v>
      </c>
      <c r="K1901" s="36">
        <v>800</v>
      </c>
      <c r="L1901" s="34" t="s">
        <v>29</v>
      </c>
      <c r="M1901" s="39">
        <v>37944</v>
      </c>
      <c r="N1901" s="37">
        <f>(YEAR(TablaMadre[[#This Row],[ALTA]])-YEAR(M1901))</f>
        <v>22</v>
      </c>
      <c r="O1901" s="34" t="s">
        <v>18</v>
      </c>
      <c r="P1901" s="34" t="s">
        <v>19</v>
      </c>
      <c r="Q1901" s="34" t="s">
        <v>850</v>
      </c>
      <c r="R1901" s="34" t="s">
        <v>21</v>
      </c>
      <c r="S1901" s="34" t="s">
        <v>274</v>
      </c>
      <c r="T1901" s="34" t="s">
        <v>806</v>
      </c>
      <c r="U1901" s="34" t="str">
        <f t="shared" si="91"/>
        <v>N/A</v>
      </c>
      <c r="V1901" s="34" t="s">
        <v>158</v>
      </c>
      <c r="W1901" s="34" t="s">
        <v>23</v>
      </c>
      <c r="X1901" s="34" t="s">
        <v>173</v>
      </c>
      <c r="Y1901" s="34"/>
      <c r="Z1901" s="57" t="e">
        <f t="shared" si="89"/>
        <v>#NUM!</v>
      </c>
      <c r="AA1901" s="57"/>
      <c r="AB1901" s="34">
        <v>9</v>
      </c>
      <c r="AC1901" s="34">
        <v>9</v>
      </c>
      <c r="AD1901" s="34"/>
      <c r="AE1901" s="59" t="str">
        <f t="shared" si="90"/>
        <v>NO</v>
      </c>
      <c r="AF1901" s="34" t="e" cm="1">
        <f t="array" aca="1" ref="AF1901" ca="1">MIN(100, MAX(0, (IF(R1901="ESTUDIANTE", 31, 0)) + (IF(I1901&lt;=3, 30, IF(I1901&lt;=6, 20, 0))) +(IF(OR(E1901="413 - Control de Costes y Enlace Construcción", E1901="480 - Secretaría General del Consejo", E1901="132 - Civil y estructuras", E1901="136 - Mecánica", E1901="412 - Planificación", E1901="142 - Compras"), 25, 0)) +(IF(OR(S1901="GRADO ING. MECÁNICA", S1901="GRADO ING. ELÉCTRICA", S1901="GRADO DERECHO", S1901="GRADO ECONOMÍA", S1901="GRADO ING. TECNOLOGÍAS INDUSTRIALES"), 24, 0)) + (IF(AND(K1901&gt;=451, K1901&lt;=700), 23, 0)) + (IF(AND(AB1901&gt;=5, AB1901&lt;=8), 17, 0)) +(IF(_xludf.OR(_xludf.AND(AC1901&gt;=8, AC1901&lt;=10), _xludf.AND(AC1901&gt;=0, AC1901&lt;=5)), 16, 0)) + (IF(F1901="Madrid", 11, 0))))</f>
        <v>#NAME?</v>
      </c>
      <c r="AG1901" s="69"/>
      <c r="AH1901" s="71" t="s">
        <v>164</v>
      </c>
    </row>
    <row r="1902" spans="1:51" s="4" customFormat="1" ht="14.4" x14ac:dyDescent="0.3">
      <c r="A1902" s="66" t="s">
        <v>2888</v>
      </c>
      <c r="B1902" s="66" t="s">
        <v>5005</v>
      </c>
      <c r="C1902" s="33">
        <v>1901</v>
      </c>
      <c r="D1902" s="33" t="s">
        <v>5396</v>
      </c>
      <c r="E1902" s="34" t="s">
        <v>5216</v>
      </c>
      <c r="F1902" s="34" t="s">
        <v>18</v>
      </c>
      <c r="G1902" s="57">
        <v>45693</v>
      </c>
      <c r="H1902" s="57">
        <v>45873</v>
      </c>
      <c r="I1902" s="34">
        <f t="shared" si="88"/>
        <v>5</v>
      </c>
      <c r="J1902" s="34">
        <v>35</v>
      </c>
      <c r="K1902" s="36">
        <v>700</v>
      </c>
      <c r="L1902" s="34" t="s">
        <v>29</v>
      </c>
      <c r="M1902" s="35">
        <v>37817</v>
      </c>
      <c r="N1902" s="37">
        <f>(YEAR(TablaMadre[[#This Row],[ALTA]])-YEAR(M1902))</f>
        <v>22</v>
      </c>
      <c r="O1902" s="34" t="s">
        <v>18</v>
      </c>
      <c r="P1902" s="34" t="s">
        <v>19</v>
      </c>
      <c r="Q1902" s="34" t="s">
        <v>297</v>
      </c>
      <c r="R1902" s="34" t="s">
        <v>30</v>
      </c>
      <c r="S1902" s="34" t="s">
        <v>297</v>
      </c>
      <c r="T1902" s="34" t="s">
        <v>806</v>
      </c>
      <c r="U1902" s="34" t="str">
        <f t="shared" si="91"/>
        <v>N/A</v>
      </c>
      <c r="V1902" s="34" t="s">
        <v>56</v>
      </c>
      <c r="W1902" s="34" t="s">
        <v>28</v>
      </c>
      <c r="X1902" s="34" t="s">
        <v>173</v>
      </c>
      <c r="Y1902" s="57"/>
      <c r="Z1902" s="34" t="e">
        <f t="shared" si="89"/>
        <v>#NUM!</v>
      </c>
      <c r="AA1902" s="34"/>
      <c r="AB1902" s="34">
        <v>9</v>
      </c>
      <c r="AC1902" s="34">
        <v>10</v>
      </c>
      <c r="AD1902" s="34"/>
      <c r="AE1902" s="59" t="str">
        <f t="shared" si="90"/>
        <v>NO</v>
      </c>
      <c r="AF1902" s="34" t="e" cm="1">
        <f t="array" aca="1" ref="AF1902" ca="1">MIN(100, MAX(0, (IF(R1902="ESTUDIANTE", 31, 0)) + (IF(I1902&lt;=3, 30, IF(I1902&lt;=6, 20, 0))) +(IF(OR(E1902="413 - Control de Costes y Enlace Construcción", E1902="480 - Secretaría General del Consejo", E1902="132 - Civil y estructuras", E1902="136 - Mecánica", E1902="412 - Planificación", E1902="142 - Compras"), 25, 0)) +(IF(OR(S1902="GRADO ING. MECÁNICA", S1902="GRADO ING. ELÉCTRICA", S1902="GRADO DERECHO", S1902="GRADO ECONOMÍA", S1902="GRADO ING. TECNOLOGÍAS INDUSTRIALES"), 24, 0)) + (IF(AND(K1902&gt;=451, K1902&lt;=700), 23, 0)) + (IF(AND(AB1902&gt;=5, AB1902&lt;=8), 17, 0)) +(IF(_xludf.OR(_xludf.AND(AC1902&gt;=8, AC1902&lt;=10), _xludf.AND(AC1902&gt;=0, AC1902&lt;=5)), 16, 0)) + (IF(F1902="Madrid", 11, 0))))</f>
        <v>#NAME?</v>
      </c>
      <c r="AG1902" s="69"/>
      <c r="AH1902" s="71" t="s">
        <v>164</v>
      </c>
    </row>
    <row r="1903" spans="1:51" s="4" customFormat="1" ht="16.5" customHeight="1" x14ac:dyDescent="0.3">
      <c r="A1903" s="66" t="s">
        <v>2891</v>
      </c>
      <c r="B1903" s="66" t="s">
        <v>5008</v>
      </c>
      <c r="C1903" s="33">
        <v>1900</v>
      </c>
      <c r="D1903" s="33" t="s">
        <v>5397</v>
      </c>
      <c r="E1903" s="34" t="s">
        <v>5216</v>
      </c>
      <c r="F1903" s="34" t="s">
        <v>18</v>
      </c>
      <c r="G1903" s="57">
        <v>45693</v>
      </c>
      <c r="H1903" s="57">
        <v>45873</v>
      </c>
      <c r="I1903" s="34">
        <f t="shared" si="88"/>
        <v>5</v>
      </c>
      <c r="J1903" s="34">
        <v>35</v>
      </c>
      <c r="K1903" s="36">
        <v>700</v>
      </c>
      <c r="L1903" s="34" t="s">
        <v>29</v>
      </c>
      <c r="M1903" s="35">
        <v>37779</v>
      </c>
      <c r="N1903" s="37">
        <f>(YEAR(TablaMadre[[#This Row],[ALTA]])-YEAR(M1903))</f>
        <v>22</v>
      </c>
      <c r="O1903" s="34" t="s">
        <v>411</v>
      </c>
      <c r="P1903" s="34" t="s">
        <v>19</v>
      </c>
      <c r="Q1903" s="34" t="s">
        <v>297</v>
      </c>
      <c r="R1903" s="34" t="s">
        <v>30</v>
      </c>
      <c r="S1903" s="34" t="s">
        <v>297</v>
      </c>
      <c r="T1903" s="34" t="s">
        <v>806</v>
      </c>
      <c r="U1903" s="34" t="str">
        <f t="shared" si="91"/>
        <v>N/A</v>
      </c>
      <c r="V1903" s="34" t="s">
        <v>56</v>
      </c>
      <c r="W1903" s="34" t="s">
        <v>28</v>
      </c>
      <c r="X1903" s="34" t="s">
        <v>173</v>
      </c>
      <c r="Y1903" s="57"/>
      <c r="Z1903" s="34" t="e">
        <f t="shared" si="89"/>
        <v>#NUM!</v>
      </c>
      <c r="AA1903" s="34"/>
      <c r="AB1903" s="34">
        <v>9</v>
      </c>
      <c r="AC1903" s="34">
        <v>10</v>
      </c>
      <c r="AD1903" s="34"/>
      <c r="AE1903" s="59" t="str">
        <f t="shared" si="90"/>
        <v>SÍ</v>
      </c>
      <c r="AF1903" s="34" t="e" cm="1">
        <f t="array" aca="1" ref="AF1903" ca="1">MIN(100, MAX(0, (IF(R1903="ESTUDIANTE", 31, 0)) + (IF(I1903&lt;=3, 30, IF(I1903&lt;=6, 20, 0))) +(IF(OR(E1903="413 - Control de Costes y Enlace Construcción", E1903="480 - Secretaría General del Consejo", E1903="132 - Civil y estructuras", E1903="136 - Mecánica", E1903="412 - Planificación", E1903="142 - Compras"), 25, 0)) +(IF(OR(S1903="GRADO ING. MECÁNICA", S1903="GRADO ING. ELÉCTRICA", S1903="GRADO DERECHO", S1903="GRADO ECONOMÍA", S1903="GRADO ING. TECNOLOGÍAS INDUSTRIALES"), 24, 0)) + (IF(AND(K1903&gt;=451, K1903&lt;=700), 23, 0)) + (IF(AND(AB1903&gt;=5, AB1903&lt;=8), 17, 0)) +(IF(_xludf.OR(_xludf.AND(AC1903&gt;=8, AC1903&lt;=10), _xludf.AND(AC1903&gt;=0, AC1903&lt;=5)), 16, 0)) + (IF(F1903="Madrid", 11, 0))))</f>
        <v>#NAME?</v>
      </c>
      <c r="AG1903" s="69"/>
      <c r="AH1903" s="71" t="s">
        <v>164</v>
      </c>
    </row>
    <row r="1904" spans="1:51" s="4" customFormat="1" ht="14.4" x14ac:dyDescent="0.3">
      <c r="A1904" s="66" t="s">
        <v>2753</v>
      </c>
      <c r="B1904" s="66" t="s">
        <v>4870</v>
      </c>
      <c r="C1904" s="33">
        <v>1905</v>
      </c>
      <c r="D1904" s="33" t="s">
        <v>5398</v>
      </c>
      <c r="E1904" s="34" t="s">
        <v>5234</v>
      </c>
      <c r="F1904" s="34" t="s">
        <v>18</v>
      </c>
      <c r="G1904" s="57">
        <v>45698</v>
      </c>
      <c r="H1904" s="57">
        <v>45869</v>
      </c>
      <c r="I1904" s="34">
        <f t="shared" si="88"/>
        <v>5</v>
      </c>
      <c r="J1904" s="34">
        <v>35</v>
      </c>
      <c r="K1904" s="36">
        <v>700</v>
      </c>
      <c r="L1904" s="34" t="s">
        <v>17</v>
      </c>
      <c r="M1904" s="35">
        <v>37625</v>
      </c>
      <c r="N1904" s="37">
        <f>(YEAR(TablaMadre[[#This Row],[ALTA]])-YEAR(M1904))</f>
        <v>22</v>
      </c>
      <c r="O1904" s="34" t="s">
        <v>18</v>
      </c>
      <c r="P1904" s="34" t="s">
        <v>19</v>
      </c>
      <c r="Q1904" s="34" t="s">
        <v>291</v>
      </c>
      <c r="R1904" s="34" t="s">
        <v>30</v>
      </c>
      <c r="S1904" s="34" t="s">
        <v>291</v>
      </c>
      <c r="T1904" s="34" t="s">
        <v>806</v>
      </c>
      <c r="U1904" s="34" t="str">
        <f t="shared" si="91"/>
        <v>N/A</v>
      </c>
      <c r="V1904" s="34" t="s">
        <v>74</v>
      </c>
      <c r="W1904" s="34" t="s">
        <v>23</v>
      </c>
      <c r="X1904" s="38" t="s">
        <v>164</v>
      </c>
      <c r="Y1904" s="62"/>
      <c r="Z1904" s="62" t="e">
        <f t="shared" si="89"/>
        <v>#NUM!</v>
      </c>
      <c r="AA1904" s="62"/>
      <c r="AB1904" s="34">
        <v>10</v>
      </c>
      <c r="AC1904" s="34"/>
      <c r="AD1904" s="40"/>
      <c r="AE1904" s="59" t="str">
        <f t="shared" si="90"/>
        <v>NO</v>
      </c>
      <c r="AF1904" s="34" t="e" cm="1">
        <f t="array" aca="1" ref="AF1904" ca="1">MIN(100, MAX(0, (IF(R1904="ESTUDIANTE", 31, 0)) + (IF(I1904&lt;=3, 30, IF(I1904&lt;=6, 20, 0))) +(IF(OR(E1904="413 - Control de Costes y Enlace Construcción", E1904="480 - Secretaría General del Consejo", E1904="132 - Civil y estructuras", E1904="136 - Mecánica", E1904="412 - Planificación", E1904="142 - Compras"), 25, 0)) +(IF(OR(S1904="GRADO ING. MECÁNICA", S1904="GRADO ING. ELÉCTRICA", S1904="GRADO DERECHO", S1904="GRADO ECONOMÍA", S1904="GRADO ING. TECNOLOGÍAS INDUSTRIALES"), 24, 0)) + (IF(AND(K1904&gt;=451, K1904&lt;=700), 23, 0)) + (IF(AND(AB1904&gt;=5, AB1904&lt;=8), 17, 0)) +(IF(_xludf.OR(_xludf.AND(AC1904&gt;=8, AC1904&lt;=10), _xludf.AND(AC1904&gt;=0, AC1904&lt;=5)), 16, 0)) + (IF(F1904="Madrid", 11, 0))))</f>
        <v>#NAME?</v>
      </c>
      <c r="AG1904" s="69"/>
      <c r="AH1904" s="71" t="s">
        <v>164</v>
      </c>
    </row>
    <row r="1905" spans="1:62" ht="16.5" customHeight="1" x14ac:dyDescent="0.3">
      <c r="A1905" s="66" t="s">
        <v>2754</v>
      </c>
      <c r="B1905" s="66" t="s">
        <v>4871</v>
      </c>
      <c r="C1905" s="33">
        <v>1910</v>
      </c>
      <c r="D1905" s="33" t="s">
        <v>5399</v>
      </c>
      <c r="E1905" s="34" t="s">
        <v>5351</v>
      </c>
      <c r="F1905" s="34" t="s">
        <v>18</v>
      </c>
      <c r="G1905" s="57">
        <v>45698</v>
      </c>
      <c r="H1905" s="57">
        <v>46037</v>
      </c>
      <c r="I1905" s="34">
        <f t="shared" si="88"/>
        <v>11</v>
      </c>
      <c r="J1905" s="34">
        <v>35</v>
      </c>
      <c r="K1905" s="36">
        <v>700</v>
      </c>
      <c r="L1905" s="34" t="s">
        <v>17</v>
      </c>
      <c r="M1905" s="39">
        <v>37573</v>
      </c>
      <c r="N1905" s="37">
        <f>(YEAR(TablaMadre[[#This Row],[ALTA]])-YEAR(M1905))</f>
        <v>23</v>
      </c>
      <c r="O1905" s="34" t="s">
        <v>65</v>
      </c>
      <c r="P1905" s="34" t="s">
        <v>19</v>
      </c>
      <c r="Q1905" s="34" t="s">
        <v>894</v>
      </c>
      <c r="R1905" s="34" t="s">
        <v>30</v>
      </c>
      <c r="S1905" s="34" t="s">
        <v>894</v>
      </c>
      <c r="T1905" s="34" t="s">
        <v>806</v>
      </c>
      <c r="U1905" s="34" t="str">
        <f t="shared" si="91"/>
        <v>N/A</v>
      </c>
      <c r="V1905" s="34" t="s">
        <v>510</v>
      </c>
      <c r="W1905" s="34" t="s">
        <v>181</v>
      </c>
      <c r="X1905" s="34" t="s">
        <v>173</v>
      </c>
      <c r="Y1905" s="34"/>
      <c r="Z1905" s="57" t="e">
        <f t="shared" si="89"/>
        <v>#NUM!</v>
      </c>
      <c r="AA1905" s="57"/>
      <c r="AB1905" s="34">
        <v>10</v>
      </c>
      <c r="AC1905" s="34">
        <v>7</v>
      </c>
      <c r="AD1905" s="34"/>
      <c r="AE1905" s="59" t="str">
        <f t="shared" si="90"/>
        <v>SÍ</v>
      </c>
      <c r="AF1905" s="38" t="e" cm="1">
        <f t="array" aca="1" ref="AF1905" ca="1">MIN(100, MAX(0, (IF(R1905="ESTUDIANTE", 31, 0)) + (IF(I1905&lt;=3, 30, IF(I1905&lt;=6, 20, 0))) +(IF(OR(E1905="413 - Control de Costes y Enlace Construcción", E1905="480 - Secretaría General del Consejo", E1905="132 - Civil y estructuras", E1905="136 - Mecánica", E1905="412 - Planificación", E1905="142 - Compras"), 25, 0)) +(IF(OR(S1905="GRADO ING. MECÁNICA", S1905="GRADO ING. ELÉCTRICA", S1905="GRADO DERECHO", S1905="GRADO ECONOMÍA", S1905="GRADO ING. TECNOLOGÍAS INDUSTRIALES"), 24, 0)) + (IF(AND(K1905&gt;=451, K1905&lt;=700), 23, 0)) + (IF(AND(AB1905&gt;=5, AB1905&lt;=8), 17, 0)) +(IF(_xludf.OR(_xludf.AND(AC1905&gt;=8, AC1905&lt;=10), _xludf.AND(AC1905&gt;=0, AC1905&lt;=5)), 16, 0)) + (IF(F1905="Madrid", 11, 0))))</f>
        <v>#NAME?</v>
      </c>
      <c r="AG1905" s="68"/>
      <c r="AH1905" s="71" t="s">
        <v>164</v>
      </c>
    </row>
    <row r="1906" spans="1:62" s="9" customFormat="1" ht="14.25" customHeight="1" x14ac:dyDescent="0.3">
      <c r="A1906" s="66" t="s">
        <v>2755</v>
      </c>
      <c r="B1906" s="66" t="s">
        <v>4872</v>
      </c>
      <c r="C1906" s="33">
        <v>1906</v>
      </c>
      <c r="D1906" s="33" t="s">
        <v>5400</v>
      </c>
      <c r="E1906" s="34" t="s">
        <v>5233</v>
      </c>
      <c r="F1906" s="34" t="s">
        <v>18</v>
      </c>
      <c r="G1906" s="57">
        <v>45698</v>
      </c>
      <c r="H1906" s="57">
        <v>45869</v>
      </c>
      <c r="I1906" s="34">
        <f t="shared" si="88"/>
        <v>5</v>
      </c>
      <c r="J1906" s="34">
        <v>25</v>
      </c>
      <c r="K1906" s="36">
        <v>500</v>
      </c>
      <c r="L1906" s="34" t="s">
        <v>17</v>
      </c>
      <c r="M1906" s="35">
        <v>35256</v>
      </c>
      <c r="N1906" s="37">
        <f>(YEAR(TablaMadre[[#This Row],[ALTA]])-YEAR(M1906))</f>
        <v>29</v>
      </c>
      <c r="O1906" s="34" t="s">
        <v>18</v>
      </c>
      <c r="P1906" s="34" t="s">
        <v>19</v>
      </c>
      <c r="Q1906" s="34" t="s">
        <v>136</v>
      </c>
      <c r="R1906" s="58" t="s">
        <v>30</v>
      </c>
      <c r="S1906" s="34" t="s">
        <v>136</v>
      </c>
      <c r="T1906" s="34" t="s">
        <v>806</v>
      </c>
      <c r="U1906" s="34" t="str">
        <f t="shared" si="91"/>
        <v>N/A</v>
      </c>
      <c r="V1906" s="34" t="s">
        <v>22</v>
      </c>
      <c r="W1906" s="34" t="s">
        <v>380</v>
      </c>
      <c r="X1906" s="34" t="s">
        <v>164</v>
      </c>
      <c r="Y1906" s="57"/>
      <c r="Z1906" s="57" t="e">
        <f t="shared" si="89"/>
        <v>#NUM!</v>
      </c>
      <c r="AA1906" s="57"/>
      <c r="AB1906" s="34">
        <v>9</v>
      </c>
      <c r="AC1906" s="34">
        <v>9</v>
      </c>
      <c r="AD1906" s="34"/>
      <c r="AE1906" s="59" t="str">
        <f t="shared" si="90"/>
        <v>NO</v>
      </c>
      <c r="AF1906" s="38" t="e" cm="1">
        <f t="array" aca="1" ref="AF1906" ca="1">MIN(100, MAX(0, (IF(R1906="ESTUDIANTE", 31, 0)) + (IF(I1906&lt;=3, 30, IF(I1906&lt;=6, 20, 0))) +(IF(OR(E1906="413 - Control de Costes y Enlace Construcción", E1906="480 - Secretaría General del Consejo", E1906="132 - Civil y estructuras", E1906="136 - Mecánica", E1906="412 - Planificación", E1906="142 - Compras"), 25, 0)) +(IF(OR(S1906="GRADO ING. MECÁNICA", S1906="GRADO ING. ELÉCTRICA", S1906="GRADO DERECHO", S1906="GRADO ECONOMÍA", S1906="GRADO ING. TECNOLOGÍAS INDUSTRIALES"), 24, 0)) + (IF(AND(K1906&gt;=451, K1906&lt;=700), 23, 0)) + (IF(AND(AB1906&gt;=5, AB1906&lt;=8), 17, 0)) +(IF(_xludf.OR(_xludf.AND(AC1906&gt;=8, AC1906&lt;=10), _xludf.AND(AC1906&gt;=0, AC1906&lt;=5)), 16, 0)) + (IF(F1906="Madrid", 11, 0))))</f>
        <v>#NAME?</v>
      </c>
      <c r="AG1906" s="68"/>
      <c r="AH1906" s="71" t="s">
        <v>164</v>
      </c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</row>
    <row r="1907" spans="1:62" s="4" customFormat="1" ht="14.25" customHeight="1" x14ac:dyDescent="0.3">
      <c r="A1907" s="66" t="s">
        <v>2893</v>
      </c>
      <c r="B1907" s="66" t="s">
        <v>5010</v>
      </c>
      <c r="C1907" s="33">
        <v>1909</v>
      </c>
      <c r="D1907" s="33" t="s">
        <v>5401</v>
      </c>
      <c r="E1907" s="34" t="s">
        <v>5246</v>
      </c>
      <c r="F1907" s="34" t="s">
        <v>118</v>
      </c>
      <c r="G1907" s="57">
        <v>45698</v>
      </c>
      <c r="H1907" s="57">
        <v>45989</v>
      </c>
      <c r="I1907" s="34">
        <f t="shared" si="88"/>
        <v>9</v>
      </c>
      <c r="J1907" s="34">
        <v>35</v>
      </c>
      <c r="K1907" s="36">
        <v>900</v>
      </c>
      <c r="L1907" s="34" t="s">
        <v>17</v>
      </c>
      <c r="M1907" s="39">
        <v>37762</v>
      </c>
      <c r="N1907" s="37">
        <f>(YEAR(TablaMadre[[#This Row],[ALTA]])-YEAR(M1907))</f>
        <v>22</v>
      </c>
      <c r="O1907" s="34" t="s">
        <v>153</v>
      </c>
      <c r="P1907" s="34" t="s">
        <v>153</v>
      </c>
      <c r="Q1907" s="34" t="s">
        <v>277</v>
      </c>
      <c r="R1907" s="34" t="s">
        <v>21</v>
      </c>
      <c r="S1907" s="34" t="s">
        <v>277</v>
      </c>
      <c r="T1907" s="34" t="s">
        <v>806</v>
      </c>
      <c r="U1907" s="34" t="str">
        <f t="shared" si="91"/>
        <v>N/A</v>
      </c>
      <c r="V1907" s="34" t="s">
        <v>37</v>
      </c>
      <c r="W1907" s="34" t="s">
        <v>28</v>
      </c>
      <c r="X1907" s="34" t="s">
        <v>173</v>
      </c>
      <c r="Y1907" s="57"/>
      <c r="Z1907" s="34" t="e">
        <f t="shared" si="89"/>
        <v>#NUM!</v>
      </c>
      <c r="AA1907" s="34"/>
      <c r="AB1907" s="34">
        <v>9</v>
      </c>
      <c r="AC1907" s="34">
        <v>7</v>
      </c>
      <c r="AD1907" s="34"/>
      <c r="AE1907" s="59" t="str">
        <f t="shared" si="90"/>
        <v>SÍ</v>
      </c>
      <c r="AF1907" s="34" t="e" cm="1">
        <f t="array" aca="1" ref="AF1907" ca="1">MIN(100, MAX(0, (IF(R1907="ESTUDIANTE", 31, 0)) + (IF(I1907&lt;=3, 30, IF(I1907&lt;=6, 20, 0))) +(IF(OR(E1907="413 - Control de Costes y Enlace Construcción", E1907="480 - Secretaría General del Consejo", E1907="132 - Civil y estructuras", E1907="136 - Mecánica", E1907="412 - Planificación", E1907="142 - Compras"), 25, 0)) +(IF(OR(S1907="GRADO ING. MECÁNICA", S1907="GRADO ING. ELÉCTRICA", S1907="GRADO DERECHO", S1907="GRADO ECONOMÍA", S1907="GRADO ING. TECNOLOGÍAS INDUSTRIALES"), 24, 0)) + (IF(AND(K1907&gt;=451, K1907&lt;=700), 23, 0)) + (IF(AND(AB1907&gt;=5, AB1907&lt;=8), 17, 0)) +(IF(_xludf.OR(_xludf.AND(AC1907&gt;=8, AC1907&lt;=10), _xludf.AND(AC1907&gt;=0, AC1907&lt;=5)), 16, 0)) + (IF(F1907="Madrid", 11, 0))))</f>
        <v>#NAME?</v>
      </c>
      <c r="AG1907" s="69"/>
      <c r="AH1907" s="71" t="s">
        <v>164</v>
      </c>
    </row>
    <row r="1908" spans="1:62" s="4" customFormat="1" ht="15" customHeight="1" x14ac:dyDescent="0.3">
      <c r="A1908" s="66" t="s">
        <v>2895</v>
      </c>
      <c r="B1908" s="66" t="s">
        <v>5012</v>
      </c>
      <c r="C1908" s="33">
        <v>1908</v>
      </c>
      <c r="D1908" s="33" t="s">
        <v>5402</v>
      </c>
      <c r="E1908" s="34" t="s">
        <v>5375</v>
      </c>
      <c r="F1908" s="34" t="s">
        <v>18</v>
      </c>
      <c r="G1908" s="57">
        <v>45698</v>
      </c>
      <c r="H1908" s="57">
        <v>45961</v>
      </c>
      <c r="I1908" s="34">
        <f t="shared" si="88"/>
        <v>8</v>
      </c>
      <c r="J1908" s="34">
        <v>30</v>
      </c>
      <c r="K1908" s="36">
        <v>750</v>
      </c>
      <c r="L1908" s="34" t="s">
        <v>17</v>
      </c>
      <c r="M1908" s="39">
        <v>37756</v>
      </c>
      <c r="N1908" s="37">
        <f>(YEAR(TablaMadre[[#This Row],[ALTA]])-YEAR(M1908))</f>
        <v>22</v>
      </c>
      <c r="O1908" s="34" t="s">
        <v>18</v>
      </c>
      <c r="P1908" s="34" t="s">
        <v>19</v>
      </c>
      <c r="Q1908" s="34" t="s">
        <v>136</v>
      </c>
      <c r="R1908" s="34" t="s">
        <v>21</v>
      </c>
      <c r="S1908" s="34" t="s">
        <v>136</v>
      </c>
      <c r="T1908" s="34" t="s">
        <v>806</v>
      </c>
      <c r="U1908" s="34" t="str">
        <f t="shared" si="91"/>
        <v>N/A</v>
      </c>
      <c r="V1908" s="34" t="s">
        <v>67</v>
      </c>
      <c r="W1908" s="34" t="s">
        <v>28</v>
      </c>
      <c r="X1908" s="34" t="s">
        <v>173</v>
      </c>
      <c r="Y1908" s="57"/>
      <c r="Z1908" s="34" t="e">
        <f t="shared" si="89"/>
        <v>#NUM!</v>
      </c>
      <c r="AA1908" s="34"/>
      <c r="AB1908" s="34">
        <v>10</v>
      </c>
      <c r="AC1908" s="34">
        <v>8</v>
      </c>
      <c r="AD1908" s="34"/>
      <c r="AE1908" s="59" t="str">
        <f t="shared" si="90"/>
        <v>NO</v>
      </c>
      <c r="AF1908" s="34" t="e" cm="1">
        <f t="array" aca="1" ref="AF1908" ca="1">MIN(100, MAX(0, (IF(R1908="ESTUDIANTE", 31, 0)) + (IF(I1908&lt;=3, 30, IF(I1908&lt;=6, 20, 0))) +(IF(OR(E1908="413 - Control de Costes y Enlace Construcción", E1908="480 - Secretaría General del Consejo", E1908="132 - Civil y estructuras", E1908="136 - Mecánica", E1908="412 - Planificación", E1908="142 - Compras"), 25, 0)) +(IF(OR(S1908="GRADO ING. MECÁNICA", S1908="GRADO ING. ELÉCTRICA", S1908="GRADO DERECHO", S1908="GRADO ECONOMÍA", S1908="GRADO ING. TECNOLOGÍAS INDUSTRIALES"), 24, 0)) + (IF(AND(K1908&gt;=451, K1908&lt;=700), 23, 0)) + (IF(AND(AB1908&gt;=5, AB1908&lt;=8), 17, 0)) +(IF(_xludf.OR(_xludf.AND(AC1908&gt;=8, AC1908&lt;=10), _xludf.AND(AC1908&gt;=0, AC1908&lt;=5)), 16, 0)) + (IF(F1908="Madrid", 11, 0))))</f>
        <v>#NAME?</v>
      </c>
      <c r="AG1908" s="69"/>
      <c r="AH1908" s="71" t="s">
        <v>164</v>
      </c>
    </row>
    <row r="1909" spans="1:62" s="4" customFormat="1" ht="16.5" customHeight="1" x14ac:dyDescent="0.3">
      <c r="A1909" s="66" t="s">
        <v>2897</v>
      </c>
      <c r="B1909" s="66" t="s">
        <v>5014</v>
      </c>
      <c r="C1909" s="33">
        <v>1907</v>
      </c>
      <c r="D1909" s="33" t="s">
        <v>5393</v>
      </c>
      <c r="E1909" s="34" t="s">
        <v>5360</v>
      </c>
      <c r="F1909" s="34" t="s">
        <v>18</v>
      </c>
      <c r="G1909" s="57">
        <v>45698</v>
      </c>
      <c r="H1909" s="57">
        <v>45878</v>
      </c>
      <c r="I1909" s="34">
        <f t="shared" si="88"/>
        <v>5</v>
      </c>
      <c r="J1909" s="34">
        <v>30</v>
      </c>
      <c r="K1909" s="36">
        <v>600</v>
      </c>
      <c r="L1909" s="34" t="s">
        <v>17</v>
      </c>
      <c r="M1909" s="39">
        <v>37877</v>
      </c>
      <c r="N1909" s="37">
        <f>(YEAR(TablaMadre[[#This Row],[ALTA]])-YEAR(M1909))</f>
        <v>22</v>
      </c>
      <c r="O1909" s="34" t="s">
        <v>18</v>
      </c>
      <c r="P1909" s="34" t="s">
        <v>19</v>
      </c>
      <c r="Q1909" s="34" t="s">
        <v>322</v>
      </c>
      <c r="R1909" s="58" t="s">
        <v>30</v>
      </c>
      <c r="S1909" s="34" t="s">
        <v>322</v>
      </c>
      <c r="T1909" s="34" t="s">
        <v>806</v>
      </c>
      <c r="U1909" s="34" t="str">
        <f t="shared" si="91"/>
        <v>N/A</v>
      </c>
      <c r="V1909" s="34" t="s">
        <v>182</v>
      </c>
      <c r="W1909" s="34" t="s">
        <v>28</v>
      </c>
      <c r="X1909" s="34" t="s">
        <v>173</v>
      </c>
      <c r="Y1909" s="57"/>
      <c r="Z1909" s="34" t="e">
        <f t="shared" si="89"/>
        <v>#NUM!</v>
      </c>
      <c r="AA1909" s="34"/>
      <c r="AB1909" s="34">
        <v>7</v>
      </c>
      <c r="AC1909" s="34">
        <v>9</v>
      </c>
      <c r="AD1909" s="34"/>
      <c r="AE1909" s="59" t="str">
        <f t="shared" si="90"/>
        <v>NO</v>
      </c>
      <c r="AF1909" s="34" t="e" cm="1">
        <f t="array" aca="1" ref="AF1909" ca="1">MIN(100, MAX(0, (IF(R1909="ESTUDIANTE", 31, 0)) + (IF(I1909&lt;=3, 30, IF(I1909&lt;=6, 20, 0))) +(IF(OR(E1909="413 - Control de Costes y Enlace Construcción", E1909="480 - Secretaría General del Consejo", E1909="132 - Civil y estructuras", E1909="136 - Mecánica", E1909="412 - Planificación", E1909="142 - Compras"), 25, 0)) +(IF(OR(S1909="GRADO ING. MECÁNICA", S1909="GRADO ING. ELÉCTRICA", S1909="GRADO DERECHO", S1909="GRADO ECONOMÍA", S1909="GRADO ING. TECNOLOGÍAS INDUSTRIALES"), 24, 0)) + (IF(AND(K1909&gt;=451, K1909&lt;=700), 23, 0)) + (IF(AND(AB1909&gt;=5, AB1909&lt;=8), 17, 0)) +(IF(_xludf.OR(_xludf.AND(AC1909&gt;=8, AC1909&lt;=10), _xludf.AND(AC1909&gt;=0, AC1909&lt;=5)), 16, 0)) + (IF(F1909="Madrid", 11, 0))))</f>
        <v>#NAME?</v>
      </c>
      <c r="AG1909" s="69"/>
      <c r="AH1909" s="71" t="s">
        <v>164</v>
      </c>
    </row>
    <row r="1910" spans="1:62" s="4" customFormat="1" ht="16.5" customHeight="1" x14ac:dyDescent="0.3">
      <c r="A1910" s="66" t="s">
        <v>3038</v>
      </c>
      <c r="B1910" s="66" t="s">
        <v>5155</v>
      </c>
      <c r="C1910" s="33">
        <v>1903</v>
      </c>
      <c r="D1910" s="33" t="s">
        <v>5394</v>
      </c>
      <c r="E1910" s="34" t="s">
        <v>5285</v>
      </c>
      <c r="F1910" s="34" t="s">
        <v>931</v>
      </c>
      <c r="G1910" s="57">
        <v>45698</v>
      </c>
      <c r="H1910" s="57">
        <v>45709</v>
      </c>
      <c r="I1910" s="34">
        <f t="shared" si="88"/>
        <v>0</v>
      </c>
      <c r="J1910" s="34">
        <v>40</v>
      </c>
      <c r="K1910" s="36">
        <v>0</v>
      </c>
      <c r="L1910" s="34" t="s">
        <v>29</v>
      </c>
      <c r="M1910" s="35">
        <v>36526</v>
      </c>
      <c r="N1910" s="37">
        <f>(YEAR(TablaMadre[[#This Row],[ALTA]])-YEAR(M1910))</f>
        <v>25</v>
      </c>
      <c r="O1910" s="34"/>
      <c r="P1910" s="34"/>
      <c r="Q1910" s="34" t="s">
        <v>805</v>
      </c>
      <c r="R1910" s="34" t="s">
        <v>30</v>
      </c>
      <c r="S1910" s="34" t="s">
        <v>26</v>
      </c>
      <c r="T1910" s="34" t="s">
        <v>806</v>
      </c>
      <c r="U1910" s="34" t="s">
        <v>347</v>
      </c>
      <c r="V1910" s="34" t="s">
        <v>27</v>
      </c>
      <c r="W1910" s="34" t="s">
        <v>380</v>
      </c>
      <c r="X1910" s="34" t="s">
        <v>164</v>
      </c>
      <c r="Y1910" s="57"/>
      <c r="Z1910" s="57" t="e">
        <f t="shared" si="89"/>
        <v>#NUM!</v>
      </c>
      <c r="AA1910" s="57"/>
      <c r="AB1910" s="34"/>
      <c r="AC1910" s="34"/>
      <c r="AD1910" s="34"/>
      <c r="AE1910" s="59" t="str">
        <f t="shared" si="90"/>
        <v>SÍ</v>
      </c>
      <c r="AF1910" s="34" t="e" cm="1">
        <f t="array" aca="1" ref="AF1910" ca="1">MIN(100, MAX(0, (IF(R1910="ESTUDIANTE", 31, 0)) + (IF(I1910&lt;=3, 30, IF(I1910&lt;=6, 20, 0))) +(IF(OR(E1910="413 - Control de Costes y Enlace Construcción", E1910="480 - Secretaría General del Consejo", E1910="132 - Civil y estructuras", E1910="136 - Mecánica", E1910="412 - Planificación", E1910="142 - Compras"), 25, 0)) +(IF(OR(S1910="GRADO ING. MECÁNICA", S1910="GRADO ING. ELÉCTRICA", S1910="GRADO DERECHO", S1910="GRADO ECONOMÍA", S1910="GRADO ING. TECNOLOGÍAS INDUSTRIALES"), 24, 0)) + (IF(AND(K1910&gt;=451, K1910&lt;=700), 23, 0)) + (IF(AND(AB1910&gt;=5, AB1910&lt;=8), 17, 0)) +(IF(_xludf.OR(_xludf.AND(AC1910&gt;=8, AC1910&lt;=10), _xludf.AND(AC1910&gt;=0, AC1910&lt;=5)), 16, 0)) + (IF(F1910="Madrid", 11, 0))))</f>
        <v>#NAME?</v>
      </c>
      <c r="AG1910" s="69"/>
      <c r="AH1910" s="71" t="s">
        <v>164</v>
      </c>
    </row>
    <row r="1911" spans="1:62" s="16" customFormat="1" ht="15.75" customHeight="1" x14ac:dyDescent="0.3">
      <c r="A1911" s="66" t="s">
        <v>3039</v>
      </c>
      <c r="B1911" s="66" t="s">
        <v>5156</v>
      </c>
      <c r="C1911" s="33">
        <v>1904</v>
      </c>
      <c r="D1911" s="33" t="s">
        <v>5403</v>
      </c>
      <c r="E1911" s="34" t="s">
        <v>5285</v>
      </c>
      <c r="F1911" s="34" t="s">
        <v>18</v>
      </c>
      <c r="G1911" s="57">
        <v>45698</v>
      </c>
      <c r="H1911" s="57">
        <v>45709</v>
      </c>
      <c r="I1911" s="34">
        <f t="shared" si="88"/>
        <v>0</v>
      </c>
      <c r="J1911" s="34">
        <v>40</v>
      </c>
      <c r="K1911" s="36">
        <v>0</v>
      </c>
      <c r="L1911" s="34" t="s">
        <v>17</v>
      </c>
      <c r="M1911" s="35">
        <v>38192</v>
      </c>
      <c r="N1911" s="37">
        <f>(YEAR(TablaMadre[[#This Row],[ALTA]])-YEAR(M1911))</f>
        <v>21</v>
      </c>
      <c r="O1911" s="34" t="s">
        <v>18</v>
      </c>
      <c r="P1911" s="34" t="s">
        <v>19</v>
      </c>
      <c r="Q1911" s="34" t="s">
        <v>805</v>
      </c>
      <c r="R1911" s="34" t="s">
        <v>30</v>
      </c>
      <c r="S1911" s="34" t="s">
        <v>26</v>
      </c>
      <c r="T1911" s="34" t="s">
        <v>806</v>
      </c>
      <c r="U1911" s="34" t="s">
        <v>347</v>
      </c>
      <c r="V1911" s="34" t="s">
        <v>27</v>
      </c>
      <c r="W1911" s="34" t="s">
        <v>380</v>
      </c>
      <c r="X1911" s="38" t="s">
        <v>164</v>
      </c>
      <c r="Y1911" s="62"/>
      <c r="Z1911" s="62" t="e">
        <f t="shared" si="89"/>
        <v>#NUM!</v>
      </c>
      <c r="AA1911" s="62"/>
      <c r="AB1911" s="34"/>
      <c r="AC1911" s="34"/>
      <c r="AD1911" s="38"/>
      <c r="AE1911" s="59" t="str">
        <f t="shared" si="90"/>
        <v>NO</v>
      </c>
      <c r="AF1911" s="34" t="e" cm="1">
        <f t="array" aca="1" ref="AF1911" ca="1">MIN(100, MAX(0, (IF(R1911="ESTUDIANTE", 31, 0)) + (IF(I1911&lt;=3, 30, IF(I1911&lt;=6, 20, 0))) +(IF(OR(E1911="413 - Control de Costes y Enlace Construcción", E1911="480 - Secretaría General del Consejo", E1911="132 - Civil y estructuras", E1911="136 - Mecánica", E1911="412 - Planificación", E1911="142 - Compras"), 25, 0)) +(IF(OR(S1911="GRADO ING. MECÁNICA", S1911="GRADO ING. ELÉCTRICA", S1911="GRADO DERECHO", S1911="GRADO ECONOMÍA", S1911="GRADO ING. TECNOLOGÍAS INDUSTRIALES"), 24, 0)) + (IF(AND(K1911&gt;=451, K1911&lt;=700), 23, 0)) + (IF(AND(AB1911&gt;=5, AB1911&lt;=8), 17, 0)) +(IF(_xludf.OR(_xludf.AND(AC1911&gt;=8, AC1911&lt;=10), _xludf.AND(AC1911&gt;=0, AC1911&lt;=5)), 16, 0)) + (IF(F1911="Madrid", 11, 0))))</f>
        <v>#NAME?</v>
      </c>
      <c r="AG1911" s="69"/>
      <c r="AH1911" s="71" t="s">
        <v>164</v>
      </c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21"/>
    </row>
    <row r="1912" spans="1:62" s="10" customFormat="1" ht="15.75" customHeight="1" x14ac:dyDescent="0.3">
      <c r="A1912" s="66" t="s">
        <v>2756</v>
      </c>
      <c r="B1912" s="66" t="s">
        <v>4873</v>
      </c>
      <c r="C1912" s="33">
        <v>1913</v>
      </c>
      <c r="D1912" s="33" t="s">
        <v>5404</v>
      </c>
      <c r="E1912" s="34" t="s">
        <v>5219</v>
      </c>
      <c r="F1912" s="34" t="s">
        <v>18</v>
      </c>
      <c r="G1912" s="57">
        <v>45705</v>
      </c>
      <c r="H1912" s="57">
        <v>45885</v>
      </c>
      <c r="I1912" s="34">
        <f t="shared" si="88"/>
        <v>5</v>
      </c>
      <c r="J1912" s="34">
        <v>35</v>
      </c>
      <c r="K1912" s="36">
        <v>900</v>
      </c>
      <c r="L1912" s="34" t="s">
        <v>17</v>
      </c>
      <c r="M1912" s="35">
        <v>37721</v>
      </c>
      <c r="N1912" s="37">
        <f>(YEAR(TablaMadre[[#This Row],[ALTA]])-YEAR(M1912))</f>
        <v>22</v>
      </c>
      <c r="O1912" s="34" t="s">
        <v>18</v>
      </c>
      <c r="P1912" s="34" t="s">
        <v>19</v>
      </c>
      <c r="Q1912" s="34" t="s">
        <v>306</v>
      </c>
      <c r="R1912" s="34" t="s">
        <v>21</v>
      </c>
      <c r="S1912" s="34" t="s">
        <v>307</v>
      </c>
      <c r="T1912" s="34" t="s">
        <v>806</v>
      </c>
      <c r="U1912" s="34" t="str">
        <f>SUBSTITUTE($T1912, "INGUN", "/")</f>
        <v>N/A</v>
      </c>
      <c r="V1912" s="34" t="s">
        <v>22</v>
      </c>
      <c r="W1912" s="34" t="s">
        <v>181</v>
      </c>
      <c r="X1912" s="34" t="s">
        <v>164</v>
      </c>
      <c r="Y1912" s="57"/>
      <c r="Z1912" s="57" t="e">
        <f t="shared" si="89"/>
        <v>#NUM!</v>
      </c>
      <c r="AA1912" s="57"/>
      <c r="AB1912" s="34">
        <v>10</v>
      </c>
      <c r="AC1912" s="34">
        <v>10</v>
      </c>
      <c r="AD1912" s="34"/>
      <c r="AE1912" s="59" t="str">
        <f t="shared" si="90"/>
        <v>NO</v>
      </c>
      <c r="AF1912" s="38" t="e" cm="1">
        <f t="array" aca="1" ref="AF1912" ca="1">MIN(100, MAX(0, (IF(R1912="ESTUDIANTE", 31, 0)) + (IF(I1912&lt;=3, 30, IF(I1912&lt;=6, 20, 0))) +(IF(OR(E1912="413 - Control de Costes y Enlace Construcción", E1912="480 - Secretaría General del Consejo", E1912="132 - Civil y estructuras", E1912="136 - Mecánica", E1912="412 - Planificación", E1912="142 - Compras"), 25, 0)) +(IF(OR(S1912="GRADO ING. MECÁNICA", S1912="GRADO ING. ELÉCTRICA", S1912="GRADO DERECHO", S1912="GRADO ECONOMÍA", S1912="GRADO ING. TECNOLOGÍAS INDUSTRIALES"), 24, 0)) + (IF(AND(K1912&gt;=451, K1912&lt;=700), 23, 0)) + (IF(AND(AB1912&gt;=5, AB1912&lt;=8), 17, 0)) +(IF(_xludf.OR(_xludf.AND(AC1912&gt;=8, AC1912&lt;=10), _xludf.AND(AC1912&gt;=0, AC1912&lt;=5)), 16, 0)) + (IF(F1912="Madrid", 11, 0))))</f>
        <v>#NAME?</v>
      </c>
      <c r="AG1912" s="68"/>
      <c r="AH1912" s="71" t="s">
        <v>164</v>
      </c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19"/>
      <c r="BA1912" s="19"/>
      <c r="BB1912" s="19"/>
      <c r="BC1912" s="19"/>
      <c r="BD1912" s="19"/>
      <c r="BE1912" s="19"/>
      <c r="BF1912" s="19"/>
      <c r="BG1912" s="19"/>
      <c r="BH1912" s="19"/>
      <c r="BI1912" s="19"/>
    </row>
    <row r="1913" spans="1:62" s="16" customFormat="1" ht="17.25" customHeight="1" x14ac:dyDescent="0.3">
      <c r="A1913" s="66" t="s">
        <v>2765</v>
      </c>
      <c r="B1913" s="66" t="s">
        <v>4882</v>
      </c>
      <c r="C1913" s="33">
        <v>1915</v>
      </c>
      <c r="D1913" s="33" t="s">
        <v>5405</v>
      </c>
      <c r="E1913" s="34" t="s">
        <v>5273</v>
      </c>
      <c r="F1913" s="34" t="s">
        <v>18</v>
      </c>
      <c r="G1913" s="57">
        <v>45705</v>
      </c>
      <c r="H1913" s="57">
        <v>45885</v>
      </c>
      <c r="I1913" s="34">
        <f t="shared" si="88"/>
        <v>5</v>
      </c>
      <c r="J1913" s="34">
        <v>25</v>
      </c>
      <c r="K1913" s="36">
        <v>500</v>
      </c>
      <c r="L1913" s="34" t="s">
        <v>17</v>
      </c>
      <c r="M1913" s="35">
        <v>37757</v>
      </c>
      <c r="N1913" s="37">
        <f>(YEAR(TablaMadre[[#This Row],[ALTA]])-YEAR(M1913))</f>
        <v>22</v>
      </c>
      <c r="O1913" s="34" t="s">
        <v>18</v>
      </c>
      <c r="P1913" s="34" t="s">
        <v>19</v>
      </c>
      <c r="Q1913" s="34" t="s">
        <v>322</v>
      </c>
      <c r="R1913" s="58" t="s">
        <v>30</v>
      </c>
      <c r="S1913" s="34" t="s">
        <v>322</v>
      </c>
      <c r="T1913" s="34" t="s">
        <v>806</v>
      </c>
      <c r="U1913" s="34" t="str">
        <f>SUBSTITUTE($T1913, "INGUN", "/")</f>
        <v>N/A</v>
      </c>
      <c r="V1913" s="34" t="s">
        <v>67</v>
      </c>
      <c r="W1913" s="34" t="s">
        <v>181</v>
      </c>
      <c r="X1913" s="34" t="s">
        <v>164</v>
      </c>
      <c r="Y1913" s="57"/>
      <c r="Z1913" s="57" t="e">
        <f t="shared" si="89"/>
        <v>#NUM!</v>
      </c>
      <c r="AA1913" s="57"/>
      <c r="AB1913" s="34">
        <v>8</v>
      </c>
      <c r="AC1913" s="34">
        <v>8</v>
      </c>
      <c r="AD1913" s="34"/>
      <c r="AE1913" s="59" t="str">
        <f t="shared" si="90"/>
        <v>NO</v>
      </c>
      <c r="AF1913" s="34" t="e" cm="1">
        <f t="array" aca="1" ref="AF1913" ca="1">MIN(100, MAX(0, (IF(R1913="ESTUDIANTE", 31, 0)) + (IF(I1913&lt;=3, 30, IF(I1913&lt;=6, 20, 0))) +(IF(OR(E1913="413 - Control de Costes y Enlace Construcción", E1913="480 - Secretaría General del Consejo", E1913="132 - Civil y estructuras", E1913="136 - Mecánica", E1913="412 - Planificación", E1913="142 - Compras"), 25, 0)) +(IF(OR(S1913="GRADO ING. MECÁNICA", S1913="GRADO ING. ELÉCTRICA", S1913="GRADO DERECHO", S1913="GRADO ECONOMÍA", S1913="GRADO ING. TECNOLOGÍAS INDUSTRIALES"), 24, 0)) + (IF(AND(K1913&gt;=451, K1913&lt;=700), 23, 0)) + (IF(AND(AB1913&gt;=5, AB1913&lt;=8), 17, 0)) +(IF(_xludf.OR(_xludf.AND(AC1913&gt;=8, AC1913&lt;=10), _xludf.AND(AC1913&gt;=0, AC1913&lt;=5)), 16, 0)) + (IF(F1913="Madrid", 11, 0))))</f>
        <v>#NAME?</v>
      </c>
      <c r="AG1913" s="69"/>
      <c r="AH1913" s="71" t="s">
        <v>164</v>
      </c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21"/>
    </row>
    <row r="1914" spans="1:62" s="16" customFormat="1" ht="16.5" customHeight="1" x14ac:dyDescent="0.3">
      <c r="A1914" s="66" t="s">
        <v>2766</v>
      </c>
      <c r="B1914" s="66" t="s">
        <v>4883</v>
      </c>
      <c r="C1914" s="33">
        <v>1917</v>
      </c>
      <c r="D1914" s="33" t="s">
        <v>5396</v>
      </c>
      <c r="E1914" s="34" t="s">
        <v>5255</v>
      </c>
      <c r="F1914" s="34" t="s">
        <v>18</v>
      </c>
      <c r="G1914" s="57">
        <v>45705</v>
      </c>
      <c r="H1914" s="57">
        <v>45885</v>
      </c>
      <c r="I1914" s="34">
        <f t="shared" si="88"/>
        <v>5</v>
      </c>
      <c r="J1914" s="34">
        <v>25</v>
      </c>
      <c r="K1914" s="36">
        <v>600</v>
      </c>
      <c r="L1914" s="34" t="s">
        <v>17</v>
      </c>
      <c r="M1914" s="35">
        <v>36599</v>
      </c>
      <c r="N1914" s="37">
        <f>(YEAR(TablaMadre[[#This Row],[ALTA]])-YEAR(M1914))</f>
        <v>25</v>
      </c>
      <c r="O1914" s="34" t="s">
        <v>143</v>
      </c>
      <c r="P1914" s="34" t="s">
        <v>19</v>
      </c>
      <c r="Q1914" s="34" t="s">
        <v>685</v>
      </c>
      <c r="R1914" s="58" t="s">
        <v>30</v>
      </c>
      <c r="S1914" s="34" t="s">
        <v>685</v>
      </c>
      <c r="T1914" s="34" t="s">
        <v>806</v>
      </c>
      <c r="U1914" s="34" t="str">
        <f>SUBSTITUTE($T1914, "INGUN", "/")</f>
        <v>N/A</v>
      </c>
      <c r="V1914" s="34" t="s">
        <v>22</v>
      </c>
      <c r="W1914" s="34" t="s">
        <v>380</v>
      </c>
      <c r="X1914" s="38" t="s">
        <v>173</v>
      </c>
      <c r="Y1914" s="62"/>
      <c r="Z1914" s="62" t="e">
        <f t="shared" si="89"/>
        <v>#NUM!</v>
      </c>
      <c r="AA1914" s="62"/>
      <c r="AB1914" s="34">
        <v>8</v>
      </c>
      <c r="AC1914" s="34">
        <v>9</v>
      </c>
      <c r="AD1914" s="38"/>
      <c r="AE1914" s="59" t="str">
        <f t="shared" si="90"/>
        <v>SÍ</v>
      </c>
      <c r="AF1914" s="34" t="e" cm="1">
        <f t="array" aca="1" ref="AF1914" ca="1">MIN(100, MAX(0, (IF(R1914="ESTUDIANTE", 31, 0)) + (IF(I1914&lt;=3, 30, IF(I1914&lt;=6, 20, 0))) +(IF(OR(E1914="413 - Control de Costes y Enlace Construcción", E1914="480 - Secretaría General del Consejo", E1914="132 - Civil y estructuras", E1914="136 - Mecánica", E1914="412 - Planificación", E1914="142 - Compras"), 25, 0)) +(IF(OR(S1914="GRADO ING. MECÁNICA", S1914="GRADO ING. ELÉCTRICA", S1914="GRADO DERECHO", S1914="GRADO ECONOMÍA", S1914="GRADO ING. TECNOLOGÍAS INDUSTRIALES"), 24, 0)) + (IF(AND(K1914&gt;=451, K1914&lt;=700), 23, 0)) + (IF(AND(AB1914&gt;=5, AB1914&lt;=8), 17, 0)) +(IF(_xludf.OR(_xludf.AND(AC1914&gt;=8, AC1914&lt;=10), _xludf.AND(AC1914&gt;=0, AC1914&lt;=5)), 16, 0)) + (IF(F1914="Madrid", 11, 0))))</f>
        <v>#NAME?</v>
      </c>
      <c r="AG1914" s="69"/>
      <c r="AH1914" s="71" t="s">
        <v>164</v>
      </c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22"/>
      <c r="BA1914" s="22"/>
      <c r="BB1914" s="22"/>
      <c r="BC1914" s="22"/>
      <c r="BD1914" s="22"/>
      <c r="BE1914" s="22"/>
      <c r="BF1914" s="22"/>
      <c r="BG1914" s="22"/>
      <c r="BH1914" s="22"/>
      <c r="BI1914" s="22"/>
    </row>
    <row r="1915" spans="1:62" s="10" customFormat="1" ht="16.5" customHeight="1" x14ac:dyDescent="0.3">
      <c r="A1915" s="66" t="s">
        <v>2783</v>
      </c>
      <c r="B1915" s="66" t="s">
        <v>4900</v>
      </c>
      <c r="C1915" s="33">
        <v>1911</v>
      </c>
      <c r="D1915" s="33" t="s">
        <v>5397</v>
      </c>
      <c r="E1915" s="34" t="s">
        <v>5324</v>
      </c>
      <c r="F1915" s="34" t="s">
        <v>18</v>
      </c>
      <c r="G1915" s="57">
        <v>45705</v>
      </c>
      <c r="H1915" s="57">
        <v>45853</v>
      </c>
      <c r="I1915" s="34">
        <f t="shared" si="88"/>
        <v>4</v>
      </c>
      <c r="J1915" s="34">
        <v>35</v>
      </c>
      <c r="K1915" s="36">
        <v>700</v>
      </c>
      <c r="L1915" s="34" t="s">
        <v>17</v>
      </c>
      <c r="M1915" s="35">
        <v>37658</v>
      </c>
      <c r="N1915" s="37">
        <f>(YEAR(TablaMadre[[#This Row],[ALTA]])-YEAR(M1915))</f>
        <v>22</v>
      </c>
      <c r="O1915" s="34" t="s">
        <v>18</v>
      </c>
      <c r="P1915" s="34" t="s">
        <v>19</v>
      </c>
      <c r="Q1915" s="34" t="s">
        <v>229</v>
      </c>
      <c r="R1915" s="34" t="s">
        <v>30</v>
      </c>
      <c r="S1915" s="34" t="s">
        <v>229</v>
      </c>
      <c r="T1915" s="34" t="s">
        <v>806</v>
      </c>
      <c r="U1915" s="34" t="str">
        <f>SUBSTITUTE($T1915, "INGUN", "/")</f>
        <v>N/A</v>
      </c>
      <c r="V1915" s="34" t="s">
        <v>858</v>
      </c>
      <c r="W1915" s="34" t="s">
        <v>380</v>
      </c>
      <c r="X1915" s="38" t="s">
        <v>173</v>
      </c>
      <c r="Y1915" s="62"/>
      <c r="Z1915" s="62" t="e">
        <f t="shared" si="89"/>
        <v>#NUM!</v>
      </c>
      <c r="AA1915" s="62"/>
      <c r="AB1915" s="34">
        <v>7</v>
      </c>
      <c r="AC1915" s="34">
        <v>8</v>
      </c>
      <c r="AD1915" s="38"/>
      <c r="AE1915" s="59" t="str">
        <f t="shared" si="90"/>
        <v>NO</v>
      </c>
      <c r="AF1915" s="38" t="e" cm="1">
        <f t="array" aca="1" ref="AF1915" ca="1">MIN(100, MAX(0, (IF(R1915="ESTUDIANTE", 31, 0)) + (IF(I1915&lt;=3, 30, IF(I1915&lt;=6, 20, 0))) +(IF(OR(E1915="413 - Control de Costes y Enlace Construcción", E1915="480 - Secretaría General del Consejo", E1915="132 - Civil y estructuras", E1915="136 - Mecánica", E1915="412 - Planificación", E1915="142 - Compras"), 25, 0)) +(IF(OR(S1915="GRADO ING. MECÁNICA", S1915="GRADO ING. ELÉCTRICA", S1915="GRADO DERECHO", S1915="GRADO ECONOMÍA", S1915="GRADO ING. TECNOLOGÍAS INDUSTRIALES"), 24, 0)) + (IF(AND(K1915&gt;=451, K1915&lt;=700), 23, 0)) + (IF(AND(AB1915&gt;=5, AB1915&lt;=8), 17, 0)) +(IF(_xludf.OR(_xludf.AND(AC1915&gt;=8, AC1915&lt;=10), _xludf.AND(AC1915&gt;=0, AC1915&lt;=5)), 16, 0)) + (IF(F1915="Madrid", 11, 0))))</f>
        <v>#NAME?</v>
      </c>
      <c r="AG1915" s="68"/>
      <c r="AH1915" s="71" t="s">
        <v>164</v>
      </c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</row>
    <row r="1916" spans="1:62" s="7" customFormat="1" ht="18.75" customHeight="1" x14ac:dyDescent="0.3">
      <c r="A1916" s="66" t="s">
        <v>2898</v>
      </c>
      <c r="B1916" s="66" t="s">
        <v>5015</v>
      </c>
      <c r="C1916" s="33">
        <v>1920</v>
      </c>
      <c r="D1916" s="33" t="s">
        <v>5393</v>
      </c>
      <c r="E1916" s="34" t="s">
        <v>5219</v>
      </c>
      <c r="F1916" s="34" t="s">
        <v>18</v>
      </c>
      <c r="G1916" s="57">
        <v>45705</v>
      </c>
      <c r="H1916" s="57">
        <v>46069</v>
      </c>
      <c r="I1916" s="34">
        <f t="shared" si="88"/>
        <v>11</v>
      </c>
      <c r="J1916" s="34">
        <v>35</v>
      </c>
      <c r="K1916" s="36">
        <v>1200</v>
      </c>
      <c r="L1916" s="34" t="s">
        <v>29</v>
      </c>
      <c r="M1916" s="39">
        <v>36879</v>
      </c>
      <c r="N1916" s="37">
        <f>(YEAR(TablaMadre[[#This Row],[ALTA]])-YEAR(M1916))</f>
        <v>25</v>
      </c>
      <c r="O1916" s="34" t="s">
        <v>18</v>
      </c>
      <c r="P1916" s="34" t="s">
        <v>19</v>
      </c>
      <c r="Q1916" s="34" t="s">
        <v>322</v>
      </c>
      <c r="R1916" s="34" t="s">
        <v>21</v>
      </c>
      <c r="S1916" s="34" t="s">
        <v>322</v>
      </c>
      <c r="T1916" s="34" t="s">
        <v>823</v>
      </c>
      <c r="U1916" s="34" t="s">
        <v>30</v>
      </c>
      <c r="V1916" s="34" t="s">
        <v>22</v>
      </c>
      <c r="W1916" s="34" t="s">
        <v>28</v>
      </c>
      <c r="X1916" s="34" t="s">
        <v>173</v>
      </c>
      <c r="Y1916" s="34"/>
      <c r="Z1916" s="34" t="e">
        <f t="shared" si="89"/>
        <v>#NUM!</v>
      </c>
      <c r="AA1916" s="34"/>
      <c r="AB1916" s="34">
        <v>10</v>
      </c>
      <c r="AC1916" s="34">
        <v>10</v>
      </c>
      <c r="AD1916" s="34"/>
      <c r="AE1916" s="59" t="str">
        <f t="shared" si="90"/>
        <v>NO</v>
      </c>
      <c r="AF1916" s="34" t="e" cm="1">
        <f t="array" aca="1" ref="AF1916" ca="1">MIN(100, MAX(0, (IF(R1916="ESTUDIANTE", 31, 0)) + (IF(I1916&lt;=3, 30, IF(I1916&lt;=6, 20, 0))) +(IF(OR(E1916="413 - Control de Costes y Enlace Construcción", E1916="480 - Secretaría General del Consejo", E1916="132 - Civil y estructuras", E1916="136 - Mecánica", E1916="412 - Planificación", E1916="142 - Compras"), 25, 0)) +(IF(OR(S1916="GRADO ING. MECÁNICA", S1916="GRADO ING. ELÉCTRICA", S1916="GRADO DERECHO", S1916="GRADO ECONOMÍA", S1916="GRADO ING. TECNOLOGÍAS INDUSTRIALES"), 24, 0)) + (IF(AND(K1916&gt;=451, K1916&lt;=700), 23, 0)) + (IF(AND(AB1916&gt;=5, AB1916&lt;=8), 17, 0)) +(IF(_xludf.OR(_xludf.AND(AC1916&gt;=8, AC1916&lt;=10), _xludf.AND(AC1916&gt;=0, AC1916&lt;=5)), 16, 0)) + (IF(F1916="Madrid", 11, 0))))</f>
        <v>#NAME?</v>
      </c>
      <c r="AG1916" s="69"/>
      <c r="AH1916" s="71" t="s">
        <v>164</v>
      </c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20"/>
    </row>
    <row r="1917" spans="1:62" s="4" customFormat="1" ht="13.5" customHeight="1" x14ac:dyDescent="0.3">
      <c r="A1917" s="66" t="s">
        <v>2900</v>
      </c>
      <c r="B1917" s="66" t="s">
        <v>5017</v>
      </c>
      <c r="C1917" s="33">
        <v>1916</v>
      </c>
      <c r="D1917" s="33" t="s">
        <v>5394</v>
      </c>
      <c r="E1917" s="34" t="s">
        <v>5299</v>
      </c>
      <c r="F1917" s="34" t="s">
        <v>18</v>
      </c>
      <c r="G1917" s="57">
        <v>45705</v>
      </c>
      <c r="H1917" s="57">
        <v>45885</v>
      </c>
      <c r="I1917" s="34">
        <f t="shared" si="88"/>
        <v>5</v>
      </c>
      <c r="J1917" s="34">
        <v>30</v>
      </c>
      <c r="K1917" s="36">
        <v>600</v>
      </c>
      <c r="L1917" s="34" t="s">
        <v>29</v>
      </c>
      <c r="M1917" s="35">
        <v>37322</v>
      </c>
      <c r="N1917" s="37">
        <f>(YEAR(TablaMadre[[#This Row],[ALTA]])-YEAR(M1917))</f>
        <v>23</v>
      </c>
      <c r="O1917" s="34" t="s">
        <v>18</v>
      </c>
      <c r="P1917" s="34" t="s">
        <v>19</v>
      </c>
      <c r="Q1917" s="34" t="s">
        <v>872</v>
      </c>
      <c r="R1917" s="58" t="s">
        <v>30</v>
      </c>
      <c r="S1917" s="34" t="s">
        <v>280</v>
      </c>
      <c r="T1917" s="34" t="s">
        <v>806</v>
      </c>
      <c r="U1917" s="34" t="str">
        <f>SUBSTITUTE($T1917, "INGUN", "/")</f>
        <v>N/A</v>
      </c>
      <c r="V1917" s="34" t="s">
        <v>22</v>
      </c>
      <c r="W1917" s="34" t="s">
        <v>28</v>
      </c>
      <c r="X1917" s="34" t="s">
        <v>173</v>
      </c>
      <c r="Y1917" s="57"/>
      <c r="Z1917" s="34" t="e">
        <f t="shared" si="89"/>
        <v>#NUM!</v>
      </c>
      <c r="AA1917" s="34"/>
      <c r="AB1917" s="34">
        <v>10</v>
      </c>
      <c r="AC1917" s="34">
        <v>10</v>
      </c>
      <c r="AD1917" s="34"/>
      <c r="AE1917" s="59" t="str">
        <f t="shared" si="90"/>
        <v>NO</v>
      </c>
      <c r="AF1917" s="34" t="e" cm="1">
        <f t="array" aca="1" ref="AF1917" ca="1">MIN(100, MAX(0, (IF(R1917="ESTUDIANTE", 31, 0)) + (IF(I1917&lt;=3, 30, IF(I1917&lt;=6, 20, 0))) +(IF(OR(E1917="413 - Control de Costes y Enlace Construcción", E1917="480 - Secretaría General del Consejo", E1917="132 - Civil y estructuras", E1917="136 - Mecánica", E1917="412 - Planificación", E1917="142 - Compras"), 25, 0)) +(IF(OR(S1917="GRADO ING. MECÁNICA", S1917="GRADO ING. ELÉCTRICA", S1917="GRADO DERECHO", S1917="GRADO ECONOMÍA", S1917="GRADO ING. TECNOLOGÍAS INDUSTRIALES"), 24, 0)) + (IF(AND(K1917&gt;=451, K1917&lt;=700), 23, 0)) + (IF(AND(AB1917&gt;=5, AB1917&lt;=8), 17, 0)) +(IF(_xludf.OR(_xludf.AND(AC1917&gt;=8, AC1917&lt;=10), _xludf.AND(AC1917&gt;=0, AC1917&lt;=5)), 16, 0)) + (IF(F1917="Madrid", 11, 0))))</f>
        <v>#NAME?</v>
      </c>
      <c r="AG1917" s="69"/>
      <c r="AH1917" s="71" t="s">
        <v>164</v>
      </c>
    </row>
    <row r="1918" spans="1:62" ht="17.25" customHeight="1" x14ac:dyDescent="0.3">
      <c r="A1918" s="66" t="s">
        <v>2902</v>
      </c>
      <c r="B1918" s="66" t="s">
        <v>5019</v>
      </c>
      <c r="C1918" s="33">
        <v>1918</v>
      </c>
      <c r="D1918" s="33" t="s">
        <v>5395</v>
      </c>
      <c r="E1918" s="34" t="s">
        <v>5216</v>
      </c>
      <c r="F1918" s="34" t="s">
        <v>558</v>
      </c>
      <c r="G1918" s="57">
        <v>45705</v>
      </c>
      <c r="H1918" s="57">
        <v>45885</v>
      </c>
      <c r="I1918" s="34">
        <f t="shared" si="88"/>
        <v>5</v>
      </c>
      <c r="J1918" s="34">
        <v>35</v>
      </c>
      <c r="K1918" s="36">
        <v>1200</v>
      </c>
      <c r="L1918" s="34" t="s">
        <v>17</v>
      </c>
      <c r="M1918" s="35">
        <v>36810</v>
      </c>
      <c r="N1918" s="37">
        <f>(YEAR(TablaMadre[[#This Row],[ALTA]])-YEAR(M1918))</f>
        <v>25</v>
      </c>
      <c r="O1918" s="34" t="s">
        <v>948</v>
      </c>
      <c r="P1918" s="34" t="s">
        <v>19</v>
      </c>
      <c r="Q1918" s="34" t="s">
        <v>766</v>
      </c>
      <c r="R1918" s="34" t="s">
        <v>21</v>
      </c>
      <c r="S1918" s="34" t="s">
        <v>322</v>
      </c>
      <c r="T1918" s="34" t="s">
        <v>823</v>
      </c>
      <c r="U1918" s="34" t="s">
        <v>30</v>
      </c>
      <c r="V1918" s="34" t="s">
        <v>107</v>
      </c>
      <c r="W1918" s="34" t="s">
        <v>28</v>
      </c>
      <c r="X1918" s="38" t="s">
        <v>173</v>
      </c>
      <c r="Y1918" s="62"/>
      <c r="Z1918" s="38" t="e">
        <f t="shared" si="89"/>
        <v>#NUM!</v>
      </c>
      <c r="AA1918" s="38"/>
      <c r="AB1918" s="34">
        <v>8</v>
      </c>
      <c r="AC1918" s="34">
        <v>8</v>
      </c>
      <c r="AD1918" s="38"/>
      <c r="AE1918" s="59" t="str">
        <f t="shared" si="90"/>
        <v>SÍ</v>
      </c>
      <c r="AF1918" s="38" t="e" cm="1">
        <f t="array" aca="1" ref="AF1918" ca="1">MIN(100, MAX(0, (IF(R1918="ESTUDIANTE", 31, 0)) + (IF(I1918&lt;=3, 30, IF(I1918&lt;=6, 20, 0))) +(IF(OR(E1918="413 - Control de Costes y Enlace Construcción", E1918="480 - Secretaría General del Consejo", E1918="132 - Civil y estructuras", E1918="136 - Mecánica", E1918="412 - Planificación", E1918="142 - Compras"), 25, 0)) +(IF(OR(S1918="GRADO ING. MECÁNICA", S1918="GRADO ING. ELÉCTRICA", S1918="GRADO DERECHO", S1918="GRADO ECONOMÍA", S1918="GRADO ING. TECNOLOGÍAS INDUSTRIALES"), 24, 0)) + (IF(AND(K1918&gt;=451, K1918&lt;=700), 23, 0)) + (IF(AND(AB1918&gt;=5, AB1918&lt;=8), 17, 0)) +(IF(_xludf.OR(_xludf.AND(AC1918&gt;=8, AC1918&lt;=10), _xludf.AND(AC1918&gt;=0, AC1918&lt;=5)), 16, 0)) + (IF(F1918="Madrid", 11, 0))))</f>
        <v>#NAME?</v>
      </c>
      <c r="AG1918" s="68"/>
      <c r="AH1918" s="71" t="s">
        <v>164</v>
      </c>
    </row>
    <row r="1919" spans="1:62" ht="15" customHeight="1" x14ac:dyDescent="0.3">
      <c r="A1919" s="66" t="s">
        <v>2906</v>
      </c>
      <c r="B1919" s="66" t="s">
        <v>5023</v>
      </c>
      <c r="C1919" s="33">
        <v>1912</v>
      </c>
      <c r="D1919" s="33" t="s">
        <v>5396</v>
      </c>
      <c r="E1919" s="34" t="s">
        <v>5216</v>
      </c>
      <c r="F1919" s="34" t="s">
        <v>558</v>
      </c>
      <c r="G1919" s="57">
        <v>45705</v>
      </c>
      <c r="H1919" s="57">
        <v>45884</v>
      </c>
      <c r="I1919" s="34">
        <f t="shared" si="88"/>
        <v>5</v>
      </c>
      <c r="J1919" s="34">
        <v>35</v>
      </c>
      <c r="K1919" s="36">
        <v>1200</v>
      </c>
      <c r="L1919" s="34" t="s">
        <v>29</v>
      </c>
      <c r="M1919" s="35">
        <v>37256</v>
      </c>
      <c r="N1919" s="37">
        <f>(YEAR(TablaMadre[[#This Row],[ALTA]])-YEAR(M1919))</f>
        <v>24</v>
      </c>
      <c r="O1919" s="34" t="s">
        <v>945</v>
      </c>
      <c r="P1919" s="34" t="s">
        <v>19</v>
      </c>
      <c r="Q1919" s="34" t="s">
        <v>322</v>
      </c>
      <c r="R1919" s="34" t="s">
        <v>21</v>
      </c>
      <c r="S1919" s="34" t="s">
        <v>322</v>
      </c>
      <c r="T1919" s="34" t="s">
        <v>823</v>
      </c>
      <c r="U1919" s="34" t="s">
        <v>30</v>
      </c>
      <c r="V1919" s="34" t="s">
        <v>310</v>
      </c>
      <c r="W1919" s="34" t="s">
        <v>28</v>
      </c>
      <c r="X1919" s="34" t="s">
        <v>173</v>
      </c>
      <c r="Y1919" s="57"/>
      <c r="Z1919" s="34" t="e">
        <f t="shared" si="89"/>
        <v>#NUM!</v>
      </c>
      <c r="AA1919" s="34"/>
      <c r="AB1919" s="34">
        <v>9</v>
      </c>
      <c r="AC1919" s="34">
        <v>8</v>
      </c>
      <c r="AD1919" s="34"/>
      <c r="AE1919" s="59" t="str">
        <f t="shared" si="90"/>
        <v>SÍ</v>
      </c>
      <c r="AF1919" s="38" t="e" cm="1">
        <f t="array" aca="1" ref="AF1919" ca="1">MIN(100, MAX(0, (IF(R1919="ESTUDIANTE", 31, 0)) + (IF(I1919&lt;=3, 30, IF(I1919&lt;=6, 20, 0))) +(IF(OR(E1919="413 - Control de Costes y Enlace Construcción", E1919="480 - Secretaría General del Consejo", E1919="132 - Civil y estructuras", E1919="136 - Mecánica", E1919="412 - Planificación", E1919="142 - Compras"), 25, 0)) +(IF(OR(S1919="GRADO ING. MECÁNICA", S1919="GRADO ING. ELÉCTRICA", S1919="GRADO DERECHO", S1919="GRADO ECONOMÍA", S1919="GRADO ING. TECNOLOGÍAS INDUSTRIALES"), 24, 0)) + (IF(AND(K1919&gt;=451, K1919&lt;=700), 23, 0)) + (IF(AND(AB1919&gt;=5, AB1919&lt;=8), 17, 0)) +(IF(_xludf.OR(_xludf.AND(AC1919&gt;=8, AC1919&lt;=10), _xludf.AND(AC1919&gt;=0, AC1919&lt;=5)), 16, 0)) + (IF(F1919="Madrid", 11, 0))))</f>
        <v>#NAME?</v>
      </c>
      <c r="AG1919" s="68"/>
      <c r="AH1919" s="71" t="s">
        <v>164</v>
      </c>
    </row>
    <row r="1920" spans="1:62" ht="15" customHeight="1" x14ac:dyDescent="0.3">
      <c r="A1920" s="66" t="s">
        <v>2907</v>
      </c>
      <c r="B1920" s="66" t="s">
        <v>5024</v>
      </c>
      <c r="C1920" s="33">
        <v>1919</v>
      </c>
      <c r="D1920" s="33" t="s">
        <v>5397</v>
      </c>
      <c r="E1920" s="34" t="s">
        <v>5368</v>
      </c>
      <c r="F1920" s="34" t="s">
        <v>18</v>
      </c>
      <c r="G1920" s="57">
        <v>45705</v>
      </c>
      <c r="H1920" s="57">
        <v>46002</v>
      </c>
      <c r="I1920" s="34">
        <f t="shared" si="88"/>
        <v>9</v>
      </c>
      <c r="J1920" s="34">
        <v>35</v>
      </c>
      <c r="K1920" s="36">
        <v>900</v>
      </c>
      <c r="L1920" s="34" t="s">
        <v>17</v>
      </c>
      <c r="M1920" s="39">
        <v>37426</v>
      </c>
      <c r="N1920" s="37">
        <f>(YEAR(TablaMadre[[#This Row],[ALTA]])-YEAR(M1920))</f>
        <v>23</v>
      </c>
      <c r="O1920" s="34" t="s">
        <v>18</v>
      </c>
      <c r="P1920" s="34" t="s">
        <v>19</v>
      </c>
      <c r="Q1920" s="34" t="s">
        <v>627</v>
      </c>
      <c r="R1920" s="34" t="s">
        <v>21</v>
      </c>
      <c r="S1920" s="34" t="s">
        <v>627</v>
      </c>
      <c r="T1920" s="34" t="s">
        <v>823</v>
      </c>
      <c r="U1920" s="34" t="s">
        <v>30</v>
      </c>
      <c r="V1920" s="34" t="s">
        <v>182</v>
      </c>
      <c r="W1920" s="34" t="s">
        <v>28</v>
      </c>
      <c r="X1920" s="38" t="s">
        <v>173</v>
      </c>
      <c r="Y1920" s="62"/>
      <c r="Z1920" s="38" t="e">
        <f t="shared" si="89"/>
        <v>#NUM!</v>
      </c>
      <c r="AA1920" s="38"/>
      <c r="AB1920" s="34">
        <v>10</v>
      </c>
      <c r="AC1920" s="34">
        <v>8</v>
      </c>
      <c r="AD1920" s="38"/>
      <c r="AE1920" s="59" t="str">
        <f t="shared" si="90"/>
        <v>NO</v>
      </c>
      <c r="AF1920" s="38" t="e" cm="1">
        <f t="array" aca="1" ref="AF1920" ca="1">MIN(100, MAX(0, (IF(R1920="ESTUDIANTE", 31, 0)) + (IF(I1920&lt;=3, 30, IF(I1920&lt;=6, 20, 0))) +(IF(OR(E1920="413 - Control de Costes y Enlace Construcción", E1920="480 - Secretaría General del Consejo", E1920="132 - Civil y estructuras", E1920="136 - Mecánica", E1920="412 - Planificación", E1920="142 - Compras"), 25, 0)) +(IF(OR(S1920="GRADO ING. MECÁNICA", S1920="GRADO ING. ELÉCTRICA", S1920="GRADO DERECHO", S1920="GRADO ECONOMÍA", S1920="GRADO ING. TECNOLOGÍAS INDUSTRIALES"), 24, 0)) + (IF(AND(K1920&gt;=451, K1920&lt;=700), 23, 0)) + (IF(AND(AB1920&gt;=5, AB1920&lt;=8), 17, 0)) +(IF(_xludf.OR(_xludf.AND(AC1920&gt;=8, AC1920&lt;=10), _xludf.AND(AC1920&gt;=0, AC1920&lt;=5)), 16, 0)) + (IF(F1920="Madrid", 11, 0))))</f>
        <v>#NAME?</v>
      </c>
      <c r="AG1920" s="68"/>
      <c r="AH1920" s="71" t="s">
        <v>164</v>
      </c>
    </row>
    <row r="1921" spans="1:51" s="4" customFormat="1" ht="17.25" customHeight="1" x14ac:dyDescent="0.3">
      <c r="A1921" s="66" t="s">
        <v>2910</v>
      </c>
      <c r="B1921" s="66" t="s">
        <v>5027</v>
      </c>
      <c r="C1921" s="33">
        <v>1914</v>
      </c>
      <c r="D1921" s="33" t="s">
        <v>5398</v>
      </c>
      <c r="E1921" s="34" t="s">
        <v>5366</v>
      </c>
      <c r="F1921" s="34" t="s">
        <v>18</v>
      </c>
      <c r="G1921" s="57">
        <v>45705</v>
      </c>
      <c r="H1921" s="57">
        <v>45885</v>
      </c>
      <c r="I1921" s="34">
        <f t="shared" si="88"/>
        <v>5</v>
      </c>
      <c r="J1921" s="34">
        <v>35</v>
      </c>
      <c r="K1921" s="36">
        <v>700</v>
      </c>
      <c r="L1921" s="34" t="s">
        <v>17</v>
      </c>
      <c r="M1921" s="35">
        <v>37790</v>
      </c>
      <c r="N1921" s="37">
        <f>(YEAR(TablaMadre[[#This Row],[ALTA]])-YEAR(M1921))</f>
        <v>22</v>
      </c>
      <c r="O1921" s="34" t="s">
        <v>18</v>
      </c>
      <c r="P1921" s="34" t="s">
        <v>19</v>
      </c>
      <c r="Q1921" s="34" t="s">
        <v>326</v>
      </c>
      <c r="R1921" s="34" t="s">
        <v>30</v>
      </c>
      <c r="S1921" s="34" t="s">
        <v>326</v>
      </c>
      <c r="T1921" s="34" t="s">
        <v>806</v>
      </c>
      <c r="U1921" s="34" t="str">
        <f>SUBSTITUTE($T1921, "INGUN", "/")</f>
        <v>N/A</v>
      </c>
      <c r="V1921" s="34" t="s">
        <v>40</v>
      </c>
      <c r="W1921" s="34" t="s">
        <v>28</v>
      </c>
      <c r="X1921" s="38" t="s">
        <v>173</v>
      </c>
      <c r="Y1921" s="62"/>
      <c r="Z1921" s="38" t="e">
        <f t="shared" si="89"/>
        <v>#NUM!</v>
      </c>
      <c r="AA1921" s="38"/>
      <c r="AB1921" s="34">
        <v>9</v>
      </c>
      <c r="AC1921" s="34">
        <v>9</v>
      </c>
      <c r="AD1921" s="38"/>
      <c r="AE1921" s="59" t="str">
        <f t="shared" si="90"/>
        <v>NO</v>
      </c>
      <c r="AF1921" s="34" t="e" cm="1">
        <f t="array" aca="1" ref="AF1921" ca="1">MIN(100, MAX(0, (IF(R1921="ESTUDIANTE", 31, 0)) + (IF(I1921&lt;=3, 30, IF(I1921&lt;=6, 20, 0))) +(IF(OR(E1921="413 - Control de Costes y Enlace Construcción", E1921="480 - Secretaría General del Consejo", E1921="132 - Civil y estructuras", E1921="136 - Mecánica", E1921="412 - Planificación", E1921="142 - Compras"), 25, 0)) +(IF(OR(S1921="GRADO ING. MECÁNICA", S1921="GRADO ING. ELÉCTRICA", S1921="GRADO DERECHO", S1921="GRADO ECONOMÍA", S1921="GRADO ING. TECNOLOGÍAS INDUSTRIALES"), 24, 0)) + (IF(AND(K1921&gt;=451, K1921&lt;=700), 23, 0)) + (IF(AND(AB1921&gt;=5, AB1921&lt;=8), 17, 0)) +(IF(_xludf.OR(_xludf.AND(AC1921&gt;=8, AC1921&lt;=10), _xludf.AND(AC1921&gt;=0, AC1921&lt;=5)), 16, 0)) + (IF(F1921="Madrid", 11, 0))))</f>
        <v>#NAME?</v>
      </c>
      <c r="AG1921" s="69"/>
      <c r="AH1921" s="71" t="s">
        <v>164</v>
      </c>
    </row>
    <row r="1922" spans="1:51" ht="16.5" customHeight="1" x14ac:dyDescent="0.3">
      <c r="A1922" s="66" t="s">
        <v>2911</v>
      </c>
      <c r="B1922" s="66" t="s">
        <v>5028</v>
      </c>
      <c r="C1922" s="33">
        <v>1921</v>
      </c>
      <c r="D1922" s="33" t="s">
        <v>5399</v>
      </c>
      <c r="E1922" s="34" t="s">
        <v>5216</v>
      </c>
      <c r="F1922" s="34" t="s">
        <v>18</v>
      </c>
      <c r="G1922" s="57">
        <v>45708</v>
      </c>
      <c r="H1922" s="57">
        <v>45887</v>
      </c>
      <c r="I1922" s="34">
        <f t="shared" ref="I1922:I1985" si="92">DATEDIF(G1922, H1922, "M")</f>
        <v>5</v>
      </c>
      <c r="J1922" s="34">
        <v>35</v>
      </c>
      <c r="K1922" s="36">
        <v>1200</v>
      </c>
      <c r="L1922" s="34" t="s">
        <v>29</v>
      </c>
      <c r="M1922" s="35">
        <v>37007</v>
      </c>
      <c r="N1922" s="37">
        <f>(YEAR(TablaMadre[[#This Row],[ALTA]])-YEAR(M1922))</f>
        <v>24</v>
      </c>
      <c r="O1922" s="34" t="s">
        <v>18</v>
      </c>
      <c r="P1922" s="34" t="s">
        <v>19</v>
      </c>
      <c r="Q1922" s="34" t="s">
        <v>297</v>
      </c>
      <c r="R1922" s="34" t="s">
        <v>21</v>
      </c>
      <c r="S1922" s="34" t="s">
        <v>297</v>
      </c>
      <c r="T1922" s="34" t="s">
        <v>820</v>
      </c>
      <c r="U1922" s="34" t="s">
        <v>30</v>
      </c>
      <c r="V1922" s="34" t="s">
        <v>22</v>
      </c>
      <c r="W1922" s="34" t="s">
        <v>28</v>
      </c>
      <c r="X1922" s="38" t="s">
        <v>164</v>
      </c>
      <c r="Y1922" s="62">
        <v>45990</v>
      </c>
      <c r="Z1922" s="38">
        <f t="shared" ref="Z1922:Z1985" si="93">DATEDIF(H1922, Y1922, "y")</f>
        <v>0</v>
      </c>
      <c r="AA1922" s="38"/>
      <c r="AB1922" s="34">
        <v>9</v>
      </c>
      <c r="AC1922" s="34">
        <v>10</v>
      </c>
      <c r="AD1922" s="38"/>
      <c r="AE1922" s="59" t="str">
        <f t="shared" si="90"/>
        <v>NO</v>
      </c>
      <c r="AF1922" s="38" t="e" cm="1">
        <f t="array" aca="1" ref="AF1922" ca="1">MIN(100, MAX(0, (IF(R1922="ESTUDIANTE", 31, 0)) + (IF(I1922&lt;=3, 30, IF(I1922&lt;=6, 20, 0))) +(IF(OR(E1922="413 - Control de Costes y Enlace Construcción", E1922="480 - Secretaría General del Consejo", E1922="132 - Civil y estructuras", E1922="136 - Mecánica", E1922="412 - Planificación", E1922="142 - Compras"), 25, 0)) +(IF(OR(S1922="GRADO ING. MECÁNICA", S1922="GRADO ING. ELÉCTRICA", S1922="GRADO DERECHO", S1922="GRADO ECONOMÍA", S1922="GRADO ING. TECNOLOGÍAS INDUSTRIALES"), 24, 0)) + (IF(AND(K1922&gt;=451, K1922&lt;=700), 23, 0)) + (IF(AND(AB1922&gt;=5, AB1922&lt;=8), 17, 0)) +(IF(_xludf.OR(_xludf.AND(AC1922&gt;=8, AC1922&lt;=10), _xludf.AND(AC1922&gt;=0, AC1922&lt;=5)), 16, 0)) + (IF(F1922="Madrid", 11, 0))))</f>
        <v>#NAME?</v>
      </c>
      <c r="AG1922" s="68"/>
      <c r="AH1922" s="71" t="s">
        <v>164</v>
      </c>
    </row>
    <row r="1923" spans="1:51" s="4" customFormat="1" ht="15.75" customHeight="1" x14ac:dyDescent="0.3">
      <c r="A1923" s="66" t="s">
        <v>2785</v>
      </c>
      <c r="B1923" s="66" t="s">
        <v>4902</v>
      </c>
      <c r="C1923" s="33">
        <v>1926</v>
      </c>
      <c r="D1923" s="33" t="s">
        <v>5400</v>
      </c>
      <c r="E1923" s="34" t="s">
        <v>5314</v>
      </c>
      <c r="F1923" s="34" t="s">
        <v>18</v>
      </c>
      <c r="G1923" s="57">
        <v>45712</v>
      </c>
      <c r="H1923" s="57">
        <v>45892</v>
      </c>
      <c r="I1923" s="34">
        <f t="shared" si="92"/>
        <v>5</v>
      </c>
      <c r="J1923" s="34">
        <v>35</v>
      </c>
      <c r="K1923" s="36">
        <v>700</v>
      </c>
      <c r="L1923" s="34" t="s">
        <v>17</v>
      </c>
      <c r="M1923" s="35">
        <v>37985</v>
      </c>
      <c r="N1923" s="37">
        <f>(YEAR(TablaMadre[[#This Row],[ALTA]])-YEAR(M1923))</f>
        <v>22</v>
      </c>
      <c r="O1923" s="34" t="s">
        <v>18</v>
      </c>
      <c r="P1923" s="34" t="s">
        <v>19</v>
      </c>
      <c r="Q1923" s="34" t="s">
        <v>874</v>
      </c>
      <c r="R1923" s="34" t="s">
        <v>30</v>
      </c>
      <c r="S1923" s="34" t="s">
        <v>322</v>
      </c>
      <c r="T1923" s="34" t="s">
        <v>806</v>
      </c>
      <c r="U1923" s="34" t="str">
        <f>SUBSTITUTE($T1923, "INGUN", "/")</f>
        <v>N/A</v>
      </c>
      <c r="V1923" s="34" t="s">
        <v>182</v>
      </c>
      <c r="W1923" s="34" t="s">
        <v>380</v>
      </c>
      <c r="X1923" s="38" t="s">
        <v>164</v>
      </c>
      <c r="Y1923" s="62"/>
      <c r="Z1923" s="62" t="e">
        <f t="shared" si="93"/>
        <v>#NUM!</v>
      </c>
      <c r="AA1923" s="62"/>
      <c r="AB1923" s="34">
        <v>10</v>
      </c>
      <c r="AC1923" s="34">
        <v>9</v>
      </c>
      <c r="AD1923" s="38"/>
      <c r="AE1923" s="59" t="str">
        <f t="shared" ref="AE1923:AE1986" si="94">IF(F1923=O1923, "NO", "SÍ")</f>
        <v>NO</v>
      </c>
      <c r="AF1923" s="34" t="e" cm="1">
        <f t="array" aca="1" ref="AF1923" ca="1">MIN(100, MAX(0, (IF(R1923="ESTUDIANTE", 31, 0)) + (IF(I1923&lt;=3, 30, IF(I1923&lt;=6, 20, 0))) +(IF(OR(E1923="413 - Control de Costes y Enlace Construcción", E1923="480 - Secretaría General del Consejo", E1923="132 - Civil y estructuras", E1923="136 - Mecánica", E1923="412 - Planificación", E1923="142 - Compras"), 25, 0)) +(IF(OR(S1923="GRADO ING. MECÁNICA", S1923="GRADO ING. ELÉCTRICA", S1923="GRADO DERECHO", S1923="GRADO ECONOMÍA", S1923="GRADO ING. TECNOLOGÍAS INDUSTRIALES"), 24, 0)) + (IF(AND(K1923&gt;=451, K1923&lt;=700), 23, 0)) + (IF(AND(AB1923&gt;=5, AB1923&lt;=8), 17, 0)) +(IF(_xludf.OR(_xludf.AND(AC1923&gt;=8, AC1923&lt;=10), _xludf.AND(AC1923&gt;=0, AC1923&lt;=5)), 16, 0)) + (IF(F1923="Madrid", 11, 0))))</f>
        <v>#NAME?</v>
      </c>
      <c r="AG1923" s="69"/>
      <c r="AH1923" s="71" t="s">
        <v>164</v>
      </c>
    </row>
    <row r="1924" spans="1:51" s="4" customFormat="1" ht="15.75" customHeight="1" x14ac:dyDescent="0.3">
      <c r="A1924" s="66" t="s">
        <v>2896</v>
      </c>
      <c r="B1924" s="66" t="s">
        <v>5013</v>
      </c>
      <c r="C1924" s="33">
        <v>1922</v>
      </c>
      <c r="D1924" s="33" t="s">
        <v>5401</v>
      </c>
      <c r="E1924" s="34" t="s">
        <v>5354</v>
      </c>
      <c r="F1924" s="34" t="s">
        <v>558</v>
      </c>
      <c r="G1924" s="57">
        <v>45712</v>
      </c>
      <c r="H1924" s="57">
        <v>45813</v>
      </c>
      <c r="I1924" s="34">
        <f t="shared" si="92"/>
        <v>3</v>
      </c>
      <c r="J1924" s="34">
        <v>40</v>
      </c>
      <c r="K1924" s="36">
        <v>0</v>
      </c>
      <c r="L1924" s="34" t="s">
        <v>17</v>
      </c>
      <c r="M1924" s="35">
        <v>38135</v>
      </c>
      <c r="N1924" s="37">
        <f>(YEAR(TablaMadre[[#This Row],[ALTA]])-YEAR(M1924))</f>
        <v>21</v>
      </c>
      <c r="O1924" s="34" t="s">
        <v>558</v>
      </c>
      <c r="P1924" s="34" t="s">
        <v>19</v>
      </c>
      <c r="Q1924" s="34" t="s">
        <v>359</v>
      </c>
      <c r="R1924" s="34" t="s">
        <v>30</v>
      </c>
      <c r="S1924" s="34" t="s">
        <v>26</v>
      </c>
      <c r="T1924" s="34" t="s">
        <v>806</v>
      </c>
      <c r="U1924" s="34" t="str">
        <f>SUBSTITUTE($T1924, "INGUN", "/")</f>
        <v>N/A</v>
      </c>
      <c r="V1924" s="34" t="s">
        <v>27</v>
      </c>
      <c r="W1924" s="34" t="s">
        <v>380</v>
      </c>
      <c r="X1924" s="34" t="s">
        <v>974</v>
      </c>
      <c r="Y1924" s="57"/>
      <c r="Z1924" s="57" t="e">
        <f t="shared" si="93"/>
        <v>#NUM!</v>
      </c>
      <c r="AA1924" s="57"/>
      <c r="AB1924" s="34">
        <v>10</v>
      </c>
      <c r="AC1924" s="34">
        <v>8</v>
      </c>
      <c r="AD1924" s="34"/>
      <c r="AE1924" s="59" t="str">
        <f t="shared" si="94"/>
        <v>NO</v>
      </c>
      <c r="AF1924" s="34" t="e" cm="1">
        <f t="array" aca="1" ref="AF1924" ca="1">MIN(100, MAX(0, (IF(R1924="ESTUDIANTE", 31, 0)) + (IF(I1924&lt;=3, 30, IF(I1924&lt;=6, 20, 0))) +(IF(OR(E1924="413 - Control de Costes y Enlace Construcción", E1924="480 - Secretaría General del Consejo", E1924="132 - Civil y estructuras", E1924="136 - Mecánica", E1924="412 - Planificación", E1924="142 - Compras"), 25, 0)) +(IF(OR(S1924="GRADO ING. MECÁNICA", S1924="GRADO ING. ELÉCTRICA", S1924="GRADO DERECHO", S1924="GRADO ECONOMÍA", S1924="GRADO ING. TECNOLOGÍAS INDUSTRIALES"), 24, 0)) + (IF(AND(K1924&gt;=451, K1924&lt;=700), 23, 0)) + (IF(AND(AB1924&gt;=5, AB1924&lt;=8), 17, 0)) +(IF(_xludf.OR(_xludf.AND(AC1924&gt;=8, AC1924&lt;=10), _xludf.AND(AC1924&gt;=0, AC1924&lt;=5)), 16, 0)) + (IF(F1924="Madrid", 11, 0))))</f>
        <v>#NAME?</v>
      </c>
      <c r="AG1924" s="69"/>
      <c r="AH1924" s="71" t="s">
        <v>164</v>
      </c>
    </row>
    <row r="1925" spans="1:51" s="4" customFormat="1" ht="14.25" customHeight="1" x14ac:dyDescent="0.3">
      <c r="A1925" s="66" t="s">
        <v>2913</v>
      </c>
      <c r="B1925" s="66" t="s">
        <v>5030</v>
      </c>
      <c r="C1925" s="33">
        <v>1928</v>
      </c>
      <c r="D1925" s="33" t="s">
        <v>5402</v>
      </c>
      <c r="E1925" s="34" t="s">
        <v>5380</v>
      </c>
      <c r="F1925" s="34" t="s">
        <v>18</v>
      </c>
      <c r="G1925" s="57">
        <v>45712</v>
      </c>
      <c r="H1925" s="57">
        <v>46076</v>
      </c>
      <c r="I1925" s="34">
        <f t="shared" si="92"/>
        <v>11</v>
      </c>
      <c r="J1925" s="34">
        <v>35</v>
      </c>
      <c r="K1925" s="36">
        <v>800</v>
      </c>
      <c r="L1925" s="34" t="s">
        <v>17</v>
      </c>
      <c r="M1925" s="39">
        <v>37431</v>
      </c>
      <c r="N1925" s="37">
        <f>(YEAR(TablaMadre[[#This Row],[ALTA]])-YEAR(M1925))</f>
        <v>23</v>
      </c>
      <c r="O1925" s="34" t="s">
        <v>511</v>
      </c>
      <c r="P1925" s="34" t="s">
        <v>19</v>
      </c>
      <c r="Q1925" s="34" t="s">
        <v>229</v>
      </c>
      <c r="R1925" s="34" t="s">
        <v>21</v>
      </c>
      <c r="S1925" s="34" t="s">
        <v>229</v>
      </c>
      <c r="T1925" s="34" t="s">
        <v>901</v>
      </c>
      <c r="U1925" s="34" t="s">
        <v>21</v>
      </c>
      <c r="V1925" s="34" t="s">
        <v>379</v>
      </c>
      <c r="W1925" s="34" t="s">
        <v>28</v>
      </c>
      <c r="X1925" s="34" t="s">
        <v>173</v>
      </c>
      <c r="Y1925" s="34"/>
      <c r="Z1925" s="34" t="e">
        <f t="shared" si="93"/>
        <v>#NUM!</v>
      </c>
      <c r="AA1925" s="34"/>
      <c r="AB1925" s="34">
        <v>9</v>
      </c>
      <c r="AC1925" s="34">
        <v>9</v>
      </c>
      <c r="AD1925" s="34"/>
      <c r="AE1925" s="59" t="str">
        <f t="shared" si="94"/>
        <v>SÍ</v>
      </c>
      <c r="AF1925" s="34" t="e" cm="1">
        <f t="array" aca="1" ref="AF1925" ca="1">MIN(100, MAX(0, (IF(R1925="ESTUDIANTE", 31, 0)) + (IF(I1925&lt;=3, 30, IF(I1925&lt;=6, 20, 0))) +(IF(OR(E1925="413 - Control de Costes y Enlace Construcción", E1925="480 - Secretaría General del Consejo", E1925="132 - Civil y estructuras", E1925="136 - Mecánica", E1925="412 - Planificación", E1925="142 - Compras"), 25, 0)) +(IF(OR(S1925="GRADO ING. MECÁNICA", S1925="GRADO ING. ELÉCTRICA", S1925="GRADO DERECHO", S1925="GRADO ECONOMÍA", S1925="GRADO ING. TECNOLOGÍAS INDUSTRIALES"), 24, 0)) + (IF(AND(K1925&gt;=451, K1925&lt;=700), 23, 0)) + (IF(AND(AB1925&gt;=5, AB1925&lt;=8), 17, 0)) +(IF(_xludf.OR(_xludf.AND(AC1925&gt;=8, AC1925&lt;=10), _xludf.AND(AC1925&gt;=0, AC1925&lt;=5)), 16, 0)) + (IF(F1925="Madrid", 11, 0))))</f>
        <v>#NAME?</v>
      </c>
      <c r="AG1925" s="69"/>
      <c r="AH1925" s="71" t="s">
        <v>164</v>
      </c>
    </row>
    <row r="1926" spans="1:51" s="7" customFormat="1" ht="17.25" customHeight="1" x14ac:dyDescent="0.3">
      <c r="A1926" s="66" t="s">
        <v>2915</v>
      </c>
      <c r="B1926" s="66" t="s">
        <v>5032</v>
      </c>
      <c r="C1926" s="33">
        <v>1927</v>
      </c>
      <c r="D1926" s="33" t="s">
        <v>5393</v>
      </c>
      <c r="E1926" s="34" t="s">
        <v>5380</v>
      </c>
      <c r="F1926" s="34" t="s">
        <v>18</v>
      </c>
      <c r="G1926" s="57">
        <v>45712</v>
      </c>
      <c r="H1926" s="57">
        <v>46076</v>
      </c>
      <c r="I1926" s="34">
        <f t="shared" si="92"/>
        <v>11</v>
      </c>
      <c r="J1926" s="34">
        <v>35</v>
      </c>
      <c r="K1926" s="36">
        <v>900</v>
      </c>
      <c r="L1926" s="34" t="s">
        <v>29</v>
      </c>
      <c r="M1926" s="39">
        <v>37330</v>
      </c>
      <c r="N1926" s="37">
        <f>(YEAR(TablaMadre[[#This Row],[ALTA]])-YEAR(M1926))</f>
        <v>23</v>
      </c>
      <c r="O1926" s="34" t="s">
        <v>941</v>
      </c>
      <c r="P1926" s="34" t="s">
        <v>19</v>
      </c>
      <c r="Q1926" s="34" t="s">
        <v>297</v>
      </c>
      <c r="R1926" s="34" t="s">
        <v>21</v>
      </c>
      <c r="S1926" s="34" t="s">
        <v>297</v>
      </c>
      <c r="T1926" s="34" t="s">
        <v>806</v>
      </c>
      <c r="U1926" s="34" t="str">
        <f t="shared" ref="U1926:U1932" si="95">SUBSTITUTE($T1926, "INGUN", "/")</f>
        <v>N/A</v>
      </c>
      <c r="V1926" s="34" t="s">
        <v>22</v>
      </c>
      <c r="W1926" s="34" t="s">
        <v>28</v>
      </c>
      <c r="X1926" s="34" t="s">
        <v>173</v>
      </c>
      <c r="Y1926" s="34"/>
      <c r="Z1926" s="34" t="e">
        <f t="shared" si="93"/>
        <v>#NUM!</v>
      </c>
      <c r="AA1926" s="34"/>
      <c r="AB1926" s="34">
        <v>9</v>
      </c>
      <c r="AC1926" s="34">
        <v>10</v>
      </c>
      <c r="AD1926" s="34"/>
      <c r="AE1926" s="59" t="str">
        <f t="shared" si="94"/>
        <v>SÍ</v>
      </c>
      <c r="AF1926" s="34" t="e" cm="1">
        <f t="array" aca="1" ref="AF1926" ca="1">MIN(100, MAX(0, (IF(R1926="ESTUDIANTE", 31, 0)) + (IF(I1926&lt;=3, 30, IF(I1926&lt;=6, 20, 0))) +(IF(OR(E1926="413 - Control de Costes y Enlace Construcción", E1926="480 - Secretaría General del Consejo", E1926="132 - Civil y estructuras", E1926="136 - Mecánica", E1926="412 - Planificación", E1926="142 - Compras"), 25, 0)) +(IF(OR(S1926="GRADO ING. MECÁNICA", S1926="GRADO ING. ELÉCTRICA", S1926="GRADO DERECHO", S1926="GRADO ECONOMÍA", S1926="GRADO ING. TECNOLOGÍAS INDUSTRIALES"), 24, 0)) + (IF(AND(K1926&gt;=451, K1926&lt;=700), 23, 0)) + (IF(AND(AB1926&gt;=5, AB1926&lt;=8), 17, 0)) +(IF(_xludf.OR(_xludf.AND(AC1926&gt;=8, AC1926&lt;=10), _xludf.AND(AC1926&gt;=0, AC1926&lt;=5)), 16, 0)) + (IF(F1926="Madrid", 11, 0))))</f>
        <v>#NAME?</v>
      </c>
      <c r="AG1926" s="69"/>
      <c r="AH1926" s="71" t="s">
        <v>164</v>
      </c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</row>
    <row r="1927" spans="1:51" ht="15.75" customHeight="1" x14ac:dyDescent="0.3">
      <c r="A1927" s="66" t="s">
        <v>3015</v>
      </c>
      <c r="B1927" s="66" t="s">
        <v>5132</v>
      </c>
      <c r="C1927" s="33">
        <v>1923</v>
      </c>
      <c r="D1927" s="33" t="s">
        <v>5394</v>
      </c>
      <c r="E1927" s="34" t="s">
        <v>5246</v>
      </c>
      <c r="F1927" s="34" t="s">
        <v>558</v>
      </c>
      <c r="G1927" s="57">
        <v>45712</v>
      </c>
      <c r="H1927" s="57">
        <v>45813</v>
      </c>
      <c r="I1927" s="34">
        <f t="shared" si="92"/>
        <v>3</v>
      </c>
      <c r="J1927" s="34">
        <v>40</v>
      </c>
      <c r="K1927" s="36">
        <v>0</v>
      </c>
      <c r="L1927" s="34" t="s">
        <v>17</v>
      </c>
      <c r="M1927" s="35">
        <v>36716</v>
      </c>
      <c r="N1927" s="37">
        <f>(YEAR(TablaMadre[[#This Row],[ALTA]])-YEAR(M1927))</f>
        <v>25</v>
      </c>
      <c r="O1927" s="34" t="s">
        <v>525</v>
      </c>
      <c r="P1927" s="34" t="s">
        <v>19</v>
      </c>
      <c r="Q1927" s="34" t="s">
        <v>729</v>
      </c>
      <c r="R1927" s="34" t="s">
        <v>30</v>
      </c>
      <c r="S1927" s="34" t="s">
        <v>26</v>
      </c>
      <c r="T1927" s="34" t="s">
        <v>806</v>
      </c>
      <c r="U1927" s="34" t="str">
        <f t="shared" si="95"/>
        <v>N/A</v>
      </c>
      <c r="V1927" s="34" t="s">
        <v>27</v>
      </c>
      <c r="W1927" s="34" t="s">
        <v>28</v>
      </c>
      <c r="X1927" s="34" t="s">
        <v>173</v>
      </c>
      <c r="Y1927" s="57"/>
      <c r="Z1927" s="34" t="e">
        <f t="shared" si="93"/>
        <v>#NUM!</v>
      </c>
      <c r="AA1927" s="34"/>
      <c r="AB1927" s="34">
        <v>9</v>
      </c>
      <c r="AC1927" s="34">
        <v>9</v>
      </c>
      <c r="AD1927" s="34"/>
      <c r="AE1927" s="59" t="str">
        <f t="shared" si="94"/>
        <v>SÍ</v>
      </c>
      <c r="AF1927" s="38" t="e" cm="1">
        <f t="array" aca="1" ref="AF1927" ca="1">MIN(100, MAX(0, (IF(R1927="ESTUDIANTE", 31, 0)) + (IF(I1927&lt;=3, 30, IF(I1927&lt;=6, 20, 0))) +(IF(OR(E1927="413 - Control de Costes y Enlace Construcción", E1927="480 - Secretaría General del Consejo", E1927="132 - Civil y estructuras", E1927="136 - Mecánica", E1927="412 - Planificación", E1927="142 - Compras"), 25, 0)) +(IF(OR(S1927="GRADO ING. MECÁNICA", S1927="GRADO ING. ELÉCTRICA", S1927="GRADO DERECHO", S1927="GRADO ECONOMÍA", S1927="GRADO ING. TECNOLOGÍAS INDUSTRIALES"), 24, 0)) + (IF(AND(K1927&gt;=451, K1927&lt;=700), 23, 0)) + (IF(AND(AB1927&gt;=5, AB1927&lt;=8), 17, 0)) +(IF(_xludf.OR(_xludf.AND(AC1927&gt;=8, AC1927&lt;=10), _xludf.AND(AC1927&gt;=0, AC1927&lt;=5)), 16, 0)) + (IF(F1927="Madrid", 11, 0))))</f>
        <v>#NAME?</v>
      </c>
      <c r="AG1927" s="68"/>
      <c r="AH1927" s="71" t="s">
        <v>164</v>
      </c>
    </row>
    <row r="1928" spans="1:51" s="4" customFormat="1" ht="15.75" customHeight="1" x14ac:dyDescent="0.3">
      <c r="A1928" s="66" t="s">
        <v>3040</v>
      </c>
      <c r="B1928" s="66" t="s">
        <v>5157</v>
      </c>
      <c r="C1928" s="33">
        <v>1924</v>
      </c>
      <c r="D1928" s="33" t="s">
        <v>5403</v>
      </c>
      <c r="E1928" s="34" t="s">
        <v>5323</v>
      </c>
      <c r="F1928" s="34" t="s">
        <v>558</v>
      </c>
      <c r="G1928" s="57">
        <v>45712</v>
      </c>
      <c r="H1928" s="57">
        <v>45813</v>
      </c>
      <c r="I1928" s="34">
        <f t="shared" si="92"/>
        <v>3</v>
      </c>
      <c r="J1928" s="34">
        <v>40</v>
      </c>
      <c r="K1928" s="36">
        <v>0</v>
      </c>
      <c r="L1928" s="34" t="s">
        <v>17</v>
      </c>
      <c r="M1928" s="35">
        <v>37765</v>
      </c>
      <c r="N1928" s="37">
        <f>(YEAR(TablaMadre[[#This Row],[ALTA]])-YEAR(M1928))</f>
        <v>22</v>
      </c>
      <c r="O1928" s="34" t="s">
        <v>525</v>
      </c>
      <c r="P1928" s="34" t="s">
        <v>19</v>
      </c>
      <c r="Q1928" s="34" t="s">
        <v>836</v>
      </c>
      <c r="R1928" s="34" t="s">
        <v>30</v>
      </c>
      <c r="S1928" s="34" t="s">
        <v>26</v>
      </c>
      <c r="T1928" s="34" t="s">
        <v>806</v>
      </c>
      <c r="U1928" s="34" t="str">
        <f t="shared" si="95"/>
        <v>N/A</v>
      </c>
      <c r="V1928" s="34" t="s">
        <v>27</v>
      </c>
      <c r="W1928" s="34" t="s">
        <v>23</v>
      </c>
      <c r="X1928" s="34" t="s">
        <v>164</v>
      </c>
      <c r="Y1928" s="57"/>
      <c r="Z1928" s="57" t="e">
        <f t="shared" si="93"/>
        <v>#NUM!</v>
      </c>
      <c r="AA1928" s="57"/>
      <c r="AB1928" s="34">
        <v>7</v>
      </c>
      <c r="AC1928" s="34">
        <v>6</v>
      </c>
      <c r="AD1928" s="34"/>
      <c r="AE1928" s="59" t="str">
        <f t="shared" si="94"/>
        <v>SÍ</v>
      </c>
      <c r="AF1928" s="34" t="e" cm="1">
        <f t="array" aca="1" ref="AF1928" ca="1">MIN(100, MAX(0, (IF(R1928="ESTUDIANTE", 31, 0)) + (IF(I1928&lt;=3, 30, IF(I1928&lt;=6, 20, 0))) +(IF(OR(E1928="413 - Control de Costes y Enlace Construcción", E1928="480 - Secretaría General del Consejo", E1928="132 - Civil y estructuras", E1928="136 - Mecánica", E1928="412 - Planificación", E1928="142 - Compras"), 25, 0)) +(IF(OR(S1928="GRADO ING. MECÁNICA", S1928="GRADO ING. ELÉCTRICA", S1928="GRADO DERECHO", S1928="GRADO ECONOMÍA", S1928="GRADO ING. TECNOLOGÍAS INDUSTRIALES"), 24, 0)) + (IF(AND(K1928&gt;=451, K1928&lt;=700), 23, 0)) + (IF(AND(AB1928&gt;=5, AB1928&lt;=8), 17, 0)) +(IF(_xludf.OR(_xludf.AND(AC1928&gt;=8, AC1928&lt;=10), _xludf.AND(AC1928&gt;=0, AC1928&lt;=5)), 16, 0)) + (IF(F1928="Madrid", 11, 0))))</f>
        <v>#NAME?</v>
      </c>
      <c r="AG1928" s="69"/>
      <c r="AH1928" s="71" t="s">
        <v>164</v>
      </c>
    </row>
    <row r="1929" spans="1:51" s="4" customFormat="1" ht="15.75" customHeight="1" x14ac:dyDescent="0.3">
      <c r="A1929" s="66" t="s">
        <v>3041</v>
      </c>
      <c r="B1929" s="66" t="s">
        <v>5158</v>
      </c>
      <c r="C1929" s="33">
        <v>1925</v>
      </c>
      <c r="D1929" s="33" t="s">
        <v>5404</v>
      </c>
      <c r="E1929" s="34" t="s">
        <v>5306</v>
      </c>
      <c r="F1929" s="34" t="s">
        <v>558</v>
      </c>
      <c r="G1929" s="57">
        <v>45712</v>
      </c>
      <c r="H1929" s="57">
        <v>45813</v>
      </c>
      <c r="I1929" s="34">
        <f t="shared" si="92"/>
        <v>3</v>
      </c>
      <c r="J1929" s="34">
        <v>30</v>
      </c>
      <c r="K1929" s="36">
        <v>0</v>
      </c>
      <c r="L1929" s="34" t="s">
        <v>17</v>
      </c>
      <c r="M1929" s="35">
        <v>28511</v>
      </c>
      <c r="N1929" s="37">
        <f>(YEAR(TablaMadre[[#This Row],[ALTA]])-YEAR(M1929))</f>
        <v>47</v>
      </c>
      <c r="O1929" s="34" t="s">
        <v>558</v>
      </c>
      <c r="P1929" s="34" t="s">
        <v>19</v>
      </c>
      <c r="Q1929" s="34" t="s">
        <v>728</v>
      </c>
      <c r="R1929" s="34" t="s">
        <v>30</v>
      </c>
      <c r="S1929" s="34" t="s">
        <v>26</v>
      </c>
      <c r="T1929" s="34" t="s">
        <v>806</v>
      </c>
      <c r="U1929" s="34" t="str">
        <f t="shared" si="95"/>
        <v>N/A</v>
      </c>
      <c r="V1929" s="34" t="s">
        <v>27</v>
      </c>
      <c r="W1929" s="34" t="s">
        <v>23</v>
      </c>
      <c r="X1929" s="34" t="s">
        <v>164</v>
      </c>
      <c r="Y1929" s="57"/>
      <c r="Z1929" s="57" t="e">
        <f t="shared" si="93"/>
        <v>#NUM!</v>
      </c>
      <c r="AA1929" s="57"/>
      <c r="AB1929" s="34">
        <v>8</v>
      </c>
      <c r="AC1929" s="34">
        <v>3</v>
      </c>
      <c r="AD1929" s="34"/>
      <c r="AE1929" s="59" t="str">
        <f t="shared" si="94"/>
        <v>NO</v>
      </c>
      <c r="AF1929" s="34" t="e" cm="1">
        <f t="array" aca="1" ref="AF1929" ca="1">MIN(100, MAX(0, (IF(R1929="ESTUDIANTE", 31, 0)) + (IF(I1929&lt;=3, 30, IF(I1929&lt;=6, 20, 0))) +(IF(OR(E1929="413 - Control de Costes y Enlace Construcción", E1929="480 - Secretaría General del Consejo", E1929="132 - Civil y estructuras", E1929="136 - Mecánica", E1929="412 - Planificación", E1929="142 - Compras"), 25, 0)) +(IF(OR(S1929="GRADO ING. MECÁNICA", S1929="GRADO ING. ELÉCTRICA", S1929="GRADO DERECHO", S1929="GRADO ECONOMÍA", S1929="GRADO ING. TECNOLOGÍAS INDUSTRIALES"), 24, 0)) + (IF(AND(K1929&gt;=451, K1929&lt;=700), 23, 0)) + (IF(AND(AB1929&gt;=5, AB1929&lt;=8), 17, 0)) +(IF(_xludf.OR(_xludf.AND(AC1929&gt;=8, AC1929&lt;=10), _xludf.AND(AC1929&gt;=0, AC1929&lt;=5)), 16, 0)) + (IF(F1929="Madrid", 11, 0))))</f>
        <v>#NAME?</v>
      </c>
      <c r="AG1929" s="69"/>
      <c r="AH1929" s="71" t="s">
        <v>164</v>
      </c>
    </row>
    <row r="1930" spans="1:51" s="4" customFormat="1" ht="16.5" customHeight="1" x14ac:dyDescent="0.3">
      <c r="A1930" s="66" t="s">
        <v>2788</v>
      </c>
      <c r="B1930" s="66" t="s">
        <v>4905</v>
      </c>
      <c r="C1930" s="33">
        <v>1929</v>
      </c>
      <c r="D1930" s="33" t="s">
        <v>5405</v>
      </c>
      <c r="E1930" s="34" t="s">
        <v>5233</v>
      </c>
      <c r="F1930" s="34" t="s">
        <v>18</v>
      </c>
      <c r="G1930" s="57">
        <v>45715</v>
      </c>
      <c r="H1930" s="57">
        <v>45895</v>
      </c>
      <c r="I1930" s="34">
        <f t="shared" si="92"/>
        <v>5</v>
      </c>
      <c r="J1930" s="34">
        <v>35</v>
      </c>
      <c r="K1930" s="36">
        <v>700</v>
      </c>
      <c r="L1930" s="34" t="s">
        <v>17</v>
      </c>
      <c r="M1930" s="35">
        <v>37692</v>
      </c>
      <c r="N1930" s="37">
        <f>(YEAR(TablaMadre[[#This Row],[ALTA]])-YEAR(M1930))</f>
        <v>22</v>
      </c>
      <c r="O1930" s="34" t="s">
        <v>18</v>
      </c>
      <c r="P1930" s="34" t="s">
        <v>19</v>
      </c>
      <c r="Q1930" s="34" t="s">
        <v>136</v>
      </c>
      <c r="R1930" s="34" t="s">
        <v>30</v>
      </c>
      <c r="S1930" s="34" t="s">
        <v>136</v>
      </c>
      <c r="T1930" s="34" t="s">
        <v>806</v>
      </c>
      <c r="U1930" s="34" t="str">
        <f t="shared" si="95"/>
        <v>N/A</v>
      </c>
      <c r="V1930" s="34" t="s">
        <v>22</v>
      </c>
      <c r="W1930" s="34" t="s">
        <v>380</v>
      </c>
      <c r="X1930" s="34" t="s">
        <v>173</v>
      </c>
      <c r="Y1930" s="57"/>
      <c r="Z1930" s="57" t="e">
        <f t="shared" si="93"/>
        <v>#NUM!</v>
      </c>
      <c r="AA1930" s="57"/>
      <c r="AB1930" s="34">
        <v>10</v>
      </c>
      <c r="AC1930" s="34">
        <v>10</v>
      </c>
      <c r="AD1930" s="34"/>
      <c r="AE1930" s="59" t="str">
        <f t="shared" si="94"/>
        <v>NO</v>
      </c>
      <c r="AF1930" s="34" t="e" cm="1">
        <f t="array" aca="1" ref="AF1930" ca="1">MIN(100, MAX(0, (IF(R1930="ESTUDIANTE", 31, 0)) + (IF(I1930&lt;=3, 30, IF(I1930&lt;=6, 20, 0))) +(IF(OR(E1930="413 - Control de Costes y Enlace Construcción", E1930="480 - Secretaría General del Consejo", E1930="132 - Civil y estructuras", E1930="136 - Mecánica", E1930="412 - Planificación", E1930="142 - Compras"), 25, 0)) +(IF(OR(S1930="GRADO ING. MECÁNICA", S1930="GRADO ING. ELÉCTRICA", S1930="GRADO DERECHO", S1930="GRADO ECONOMÍA", S1930="GRADO ING. TECNOLOGÍAS INDUSTRIALES"), 24, 0)) + (IF(AND(K1930&gt;=451, K1930&lt;=700), 23, 0)) + (IF(AND(AB1930&gt;=5, AB1930&lt;=8), 17, 0)) +(IF(_xludf.OR(_xludf.AND(AC1930&gt;=8, AC1930&lt;=10), _xludf.AND(AC1930&gt;=0, AC1930&lt;=5)), 16, 0)) + (IF(F1930="Madrid", 11, 0))))</f>
        <v>#NAME?</v>
      </c>
      <c r="AG1930" s="69"/>
      <c r="AH1930" s="71" t="s">
        <v>164</v>
      </c>
    </row>
    <row r="1931" spans="1:51" s="4" customFormat="1" ht="16.5" customHeight="1" x14ac:dyDescent="0.3">
      <c r="A1931" s="66" t="s">
        <v>2796</v>
      </c>
      <c r="B1931" s="66" t="s">
        <v>4913</v>
      </c>
      <c r="C1931" s="33">
        <v>1930</v>
      </c>
      <c r="D1931" s="33" t="s">
        <v>5396</v>
      </c>
      <c r="E1931" s="34" t="s">
        <v>5326</v>
      </c>
      <c r="F1931" s="34" t="s">
        <v>18</v>
      </c>
      <c r="G1931" s="57">
        <v>45719</v>
      </c>
      <c r="H1931" s="57">
        <v>45845</v>
      </c>
      <c r="I1931" s="34">
        <f t="shared" si="92"/>
        <v>4</v>
      </c>
      <c r="J1931" s="34">
        <v>35</v>
      </c>
      <c r="K1931" s="36">
        <v>700</v>
      </c>
      <c r="L1931" s="34" t="s">
        <v>17</v>
      </c>
      <c r="M1931" s="35">
        <v>37401</v>
      </c>
      <c r="N1931" s="37">
        <f>(YEAR(TablaMadre[[#This Row],[ALTA]])-YEAR(M1931))</f>
        <v>23</v>
      </c>
      <c r="O1931" s="34" t="s">
        <v>18</v>
      </c>
      <c r="P1931" s="34" t="s">
        <v>19</v>
      </c>
      <c r="Q1931" s="34" t="s">
        <v>859</v>
      </c>
      <c r="R1931" s="34" t="s">
        <v>30</v>
      </c>
      <c r="S1931" s="34" t="s">
        <v>784</v>
      </c>
      <c r="T1931" s="34" t="s">
        <v>806</v>
      </c>
      <c r="U1931" s="34" t="str">
        <f t="shared" si="95"/>
        <v>N/A</v>
      </c>
      <c r="V1931" s="34" t="s">
        <v>858</v>
      </c>
      <c r="W1931" s="34" t="s">
        <v>23</v>
      </c>
      <c r="X1931" s="34" t="s">
        <v>164</v>
      </c>
      <c r="Y1931" s="57"/>
      <c r="Z1931" s="57" t="e">
        <f t="shared" si="93"/>
        <v>#NUM!</v>
      </c>
      <c r="AA1931" s="57"/>
      <c r="AB1931" s="34"/>
      <c r="AC1931" s="34"/>
      <c r="AD1931" s="34"/>
      <c r="AE1931" s="59" t="str">
        <f t="shared" si="94"/>
        <v>NO</v>
      </c>
      <c r="AF1931" s="34" t="e" cm="1">
        <f t="array" aca="1" ref="AF1931" ca="1">MIN(100, MAX(0, (IF(R1931="ESTUDIANTE", 31, 0)) + (IF(I1931&lt;=3, 30, IF(I1931&lt;=6, 20, 0))) +(IF(OR(E1931="413 - Control de Costes y Enlace Construcción", E1931="480 - Secretaría General del Consejo", E1931="132 - Civil y estructuras", E1931="136 - Mecánica", E1931="412 - Planificación", E1931="142 - Compras"), 25, 0)) +(IF(OR(S1931="GRADO ING. MECÁNICA", S1931="GRADO ING. ELÉCTRICA", S1931="GRADO DERECHO", S1931="GRADO ECONOMÍA", S1931="GRADO ING. TECNOLOGÍAS INDUSTRIALES"), 24, 0)) + (IF(AND(K1931&gt;=451, K1931&lt;=700), 23, 0)) + (IF(AND(AB1931&gt;=5, AB1931&lt;=8), 17, 0)) +(IF(_xludf.OR(_xludf.AND(AC1931&gt;=8, AC1931&lt;=10), _xludf.AND(AC1931&gt;=0, AC1931&lt;=5)), 16, 0)) + (IF(F1931="Madrid", 11, 0))))</f>
        <v>#NAME?</v>
      </c>
      <c r="AG1931" s="69"/>
      <c r="AH1931" s="71" t="s">
        <v>164</v>
      </c>
    </row>
    <row r="1932" spans="1:51" s="4" customFormat="1" ht="16.5" customHeight="1" x14ac:dyDescent="0.3">
      <c r="A1932" s="66" t="s">
        <v>2853</v>
      </c>
      <c r="B1932" s="66" t="s">
        <v>4970</v>
      </c>
      <c r="C1932" s="33">
        <v>1932</v>
      </c>
      <c r="D1932" s="33" t="s">
        <v>5397</v>
      </c>
      <c r="E1932" s="34" t="s">
        <v>5381</v>
      </c>
      <c r="F1932" s="34" t="s">
        <v>18</v>
      </c>
      <c r="G1932" s="57">
        <v>45719</v>
      </c>
      <c r="H1932" s="57">
        <v>45991</v>
      </c>
      <c r="I1932" s="34">
        <f t="shared" si="92"/>
        <v>8</v>
      </c>
      <c r="J1932" s="34">
        <v>35</v>
      </c>
      <c r="K1932" s="36">
        <v>850</v>
      </c>
      <c r="L1932" s="34" t="s">
        <v>29</v>
      </c>
      <c r="M1932" s="39">
        <v>37365</v>
      </c>
      <c r="N1932" s="37">
        <f>(YEAR(TablaMadre[[#This Row],[ALTA]])-YEAR(M1932))</f>
        <v>23</v>
      </c>
      <c r="O1932" s="34" t="s">
        <v>18</v>
      </c>
      <c r="P1932" s="34" t="s">
        <v>19</v>
      </c>
      <c r="Q1932" s="34" t="s">
        <v>763</v>
      </c>
      <c r="R1932" s="34" t="s">
        <v>21</v>
      </c>
      <c r="S1932" s="34" t="s">
        <v>763</v>
      </c>
      <c r="T1932" s="34" t="s">
        <v>806</v>
      </c>
      <c r="U1932" s="34" t="str">
        <f t="shared" si="95"/>
        <v>N/A</v>
      </c>
      <c r="V1932" s="34" t="s">
        <v>137</v>
      </c>
      <c r="W1932" s="34" t="s">
        <v>28</v>
      </c>
      <c r="X1932" s="40" t="s">
        <v>173</v>
      </c>
      <c r="Y1932" s="63"/>
      <c r="Z1932" s="40" t="e">
        <f t="shared" si="93"/>
        <v>#NUM!</v>
      </c>
      <c r="AA1932" s="40"/>
      <c r="AB1932" s="34">
        <v>10</v>
      </c>
      <c r="AC1932" s="34"/>
      <c r="AD1932" s="40"/>
      <c r="AE1932" s="59" t="str">
        <f t="shared" si="94"/>
        <v>NO</v>
      </c>
      <c r="AF1932" s="34" t="e" cm="1">
        <f t="array" aca="1" ref="AF1932" ca="1">MIN(100, MAX(0, (IF(R1932="ESTUDIANTE", 31, 0)) + (IF(I1932&lt;=3, 30, IF(I1932&lt;=6, 20, 0))) +(IF(OR(E1932="413 - Control de Costes y Enlace Construcción", E1932="480 - Secretaría General del Consejo", E1932="132 - Civil y estructuras", E1932="136 - Mecánica", E1932="412 - Planificación", E1932="142 - Compras"), 25, 0)) +(IF(OR(S1932="GRADO ING. MECÁNICA", S1932="GRADO ING. ELÉCTRICA", S1932="GRADO DERECHO", S1932="GRADO ECONOMÍA", S1932="GRADO ING. TECNOLOGÍAS INDUSTRIALES"), 24, 0)) + (IF(AND(K1932&gt;=451, K1932&lt;=700), 23, 0)) + (IF(AND(AB1932&gt;=5, AB1932&lt;=8), 17, 0)) +(IF(_xludf.OR(_xludf.AND(AC1932&gt;=8, AC1932&lt;=10), _xludf.AND(AC1932&gt;=0, AC1932&lt;=5)), 16, 0)) + (IF(F1932="Madrid", 11, 0))))</f>
        <v>#NAME?</v>
      </c>
      <c r="AG1932" s="69"/>
      <c r="AH1932" s="71" t="s">
        <v>164</v>
      </c>
    </row>
    <row r="1933" spans="1:51" s="9" customFormat="1" ht="16.5" customHeight="1" x14ac:dyDescent="0.3">
      <c r="A1933" s="66" t="s">
        <v>2917</v>
      </c>
      <c r="B1933" s="66" t="s">
        <v>5034</v>
      </c>
      <c r="C1933" s="33">
        <v>1931</v>
      </c>
      <c r="D1933" s="33" t="s">
        <v>5393</v>
      </c>
      <c r="E1933" s="34" t="s">
        <v>5382</v>
      </c>
      <c r="F1933" s="34" t="s">
        <v>18</v>
      </c>
      <c r="G1933" s="57">
        <v>45719</v>
      </c>
      <c r="H1933" s="57">
        <v>45900</v>
      </c>
      <c r="I1933" s="34">
        <f t="shared" si="92"/>
        <v>5</v>
      </c>
      <c r="J1933" s="34">
        <v>35</v>
      </c>
      <c r="K1933" s="36">
        <v>1200</v>
      </c>
      <c r="L1933" s="34" t="s">
        <v>29</v>
      </c>
      <c r="M1933" s="35">
        <v>37042</v>
      </c>
      <c r="N1933" s="37">
        <f>(YEAR(TablaMadre[[#This Row],[ALTA]])-YEAR(M1933))</f>
        <v>24</v>
      </c>
      <c r="O1933" s="34" t="s">
        <v>247</v>
      </c>
      <c r="P1933" s="34" t="s">
        <v>19</v>
      </c>
      <c r="Q1933" s="34" t="s">
        <v>832</v>
      </c>
      <c r="R1933" s="34" t="s">
        <v>21</v>
      </c>
      <c r="S1933" s="34" t="s">
        <v>321</v>
      </c>
      <c r="T1933" s="34" t="s">
        <v>823</v>
      </c>
      <c r="U1933" s="34" t="s">
        <v>30</v>
      </c>
      <c r="V1933" s="34" t="s">
        <v>239</v>
      </c>
      <c r="W1933" s="34" t="s">
        <v>28</v>
      </c>
      <c r="X1933" s="34" t="s">
        <v>173</v>
      </c>
      <c r="Y1933" s="57"/>
      <c r="Z1933" s="34" t="e">
        <f t="shared" si="93"/>
        <v>#NUM!</v>
      </c>
      <c r="AA1933" s="34"/>
      <c r="AB1933" s="34">
        <v>9</v>
      </c>
      <c r="AC1933" s="34">
        <v>9</v>
      </c>
      <c r="AD1933" s="34"/>
      <c r="AE1933" s="59" t="str">
        <f t="shared" si="94"/>
        <v>SÍ</v>
      </c>
      <c r="AF1933" s="40" t="e" cm="1">
        <f t="array" aca="1" ref="AF1933" ca="1">MIN(100, MAX(0, (IF(R1933="ESTUDIANTE", 31, 0)) + (IF(I1933&lt;=3, 30, IF(I1933&lt;=6, 20, 0))) +(IF(OR(E1933="413 - Control de Costes y Enlace Construcción", E1933="480 - Secretaría General del Consejo", E1933="132 - Civil y estructuras", E1933="136 - Mecánica", E1933="412 - Planificación", E1933="142 - Compras"), 25, 0)) +(IF(OR(S1933="GRADO ING. MECÁNICA", S1933="GRADO ING. ELÉCTRICA", S1933="GRADO DERECHO", S1933="GRADO ECONOMÍA", S1933="GRADO ING. TECNOLOGÍAS INDUSTRIALES"), 24, 0)) + (IF(AND(K1933&gt;=451, K1933&lt;=700), 23, 0)) + (IF(AND(AB1933&gt;=5, AB1933&lt;=8), 17, 0)) +(IF(_xludf.OR(_xludf.AND(AC1933&gt;=8, AC1933&lt;=10), _xludf.AND(AC1933&gt;=0, AC1933&lt;=5)), 16, 0)) + (IF(F1933="Madrid", 11, 0))))</f>
        <v>#NAME?</v>
      </c>
      <c r="AG1933" s="70"/>
      <c r="AH1933" s="71" t="s">
        <v>164</v>
      </c>
    </row>
    <row r="1934" spans="1:51" s="4" customFormat="1" ht="16.5" customHeight="1" x14ac:dyDescent="0.3">
      <c r="A1934" s="66" t="s">
        <v>3042</v>
      </c>
      <c r="B1934" s="66" t="s">
        <v>5159</v>
      </c>
      <c r="C1934" s="33">
        <v>1933</v>
      </c>
      <c r="D1934" s="33" t="s">
        <v>5394</v>
      </c>
      <c r="E1934" s="34" t="s">
        <v>5328</v>
      </c>
      <c r="F1934" s="34" t="s">
        <v>18</v>
      </c>
      <c r="G1934" s="57">
        <v>45720</v>
      </c>
      <c r="H1934" s="57">
        <v>45798</v>
      </c>
      <c r="I1934" s="34">
        <f t="shared" si="92"/>
        <v>2</v>
      </c>
      <c r="J1934" s="34">
        <v>35</v>
      </c>
      <c r="K1934" s="36">
        <v>0</v>
      </c>
      <c r="L1934" s="34" t="s">
        <v>17</v>
      </c>
      <c r="M1934" s="35">
        <v>38586</v>
      </c>
      <c r="N1934" s="37">
        <f>(YEAR(TablaMadre[[#This Row],[ALTA]])-YEAR(M1934))</f>
        <v>20</v>
      </c>
      <c r="O1934" s="34" t="s">
        <v>18</v>
      </c>
      <c r="P1934" s="34" t="s">
        <v>19</v>
      </c>
      <c r="Q1934" s="34" t="s">
        <v>392</v>
      </c>
      <c r="R1934" s="34" t="s">
        <v>30</v>
      </c>
      <c r="S1934" s="34" t="s">
        <v>26</v>
      </c>
      <c r="T1934" s="34" t="s">
        <v>806</v>
      </c>
      <c r="U1934" s="34" t="str">
        <f>SUBSTITUTE($T1934, "INGUN", "/")</f>
        <v>N/A</v>
      </c>
      <c r="V1934" s="34" t="s">
        <v>27</v>
      </c>
      <c r="W1934" s="34" t="s">
        <v>23</v>
      </c>
      <c r="X1934" s="34" t="s">
        <v>164</v>
      </c>
      <c r="Y1934" s="57"/>
      <c r="Z1934" s="57" t="e">
        <f t="shared" si="93"/>
        <v>#NUM!</v>
      </c>
      <c r="AA1934" s="57"/>
      <c r="AB1934" s="34"/>
      <c r="AC1934" s="34">
        <v>7</v>
      </c>
      <c r="AD1934" s="34"/>
      <c r="AE1934" s="59" t="str">
        <f t="shared" si="94"/>
        <v>NO</v>
      </c>
      <c r="AF1934" s="34" t="e" cm="1">
        <f t="array" aca="1" ref="AF1934" ca="1">MIN(100, MAX(0, (IF(R1934="ESTUDIANTE", 31, 0)) + (IF(I1934&lt;=3, 30, IF(I1934&lt;=6, 20, 0))) +(IF(OR(E1934="413 - Control de Costes y Enlace Construcción", E1934="480 - Secretaría General del Consejo", E1934="132 - Civil y estructuras", E1934="136 - Mecánica", E1934="412 - Planificación", E1934="142 - Compras"), 25, 0)) +(IF(OR(S1934="GRADO ING. MECÁNICA", S1934="GRADO ING. ELÉCTRICA", S1934="GRADO DERECHO", S1934="GRADO ECONOMÍA", S1934="GRADO ING. TECNOLOGÍAS INDUSTRIALES"), 24, 0)) + (IF(AND(K1934&gt;=451, K1934&lt;=700), 23, 0)) + (IF(AND(AB1934&gt;=5, AB1934&lt;=8), 17, 0)) +(IF(_xludf.OR(_xludf.AND(AC1934&gt;=8, AC1934&lt;=10), _xludf.AND(AC1934&gt;=0, AC1934&lt;=5)), 16, 0)) + (IF(F1934="Madrid", 11, 0))))</f>
        <v>#NAME?</v>
      </c>
      <c r="AG1934" s="69"/>
      <c r="AH1934" s="71" t="s">
        <v>164</v>
      </c>
    </row>
    <row r="1935" spans="1:51" s="4" customFormat="1" ht="16.5" customHeight="1" x14ac:dyDescent="0.3">
      <c r="A1935" s="66" t="s">
        <v>2921</v>
      </c>
      <c r="B1935" s="66" t="s">
        <v>5038</v>
      </c>
      <c r="C1935" s="33">
        <v>1934</v>
      </c>
      <c r="D1935" s="33" t="s">
        <v>5395</v>
      </c>
      <c r="E1935" s="34" t="s">
        <v>5303</v>
      </c>
      <c r="F1935" s="34" t="s">
        <v>18</v>
      </c>
      <c r="G1935" s="57">
        <v>45726</v>
      </c>
      <c r="H1935" s="57">
        <v>45900</v>
      </c>
      <c r="I1935" s="34">
        <f t="shared" si="92"/>
        <v>5</v>
      </c>
      <c r="J1935" s="34">
        <v>30</v>
      </c>
      <c r="K1935" s="36">
        <v>600</v>
      </c>
      <c r="L1935" s="34" t="s">
        <v>17</v>
      </c>
      <c r="M1935" s="35">
        <v>36517</v>
      </c>
      <c r="N1935" s="37">
        <f>(YEAR(TablaMadre[[#This Row],[ALTA]])-YEAR(M1935))</f>
        <v>26</v>
      </c>
      <c r="O1935" s="34" t="s">
        <v>18</v>
      </c>
      <c r="P1935" s="34" t="s">
        <v>19</v>
      </c>
      <c r="Q1935" s="34" t="s">
        <v>435</v>
      </c>
      <c r="R1935" s="58" t="s">
        <v>30</v>
      </c>
      <c r="S1935" s="34" t="s">
        <v>435</v>
      </c>
      <c r="T1935" s="34" t="s">
        <v>806</v>
      </c>
      <c r="U1935" s="34" t="str">
        <f>SUBSTITUTE($T1935, "INGUN", "/")</f>
        <v>N/A</v>
      </c>
      <c r="V1935" s="34" t="s">
        <v>875</v>
      </c>
      <c r="W1935" s="34" t="s">
        <v>28</v>
      </c>
      <c r="X1935" s="34" t="s">
        <v>173</v>
      </c>
      <c r="Y1935" s="57"/>
      <c r="Z1935" s="34" t="e">
        <f t="shared" si="93"/>
        <v>#NUM!</v>
      </c>
      <c r="AA1935" s="34"/>
      <c r="AB1935" s="34"/>
      <c r="AC1935" s="34">
        <v>10</v>
      </c>
      <c r="AD1935" s="34"/>
      <c r="AE1935" s="59" t="str">
        <f t="shared" si="94"/>
        <v>NO</v>
      </c>
      <c r="AF1935" s="34" t="e" cm="1">
        <f t="array" aca="1" ref="AF1935" ca="1">MIN(100, MAX(0, (IF(R1935="ESTUDIANTE", 31, 0)) + (IF(I1935&lt;=3, 30, IF(I1935&lt;=6, 20, 0))) +(IF(OR(E1935="413 - Control de Costes y Enlace Construcción", E1935="480 - Secretaría General del Consejo", E1935="132 - Civil y estructuras", E1935="136 - Mecánica", E1935="412 - Planificación", E1935="142 - Compras"), 25, 0)) +(IF(OR(S1935="GRADO ING. MECÁNICA", S1935="GRADO ING. ELÉCTRICA", S1935="GRADO DERECHO", S1935="GRADO ECONOMÍA", S1935="GRADO ING. TECNOLOGÍAS INDUSTRIALES"), 24, 0)) + (IF(AND(K1935&gt;=451, K1935&lt;=700), 23, 0)) + (IF(AND(AB1935&gt;=5, AB1935&lt;=8), 17, 0)) +(IF(_xludf.OR(_xludf.AND(AC1935&gt;=8, AC1935&lt;=10), _xludf.AND(AC1935&gt;=0, AC1935&lt;=5)), 16, 0)) + (IF(F1935="Madrid", 11, 0))))</f>
        <v>#NAME?</v>
      </c>
      <c r="AG1935" s="69"/>
      <c r="AH1935" s="71" t="s">
        <v>164</v>
      </c>
    </row>
    <row r="1936" spans="1:51" ht="16.5" customHeight="1" x14ac:dyDescent="0.3">
      <c r="A1936" s="66" t="s">
        <v>3048</v>
      </c>
      <c r="B1936" s="66" t="s">
        <v>5165</v>
      </c>
      <c r="C1936" s="33">
        <v>1935</v>
      </c>
      <c r="D1936" s="33" t="s">
        <v>5396</v>
      </c>
      <c r="E1936" s="34" t="s">
        <v>5342</v>
      </c>
      <c r="F1936" s="34" t="s">
        <v>18</v>
      </c>
      <c r="G1936" s="57">
        <v>45727</v>
      </c>
      <c r="H1936" s="57">
        <v>45814</v>
      </c>
      <c r="I1936" s="34">
        <f t="shared" si="92"/>
        <v>2</v>
      </c>
      <c r="J1936" s="34">
        <v>35</v>
      </c>
      <c r="K1936" s="36">
        <v>0</v>
      </c>
      <c r="L1936" s="34" t="s">
        <v>17</v>
      </c>
      <c r="M1936" s="35">
        <v>35184</v>
      </c>
      <c r="N1936" s="37">
        <f>(YEAR(TablaMadre[[#This Row],[ALTA]])-YEAR(M1936))</f>
        <v>29</v>
      </c>
      <c r="O1936" s="34" t="s">
        <v>18</v>
      </c>
      <c r="P1936" s="34" t="s">
        <v>19</v>
      </c>
      <c r="Q1936" s="34" t="s">
        <v>734</v>
      </c>
      <c r="R1936" s="34" t="s">
        <v>30</v>
      </c>
      <c r="S1936" s="34" t="s">
        <v>26</v>
      </c>
      <c r="T1936" s="34" t="s">
        <v>806</v>
      </c>
      <c r="U1936" s="34" t="str">
        <f>SUBSTITUTE($T1936, "INGUN", "/")</f>
        <v>N/A</v>
      </c>
      <c r="V1936" s="34" t="s">
        <v>27</v>
      </c>
      <c r="W1936" s="34" t="s">
        <v>23</v>
      </c>
      <c r="X1936" s="38" t="s">
        <v>164</v>
      </c>
      <c r="Y1936" s="62"/>
      <c r="Z1936" s="62" t="e">
        <f t="shared" si="93"/>
        <v>#NUM!</v>
      </c>
      <c r="AA1936" s="62"/>
      <c r="AB1936" s="34"/>
      <c r="AC1936" s="34">
        <v>10</v>
      </c>
      <c r="AD1936" s="38"/>
      <c r="AE1936" s="59" t="str">
        <f t="shared" si="94"/>
        <v>NO</v>
      </c>
      <c r="AF1936" s="38" t="e" cm="1">
        <f t="array" aca="1" ref="AF1936" ca="1">MIN(100, MAX(0, (IF(R1936="ESTUDIANTE", 31, 0)) + (IF(I1936&lt;=3, 30, IF(I1936&lt;=6, 20, 0))) +(IF(OR(E1936="413 - Control de Costes y Enlace Construcción", E1936="480 - Secretaría General del Consejo", E1936="132 - Civil y estructuras", E1936="136 - Mecánica", E1936="412 - Planificación", E1936="142 - Compras"), 25, 0)) +(IF(OR(S1936="GRADO ING. MECÁNICA", S1936="GRADO ING. ELÉCTRICA", S1936="GRADO DERECHO", S1936="GRADO ECONOMÍA", S1936="GRADO ING. TECNOLOGÍAS INDUSTRIALES"), 24, 0)) + (IF(AND(K1936&gt;=451, K1936&lt;=700), 23, 0)) + (IF(AND(AB1936&gt;=5, AB1936&lt;=8), 17, 0)) +(IF(_xludf.OR(_xludf.AND(AC1936&gt;=8, AC1936&lt;=10), _xludf.AND(AC1936&gt;=0, AC1936&lt;=5)), 16, 0)) + (IF(F1936="Madrid", 11, 0))))</f>
        <v>#NAME?</v>
      </c>
      <c r="AG1936" s="68"/>
      <c r="AH1936" s="71" t="s">
        <v>164</v>
      </c>
    </row>
    <row r="1937" spans="1:51" s="4" customFormat="1" ht="16.5" customHeight="1" x14ac:dyDescent="0.3">
      <c r="A1937" s="66" t="s">
        <v>2922</v>
      </c>
      <c r="B1937" s="66" t="s">
        <v>5039</v>
      </c>
      <c r="C1937" s="33">
        <v>1936</v>
      </c>
      <c r="D1937" s="33" t="s">
        <v>5397</v>
      </c>
      <c r="E1937" s="34" t="s">
        <v>5285</v>
      </c>
      <c r="F1937" s="34" t="s">
        <v>118</v>
      </c>
      <c r="G1937" s="57">
        <v>45728</v>
      </c>
      <c r="H1937" s="57">
        <v>45828</v>
      </c>
      <c r="I1937" s="34">
        <f t="shared" si="92"/>
        <v>3</v>
      </c>
      <c r="J1937" s="34">
        <v>35</v>
      </c>
      <c r="K1937" s="36">
        <v>273</v>
      </c>
      <c r="L1937" s="34" t="s">
        <v>29</v>
      </c>
      <c r="M1937" s="35">
        <v>32473</v>
      </c>
      <c r="N1937" s="37">
        <f>(YEAR(TablaMadre[[#This Row],[ALTA]])-YEAR(M1937))</f>
        <v>37</v>
      </c>
      <c r="O1937" s="34" t="s">
        <v>314</v>
      </c>
      <c r="P1937" s="34" t="s">
        <v>19</v>
      </c>
      <c r="Q1937" s="34" t="s">
        <v>805</v>
      </c>
      <c r="R1937" s="58" t="s">
        <v>30</v>
      </c>
      <c r="S1937" s="34" t="s">
        <v>26</v>
      </c>
      <c r="T1937" s="34" t="s">
        <v>806</v>
      </c>
      <c r="U1937" s="34" t="str">
        <f>SUBSTITUTE($T1937, "INGUN", "/")</f>
        <v>N/A</v>
      </c>
      <c r="V1937" s="34" t="s">
        <v>27</v>
      </c>
      <c r="W1937" s="34" t="s">
        <v>28</v>
      </c>
      <c r="X1937" s="34" t="s">
        <v>173</v>
      </c>
      <c r="Y1937" s="57"/>
      <c r="Z1937" s="34" t="e">
        <f t="shared" si="93"/>
        <v>#NUM!</v>
      </c>
      <c r="AA1937" s="34"/>
      <c r="AB1937" s="34">
        <v>10</v>
      </c>
      <c r="AC1937" s="34">
        <v>7</v>
      </c>
      <c r="AD1937" s="34"/>
      <c r="AE1937" s="59" t="str">
        <f t="shared" si="94"/>
        <v>SÍ</v>
      </c>
      <c r="AF1937" s="34" t="e" cm="1">
        <f t="array" aca="1" ref="AF1937" ca="1">MIN(100, MAX(0, (IF(R1937="ESTUDIANTE", 31, 0)) + (IF(I1937&lt;=3, 30, IF(I1937&lt;=6, 20, 0))) +(IF(OR(E1937="413 - Control de Costes y Enlace Construcción", E1937="480 - Secretaría General del Consejo", E1937="132 - Civil y estructuras", E1937="136 - Mecánica", E1937="412 - Planificación", E1937="142 - Compras"), 25, 0)) +(IF(OR(S1937="GRADO ING. MECÁNICA", S1937="GRADO ING. ELÉCTRICA", S1937="GRADO DERECHO", S1937="GRADO ECONOMÍA", S1937="GRADO ING. TECNOLOGÍAS INDUSTRIALES"), 24, 0)) + (IF(AND(K1937&gt;=451, K1937&lt;=700), 23, 0)) + (IF(AND(AB1937&gt;=5, AB1937&lt;=8), 17, 0)) +(IF(_xludf.OR(_xludf.AND(AC1937&gt;=8, AC1937&lt;=10), _xludf.AND(AC1937&gt;=0, AC1937&lt;=5)), 16, 0)) + (IF(F1937="Madrid", 11, 0))))</f>
        <v>#NAME?</v>
      </c>
      <c r="AG1937" s="69"/>
      <c r="AH1937" s="71" t="s">
        <v>164</v>
      </c>
    </row>
    <row r="1938" spans="1:51" ht="15.75" customHeight="1" x14ac:dyDescent="0.3">
      <c r="A1938" s="66" t="s">
        <v>2798</v>
      </c>
      <c r="B1938" s="66" t="s">
        <v>4915</v>
      </c>
      <c r="C1938" s="33">
        <v>1940</v>
      </c>
      <c r="D1938" s="33" t="s">
        <v>5398</v>
      </c>
      <c r="E1938" s="34" t="s">
        <v>5241</v>
      </c>
      <c r="F1938" s="34" t="s">
        <v>18</v>
      </c>
      <c r="G1938" s="57">
        <v>45733</v>
      </c>
      <c r="H1938" s="57">
        <v>45900</v>
      </c>
      <c r="I1938" s="34">
        <f t="shared" si="92"/>
        <v>5</v>
      </c>
      <c r="J1938" s="34">
        <v>35</v>
      </c>
      <c r="K1938" s="36">
        <v>700</v>
      </c>
      <c r="L1938" s="34" t="s">
        <v>17</v>
      </c>
      <c r="M1938" s="35">
        <v>37027</v>
      </c>
      <c r="N1938" s="37">
        <f>(YEAR(TablaMadre[[#This Row],[ALTA]])-YEAR(M1938))</f>
        <v>24</v>
      </c>
      <c r="O1938" s="34" t="s">
        <v>18</v>
      </c>
      <c r="P1938" s="34" t="s">
        <v>19</v>
      </c>
      <c r="Q1938" s="34" t="s">
        <v>306</v>
      </c>
      <c r="R1938" s="34" t="s">
        <v>30</v>
      </c>
      <c r="S1938" s="34" t="s">
        <v>307</v>
      </c>
      <c r="T1938" s="34" t="s">
        <v>806</v>
      </c>
      <c r="U1938" s="34" t="str">
        <f>SUBSTITUTE($T1938, "INGUN", "/")</f>
        <v>N/A</v>
      </c>
      <c r="V1938" s="34" t="s">
        <v>22</v>
      </c>
      <c r="W1938" s="34" t="s">
        <v>380</v>
      </c>
      <c r="X1938" s="34" t="s">
        <v>164</v>
      </c>
      <c r="Y1938" s="57"/>
      <c r="Z1938" s="57" t="e">
        <f t="shared" si="93"/>
        <v>#NUM!</v>
      </c>
      <c r="AA1938" s="57"/>
      <c r="AB1938" s="34">
        <v>8</v>
      </c>
      <c r="AC1938" s="34">
        <v>10</v>
      </c>
      <c r="AD1938" s="34"/>
      <c r="AE1938" s="59" t="str">
        <f t="shared" si="94"/>
        <v>NO</v>
      </c>
      <c r="AF1938" s="38" t="e" cm="1">
        <f t="array" aca="1" ref="AF1938" ca="1">MIN(100, MAX(0, (IF(R1938="ESTUDIANTE", 31, 0)) + (IF(I1938&lt;=3, 30, IF(I1938&lt;=6, 20, 0))) +(IF(OR(E1938="413 - Control de Costes y Enlace Construcción", E1938="480 - Secretaría General del Consejo", E1938="132 - Civil y estructuras", E1938="136 - Mecánica", E1938="412 - Planificación", E1938="142 - Compras"), 25, 0)) +(IF(OR(S1938="GRADO ING. MECÁNICA", S1938="GRADO ING. ELÉCTRICA", S1938="GRADO DERECHO", S1938="GRADO ECONOMÍA", S1938="GRADO ING. TECNOLOGÍAS INDUSTRIALES"), 24, 0)) + (IF(AND(K1938&gt;=451, K1938&lt;=700), 23, 0)) + (IF(AND(AB1938&gt;=5, AB1938&lt;=8), 17, 0)) +(IF(_xludf.OR(_xludf.AND(AC1938&gt;=8, AC1938&lt;=10), _xludf.AND(AC1938&gt;=0, AC1938&lt;=5)), 16, 0)) + (IF(F1938="Madrid", 11, 0))))</f>
        <v>#NAME?</v>
      </c>
      <c r="AG1938" s="68"/>
      <c r="AH1938" s="71" t="s">
        <v>164</v>
      </c>
    </row>
    <row r="1939" spans="1:51" ht="16.5" customHeight="1" x14ac:dyDescent="0.3">
      <c r="A1939" s="66" t="s">
        <v>2800</v>
      </c>
      <c r="B1939" s="66" t="s">
        <v>4917</v>
      </c>
      <c r="C1939" s="33">
        <v>1941</v>
      </c>
      <c r="D1939" s="33" t="s">
        <v>5399</v>
      </c>
      <c r="E1939" s="34" t="s">
        <v>5313</v>
      </c>
      <c r="F1939" s="34" t="s">
        <v>18</v>
      </c>
      <c r="G1939" s="57">
        <v>45733</v>
      </c>
      <c r="H1939" s="57">
        <v>45900</v>
      </c>
      <c r="I1939" s="34">
        <f t="shared" si="92"/>
        <v>5</v>
      </c>
      <c r="J1939" s="34">
        <v>35</v>
      </c>
      <c r="K1939" s="36">
        <v>900</v>
      </c>
      <c r="L1939" s="34" t="s">
        <v>29</v>
      </c>
      <c r="M1939" s="35">
        <v>37218</v>
      </c>
      <c r="N1939" s="37">
        <f>(YEAR(TablaMadre[[#This Row],[ALTA]])-YEAR(M1939))</f>
        <v>24</v>
      </c>
      <c r="O1939" s="34" t="s">
        <v>18</v>
      </c>
      <c r="P1939" s="34" t="s">
        <v>19</v>
      </c>
      <c r="Q1939" s="34" t="s">
        <v>297</v>
      </c>
      <c r="R1939" s="34" t="s">
        <v>21</v>
      </c>
      <c r="S1939" s="34" t="s">
        <v>297</v>
      </c>
      <c r="T1939" s="34" t="s">
        <v>820</v>
      </c>
      <c r="U1939" s="34" t="s">
        <v>30</v>
      </c>
      <c r="V1939" s="34" t="s">
        <v>56</v>
      </c>
      <c r="W1939" s="34" t="s">
        <v>181</v>
      </c>
      <c r="X1939" s="38" t="s">
        <v>164</v>
      </c>
      <c r="Y1939" s="62"/>
      <c r="Z1939" s="62" t="e">
        <f t="shared" si="93"/>
        <v>#NUM!</v>
      </c>
      <c r="AA1939" s="62"/>
      <c r="AB1939" s="34"/>
      <c r="AC1939" s="34">
        <v>6</v>
      </c>
      <c r="AD1939" s="38"/>
      <c r="AE1939" s="59" t="str">
        <f t="shared" si="94"/>
        <v>NO</v>
      </c>
      <c r="AF1939" s="38" t="e" cm="1">
        <f t="array" aca="1" ref="AF1939" ca="1">MIN(100, MAX(0, (IF(R1939="ESTUDIANTE", 31, 0)) + (IF(I1939&lt;=3, 30, IF(I1939&lt;=6, 20, 0))) +(IF(OR(E1939="413 - Control de Costes y Enlace Construcción", E1939="480 - Secretaría General del Consejo", E1939="132 - Civil y estructuras", E1939="136 - Mecánica", E1939="412 - Planificación", E1939="142 - Compras"), 25, 0)) +(IF(OR(S1939="GRADO ING. MECÁNICA", S1939="GRADO ING. ELÉCTRICA", S1939="GRADO DERECHO", S1939="GRADO ECONOMÍA", S1939="GRADO ING. TECNOLOGÍAS INDUSTRIALES"), 24, 0)) + (IF(AND(K1939&gt;=451, K1939&lt;=700), 23, 0)) + (IF(AND(AB1939&gt;=5, AB1939&lt;=8), 17, 0)) +(IF(_xludf.OR(_xludf.AND(AC1939&gt;=8, AC1939&lt;=10), _xludf.AND(AC1939&gt;=0, AC1939&lt;=5)), 16, 0)) + (IF(F1939="Madrid", 11, 0))))</f>
        <v>#NAME?</v>
      </c>
      <c r="AG1939" s="68"/>
      <c r="AH1939" s="71" t="s">
        <v>164</v>
      </c>
    </row>
    <row r="1940" spans="1:51" s="4" customFormat="1" ht="16.5" customHeight="1" x14ac:dyDescent="0.3">
      <c r="A1940" s="66" t="s">
        <v>2801</v>
      </c>
      <c r="B1940" s="66" t="s">
        <v>4918</v>
      </c>
      <c r="C1940" s="33">
        <v>1939</v>
      </c>
      <c r="D1940" s="33" t="s">
        <v>5400</v>
      </c>
      <c r="E1940" s="34" t="s">
        <v>5381</v>
      </c>
      <c r="F1940" s="34" t="s">
        <v>18</v>
      </c>
      <c r="G1940" s="57">
        <v>45733</v>
      </c>
      <c r="H1940" s="57">
        <v>45888</v>
      </c>
      <c r="I1940" s="34">
        <f t="shared" si="92"/>
        <v>5</v>
      </c>
      <c r="J1940" s="34">
        <v>30</v>
      </c>
      <c r="K1940" s="36">
        <v>600</v>
      </c>
      <c r="L1940" s="34" t="s">
        <v>29</v>
      </c>
      <c r="M1940" s="35">
        <v>37625</v>
      </c>
      <c r="N1940" s="37">
        <f>(YEAR(TablaMadre[[#This Row],[ALTA]])-YEAR(M1940))</f>
        <v>22</v>
      </c>
      <c r="O1940" s="34" t="s">
        <v>18</v>
      </c>
      <c r="P1940" s="34" t="s">
        <v>19</v>
      </c>
      <c r="Q1940" s="34" t="s">
        <v>873</v>
      </c>
      <c r="R1940" s="58" t="s">
        <v>30</v>
      </c>
      <c r="S1940" s="34" t="s">
        <v>326</v>
      </c>
      <c r="T1940" s="34" t="s">
        <v>806</v>
      </c>
      <c r="U1940" s="34" t="str">
        <f t="shared" ref="U1940:U1947" si="96">SUBSTITUTE($T1940, "INGUN", "/")</f>
        <v>N/A</v>
      </c>
      <c r="V1940" s="34" t="s">
        <v>22</v>
      </c>
      <c r="W1940" s="34" t="s">
        <v>181</v>
      </c>
      <c r="X1940" s="34" t="s">
        <v>164</v>
      </c>
      <c r="Y1940" s="57"/>
      <c r="Z1940" s="57" t="e">
        <f t="shared" si="93"/>
        <v>#NUM!</v>
      </c>
      <c r="AA1940" s="57"/>
      <c r="AB1940" s="34">
        <v>9</v>
      </c>
      <c r="AC1940" s="34">
        <v>8</v>
      </c>
      <c r="AD1940" s="34"/>
      <c r="AE1940" s="59" t="str">
        <f t="shared" si="94"/>
        <v>NO</v>
      </c>
      <c r="AF1940" s="34" t="e" cm="1">
        <f t="array" aca="1" ref="AF1940" ca="1">MIN(100, MAX(0, (IF(R1940="ESTUDIANTE", 31, 0)) + (IF(I1940&lt;=3, 30, IF(I1940&lt;=6, 20, 0))) +(IF(OR(E1940="413 - Control de Costes y Enlace Construcción", E1940="480 - Secretaría General del Consejo", E1940="132 - Civil y estructuras", E1940="136 - Mecánica", E1940="412 - Planificación", E1940="142 - Compras"), 25, 0)) +(IF(OR(S1940="GRADO ING. MECÁNICA", S1940="GRADO ING. ELÉCTRICA", S1940="GRADO DERECHO", S1940="GRADO ECONOMÍA", S1940="GRADO ING. TECNOLOGÍAS INDUSTRIALES"), 24, 0)) + (IF(AND(K1940&gt;=451, K1940&lt;=700), 23, 0)) + (IF(AND(AB1940&gt;=5, AB1940&lt;=8), 17, 0)) +(IF(_xludf.OR(_xludf.AND(AC1940&gt;=8, AC1940&lt;=10), _xludf.AND(AC1940&gt;=0, AC1940&lt;=5)), 16, 0)) + (IF(F1940="Madrid", 11, 0))))</f>
        <v>#NAME?</v>
      </c>
      <c r="AG1940" s="69"/>
      <c r="AH1940" s="71" t="s">
        <v>164</v>
      </c>
    </row>
    <row r="1941" spans="1:51" s="4" customFormat="1" ht="16.5" customHeight="1" x14ac:dyDescent="0.3">
      <c r="A1941" s="66" t="s">
        <v>2923</v>
      </c>
      <c r="B1941" s="66" t="s">
        <v>5040</v>
      </c>
      <c r="C1941" s="33">
        <v>1943</v>
      </c>
      <c r="D1941" s="33" t="s">
        <v>5401</v>
      </c>
      <c r="E1941" s="34" t="s">
        <v>5299</v>
      </c>
      <c r="F1941" s="34" t="s">
        <v>18</v>
      </c>
      <c r="G1941" s="57">
        <v>45733</v>
      </c>
      <c r="H1941" s="57">
        <v>45900</v>
      </c>
      <c r="I1941" s="34">
        <f t="shared" si="92"/>
        <v>5</v>
      </c>
      <c r="J1941" s="34">
        <v>35</v>
      </c>
      <c r="K1941" s="36">
        <v>700</v>
      </c>
      <c r="L1941" s="34" t="s">
        <v>29</v>
      </c>
      <c r="M1941" s="35">
        <v>36923</v>
      </c>
      <c r="N1941" s="37">
        <f>(YEAR(TablaMadre[[#This Row],[ALTA]])-YEAR(M1941))</f>
        <v>24</v>
      </c>
      <c r="O1941" s="34" t="s">
        <v>153</v>
      </c>
      <c r="P1941" s="34" t="s">
        <v>19</v>
      </c>
      <c r="Q1941" s="34" t="s">
        <v>876</v>
      </c>
      <c r="R1941" s="34" t="s">
        <v>30</v>
      </c>
      <c r="S1941" s="34" t="s">
        <v>321</v>
      </c>
      <c r="T1941" s="34" t="s">
        <v>806</v>
      </c>
      <c r="U1941" s="34" t="str">
        <f t="shared" si="96"/>
        <v>N/A</v>
      </c>
      <c r="V1941" s="34" t="s">
        <v>22</v>
      </c>
      <c r="W1941" s="34" t="s">
        <v>28</v>
      </c>
      <c r="X1941" s="38" t="s">
        <v>173</v>
      </c>
      <c r="Y1941" s="62"/>
      <c r="Z1941" s="38" t="e">
        <f t="shared" si="93"/>
        <v>#NUM!</v>
      </c>
      <c r="AA1941" s="38"/>
      <c r="AB1941" s="34">
        <v>9</v>
      </c>
      <c r="AC1941" s="34">
        <v>9</v>
      </c>
      <c r="AD1941" s="38"/>
      <c r="AE1941" s="59" t="str">
        <f t="shared" si="94"/>
        <v>SÍ</v>
      </c>
      <c r="AF1941" s="34" t="e" cm="1">
        <f t="array" aca="1" ref="AF1941" ca="1">MIN(100, MAX(0, (IF(R1941="ESTUDIANTE", 31, 0)) + (IF(I1941&lt;=3, 30, IF(I1941&lt;=6, 20, 0))) +(IF(OR(E1941="413 - Control de Costes y Enlace Construcción", E1941="480 - Secretaría General del Consejo", E1941="132 - Civil y estructuras", E1941="136 - Mecánica", E1941="412 - Planificación", E1941="142 - Compras"), 25, 0)) +(IF(OR(S1941="GRADO ING. MECÁNICA", S1941="GRADO ING. ELÉCTRICA", S1941="GRADO DERECHO", S1941="GRADO ECONOMÍA", S1941="GRADO ING. TECNOLOGÍAS INDUSTRIALES"), 24, 0)) + (IF(AND(K1941&gt;=451, K1941&lt;=700), 23, 0)) + (IF(AND(AB1941&gt;=5, AB1941&lt;=8), 17, 0)) +(IF(_xludf.OR(_xludf.AND(AC1941&gt;=8, AC1941&lt;=10), _xludf.AND(AC1941&gt;=0, AC1941&lt;=5)), 16, 0)) + (IF(F1941="Madrid", 11, 0))))</f>
        <v>#NAME?</v>
      </c>
      <c r="AG1941" s="69"/>
      <c r="AH1941" s="71" t="s">
        <v>164</v>
      </c>
    </row>
    <row r="1942" spans="1:51" ht="16.5" customHeight="1" x14ac:dyDescent="0.3">
      <c r="A1942" s="66" t="s">
        <v>2924</v>
      </c>
      <c r="B1942" s="66" t="s">
        <v>5041</v>
      </c>
      <c r="C1942" s="33">
        <v>1942</v>
      </c>
      <c r="D1942" s="33" t="s">
        <v>5402</v>
      </c>
      <c r="E1942" s="34" t="s">
        <v>5313</v>
      </c>
      <c r="F1942" s="34" t="s">
        <v>18</v>
      </c>
      <c r="G1942" s="57">
        <v>45733</v>
      </c>
      <c r="H1942" s="57">
        <v>45900</v>
      </c>
      <c r="I1942" s="34">
        <f t="shared" si="92"/>
        <v>5</v>
      </c>
      <c r="J1942" s="34">
        <v>35</v>
      </c>
      <c r="K1942" s="36">
        <v>700</v>
      </c>
      <c r="L1942" s="34" t="s">
        <v>17</v>
      </c>
      <c r="M1942" s="39">
        <v>37305</v>
      </c>
      <c r="N1942" s="37">
        <f>(YEAR(TablaMadre[[#This Row],[ALTA]])-YEAR(M1942))</f>
        <v>23</v>
      </c>
      <c r="O1942" s="34" t="s">
        <v>18</v>
      </c>
      <c r="P1942" s="34" t="s">
        <v>19</v>
      </c>
      <c r="Q1942" s="34" t="s">
        <v>849</v>
      </c>
      <c r="R1942" s="34" t="s">
        <v>30</v>
      </c>
      <c r="S1942" s="34" t="s">
        <v>627</v>
      </c>
      <c r="T1942" s="34" t="s">
        <v>806</v>
      </c>
      <c r="U1942" s="34" t="str">
        <f t="shared" si="96"/>
        <v>N/A</v>
      </c>
      <c r="V1942" s="34" t="s">
        <v>182</v>
      </c>
      <c r="W1942" s="34" t="s">
        <v>28</v>
      </c>
      <c r="X1942" s="34" t="s">
        <v>173</v>
      </c>
      <c r="Y1942" s="57"/>
      <c r="Z1942" s="34" t="e">
        <f t="shared" si="93"/>
        <v>#NUM!</v>
      </c>
      <c r="AA1942" s="34"/>
      <c r="AB1942" s="34">
        <v>9</v>
      </c>
      <c r="AC1942" s="34">
        <v>10</v>
      </c>
      <c r="AD1942" s="34"/>
      <c r="AE1942" s="59" t="str">
        <f t="shared" si="94"/>
        <v>NO</v>
      </c>
      <c r="AF1942" s="38" t="e" cm="1">
        <f t="array" aca="1" ref="AF1942" ca="1">MIN(100, MAX(0, (IF(R1942="ESTUDIANTE", 31, 0)) + (IF(I1942&lt;=3, 30, IF(I1942&lt;=6, 20, 0))) +(IF(OR(E1942="413 - Control de Costes y Enlace Construcción", E1942="480 - Secretaría General del Consejo", E1942="132 - Civil y estructuras", E1942="136 - Mecánica", E1942="412 - Planificación", E1942="142 - Compras"), 25, 0)) +(IF(OR(S1942="GRADO ING. MECÁNICA", S1942="GRADO ING. ELÉCTRICA", S1942="GRADO DERECHO", S1942="GRADO ECONOMÍA", S1942="GRADO ING. TECNOLOGÍAS INDUSTRIALES"), 24, 0)) + (IF(AND(K1942&gt;=451, K1942&lt;=700), 23, 0)) + (IF(AND(AB1942&gt;=5, AB1942&lt;=8), 17, 0)) +(IF(_xludf.OR(_xludf.AND(AC1942&gt;=8, AC1942&lt;=10), _xludf.AND(AC1942&gt;=0, AC1942&lt;=5)), 16, 0)) + (IF(F1942="Madrid", 11, 0))))</f>
        <v>#NAME?</v>
      </c>
      <c r="AG1942" s="68"/>
      <c r="AH1942" s="71" t="s">
        <v>164</v>
      </c>
    </row>
    <row r="1943" spans="1:51" s="4" customFormat="1" ht="14.25" customHeight="1" x14ac:dyDescent="0.3">
      <c r="A1943" s="66" t="s">
        <v>3006</v>
      </c>
      <c r="B1943" s="66" t="s">
        <v>5123</v>
      </c>
      <c r="C1943" s="33">
        <v>1938</v>
      </c>
      <c r="D1943" s="33" t="s">
        <v>5393</v>
      </c>
      <c r="E1943" s="34" t="s">
        <v>5246</v>
      </c>
      <c r="F1943" s="34" t="s">
        <v>118</v>
      </c>
      <c r="G1943" s="57">
        <v>45733</v>
      </c>
      <c r="H1943" s="57">
        <v>45820</v>
      </c>
      <c r="I1943" s="34">
        <f t="shared" si="92"/>
        <v>2</v>
      </c>
      <c r="J1943" s="34">
        <v>40</v>
      </c>
      <c r="K1943" s="36">
        <v>0</v>
      </c>
      <c r="L1943" s="34" t="s">
        <v>17</v>
      </c>
      <c r="M1943" s="35">
        <v>37991</v>
      </c>
      <c r="N1943" s="37">
        <f>(YEAR(TablaMadre[[#This Row],[ALTA]])-YEAR(M1943))</f>
        <v>21</v>
      </c>
      <c r="O1943" s="34" t="s">
        <v>118</v>
      </c>
      <c r="P1943" s="34" t="s">
        <v>19</v>
      </c>
      <c r="Q1943" s="34" t="s">
        <v>697</v>
      </c>
      <c r="R1943" s="34" t="s">
        <v>30</v>
      </c>
      <c r="S1943" s="34" t="s">
        <v>26</v>
      </c>
      <c r="T1943" s="34" t="s">
        <v>806</v>
      </c>
      <c r="U1943" s="34" t="str">
        <f t="shared" si="96"/>
        <v>N/A</v>
      </c>
      <c r="V1943" s="34" t="s">
        <v>27</v>
      </c>
      <c r="W1943" s="34" t="s">
        <v>28</v>
      </c>
      <c r="X1943" s="38" t="s">
        <v>173</v>
      </c>
      <c r="Y1943" s="62"/>
      <c r="Z1943" s="38" t="e">
        <f t="shared" si="93"/>
        <v>#NUM!</v>
      </c>
      <c r="AA1943" s="38"/>
      <c r="AB1943" s="34">
        <v>10</v>
      </c>
      <c r="AC1943" s="34">
        <v>8</v>
      </c>
      <c r="AD1943" s="38"/>
      <c r="AE1943" s="59" t="str">
        <f t="shared" si="94"/>
        <v>NO</v>
      </c>
      <c r="AF1943" s="34" t="e" cm="1">
        <f t="array" aca="1" ref="AF1943" ca="1">MIN(100, MAX(0, (IF(R1943="ESTUDIANTE", 31, 0)) + (IF(I1943&lt;=3, 30, IF(I1943&lt;=6, 20, 0))) +(IF(OR(E1943="413 - Control de Costes y Enlace Construcción", E1943="480 - Secretaría General del Consejo", E1943="132 - Civil y estructuras", E1943="136 - Mecánica", E1943="412 - Planificación", E1943="142 - Compras"), 25, 0)) +(IF(OR(S1943="GRADO ING. MECÁNICA", S1943="GRADO ING. ELÉCTRICA", S1943="GRADO DERECHO", S1943="GRADO ECONOMÍA", S1943="GRADO ING. TECNOLOGÍAS INDUSTRIALES"), 24, 0)) + (IF(AND(K1943&gt;=451, K1943&lt;=700), 23, 0)) + (IF(AND(AB1943&gt;=5, AB1943&lt;=8), 17, 0)) +(IF(_xludf.OR(_xludf.AND(AC1943&gt;=8, AC1943&lt;=10), _xludf.AND(AC1943&gt;=0, AC1943&lt;=5)), 16, 0)) + (IF(F1943="Madrid", 11, 0))))</f>
        <v>#NAME?</v>
      </c>
      <c r="AG1943" s="69"/>
      <c r="AH1943" s="71" t="s">
        <v>164</v>
      </c>
    </row>
    <row r="1944" spans="1:51" ht="16.5" customHeight="1" x14ac:dyDescent="0.3">
      <c r="A1944" s="66" t="s">
        <v>3008</v>
      </c>
      <c r="B1944" s="66" t="s">
        <v>5125</v>
      </c>
      <c r="C1944" s="33">
        <v>1937</v>
      </c>
      <c r="D1944" s="33" t="s">
        <v>5394</v>
      </c>
      <c r="E1944" s="34" t="s">
        <v>5317</v>
      </c>
      <c r="F1944" s="34" t="s">
        <v>18</v>
      </c>
      <c r="G1944" s="57">
        <v>45733</v>
      </c>
      <c r="H1944" s="57">
        <v>45811</v>
      </c>
      <c r="I1944" s="34">
        <f t="shared" si="92"/>
        <v>2</v>
      </c>
      <c r="J1944" s="34">
        <v>40</v>
      </c>
      <c r="K1944" s="36">
        <v>0</v>
      </c>
      <c r="L1944" s="34" t="s">
        <v>17</v>
      </c>
      <c r="M1944" s="35">
        <v>35304</v>
      </c>
      <c r="N1944" s="37">
        <f>(YEAR(TablaMadre[[#This Row],[ALTA]])-YEAR(M1944))</f>
        <v>29</v>
      </c>
      <c r="O1944" s="34" t="s">
        <v>18</v>
      </c>
      <c r="P1944" s="34" t="s">
        <v>19</v>
      </c>
      <c r="Q1944" s="34" t="s">
        <v>838</v>
      </c>
      <c r="R1944" s="34" t="s">
        <v>30</v>
      </c>
      <c r="S1944" s="34" t="s">
        <v>26</v>
      </c>
      <c r="T1944" s="34" t="s">
        <v>806</v>
      </c>
      <c r="U1944" s="34" t="str">
        <f t="shared" si="96"/>
        <v>N/A</v>
      </c>
      <c r="V1944" s="34" t="s">
        <v>27</v>
      </c>
      <c r="W1944" s="34" t="s">
        <v>28</v>
      </c>
      <c r="X1944" s="38" t="s">
        <v>173</v>
      </c>
      <c r="Y1944" s="62"/>
      <c r="Z1944" s="38" t="e">
        <f t="shared" si="93"/>
        <v>#NUM!</v>
      </c>
      <c r="AA1944" s="38"/>
      <c r="AB1944" s="34"/>
      <c r="AC1944" s="34">
        <v>9</v>
      </c>
      <c r="AD1944" s="38"/>
      <c r="AE1944" s="59" t="str">
        <f t="shared" si="94"/>
        <v>NO</v>
      </c>
      <c r="AF1944" s="38" t="e" cm="1">
        <f t="array" aca="1" ref="AF1944" ca="1">MIN(100, MAX(0, (IF(R1944="ESTUDIANTE", 31, 0)) + (IF(I1944&lt;=3, 30, IF(I1944&lt;=6, 20, 0))) +(IF(OR(E1944="413 - Control de Costes y Enlace Construcción", E1944="480 - Secretaría General del Consejo", E1944="132 - Civil y estructuras", E1944="136 - Mecánica", E1944="412 - Planificación", E1944="142 - Compras"), 25, 0)) +(IF(OR(S1944="GRADO ING. MECÁNICA", S1944="GRADO ING. ELÉCTRICA", S1944="GRADO DERECHO", S1944="GRADO ECONOMÍA", S1944="GRADO ING. TECNOLOGÍAS INDUSTRIALES"), 24, 0)) + (IF(AND(K1944&gt;=451, K1944&lt;=700), 23, 0)) + (IF(AND(AB1944&gt;=5, AB1944&lt;=8), 17, 0)) +(IF(_xludf.OR(_xludf.AND(AC1944&gt;=8, AC1944&lt;=10), _xludf.AND(AC1944&gt;=0, AC1944&lt;=5)), 16, 0)) + (IF(F1944="Madrid", 11, 0))))</f>
        <v>#NAME?</v>
      </c>
      <c r="AG1944" s="68"/>
      <c r="AH1944" s="71" t="s">
        <v>164</v>
      </c>
    </row>
    <row r="1945" spans="1:51" ht="17.25" customHeight="1" x14ac:dyDescent="0.3">
      <c r="A1945" s="66" t="s">
        <v>2995</v>
      </c>
      <c r="B1945" s="66" t="s">
        <v>5112</v>
      </c>
      <c r="C1945" s="33">
        <v>1945</v>
      </c>
      <c r="D1945" s="33" t="s">
        <v>5403</v>
      </c>
      <c r="E1945" s="34" t="s">
        <v>5317</v>
      </c>
      <c r="F1945" s="34" t="s">
        <v>18</v>
      </c>
      <c r="G1945" s="57">
        <v>45735</v>
      </c>
      <c r="H1945" s="57">
        <v>45821</v>
      </c>
      <c r="I1945" s="34">
        <f t="shared" si="92"/>
        <v>2</v>
      </c>
      <c r="J1945" s="34">
        <v>35</v>
      </c>
      <c r="K1945" s="36">
        <v>0</v>
      </c>
      <c r="L1945" s="34" t="s">
        <v>17</v>
      </c>
      <c r="M1945" s="35">
        <v>38439</v>
      </c>
      <c r="N1945" s="37">
        <f>(YEAR(TablaMadre[[#This Row],[ALTA]])-YEAR(M1945))</f>
        <v>20</v>
      </c>
      <c r="O1945" s="34" t="s">
        <v>18</v>
      </c>
      <c r="P1945" s="34" t="s">
        <v>19</v>
      </c>
      <c r="Q1945" s="34" t="s">
        <v>736</v>
      </c>
      <c r="R1945" s="34" t="s">
        <v>30</v>
      </c>
      <c r="S1945" s="34" t="s">
        <v>26</v>
      </c>
      <c r="T1945" s="34" t="s">
        <v>806</v>
      </c>
      <c r="U1945" s="34" t="str">
        <f t="shared" si="96"/>
        <v>N/A</v>
      </c>
      <c r="V1945" s="34" t="s">
        <v>27</v>
      </c>
      <c r="W1945" s="34" t="s">
        <v>28</v>
      </c>
      <c r="X1945" s="34" t="s">
        <v>173</v>
      </c>
      <c r="Y1945" s="57"/>
      <c r="Z1945" s="34" t="e">
        <f t="shared" si="93"/>
        <v>#NUM!</v>
      </c>
      <c r="AA1945" s="34"/>
      <c r="AB1945" s="34">
        <v>10</v>
      </c>
      <c r="AC1945" s="34">
        <v>9</v>
      </c>
      <c r="AD1945" s="34"/>
      <c r="AE1945" s="59" t="str">
        <f t="shared" si="94"/>
        <v>NO</v>
      </c>
      <c r="AF1945" s="38" t="e" cm="1">
        <f t="array" aca="1" ref="AF1945" ca="1">MIN(100, MAX(0, (IF(R1945="ESTUDIANTE", 31, 0)) + (IF(I1945&lt;=3, 30, IF(I1945&lt;=6, 20, 0))) +(IF(OR(E1945="413 - Control de Costes y Enlace Construcción", E1945="480 - Secretaría General del Consejo", E1945="132 - Civil y estructuras", E1945="136 - Mecánica", E1945="412 - Planificación", E1945="142 - Compras"), 25, 0)) +(IF(OR(S1945="GRADO ING. MECÁNICA", S1945="GRADO ING. ELÉCTRICA", S1945="GRADO DERECHO", S1945="GRADO ECONOMÍA", S1945="GRADO ING. TECNOLOGÍAS INDUSTRIALES"), 24, 0)) + (IF(AND(K1945&gt;=451, K1945&lt;=700), 23, 0)) + (IF(AND(AB1945&gt;=5, AB1945&lt;=8), 17, 0)) +(IF(_xludf.OR(_xludf.AND(AC1945&gt;=8, AC1945&lt;=10), _xludf.AND(AC1945&gt;=0, AC1945&lt;=5)), 16, 0)) + (IF(F1945="Madrid", 11, 0))))</f>
        <v>#NAME?</v>
      </c>
      <c r="AG1945" s="68"/>
      <c r="AH1945" s="71" t="s">
        <v>164</v>
      </c>
    </row>
    <row r="1946" spans="1:51" s="4" customFormat="1" ht="15" customHeight="1" x14ac:dyDescent="0.3">
      <c r="A1946" s="66" t="s">
        <v>2996</v>
      </c>
      <c r="B1946" s="66" t="s">
        <v>5113</v>
      </c>
      <c r="C1946" s="33">
        <v>1944</v>
      </c>
      <c r="D1946" s="33" t="s">
        <v>5404</v>
      </c>
      <c r="E1946" s="34" t="s">
        <v>5317</v>
      </c>
      <c r="F1946" s="34" t="s">
        <v>18</v>
      </c>
      <c r="G1946" s="57">
        <v>45735</v>
      </c>
      <c r="H1946" s="57">
        <v>45821</v>
      </c>
      <c r="I1946" s="34">
        <f t="shared" si="92"/>
        <v>2</v>
      </c>
      <c r="J1946" s="34">
        <v>35</v>
      </c>
      <c r="K1946" s="36">
        <v>0</v>
      </c>
      <c r="L1946" s="34" t="s">
        <v>29</v>
      </c>
      <c r="M1946" s="35">
        <v>38280</v>
      </c>
      <c r="N1946" s="37">
        <f>(YEAR(TablaMadre[[#This Row],[ALTA]])-YEAR(M1946))</f>
        <v>21</v>
      </c>
      <c r="O1946" s="34" t="s">
        <v>18</v>
      </c>
      <c r="P1946" s="34" t="s">
        <v>19</v>
      </c>
      <c r="Q1946" s="34" t="s">
        <v>736</v>
      </c>
      <c r="R1946" s="34" t="s">
        <v>30</v>
      </c>
      <c r="S1946" s="34" t="s">
        <v>26</v>
      </c>
      <c r="T1946" s="34" t="s">
        <v>806</v>
      </c>
      <c r="U1946" s="34" t="str">
        <f t="shared" si="96"/>
        <v>N/A</v>
      </c>
      <c r="V1946" s="34" t="s">
        <v>27</v>
      </c>
      <c r="W1946" s="34" t="s">
        <v>28</v>
      </c>
      <c r="X1946" s="38" t="s">
        <v>173</v>
      </c>
      <c r="Y1946" s="62"/>
      <c r="Z1946" s="38" t="e">
        <f t="shared" si="93"/>
        <v>#NUM!</v>
      </c>
      <c r="AA1946" s="38"/>
      <c r="AB1946" s="34">
        <v>8</v>
      </c>
      <c r="AC1946" s="34">
        <v>9</v>
      </c>
      <c r="AD1946" s="38"/>
      <c r="AE1946" s="59" t="str">
        <f t="shared" si="94"/>
        <v>NO</v>
      </c>
      <c r="AF1946" s="34" t="e" cm="1">
        <f t="array" aca="1" ref="AF1946" ca="1">MIN(100, MAX(0, (IF(R1946="ESTUDIANTE", 31, 0)) + (IF(I1946&lt;=3, 30, IF(I1946&lt;=6, 20, 0))) +(IF(OR(E1946="413 - Control de Costes y Enlace Construcción", E1946="480 - Secretaría General del Consejo", E1946="132 - Civil y estructuras", E1946="136 - Mecánica", E1946="412 - Planificación", E1946="142 - Compras"), 25, 0)) +(IF(OR(S1946="GRADO ING. MECÁNICA", S1946="GRADO ING. ELÉCTRICA", S1946="GRADO DERECHO", S1946="GRADO ECONOMÍA", S1946="GRADO ING. TECNOLOGÍAS INDUSTRIALES"), 24, 0)) + (IF(AND(K1946&gt;=451, K1946&lt;=700), 23, 0)) + (IF(AND(AB1946&gt;=5, AB1946&lt;=8), 17, 0)) +(IF(_xludf.OR(_xludf.AND(AC1946&gt;=8, AC1946&lt;=10), _xludf.AND(AC1946&gt;=0, AC1946&lt;=5)), 16, 0)) + (IF(F1946="Madrid", 11, 0))))</f>
        <v>#NAME?</v>
      </c>
      <c r="AG1946" s="69"/>
      <c r="AH1946" s="71" t="s">
        <v>164</v>
      </c>
    </row>
    <row r="1947" spans="1:51" s="9" customFormat="1" ht="15" customHeight="1" x14ac:dyDescent="0.3">
      <c r="A1947" s="66" t="s">
        <v>2855</v>
      </c>
      <c r="B1947" s="66" t="s">
        <v>4972</v>
      </c>
      <c r="C1947" s="33">
        <v>1946</v>
      </c>
      <c r="D1947" s="33" t="s">
        <v>5405</v>
      </c>
      <c r="E1947" s="34" t="s">
        <v>5246</v>
      </c>
      <c r="F1947" s="34" t="s">
        <v>18</v>
      </c>
      <c r="G1947" s="57">
        <v>45736</v>
      </c>
      <c r="H1947" s="57">
        <v>45814</v>
      </c>
      <c r="I1947" s="34">
        <f t="shared" si="92"/>
        <v>2</v>
      </c>
      <c r="J1947" s="34">
        <v>40</v>
      </c>
      <c r="K1947" s="36">
        <v>0</v>
      </c>
      <c r="L1947" s="34" t="s">
        <v>17</v>
      </c>
      <c r="M1947" s="35">
        <v>35843</v>
      </c>
      <c r="N1947" s="37">
        <f>(YEAR(TablaMadre[[#This Row],[ALTA]])-YEAR(M1947))</f>
        <v>27</v>
      </c>
      <c r="O1947" s="34" t="s">
        <v>191</v>
      </c>
      <c r="P1947" s="34" t="s">
        <v>19</v>
      </c>
      <c r="Q1947" s="34" t="s">
        <v>729</v>
      </c>
      <c r="R1947" s="34" t="s">
        <v>30</v>
      </c>
      <c r="S1947" s="34" t="s">
        <v>26</v>
      </c>
      <c r="T1947" s="34" t="s">
        <v>806</v>
      </c>
      <c r="U1947" s="34" t="str">
        <f t="shared" si="96"/>
        <v>N/A</v>
      </c>
      <c r="V1947" s="34" t="s">
        <v>27</v>
      </c>
      <c r="W1947" s="34" t="s">
        <v>380</v>
      </c>
      <c r="X1947" s="40" t="s">
        <v>164</v>
      </c>
      <c r="Y1947" s="63"/>
      <c r="Z1947" s="63" t="e">
        <f t="shared" si="93"/>
        <v>#NUM!</v>
      </c>
      <c r="AA1947" s="63"/>
      <c r="AB1947" s="34">
        <v>9</v>
      </c>
      <c r="AC1947" s="34">
        <v>7</v>
      </c>
      <c r="AD1947" s="40"/>
      <c r="AE1947" s="59" t="str">
        <f t="shared" si="94"/>
        <v>SÍ</v>
      </c>
      <c r="AF1947" s="40" t="e" cm="1">
        <f t="array" aca="1" ref="AF1947" ca="1">MIN(100, MAX(0, (IF(R1947="ESTUDIANTE", 31, 0)) + (IF(I1947&lt;=3, 30, IF(I1947&lt;=6, 20, 0))) +(IF(OR(E1947="413 - Control de Costes y Enlace Construcción", E1947="480 - Secretaría General del Consejo", E1947="132 - Civil y estructuras", E1947="136 - Mecánica", E1947="412 - Planificación", E1947="142 - Compras"), 25, 0)) +(IF(OR(S1947="GRADO ING. MECÁNICA", S1947="GRADO ING. ELÉCTRICA", S1947="GRADO DERECHO", S1947="GRADO ECONOMÍA", S1947="GRADO ING. TECNOLOGÍAS INDUSTRIALES"), 24, 0)) + (IF(AND(K1947&gt;=451, K1947&lt;=700), 23, 0)) + (IF(AND(AB1947&gt;=5, AB1947&lt;=8), 17, 0)) +(IF(_xludf.OR(_xludf.AND(AC1947&gt;=8, AC1947&lt;=10), _xludf.AND(AC1947&gt;=0, AC1947&lt;=5)), 16, 0)) + (IF(F1947="Madrid", 11, 0))))</f>
        <v>#NAME?</v>
      </c>
      <c r="AG1947" s="70"/>
      <c r="AH1947" s="71" t="s">
        <v>164</v>
      </c>
    </row>
    <row r="1948" spans="1:51" s="4" customFormat="1" ht="15" customHeight="1" x14ac:dyDescent="0.3">
      <c r="A1948" s="66" t="s">
        <v>3003</v>
      </c>
      <c r="B1948" s="66" t="s">
        <v>5120</v>
      </c>
      <c r="C1948" s="33">
        <v>1948</v>
      </c>
      <c r="D1948" s="33" t="s">
        <v>5396</v>
      </c>
      <c r="E1948" s="34" t="s">
        <v>5233</v>
      </c>
      <c r="F1948" s="34" t="s">
        <v>18</v>
      </c>
      <c r="G1948" s="57">
        <v>45736</v>
      </c>
      <c r="H1948" s="57">
        <v>45824</v>
      </c>
      <c r="I1948" s="34">
        <f t="shared" si="92"/>
        <v>2</v>
      </c>
      <c r="J1948" s="34">
        <v>35</v>
      </c>
      <c r="K1948" s="36">
        <v>0</v>
      </c>
      <c r="L1948" s="34" t="s">
        <v>17</v>
      </c>
      <c r="M1948" s="35">
        <v>37360</v>
      </c>
      <c r="N1948" s="37">
        <f>(YEAR(TablaMadre[[#This Row],[ALTA]])-YEAR(M1948))</f>
        <v>23</v>
      </c>
      <c r="O1948" s="34" t="s">
        <v>18</v>
      </c>
      <c r="P1948" s="34" t="s">
        <v>19</v>
      </c>
      <c r="Q1948" s="34" t="s">
        <v>359</v>
      </c>
      <c r="R1948" s="34" t="s">
        <v>30</v>
      </c>
      <c r="S1948" s="34" t="s">
        <v>26</v>
      </c>
      <c r="T1948" s="34" t="s">
        <v>806</v>
      </c>
      <c r="U1948" s="34" t="s">
        <v>347</v>
      </c>
      <c r="V1948" s="34" t="s">
        <v>27</v>
      </c>
      <c r="W1948" s="34" t="s">
        <v>28</v>
      </c>
      <c r="X1948" s="34" t="s">
        <v>173</v>
      </c>
      <c r="Y1948" s="57"/>
      <c r="Z1948" s="34" t="e">
        <f t="shared" si="93"/>
        <v>#NUM!</v>
      </c>
      <c r="AA1948" s="34"/>
      <c r="AB1948" s="34">
        <v>8</v>
      </c>
      <c r="AC1948" s="34">
        <v>9</v>
      </c>
      <c r="AD1948" s="34"/>
      <c r="AE1948" s="59" t="str">
        <f t="shared" si="94"/>
        <v>NO</v>
      </c>
      <c r="AF1948" s="34" t="e" cm="1">
        <f t="array" aca="1" ref="AF1948" ca="1">MIN(100, MAX(0, (IF(R1948="ESTUDIANTE", 31, 0)) + (IF(I1948&lt;=3, 30, IF(I1948&lt;=6, 20, 0))) +(IF(OR(E1948="413 - Control de Costes y Enlace Construcción", E1948="480 - Secretaría General del Consejo", E1948="132 - Civil y estructuras", E1948="136 - Mecánica", E1948="412 - Planificación", E1948="142 - Compras"), 25, 0)) +(IF(OR(S1948="GRADO ING. MECÁNICA", S1948="GRADO ING. ELÉCTRICA", S1948="GRADO DERECHO", S1948="GRADO ECONOMÍA", S1948="GRADO ING. TECNOLOGÍAS INDUSTRIALES"), 24, 0)) + (IF(AND(K1948&gt;=451, K1948&lt;=700), 23, 0)) + (IF(AND(AB1948&gt;=5, AB1948&lt;=8), 17, 0)) +(IF(_xludf.OR(_xludf.AND(AC1948&gt;=8, AC1948&lt;=10), _xludf.AND(AC1948&gt;=0, AC1948&lt;=5)), 16, 0)) + (IF(F1948="Madrid", 11, 0))))</f>
        <v>#NAME?</v>
      </c>
      <c r="AG1948" s="69"/>
      <c r="AH1948" s="71" t="s">
        <v>164</v>
      </c>
    </row>
    <row r="1949" spans="1:51" s="4" customFormat="1" ht="15" customHeight="1" x14ac:dyDescent="0.3">
      <c r="A1949" s="66" t="s">
        <v>3049</v>
      </c>
      <c r="B1949" s="66" t="s">
        <v>5166</v>
      </c>
      <c r="C1949" s="33">
        <v>1947</v>
      </c>
      <c r="D1949" s="33" t="s">
        <v>5397</v>
      </c>
      <c r="E1949" s="34" t="s">
        <v>5222</v>
      </c>
      <c r="F1949" s="34" t="s">
        <v>18</v>
      </c>
      <c r="G1949" s="57">
        <v>45736</v>
      </c>
      <c r="H1949" s="57">
        <v>45814</v>
      </c>
      <c r="I1949" s="34">
        <f t="shared" si="92"/>
        <v>2</v>
      </c>
      <c r="J1949" s="34">
        <v>40</v>
      </c>
      <c r="K1949" s="36">
        <v>0</v>
      </c>
      <c r="L1949" s="34" t="s">
        <v>17</v>
      </c>
      <c r="M1949" s="35">
        <v>37335</v>
      </c>
      <c r="N1949" s="37">
        <f>(YEAR(TablaMadre[[#This Row],[ALTA]])-YEAR(M1949))</f>
        <v>23</v>
      </c>
      <c r="O1949" s="34" t="s">
        <v>18</v>
      </c>
      <c r="P1949" s="34" t="s">
        <v>19</v>
      </c>
      <c r="Q1949" s="34" t="s">
        <v>729</v>
      </c>
      <c r="R1949" s="34" t="s">
        <v>30</v>
      </c>
      <c r="S1949" s="34" t="s">
        <v>26</v>
      </c>
      <c r="T1949" s="34" t="s">
        <v>806</v>
      </c>
      <c r="U1949" s="34" t="str">
        <f>SUBSTITUTE($T1949, "INGUN", "/")</f>
        <v>N/A</v>
      </c>
      <c r="V1949" s="34" t="s">
        <v>27</v>
      </c>
      <c r="W1949" s="34" t="s">
        <v>23</v>
      </c>
      <c r="X1949" s="34" t="s">
        <v>164</v>
      </c>
      <c r="Y1949" s="57"/>
      <c r="Z1949" s="57" t="e">
        <f t="shared" si="93"/>
        <v>#NUM!</v>
      </c>
      <c r="AA1949" s="57"/>
      <c r="AB1949" s="34">
        <v>7</v>
      </c>
      <c r="AC1949" s="34">
        <v>8</v>
      </c>
      <c r="AD1949" s="34"/>
      <c r="AE1949" s="59" t="str">
        <f t="shared" si="94"/>
        <v>NO</v>
      </c>
      <c r="AF1949" s="34" t="e" cm="1">
        <f t="array" aca="1" ref="AF1949" ca="1">MIN(100, MAX(0, (IF(R1949="ESTUDIANTE", 31, 0)) + (IF(I1949&lt;=3, 30, IF(I1949&lt;=6, 20, 0))) +(IF(OR(E1949="413 - Control de Costes y Enlace Construcción", E1949="480 - Secretaría General del Consejo", E1949="132 - Civil y estructuras", E1949="136 - Mecánica", E1949="412 - Planificación", E1949="142 - Compras"), 25, 0)) +(IF(OR(S1949="GRADO ING. MECÁNICA", S1949="GRADO ING. ELÉCTRICA", S1949="GRADO DERECHO", S1949="GRADO ECONOMÍA", S1949="GRADO ING. TECNOLOGÍAS INDUSTRIALES"), 24, 0)) + (IF(AND(K1949&gt;=451, K1949&lt;=700), 23, 0)) + (IF(AND(AB1949&gt;=5, AB1949&lt;=8), 17, 0)) +(IF(_xludf.OR(_xludf.AND(AC1949&gt;=8, AC1949&lt;=10), _xludf.AND(AC1949&gt;=0, AC1949&lt;=5)), 16, 0)) + (IF(F1949="Madrid", 11, 0))))</f>
        <v>#NAME?</v>
      </c>
      <c r="AG1949" s="69"/>
      <c r="AH1949" s="71" t="s">
        <v>164</v>
      </c>
    </row>
    <row r="1950" spans="1:51" s="4" customFormat="1" ht="15" customHeight="1" x14ac:dyDescent="0.3">
      <c r="A1950" s="66" t="s">
        <v>2870</v>
      </c>
      <c r="B1950" s="66" t="s">
        <v>4987</v>
      </c>
      <c r="C1950" s="33">
        <v>1958</v>
      </c>
      <c r="D1950" s="33" t="s">
        <v>5393</v>
      </c>
      <c r="E1950" s="34" t="s">
        <v>5326</v>
      </c>
      <c r="F1950" s="34" t="s">
        <v>18</v>
      </c>
      <c r="G1950" s="57">
        <v>45740</v>
      </c>
      <c r="H1950" s="57">
        <v>45827</v>
      </c>
      <c r="I1950" s="34">
        <f t="shared" si="92"/>
        <v>2</v>
      </c>
      <c r="J1950" s="34">
        <v>35</v>
      </c>
      <c r="K1950" s="36">
        <v>0</v>
      </c>
      <c r="L1950" s="34" t="s">
        <v>29</v>
      </c>
      <c r="M1950" s="35">
        <v>38395</v>
      </c>
      <c r="N1950" s="37">
        <f>(YEAR(TablaMadre[[#This Row],[ALTA]])-YEAR(M1950))</f>
        <v>20</v>
      </c>
      <c r="O1950" s="34" t="s">
        <v>18</v>
      </c>
      <c r="P1950" s="34" t="s">
        <v>19</v>
      </c>
      <c r="Q1950" s="34" t="s">
        <v>734</v>
      </c>
      <c r="R1950" s="34" t="s">
        <v>30</v>
      </c>
      <c r="S1950" s="34" t="s">
        <v>26</v>
      </c>
      <c r="T1950" s="34" t="s">
        <v>806</v>
      </c>
      <c r="U1950" s="34" t="str">
        <f>SUBSTITUTE($T1950, "INGUN", "/")</f>
        <v>N/A</v>
      </c>
      <c r="V1950" s="34" t="s">
        <v>27</v>
      </c>
      <c r="W1950" s="34" t="s">
        <v>380</v>
      </c>
      <c r="X1950" s="34" t="s">
        <v>173</v>
      </c>
      <c r="Y1950" s="57"/>
      <c r="Z1950" s="57" t="e">
        <f t="shared" si="93"/>
        <v>#NUM!</v>
      </c>
      <c r="AA1950" s="57"/>
      <c r="AB1950" s="34">
        <v>9</v>
      </c>
      <c r="AC1950" s="34">
        <v>10</v>
      </c>
      <c r="AD1950" s="34"/>
      <c r="AE1950" s="59" t="str">
        <f t="shared" si="94"/>
        <v>NO</v>
      </c>
      <c r="AF1950" s="34" t="e" cm="1">
        <f t="array" aca="1" ref="AF1950" ca="1">MIN(100, MAX(0, (IF(R1950="ESTUDIANTE", 31, 0)) + (IF(I1950&lt;=3, 30, IF(I1950&lt;=6, 20, 0))) +(IF(OR(E1950="413 - Control de Costes y Enlace Construcción", E1950="480 - Secretaría General del Consejo", E1950="132 - Civil y estructuras", E1950="136 - Mecánica", E1950="412 - Planificación", E1950="142 - Compras"), 25, 0)) +(IF(OR(S1950="GRADO ING. MECÁNICA", S1950="GRADO ING. ELÉCTRICA", S1950="GRADO DERECHO", S1950="GRADO ECONOMÍA", S1950="GRADO ING. TECNOLOGÍAS INDUSTRIALES"), 24, 0)) + (IF(AND(K1950&gt;=451, K1950&lt;=700), 23, 0)) + (IF(AND(AB1950&gt;=5, AB1950&lt;=8), 17, 0)) +(IF(_xludf.OR(_xludf.AND(AC1950&gt;=8, AC1950&lt;=10), _xludf.AND(AC1950&gt;=0, AC1950&lt;=5)), 16, 0)) + (IF(F1950="Madrid", 11, 0))))</f>
        <v>#NAME?</v>
      </c>
      <c r="AG1950" s="69"/>
      <c r="AH1950" s="71" t="s">
        <v>164</v>
      </c>
    </row>
    <row r="1951" spans="1:51" s="6" customFormat="1" ht="15" customHeight="1" x14ac:dyDescent="0.3">
      <c r="A1951" s="66" t="s">
        <v>2987</v>
      </c>
      <c r="B1951" s="66" t="s">
        <v>5104</v>
      </c>
      <c r="C1951" s="33">
        <v>1950</v>
      </c>
      <c r="D1951" s="33" t="s">
        <v>5394</v>
      </c>
      <c r="E1951" s="34" t="s">
        <v>5299</v>
      </c>
      <c r="F1951" s="34" t="s">
        <v>18</v>
      </c>
      <c r="G1951" s="57">
        <v>45740</v>
      </c>
      <c r="H1951" s="57">
        <v>45817</v>
      </c>
      <c r="I1951" s="34">
        <f t="shared" si="92"/>
        <v>2</v>
      </c>
      <c r="J1951" s="34">
        <v>40</v>
      </c>
      <c r="K1951" s="36">
        <v>0</v>
      </c>
      <c r="L1951" s="34" t="s">
        <v>17</v>
      </c>
      <c r="M1951" s="35">
        <v>37664</v>
      </c>
      <c r="N1951" s="37">
        <f>(YEAR(TablaMadre[[#This Row],[ALTA]])-YEAR(M1951))</f>
        <v>22</v>
      </c>
      <c r="O1951" s="34" t="s">
        <v>18</v>
      </c>
      <c r="P1951" s="34" t="s">
        <v>19</v>
      </c>
      <c r="Q1951" s="34" t="s">
        <v>839</v>
      </c>
      <c r="R1951" s="34" t="s">
        <v>30</v>
      </c>
      <c r="S1951" s="34" t="s">
        <v>26</v>
      </c>
      <c r="T1951" s="34" t="s">
        <v>806</v>
      </c>
      <c r="U1951" s="34" t="str">
        <f>SUBSTITUTE($T1951, "INGUN", "/")</f>
        <v>N/A</v>
      </c>
      <c r="V1951" s="34" t="s">
        <v>27</v>
      </c>
      <c r="W1951" s="34" t="s">
        <v>28</v>
      </c>
      <c r="X1951" s="38" t="s">
        <v>173</v>
      </c>
      <c r="Y1951" s="62"/>
      <c r="Z1951" s="38" t="e">
        <f t="shared" si="93"/>
        <v>#NUM!</v>
      </c>
      <c r="AA1951" s="38"/>
      <c r="AB1951" s="34">
        <v>10</v>
      </c>
      <c r="AC1951" s="34">
        <v>8</v>
      </c>
      <c r="AD1951" s="38"/>
      <c r="AE1951" s="59" t="str">
        <f t="shared" si="94"/>
        <v>NO</v>
      </c>
      <c r="AF1951" s="38" t="e" cm="1">
        <f t="array" aca="1" ref="AF1951" ca="1">MIN(100, MAX(0, (IF(R1951="ESTUDIANTE", 31, 0)) + (IF(I1951&lt;=3, 30, IF(I1951&lt;=6, 20, 0))) +(IF(OR(E1951="413 - Control de Costes y Enlace Construcción", E1951="480 - Secretaría General del Consejo", E1951="132 - Civil y estructuras", E1951="136 - Mecánica", E1951="412 - Planificación", E1951="142 - Compras"), 25, 0)) +(IF(OR(S1951="GRADO ING. MECÁNICA", S1951="GRADO ING. ELÉCTRICA", S1951="GRADO DERECHO", S1951="GRADO ECONOMÍA", S1951="GRADO ING. TECNOLOGÍAS INDUSTRIALES"), 24, 0)) + (IF(AND(K1951&gt;=451, K1951&lt;=700), 23, 0)) + (IF(AND(AB1951&gt;=5, AB1951&lt;=8), 17, 0)) +(IF(_xludf.OR(_xludf.AND(AC1951&gt;=8, AC1951&lt;=10), _xludf.AND(AC1951&gt;=0, AC1951&lt;=5)), 16, 0)) + (IF(F1951="Madrid", 11, 0))))</f>
        <v>#NAME?</v>
      </c>
      <c r="AG1951" s="68"/>
      <c r="AH1951" s="71" t="s">
        <v>164</v>
      </c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</row>
    <row r="1952" spans="1:51" s="4" customFormat="1" ht="15" customHeight="1" x14ac:dyDescent="0.3">
      <c r="A1952" s="66" t="s">
        <v>2988</v>
      </c>
      <c r="B1952" s="66" t="s">
        <v>5105</v>
      </c>
      <c r="C1952" s="33">
        <v>1951</v>
      </c>
      <c r="D1952" s="33" t="s">
        <v>5395</v>
      </c>
      <c r="E1952" s="34" t="s">
        <v>5252</v>
      </c>
      <c r="F1952" s="34" t="s">
        <v>18</v>
      </c>
      <c r="G1952" s="57">
        <v>45740</v>
      </c>
      <c r="H1952" s="57">
        <v>45818</v>
      </c>
      <c r="I1952" s="34">
        <f t="shared" si="92"/>
        <v>2</v>
      </c>
      <c r="J1952" s="34">
        <v>40</v>
      </c>
      <c r="K1952" s="36">
        <v>0</v>
      </c>
      <c r="L1952" s="34" t="s">
        <v>29</v>
      </c>
      <c r="M1952" s="35">
        <v>33983</v>
      </c>
      <c r="N1952" s="37">
        <f>(YEAR(TablaMadre[[#This Row],[ALTA]])-YEAR(M1952))</f>
        <v>32</v>
      </c>
      <c r="O1952" s="34" t="s">
        <v>197</v>
      </c>
      <c r="P1952" s="34" t="s">
        <v>19</v>
      </c>
      <c r="Q1952" s="34" t="s">
        <v>359</v>
      </c>
      <c r="R1952" s="34" t="s">
        <v>30</v>
      </c>
      <c r="S1952" s="34" t="s">
        <v>26</v>
      </c>
      <c r="T1952" s="34" t="s">
        <v>806</v>
      </c>
      <c r="U1952" s="34" t="str">
        <f>SUBSTITUTE($T1952, "INGUN", "/")</f>
        <v>N/A</v>
      </c>
      <c r="V1952" s="34" t="s">
        <v>27</v>
      </c>
      <c r="W1952" s="34" t="s">
        <v>28</v>
      </c>
      <c r="X1952" s="34" t="s">
        <v>173</v>
      </c>
      <c r="Y1952" s="57"/>
      <c r="Z1952" s="34" t="e">
        <f t="shared" si="93"/>
        <v>#NUM!</v>
      </c>
      <c r="AA1952" s="34"/>
      <c r="AB1952" s="34">
        <v>10</v>
      </c>
      <c r="AC1952" s="34">
        <v>9</v>
      </c>
      <c r="AD1952" s="34"/>
      <c r="AE1952" s="59" t="str">
        <f t="shared" si="94"/>
        <v>SÍ</v>
      </c>
      <c r="AF1952" s="34" t="e" cm="1">
        <f t="array" aca="1" ref="AF1952" ca="1">MIN(100, MAX(0, (IF(R1952="ESTUDIANTE", 31, 0)) + (IF(I1952&lt;=3, 30, IF(I1952&lt;=6, 20, 0))) +(IF(OR(E1952="413 - Control de Costes y Enlace Construcción", E1952="480 - Secretaría General del Consejo", E1952="132 - Civil y estructuras", E1952="136 - Mecánica", E1952="412 - Planificación", E1952="142 - Compras"), 25, 0)) +(IF(OR(S1952="GRADO ING. MECÁNICA", S1952="GRADO ING. ELÉCTRICA", S1952="GRADO DERECHO", S1952="GRADO ECONOMÍA", S1952="GRADO ING. TECNOLOGÍAS INDUSTRIALES"), 24, 0)) + (IF(AND(K1952&gt;=451, K1952&lt;=700), 23, 0)) + (IF(AND(AB1952&gt;=5, AB1952&lt;=8), 17, 0)) +(IF(_xludf.OR(_xludf.AND(AC1952&gt;=8, AC1952&lt;=10), _xludf.AND(AC1952&gt;=0, AC1952&lt;=5)), 16, 0)) + (IF(F1952="Madrid", 11, 0))))</f>
        <v>#NAME?</v>
      </c>
      <c r="AG1952" s="69"/>
      <c r="AH1952" s="71" t="s">
        <v>164</v>
      </c>
    </row>
    <row r="1953" spans="1:51" s="4" customFormat="1" ht="15" customHeight="1" x14ac:dyDescent="0.3">
      <c r="A1953" s="66" t="s">
        <v>2989</v>
      </c>
      <c r="B1953" s="66" t="s">
        <v>5106</v>
      </c>
      <c r="C1953" s="33">
        <v>1952</v>
      </c>
      <c r="D1953" s="33" t="s">
        <v>5396</v>
      </c>
      <c r="E1953" s="34" t="s">
        <v>5252</v>
      </c>
      <c r="F1953" s="34" t="s">
        <v>18</v>
      </c>
      <c r="G1953" s="57">
        <v>45740</v>
      </c>
      <c r="H1953" s="57">
        <v>45818</v>
      </c>
      <c r="I1953" s="34">
        <f t="shared" si="92"/>
        <v>2</v>
      </c>
      <c r="J1953" s="34">
        <v>40</v>
      </c>
      <c r="K1953" s="36">
        <v>0</v>
      </c>
      <c r="L1953" s="34" t="s">
        <v>17</v>
      </c>
      <c r="M1953" s="35">
        <v>37689</v>
      </c>
      <c r="N1953" s="37">
        <f>(YEAR(TablaMadre[[#This Row],[ALTA]])-YEAR(M1953))</f>
        <v>22</v>
      </c>
      <c r="O1953" s="34" t="s">
        <v>18</v>
      </c>
      <c r="P1953" s="34" t="s">
        <v>19</v>
      </c>
      <c r="Q1953" s="34" t="s">
        <v>359</v>
      </c>
      <c r="R1953" s="34" t="s">
        <v>30</v>
      </c>
      <c r="S1953" s="34" t="s">
        <v>26</v>
      </c>
      <c r="T1953" s="34" t="s">
        <v>806</v>
      </c>
      <c r="U1953" s="34" t="s">
        <v>347</v>
      </c>
      <c r="V1953" s="34" t="s">
        <v>27</v>
      </c>
      <c r="W1953" s="34" t="s">
        <v>28</v>
      </c>
      <c r="X1953" s="34" t="s">
        <v>173</v>
      </c>
      <c r="Y1953" s="57"/>
      <c r="Z1953" s="34" t="e">
        <f t="shared" si="93"/>
        <v>#NUM!</v>
      </c>
      <c r="AA1953" s="34"/>
      <c r="AB1953" s="34">
        <v>10</v>
      </c>
      <c r="AC1953" s="34">
        <v>9</v>
      </c>
      <c r="AD1953" s="34"/>
      <c r="AE1953" s="59" t="str">
        <f t="shared" si="94"/>
        <v>NO</v>
      </c>
      <c r="AF1953" s="34" t="e" cm="1">
        <f t="array" aca="1" ref="AF1953" ca="1">MIN(100, MAX(0, (IF(R1953="ESTUDIANTE", 31, 0)) + (IF(I1953&lt;=3, 30, IF(I1953&lt;=6, 20, 0))) +(IF(OR(E1953="413 - Control de Costes y Enlace Construcción", E1953="480 - Secretaría General del Consejo", E1953="132 - Civil y estructuras", E1953="136 - Mecánica", E1953="412 - Planificación", E1953="142 - Compras"), 25, 0)) +(IF(OR(S1953="GRADO ING. MECÁNICA", S1953="GRADO ING. ELÉCTRICA", S1953="GRADO DERECHO", S1953="GRADO ECONOMÍA", S1953="GRADO ING. TECNOLOGÍAS INDUSTRIALES"), 24, 0)) + (IF(AND(K1953&gt;=451, K1953&lt;=700), 23, 0)) + (IF(AND(AB1953&gt;=5, AB1953&lt;=8), 17, 0)) +(IF(_xludf.OR(_xludf.AND(AC1953&gt;=8, AC1953&lt;=10), _xludf.AND(AC1953&gt;=0, AC1953&lt;=5)), 16, 0)) + (IF(F1953="Madrid", 11, 0))))</f>
        <v>#NAME?</v>
      </c>
      <c r="AG1953" s="69"/>
      <c r="AH1953" s="71" t="s">
        <v>164</v>
      </c>
    </row>
    <row r="1954" spans="1:51" s="4" customFormat="1" ht="15" customHeight="1" x14ac:dyDescent="0.3">
      <c r="A1954" s="66" t="s">
        <v>2990</v>
      </c>
      <c r="B1954" s="66" t="s">
        <v>5107</v>
      </c>
      <c r="C1954" s="33">
        <v>1956</v>
      </c>
      <c r="D1954" s="33" t="s">
        <v>5397</v>
      </c>
      <c r="E1954" s="34" t="s">
        <v>5306</v>
      </c>
      <c r="F1954" s="34" t="s">
        <v>18</v>
      </c>
      <c r="G1954" s="57">
        <v>45740</v>
      </c>
      <c r="H1954" s="57">
        <v>45818</v>
      </c>
      <c r="I1954" s="34">
        <f t="shared" si="92"/>
        <v>2</v>
      </c>
      <c r="J1954" s="34">
        <v>40</v>
      </c>
      <c r="K1954" s="36">
        <v>0</v>
      </c>
      <c r="L1954" s="34" t="s">
        <v>17</v>
      </c>
      <c r="M1954" s="35">
        <v>37814</v>
      </c>
      <c r="N1954" s="37">
        <f>(YEAR(TablaMadre[[#This Row],[ALTA]])-YEAR(M1954))</f>
        <v>22</v>
      </c>
      <c r="O1954" s="34" t="s">
        <v>18</v>
      </c>
      <c r="P1954" s="34" t="s">
        <v>19</v>
      </c>
      <c r="Q1954" s="34" t="s">
        <v>359</v>
      </c>
      <c r="R1954" s="34" t="s">
        <v>30</v>
      </c>
      <c r="S1954" s="34" t="s">
        <v>26</v>
      </c>
      <c r="T1954" s="34" t="s">
        <v>806</v>
      </c>
      <c r="U1954" s="34" t="s">
        <v>347</v>
      </c>
      <c r="V1954" s="34" t="s">
        <v>27</v>
      </c>
      <c r="W1954" s="34" t="s">
        <v>28</v>
      </c>
      <c r="X1954" s="38" t="s">
        <v>173</v>
      </c>
      <c r="Y1954" s="62"/>
      <c r="Z1954" s="38" t="e">
        <f t="shared" si="93"/>
        <v>#NUM!</v>
      </c>
      <c r="AA1954" s="38"/>
      <c r="AB1954" s="34">
        <v>9</v>
      </c>
      <c r="AC1954" s="34">
        <v>9</v>
      </c>
      <c r="AD1954" s="38"/>
      <c r="AE1954" s="59" t="str">
        <f t="shared" si="94"/>
        <v>NO</v>
      </c>
      <c r="AF1954" s="34" t="e" cm="1">
        <f t="array" aca="1" ref="AF1954" ca="1">MIN(100, MAX(0, (IF(R1954="ESTUDIANTE", 31, 0)) + (IF(I1954&lt;=3, 30, IF(I1954&lt;=6, 20, 0))) +(IF(OR(E1954="413 - Control de Costes y Enlace Construcción", E1954="480 - Secretaría General del Consejo", E1954="132 - Civil y estructuras", E1954="136 - Mecánica", E1954="412 - Planificación", E1954="142 - Compras"), 25, 0)) +(IF(OR(S1954="GRADO ING. MECÁNICA", S1954="GRADO ING. ELÉCTRICA", S1954="GRADO DERECHO", S1954="GRADO ECONOMÍA", S1954="GRADO ING. TECNOLOGÍAS INDUSTRIALES"), 24, 0)) + (IF(AND(K1954&gt;=451, K1954&lt;=700), 23, 0)) + (IF(AND(AB1954&gt;=5, AB1954&lt;=8), 17, 0)) +(IF(_xludf.OR(_xludf.AND(AC1954&gt;=8, AC1954&lt;=10), _xludf.AND(AC1954&gt;=0, AC1954&lt;=5)), 16, 0)) + (IF(F1954="Madrid", 11, 0))))</f>
        <v>#NAME?</v>
      </c>
      <c r="AG1954" s="69"/>
      <c r="AH1954" s="71" t="s">
        <v>164</v>
      </c>
    </row>
    <row r="1955" spans="1:51" ht="15" customHeight="1" x14ac:dyDescent="0.3">
      <c r="A1955" s="66" t="s">
        <v>2991</v>
      </c>
      <c r="B1955" s="66" t="s">
        <v>5108</v>
      </c>
      <c r="C1955" s="33">
        <v>1957</v>
      </c>
      <c r="D1955" s="33" t="s">
        <v>5398</v>
      </c>
      <c r="E1955" s="34" t="s">
        <v>5322</v>
      </c>
      <c r="F1955" s="34" t="s">
        <v>18</v>
      </c>
      <c r="G1955" s="57">
        <v>45740</v>
      </c>
      <c r="H1955" s="57">
        <v>45820</v>
      </c>
      <c r="I1955" s="34">
        <f t="shared" si="92"/>
        <v>2</v>
      </c>
      <c r="J1955" s="34">
        <v>40</v>
      </c>
      <c r="K1955" s="36">
        <v>0</v>
      </c>
      <c r="L1955" s="34" t="s">
        <v>29</v>
      </c>
      <c r="M1955" s="35">
        <v>35556</v>
      </c>
      <c r="N1955" s="37">
        <f>(YEAR(TablaMadre[[#This Row],[ALTA]])-YEAR(M1955))</f>
        <v>28</v>
      </c>
      <c r="O1955" s="34" t="s">
        <v>153</v>
      </c>
      <c r="P1955" s="34" t="s">
        <v>19</v>
      </c>
      <c r="Q1955" s="34" t="s">
        <v>675</v>
      </c>
      <c r="R1955" s="34" t="s">
        <v>30</v>
      </c>
      <c r="S1955" s="34" t="s">
        <v>26</v>
      </c>
      <c r="T1955" s="34" t="s">
        <v>806</v>
      </c>
      <c r="U1955" s="34" t="str">
        <f>SUBSTITUTE($T1955, "INGUN", "/")</f>
        <v>N/A</v>
      </c>
      <c r="V1955" s="34" t="s">
        <v>27</v>
      </c>
      <c r="W1955" s="34" t="s">
        <v>28</v>
      </c>
      <c r="X1955" s="34" t="s">
        <v>173</v>
      </c>
      <c r="Y1955" s="57"/>
      <c r="Z1955" s="34" t="e">
        <f t="shared" si="93"/>
        <v>#NUM!</v>
      </c>
      <c r="AA1955" s="34"/>
      <c r="AB1955" s="34">
        <v>10</v>
      </c>
      <c r="AC1955" s="34">
        <v>9</v>
      </c>
      <c r="AD1955" s="34"/>
      <c r="AE1955" s="59" t="str">
        <f t="shared" si="94"/>
        <v>SÍ</v>
      </c>
      <c r="AF1955" s="38" t="e" cm="1">
        <f t="array" aca="1" ref="AF1955" ca="1">MIN(100, MAX(0, (IF(R1955="ESTUDIANTE", 31, 0)) + (IF(I1955&lt;=3, 30, IF(I1955&lt;=6, 20, 0))) +(IF(OR(E1955="413 - Control de Costes y Enlace Construcción", E1955="480 - Secretaría General del Consejo", E1955="132 - Civil y estructuras", E1955="136 - Mecánica", E1955="412 - Planificación", E1955="142 - Compras"), 25, 0)) +(IF(OR(S1955="GRADO ING. MECÁNICA", S1955="GRADO ING. ELÉCTRICA", S1955="GRADO DERECHO", S1955="GRADO ECONOMÍA", S1955="GRADO ING. TECNOLOGÍAS INDUSTRIALES"), 24, 0)) + (IF(AND(K1955&gt;=451, K1955&lt;=700), 23, 0)) + (IF(AND(AB1955&gt;=5, AB1955&lt;=8), 17, 0)) +(IF(_xludf.OR(_xludf.AND(AC1955&gt;=8, AC1955&lt;=10), _xludf.AND(AC1955&gt;=0, AC1955&lt;=5)), 16, 0)) + (IF(F1955="Madrid", 11, 0))))</f>
        <v>#NAME?</v>
      </c>
      <c r="AG1955" s="68"/>
      <c r="AH1955" s="71" t="s">
        <v>164</v>
      </c>
    </row>
    <row r="1956" spans="1:51" s="4" customFormat="1" ht="15" customHeight="1" x14ac:dyDescent="0.3">
      <c r="A1956" s="66" t="s">
        <v>3050</v>
      </c>
      <c r="B1956" s="66" t="s">
        <v>5167</v>
      </c>
      <c r="C1956" s="33">
        <v>1949</v>
      </c>
      <c r="D1956" s="33" t="s">
        <v>5399</v>
      </c>
      <c r="E1956" s="34" t="s">
        <v>5236</v>
      </c>
      <c r="F1956" s="34" t="s">
        <v>18</v>
      </c>
      <c r="G1956" s="57">
        <v>45740</v>
      </c>
      <c r="H1956" s="57">
        <v>45744</v>
      </c>
      <c r="I1956" s="34">
        <f t="shared" si="92"/>
        <v>0</v>
      </c>
      <c r="J1956" s="34">
        <v>35</v>
      </c>
      <c r="K1956" s="36">
        <v>0</v>
      </c>
      <c r="L1956" s="34" t="s">
        <v>17</v>
      </c>
      <c r="M1956" s="35">
        <v>34298</v>
      </c>
      <c r="N1956" s="37">
        <f>(YEAR(TablaMadre[[#This Row],[ALTA]])-YEAR(M1956))</f>
        <v>32</v>
      </c>
      <c r="O1956" s="34" t="s">
        <v>18</v>
      </c>
      <c r="P1956" s="34" t="s">
        <v>19</v>
      </c>
      <c r="Q1956" s="34" t="s">
        <v>474</v>
      </c>
      <c r="R1956" s="34" t="s">
        <v>30</v>
      </c>
      <c r="S1956" s="34" t="s">
        <v>26</v>
      </c>
      <c r="T1956" s="34" t="s">
        <v>806</v>
      </c>
      <c r="U1956" s="34" t="str">
        <f>SUBSTITUTE($T1956, "INGUN", "/")</f>
        <v>N/A</v>
      </c>
      <c r="V1956" s="34" t="s">
        <v>27</v>
      </c>
      <c r="W1956" s="34" t="s">
        <v>181</v>
      </c>
      <c r="X1956" s="34" t="s">
        <v>164</v>
      </c>
      <c r="Y1956" s="57"/>
      <c r="Z1956" s="57" t="e">
        <f t="shared" si="93"/>
        <v>#NUM!</v>
      </c>
      <c r="AA1956" s="57"/>
      <c r="AB1956" s="34"/>
      <c r="AC1956" s="34"/>
      <c r="AD1956" s="34"/>
      <c r="AE1956" s="59" t="str">
        <f t="shared" si="94"/>
        <v>NO</v>
      </c>
      <c r="AF1956" s="34" t="e" cm="1">
        <f t="array" aca="1" ref="AF1956" ca="1">MIN(100, MAX(0, (IF(R1956="ESTUDIANTE", 31, 0)) + (IF(I1956&lt;=3, 30, IF(I1956&lt;=6, 20, 0))) +(IF(OR(E1956="413 - Control de Costes y Enlace Construcción", E1956="480 - Secretaría General del Consejo", E1956="132 - Civil y estructuras", E1956="136 - Mecánica", E1956="412 - Planificación", E1956="142 - Compras"), 25, 0)) +(IF(OR(S1956="GRADO ING. MECÁNICA", S1956="GRADO ING. ELÉCTRICA", S1956="GRADO DERECHO", S1956="GRADO ECONOMÍA", S1956="GRADO ING. TECNOLOGÍAS INDUSTRIALES"), 24, 0)) + (IF(AND(K1956&gt;=451, K1956&lt;=700), 23, 0)) + (IF(AND(AB1956&gt;=5, AB1956&lt;=8), 17, 0)) +(IF(_xludf.OR(_xludf.AND(AC1956&gt;=8, AC1956&lt;=10), _xludf.AND(AC1956&gt;=0, AC1956&lt;=5)), 16, 0)) + (IF(F1956="Madrid", 11, 0))))</f>
        <v>#NAME?</v>
      </c>
      <c r="AG1956" s="69"/>
      <c r="AH1956" s="71" t="s">
        <v>164</v>
      </c>
      <c r="AS1956" s="7"/>
      <c r="AT1956" s="7"/>
      <c r="AU1956" s="7"/>
      <c r="AV1956" s="7"/>
      <c r="AW1956" s="7"/>
      <c r="AX1956" s="7"/>
      <c r="AY1956" s="7"/>
    </row>
    <row r="1957" spans="1:51" ht="15" customHeight="1" x14ac:dyDescent="0.3">
      <c r="A1957" s="66" t="s">
        <v>3051</v>
      </c>
      <c r="B1957" s="66" t="s">
        <v>5168</v>
      </c>
      <c r="C1957" s="33">
        <v>1953</v>
      </c>
      <c r="D1957" s="33" t="s">
        <v>5400</v>
      </c>
      <c r="E1957" s="34" t="s">
        <v>5285</v>
      </c>
      <c r="F1957" s="34" t="s">
        <v>18</v>
      </c>
      <c r="G1957" s="57">
        <v>45740</v>
      </c>
      <c r="H1957" s="57">
        <v>45818</v>
      </c>
      <c r="I1957" s="34">
        <f t="shared" si="92"/>
        <v>2</v>
      </c>
      <c r="J1957" s="34">
        <v>40</v>
      </c>
      <c r="K1957" s="36">
        <v>0</v>
      </c>
      <c r="L1957" s="34" t="s">
        <v>29</v>
      </c>
      <c r="M1957" s="35">
        <v>38262</v>
      </c>
      <c r="N1957" s="37">
        <f>(YEAR(TablaMadre[[#This Row],[ALTA]])-YEAR(M1957))</f>
        <v>21</v>
      </c>
      <c r="O1957" s="34" t="s">
        <v>575</v>
      </c>
      <c r="P1957" s="34" t="s">
        <v>575</v>
      </c>
      <c r="Q1957" s="34" t="s">
        <v>847</v>
      </c>
      <c r="R1957" s="34" t="s">
        <v>30</v>
      </c>
      <c r="S1957" s="34" t="s">
        <v>26</v>
      </c>
      <c r="T1957" s="34" t="s">
        <v>806</v>
      </c>
      <c r="U1957" s="34" t="str">
        <f>SUBSTITUTE($T1957, "INGUN", "/")</f>
        <v>N/A</v>
      </c>
      <c r="V1957" s="34" t="s">
        <v>27</v>
      </c>
      <c r="W1957" s="34" t="s">
        <v>23</v>
      </c>
      <c r="X1957" s="34" t="s">
        <v>164</v>
      </c>
      <c r="Y1957" s="57"/>
      <c r="Z1957" s="57" t="e">
        <f t="shared" si="93"/>
        <v>#NUM!</v>
      </c>
      <c r="AA1957" s="57"/>
      <c r="AB1957" s="34"/>
      <c r="AC1957" s="34">
        <v>8</v>
      </c>
      <c r="AD1957" s="34"/>
      <c r="AE1957" s="59" t="str">
        <f t="shared" si="94"/>
        <v>SÍ</v>
      </c>
      <c r="AF1957" s="38" t="e" cm="1">
        <f t="array" aca="1" ref="AF1957" ca="1">MIN(100, MAX(0, (IF(R1957="ESTUDIANTE", 31, 0)) + (IF(I1957&lt;=3, 30, IF(I1957&lt;=6, 20, 0))) +(IF(OR(E1957="413 - Control de Costes y Enlace Construcción", E1957="480 - Secretaría General del Consejo", E1957="132 - Civil y estructuras", E1957="136 - Mecánica", E1957="412 - Planificación", E1957="142 - Compras"), 25, 0)) +(IF(OR(S1957="GRADO ING. MECÁNICA", S1957="GRADO ING. ELÉCTRICA", S1957="GRADO DERECHO", S1957="GRADO ECONOMÍA", S1957="GRADO ING. TECNOLOGÍAS INDUSTRIALES"), 24, 0)) + (IF(AND(K1957&gt;=451, K1957&lt;=700), 23, 0)) + (IF(AND(AB1957&gt;=5, AB1957&lt;=8), 17, 0)) +(IF(_xludf.OR(_xludf.AND(AC1957&gt;=8, AC1957&lt;=10), _xludf.AND(AC1957&gt;=0, AC1957&lt;=5)), 16, 0)) + (IF(F1957="Madrid", 11, 0))))</f>
        <v>#NAME?</v>
      </c>
      <c r="AG1957" s="68"/>
      <c r="AH1957" s="71" t="s">
        <v>164</v>
      </c>
    </row>
    <row r="1958" spans="1:51" s="4" customFormat="1" ht="15" customHeight="1" x14ac:dyDescent="0.3">
      <c r="A1958" s="66" t="s">
        <v>3052</v>
      </c>
      <c r="B1958" s="66" t="s">
        <v>5169</v>
      </c>
      <c r="C1958" s="33">
        <v>1954</v>
      </c>
      <c r="D1958" s="33" t="s">
        <v>5401</v>
      </c>
      <c r="E1958" s="34" t="s">
        <v>5285</v>
      </c>
      <c r="F1958" s="34" t="s">
        <v>18</v>
      </c>
      <c r="G1958" s="57">
        <v>45740</v>
      </c>
      <c r="H1958" s="57">
        <v>45818</v>
      </c>
      <c r="I1958" s="34">
        <f t="shared" si="92"/>
        <v>2</v>
      </c>
      <c r="J1958" s="34">
        <v>40</v>
      </c>
      <c r="K1958" s="36">
        <v>0</v>
      </c>
      <c r="L1958" s="34" t="s">
        <v>29</v>
      </c>
      <c r="M1958" s="35">
        <v>38262</v>
      </c>
      <c r="N1958" s="37">
        <f>(YEAR(TablaMadre[[#This Row],[ALTA]])-YEAR(M1958))</f>
        <v>21</v>
      </c>
      <c r="O1958" s="34" t="s">
        <v>575</v>
      </c>
      <c r="P1958" s="34" t="s">
        <v>575</v>
      </c>
      <c r="Q1958" s="34" t="s">
        <v>847</v>
      </c>
      <c r="R1958" s="34" t="s">
        <v>30</v>
      </c>
      <c r="S1958" s="34" t="s">
        <v>26</v>
      </c>
      <c r="T1958" s="34" t="s">
        <v>806</v>
      </c>
      <c r="U1958" s="34" t="str">
        <f>SUBSTITUTE($T1958, "INGUN", "/")</f>
        <v>N/A</v>
      </c>
      <c r="V1958" s="34" t="s">
        <v>27</v>
      </c>
      <c r="W1958" s="34" t="s">
        <v>23</v>
      </c>
      <c r="X1958" s="38" t="s">
        <v>164</v>
      </c>
      <c r="Y1958" s="62"/>
      <c r="Z1958" s="62" t="e">
        <f t="shared" si="93"/>
        <v>#NUM!</v>
      </c>
      <c r="AA1958" s="62"/>
      <c r="AB1958" s="34"/>
      <c r="AC1958" s="34">
        <v>8</v>
      </c>
      <c r="AD1958" s="38"/>
      <c r="AE1958" s="59" t="str">
        <f t="shared" si="94"/>
        <v>SÍ</v>
      </c>
      <c r="AF1958" s="34" t="e" cm="1">
        <f t="array" aca="1" ref="AF1958" ca="1">MIN(100, MAX(0, (IF(R1958="ESTUDIANTE", 31, 0)) + (IF(I1958&lt;=3, 30, IF(I1958&lt;=6, 20, 0))) +(IF(OR(E1958="413 - Control de Costes y Enlace Construcción", E1958="480 - Secretaría General del Consejo", E1958="132 - Civil y estructuras", E1958="136 - Mecánica", E1958="412 - Planificación", E1958="142 - Compras"), 25, 0)) +(IF(OR(S1958="GRADO ING. MECÁNICA", S1958="GRADO ING. ELÉCTRICA", S1958="GRADO DERECHO", S1958="GRADO ECONOMÍA", S1958="GRADO ING. TECNOLOGÍAS INDUSTRIALES"), 24, 0)) + (IF(AND(K1958&gt;=451, K1958&lt;=700), 23, 0)) + (IF(AND(AB1958&gt;=5, AB1958&lt;=8), 17, 0)) +(IF(_xludf.OR(_xludf.AND(AC1958&gt;=8, AC1958&lt;=10), _xludf.AND(AC1958&gt;=0, AC1958&lt;=5)), 16, 0)) + (IF(F1958="Madrid", 11, 0))))</f>
        <v>#NAME?</v>
      </c>
      <c r="AG1958" s="69"/>
      <c r="AH1958" s="71" t="s">
        <v>164</v>
      </c>
      <c r="AS1958" s="7"/>
      <c r="AT1958" s="7"/>
      <c r="AU1958" s="7"/>
      <c r="AV1958" s="7"/>
      <c r="AW1958" s="7"/>
      <c r="AX1958" s="7"/>
      <c r="AY1958" s="7"/>
    </row>
    <row r="1959" spans="1:51" s="7" customFormat="1" ht="15" customHeight="1" x14ac:dyDescent="0.3">
      <c r="A1959" s="66" t="s">
        <v>3053</v>
      </c>
      <c r="B1959" s="66" t="s">
        <v>5170</v>
      </c>
      <c r="C1959" s="33">
        <v>1955</v>
      </c>
      <c r="D1959" s="33" t="s">
        <v>5402</v>
      </c>
      <c r="E1959" s="34" t="s">
        <v>5328</v>
      </c>
      <c r="F1959" s="34" t="s">
        <v>18</v>
      </c>
      <c r="G1959" s="57">
        <v>45740</v>
      </c>
      <c r="H1959" s="57">
        <v>45818</v>
      </c>
      <c r="I1959" s="34">
        <f t="shared" si="92"/>
        <v>2</v>
      </c>
      <c r="J1959" s="34">
        <v>40</v>
      </c>
      <c r="K1959" s="36">
        <v>0</v>
      </c>
      <c r="L1959" s="34" t="s">
        <v>17</v>
      </c>
      <c r="M1959" s="35">
        <v>37989</v>
      </c>
      <c r="N1959" s="37">
        <f>(YEAR(TablaMadre[[#This Row],[ALTA]])-YEAR(M1959))</f>
        <v>21</v>
      </c>
      <c r="O1959" s="34" t="s">
        <v>18</v>
      </c>
      <c r="P1959" s="34" t="s">
        <v>19</v>
      </c>
      <c r="Q1959" s="34" t="s">
        <v>392</v>
      </c>
      <c r="R1959" s="34" t="s">
        <v>30</v>
      </c>
      <c r="S1959" s="34" t="s">
        <v>301</v>
      </c>
      <c r="T1959" s="34" t="s">
        <v>806</v>
      </c>
      <c r="U1959" s="34" t="str">
        <f>SUBSTITUTE($T1959, "INGUN", "/")</f>
        <v>N/A</v>
      </c>
      <c r="V1959" s="34" t="s">
        <v>27</v>
      </c>
      <c r="W1959" s="34" t="s">
        <v>23</v>
      </c>
      <c r="X1959" s="34" t="s">
        <v>974</v>
      </c>
      <c r="Y1959" s="57"/>
      <c r="Z1959" s="57" t="e">
        <f t="shared" si="93"/>
        <v>#NUM!</v>
      </c>
      <c r="AA1959" s="57"/>
      <c r="AB1959" s="34"/>
      <c r="AC1959" s="34">
        <v>10</v>
      </c>
      <c r="AD1959" s="34"/>
      <c r="AE1959" s="59" t="str">
        <f t="shared" si="94"/>
        <v>NO</v>
      </c>
      <c r="AF1959" s="34" t="e" cm="1">
        <f t="array" aca="1" ref="AF1959" ca="1">MIN(100, MAX(0, (IF(R1959="ESTUDIANTE", 31, 0)) + (IF(I1959&lt;=3, 30, IF(I1959&lt;=6, 20, 0))) +(IF(OR(E1959="413 - Control de Costes y Enlace Construcción", E1959="480 - Secretaría General del Consejo", E1959="132 - Civil y estructuras", E1959="136 - Mecánica", E1959="412 - Planificación", E1959="142 - Compras"), 25, 0)) +(IF(OR(S1959="GRADO ING. MECÁNICA", S1959="GRADO ING. ELÉCTRICA", S1959="GRADO DERECHO", S1959="GRADO ECONOMÍA", S1959="GRADO ING. TECNOLOGÍAS INDUSTRIALES"), 24, 0)) + (IF(AND(K1959&gt;=451, K1959&lt;=700), 23, 0)) + (IF(AND(AB1959&gt;=5, AB1959&lt;=8), 17, 0)) +(IF(_xludf.OR(_xludf.AND(AC1959&gt;=8, AC1959&lt;=10), _xludf.AND(AC1959&gt;=0, AC1959&lt;=5)), 16, 0)) + (IF(F1959="Madrid", 11, 0))))</f>
        <v>#NAME?</v>
      </c>
      <c r="AG1959" s="69"/>
      <c r="AH1959" s="71" t="s">
        <v>164</v>
      </c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</row>
    <row r="1960" spans="1:51" ht="15" customHeight="1" x14ac:dyDescent="0.3">
      <c r="A1960" s="66" t="s">
        <v>2802</v>
      </c>
      <c r="B1960" s="66" t="s">
        <v>4919</v>
      </c>
      <c r="C1960" s="33">
        <v>1959</v>
      </c>
      <c r="D1960" s="33" t="s">
        <v>5393</v>
      </c>
      <c r="E1960" s="34" t="s">
        <v>5366</v>
      </c>
      <c r="F1960" s="34" t="s">
        <v>118</v>
      </c>
      <c r="G1960" s="57">
        <v>45741</v>
      </c>
      <c r="H1960" s="57">
        <v>45847</v>
      </c>
      <c r="I1960" s="34">
        <f t="shared" si="92"/>
        <v>3</v>
      </c>
      <c r="J1960" s="34">
        <v>25</v>
      </c>
      <c r="K1960" s="36">
        <v>625</v>
      </c>
      <c r="L1960" s="34" t="s">
        <v>17</v>
      </c>
      <c r="M1960" s="35">
        <v>36390</v>
      </c>
      <c r="N1960" s="37">
        <f>(YEAR(TablaMadre[[#This Row],[ALTA]])-YEAR(M1960))</f>
        <v>26</v>
      </c>
      <c r="O1960" s="34" t="s">
        <v>118</v>
      </c>
      <c r="P1960" s="34" t="s">
        <v>19</v>
      </c>
      <c r="Q1960" s="34" t="s">
        <v>322</v>
      </c>
      <c r="R1960" s="34" t="s">
        <v>21</v>
      </c>
      <c r="S1960" s="34" t="s">
        <v>322</v>
      </c>
      <c r="T1960" s="41" t="s">
        <v>823</v>
      </c>
      <c r="U1960" s="41" t="s">
        <v>30</v>
      </c>
      <c r="V1960" s="42" t="s">
        <v>37</v>
      </c>
      <c r="W1960" s="34" t="s">
        <v>181</v>
      </c>
      <c r="X1960" s="40" t="s">
        <v>164</v>
      </c>
      <c r="Y1960" s="63"/>
      <c r="Z1960" s="63" t="e">
        <f t="shared" si="93"/>
        <v>#NUM!</v>
      </c>
      <c r="AA1960" s="63"/>
      <c r="AB1960" s="34"/>
      <c r="AC1960" s="34">
        <v>10</v>
      </c>
      <c r="AD1960" s="40"/>
      <c r="AE1960" s="59" t="str">
        <f t="shared" si="94"/>
        <v>NO</v>
      </c>
      <c r="AF1960" s="40" t="e" cm="1">
        <f t="array" aca="1" ref="AF1960" ca="1">MIN(100, MAX(0, (IF(R1960="ESTUDIANTE", 31, 0)) + (IF(I1960&lt;=3, 30, IF(I1960&lt;=6, 20, 0))) +(IF(OR(E1960="413 - Control de Costes y Enlace Construcción", E1960="480 - Secretaría General del Consejo", E1960="132 - Civil y estructuras", E1960="136 - Mecánica", E1960="412 - Planificación", E1960="142 - Compras"), 25, 0)) +(IF(OR(S1960="GRADO ING. MECÁNICA", S1960="GRADO ING. ELÉCTRICA", S1960="GRADO DERECHO", S1960="GRADO ECONOMÍA", S1960="GRADO ING. TECNOLOGÍAS INDUSTRIALES"), 24, 0)) + (IF(AND(K1960&gt;=451, K1960&lt;=700), 23, 0)) + (IF(AND(AB1960&gt;=5, AB1960&lt;=8), 17, 0)) +(IF(_xludf.OR(_xludf.AND(AC1960&gt;=8, AC1960&lt;=10), _xludf.AND(AC1960&gt;=0, AC1960&lt;=5)), 16, 0)) + (IF(F1960="Madrid", 11, 0))))</f>
        <v>#NAME?</v>
      </c>
      <c r="AG1960" s="70"/>
      <c r="AH1960" s="71" t="s">
        <v>164</v>
      </c>
      <c r="AI1960" s="9"/>
      <c r="AJ1960" s="9"/>
      <c r="AK1960" s="9"/>
      <c r="AL1960" s="9"/>
      <c r="AM1960" s="9"/>
      <c r="AN1960" s="9"/>
      <c r="AO1960" s="9"/>
      <c r="AP1960" s="9"/>
      <c r="AQ1960" s="9"/>
      <c r="AR1960" s="9"/>
      <c r="AS1960" s="11"/>
      <c r="AT1960" s="11"/>
      <c r="AU1960" s="11"/>
      <c r="AV1960" s="11"/>
      <c r="AW1960" s="11"/>
      <c r="AX1960" s="11"/>
      <c r="AY1960" s="11"/>
    </row>
    <row r="1961" spans="1:51" ht="15" customHeight="1" x14ac:dyDescent="0.3">
      <c r="A1961" s="66" t="s">
        <v>2868</v>
      </c>
      <c r="B1961" s="66" t="s">
        <v>4985</v>
      </c>
      <c r="C1961" s="33">
        <v>1960</v>
      </c>
      <c r="D1961" s="33" t="s">
        <v>5394</v>
      </c>
      <c r="E1961" s="34" t="s">
        <v>5285</v>
      </c>
      <c r="F1961" s="34" t="s">
        <v>558</v>
      </c>
      <c r="G1961" s="57">
        <v>45742</v>
      </c>
      <c r="H1961" s="57">
        <v>45758</v>
      </c>
      <c r="I1961" s="34">
        <f t="shared" si="92"/>
        <v>0</v>
      </c>
      <c r="J1961" s="34">
        <v>40</v>
      </c>
      <c r="K1961" s="36">
        <v>0</v>
      </c>
      <c r="L1961" s="34" t="s">
        <v>17</v>
      </c>
      <c r="M1961" s="35">
        <v>38186</v>
      </c>
      <c r="N1961" s="37">
        <f>(YEAR(TablaMadre[[#This Row],[ALTA]])-YEAR(M1961))</f>
        <v>21</v>
      </c>
      <c r="O1961" s="34" t="s">
        <v>525</v>
      </c>
      <c r="P1961" s="34" t="s">
        <v>19</v>
      </c>
      <c r="Q1961" s="34" t="s">
        <v>728</v>
      </c>
      <c r="R1961" s="34" t="s">
        <v>30</v>
      </c>
      <c r="S1961" s="34" t="s">
        <v>26</v>
      </c>
      <c r="T1961" s="34" t="s">
        <v>806</v>
      </c>
      <c r="U1961" s="34" t="s">
        <v>347</v>
      </c>
      <c r="V1961" s="34" t="s">
        <v>27</v>
      </c>
      <c r="W1961" s="34" t="s">
        <v>380</v>
      </c>
      <c r="X1961" s="40" t="s">
        <v>173</v>
      </c>
      <c r="Y1961" s="63"/>
      <c r="Z1961" s="63" t="e">
        <f t="shared" si="93"/>
        <v>#NUM!</v>
      </c>
      <c r="AA1961" s="63"/>
      <c r="AB1961" s="34"/>
      <c r="AC1961" s="34"/>
      <c r="AD1961" s="40"/>
      <c r="AE1961" s="59" t="str">
        <f t="shared" si="94"/>
        <v>SÍ</v>
      </c>
      <c r="AF1961" s="40" t="e" cm="1">
        <f t="array" aca="1" ref="AF1961" ca="1">MIN(100, MAX(0, (IF(R1961="ESTUDIANTE", 31, 0)) + (IF(I1961&lt;=3, 30, IF(I1961&lt;=6, 20, 0))) +(IF(OR(E1961="413 - Control de Costes y Enlace Construcción", E1961="480 - Secretaría General del Consejo", E1961="132 - Civil y estructuras", E1961="136 - Mecánica", E1961="412 - Planificación", E1961="142 - Compras"), 25, 0)) +(IF(OR(S1961="GRADO ING. MECÁNICA", S1961="GRADO ING. ELÉCTRICA", S1961="GRADO DERECHO", S1961="GRADO ECONOMÍA", S1961="GRADO ING. TECNOLOGÍAS INDUSTRIALES"), 24, 0)) + (IF(AND(K1961&gt;=451, K1961&lt;=700), 23, 0)) + (IF(AND(AB1961&gt;=5, AB1961&lt;=8), 17, 0)) +(IF(_xludf.OR(_xludf.AND(AC1961&gt;=8, AC1961&lt;=10), _xludf.AND(AC1961&gt;=0, AC1961&lt;=5)), 16, 0)) + (IF(F1961="Madrid", 11, 0))))</f>
        <v>#NAME?</v>
      </c>
      <c r="AG1961" s="70"/>
      <c r="AH1961" s="71" t="s">
        <v>164</v>
      </c>
      <c r="AI1961" s="9"/>
      <c r="AJ1961" s="9"/>
      <c r="AK1961" s="9"/>
      <c r="AL1961" s="9"/>
      <c r="AM1961" s="9"/>
      <c r="AN1961" s="9"/>
      <c r="AO1961" s="9"/>
      <c r="AP1961" s="9"/>
      <c r="AQ1961" s="9"/>
      <c r="AR1961" s="9"/>
      <c r="AS1961" s="11"/>
      <c r="AT1961" s="11"/>
      <c r="AU1961" s="11"/>
      <c r="AV1961" s="11"/>
      <c r="AW1961" s="11"/>
      <c r="AX1961" s="11"/>
      <c r="AY1961" s="11"/>
    </row>
    <row r="1962" spans="1:51" ht="15" customHeight="1" x14ac:dyDescent="0.3">
      <c r="A1962" s="66" t="s">
        <v>2807</v>
      </c>
      <c r="B1962" s="66" t="s">
        <v>4924</v>
      </c>
      <c r="C1962" s="33">
        <v>1961</v>
      </c>
      <c r="D1962" s="33" t="s">
        <v>5403</v>
      </c>
      <c r="E1962" s="34" t="s">
        <v>5285</v>
      </c>
      <c r="F1962" s="34" t="s">
        <v>18</v>
      </c>
      <c r="G1962" s="57">
        <v>45747</v>
      </c>
      <c r="H1962" s="57">
        <v>45786</v>
      </c>
      <c r="I1962" s="34">
        <f t="shared" si="92"/>
        <v>1</v>
      </c>
      <c r="J1962" s="34">
        <v>35</v>
      </c>
      <c r="K1962" s="36">
        <v>700</v>
      </c>
      <c r="L1962" s="34" t="s">
        <v>29</v>
      </c>
      <c r="M1962" s="35">
        <v>35686</v>
      </c>
      <c r="N1962" s="37">
        <f>(YEAR(TablaMadre[[#This Row],[ALTA]])-YEAR(M1962))</f>
        <v>28</v>
      </c>
      <c r="O1962" s="34" t="s">
        <v>563</v>
      </c>
      <c r="P1962" s="34" t="s">
        <v>273</v>
      </c>
      <c r="Q1962" s="34" t="s">
        <v>151</v>
      </c>
      <c r="R1962" s="34" t="s">
        <v>30</v>
      </c>
      <c r="S1962" s="34" t="s">
        <v>151</v>
      </c>
      <c r="T1962" s="34" t="s">
        <v>806</v>
      </c>
      <c r="U1962" s="34" t="str">
        <f>SUBSTITUTE($T1962, "INGUN", "/")</f>
        <v>N/A</v>
      </c>
      <c r="V1962" s="34" t="s">
        <v>69</v>
      </c>
      <c r="W1962" s="34" t="s">
        <v>91</v>
      </c>
      <c r="X1962" s="40" t="s">
        <v>164</v>
      </c>
      <c r="Y1962" s="63"/>
      <c r="Z1962" s="63" t="e">
        <f t="shared" si="93"/>
        <v>#NUM!</v>
      </c>
      <c r="AA1962" s="63"/>
      <c r="AB1962" s="34"/>
      <c r="AC1962" s="34"/>
      <c r="AD1962" s="40"/>
      <c r="AE1962" s="59" t="str">
        <f t="shared" si="94"/>
        <v>SÍ</v>
      </c>
      <c r="AF1962" s="40" t="e" cm="1">
        <f t="array" aca="1" ref="AF1962" ca="1">MIN(100, MAX(0, (IF(R1962="ESTUDIANTE", 31, 0)) + (IF(I1962&lt;=3, 30, IF(I1962&lt;=6, 20, 0))) +(IF(OR(E1962="413 - Control de Costes y Enlace Construcción", E1962="480 - Secretaría General del Consejo", E1962="132 - Civil y estructuras", E1962="136 - Mecánica", E1962="412 - Planificación", E1962="142 - Compras"), 25, 0)) +(IF(OR(S1962="GRADO ING. MECÁNICA", S1962="GRADO ING. ELÉCTRICA", S1962="GRADO DERECHO", S1962="GRADO ECONOMÍA", S1962="GRADO ING. TECNOLOGÍAS INDUSTRIALES"), 24, 0)) + (IF(AND(K1962&gt;=451, K1962&lt;=700), 23, 0)) + (IF(AND(AB1962&gt;=5, AB1962&lt;=8), 17, 0)) +(IF(_xludf.OR(_xludf.AND(AC1962&gt;=8, AC1962&lt;=10), _xludf.AND(AC1962&gt;=0, AC1962&lt;=5)), 16, 0)) + (IF(F1962="Madrid", 11, 0))))</f>
        <v>#NAME?</v>
      </c>
      <c r="AG1962" s="70"/>
      <c r="AH1962" s="71" t="s">
        <v>164</v>
      </c>
      <c r="AI1962" s="9"/>
      <c r="AJ1962" s="9"/>
      <c r="AK1962" s="9"/>
      <c r="AL1962" s="9"/>
      <c r="AM1962" s="9"/>
      <c r="AN1962" s="9"/>
      <c r="AO1962" s="9"/>
      <c r="AP1962" s="9"/>
      <c r="AQ1962" s="9"/>
      <c r="AR1962" s="9"/>
      <c r="AS1962" s="11"/>
      <c r="AT1962" s="11"/>
      <c r="AU1962" s="11"/>
      <c r="AV1962" s="11"/>
      <c r="AW1962" s="11"/>
      <c r="AX1962" s="11"/>
      <c r="AY1962" s="11"/>
    </row>
    <row r="1963" spans="1:51" s="4" customFormat="1" ht="15" customHeight="1" x14ac:dyDescent="0.3">
      <c r="A1963" s="66" t="s">
        <v>2927</v>
      </c>
      <c r="B1963" s="66" t="s">
        <v>5044</v>
      </c>
      <c r="C1963" s="33">
        <v>1964</v>
      </c>
      <c r="D1963" s="33" t="s">
        <v>5404</v>
      </c>
      <c r="E1963" s="34" t="s">
        <v>5241</v>
      </c>
      <c r="F1963" s="34" t="s">
        <v>18</v>
      </c>
      <c r="G1963" s="57">
        <v>45747</v>
      </c>
      <c r="H1963" s="57">
        <v>45930</v>
      </c>
      <c r="I1963" s="34">
        <f t="shared" si="92"/>
        <v>5</v>
      </c>
      <c r="J1963" s="34">
        <v>35</v>
      </c>
      <c r="K1963" s="36">
        <v>1000</v>
      </c>
      <c r="L1963" s="34" t="s">
        <v>17</v>
      </c>
      <c r="M1963" s="39">
        <v>36656</v>
      </c>
      <c r="N1963" s="37">
        <f>(YEAR(TablaMadre[[#This Row],[ALTA]])-YEAR(M1963))</f>
        <v>25</v>
      </c>
      <c r="O1963" s="34" t="s">
        <v>948</v>
      </c>
      <c r="P1963" s="34" t="s">
        <v>19</v>
      </c>
      <c r="Q1963" s="34" t="s">
        <v>880</v>
      </c>
      <c r="R1963" s="34" t="s">
        <v>21</v>
      </c>
      <c r="S1963" s="34" t="s">
        <v>817</v>
      </c>
      <c r="T1963" s="34" t="s">
        <v>347</v>
      </c>
      <c r="U1963" s="34" t="str">
        <f>SUBSTITUTE($T1963, "INGUN", "/")</f>
        <v>N/A</v>
      </c>
      <c r="V1963" s="34" t="s">
        <v>239</v>
      </c>
      <c r="W1963" s="34" t="s">
        <v>28</v>
      </c>
      <c r="X1963" s="34" t="s">
        <v>173</v>
      </c>
      <c r="Y1963" s="57"/>
      <c r="Z1963" s="34" t="e">
        <f t="shared" si="93"/>
        <v>#NUM!</v>
      </c>
      <c r="AA1963" s="34"/>
      <c r="AB1963" s="34">
        <v>10</v>
      </c>
      <c r="AC1963" s="34">
        <v>9</v>
      </c>
      <c r="AD1963" s="34"/>
      <c r="AE1963" s="59" t="str">
        <f t="shared" si="94"/>
        <v>SÍ</v>
      </c>
      <c r="AF1963" s="34" t="e" cm="1">
        <f t="array" aca="1" ref="AF1963" ca="1">MIN(100, MAX(0, (IF(R1963="ESTUDIANTE", 31, 0)) + (IF(I1963&lt;=3, 30, IF(I1963&lt;=6, 20, 0))) +(IF(OR(E1963="413 - Control de Costes y Enlace Construcción", E1963="480 - Secretaría General del Consejo", E1963="132 - Civil y estructuras", E1963="136 - Mecánica", E1963="412 - Planificación", E1963="142 - Compras"), 25, 0)) +(IF(OR(S1963="GRADO ING. MECÁNICA", S1963="GRADO ING. ELÉCTRICA", S1963="GRADO DERECHO", S1963="GRADO ECONOMÍA", S1963="GRADO ING. TECNOLOGÍAS INDUSTRIALES"), 24, 0)) + (IF(AND(K1963&gt;=451, K1963&lt;=700), 23, 0)) + (IF(AND(AB1963&gt;=5, AB1963&lt;=8), 17, 0)) +(IF(_xludf.OR(_xludf.AND(AC1963&gt;=8, AC1963&lt;=10), _xludf.AND(AC1963&gt;=0, AC1963&lt;=5)), 16, 0)) + (IF(F1963="Madrid", 11, 0))))</f>
        <v>#NAME?</v>
      </c>
      <c r="AG1963" s="69"/>
      <c r="AH1963" s="71" t="s">
        <v>164</v>
      </c>
      <c r="AS1963" s="7"/>
      <c r="AT1963" s="7"/>
      <c r="AU1963" s="7"/>
      <c r="AV1963" s="7"/>
      <c r="AW1963" s="7"/>
      <c r="AX1963" s="7"/>
      <c r="AY1963" s="7"/>
    </row>
    <row r="1964" spans="1:51" ht="15" customHeight="1" x14ac:dyDescent="0.3">
      <c r="A1964" s="66" t="s">
        <v>2929</v>
      </c>
      <c r="B1964" s="66" t="s">
        <v>5046</v>
      </c>
      <c r="C1964" s="33">
        <v>1963</v>
      </c>
      <c r="D1964" s="33" t="s">
        <v>5405</v>
      </c>
      <c r="E1964" s="34" t="s">
        <v>5248</v>
      </c>
      <c r="F1964" s="34" t="s">
        <v>18</v>
      </c>
      <c r="G1964" s="57">
        <v>45747</v>
      </c>
      <c r="H1964" s="57">
        <v>45930</v>
      </c>
      <c r="I1964" s="34">
        <f t="shared" si="92"/>
        <v>5</v>
      </c>
      <c r="J1964" s="34">
        <v>35</v>
      </c>
      <c r="K1964" s="36">
        <v>1200</v>
      </c>
      <c r="L1964" s="34" t="s">
        <v>17</v>
      </c>
      <c r="M1964" s="39">
        <v>36688</v>
      </c>
      <c r="N1964" s="37">
        <f>(YEAR(TablaMadre[[#This Row],[ALTA]])-YEAR(M1964))</f>
        <v>25</v>
      </c>
      <c r="O1964" s="34" t="s">
        <v>18</v>
      </c>
      <c r="P1964" s="34" t="s">
        <v>19</v>
      </c>
      <c r="Q1964" s="34" t="s">
        <v>322</v>
      </c>
      <c r="R1964" s="34" t="s">
        <v>21</v>
      </c>
      <c r="S1964" s="34" t="s">
        <v>322</v>
      </c>
      <c r="T1964" s="34" t="s">
        <v>823</v>
      </c>
      <c r="U1964" s="34" t="s">
        <v>30</v>
      </c>
      <c r="V1964" s="34" t="s">
        <v>22</v>
      </c>
      <c r="W1964" s="34" t="s">
        <v>28</v>
      </c>
      <c r="X1964" s="40" t="s">
        <v>173</v>
      </c>
      <c r="Y1964" s="63"/>
      <c r="Z1964" s="40" t="e">
        <f t="shared" si="93"/>
        <v>#NUM!</v>
      </c>
      <c r="AA1964" s="40"/>
      <c r="AB1964" s="34">
        <v>9</v>
      </c>
      <c r="AC1964" s="34">
        <v>10</v>
      </c>
      <c r="AD1964" s="40"/>
      <c r="AE1964" s="59" t="str">
        <f t="shared" si="94"/>
        <v>NO</v>
      </c>
      <c r="AF1964" s="40" t="e" cm="1">
        <f t="array" aca="1" ref="AF1964" ca="1">MIN(100, MAX(0, (IF(R1964="ESTUDIANTE", 31, 0)) + (IF(I1964&lt;=3, 30, IF(I1964&lt;=6, 20, 0))) +(IF(OR(E1964="413 - Control de Costes y Enlace Construcción", E1964="480 - Secretaría General del Consejo", E1964="132 - Civil y estructuras", E1964="136 - Mecánica", E1964="412 - Planificación", E1964="142 - Compras"), 25, 0)) +(IF(OR(S1964="GRADO ING. MECÁNICA", S1964="GRADO ING. ELÉCTRICA", S1964="GRADO DERECHO", S1964="GRADO ECONOMÍA", S1964="GRADO ING. TECNOLOGÍAS INDUSTRIALES"), 24, 0)) + (IF(AND(K1964&gt;=451, K1964&lt;=700), 23, 0)) + (IF(AND(AB1964&gt;=5, AB1964&lt;=8), 17, 0)) +(IF(_xludf.OR(_xludf.AND(AC1964&gt;=8, AC1964&lt;=10), _xludf.AND(AC1964&gt;=0, AC1964&lt;=5)), 16, 0)) + (IF(F1964="Madrid", 11, 0))))</f>
        <v>#NAME?</v>
      </c>
      <c r="AG1964" s="70"/>
      <c r="AH1964" s="71" t="s">
        <v>164</v>
      </c>
      <c r="AI1964" s="9"/>
      <c r="AJ1964" s="9"/>
      <c r="AK1964" s="9"/>
      <c r="AL1964" s="9"/>
      <c r="AM1964" s="9"/>
      <c r="AN1964" s="9"/>
      <c r="AO1964" s="9"/>
      <c r="AP1964" s="9"/>
      <c r="AQ1964" s="9"/>
      <c r="AR1964" s="9"/>
      <c r="AS1964" s="11"/>
      <c r="AT1964" s="11"/>
      <c r="AU1964" s="11"/>
      <c r="AV1964" s="11"/>
      <c r="AW1964" s="11"/>
      <c r="AX1964" s="11"/>
      <c r="AY1964" s="11"/>
    </row>
    <row r="1965" spans="1:51" s="4" customFormat="1" ht="15" customHeight="1" x14ac:dyDescent="0.3">
      <c r="A1965" s="66" t="s">
        <v>2930</v>
      </c>
      <c r="B1965" s="66" t="s">
        <v>5047</v>
      </c>
      <c r="C1965" s="33">
        <v>1962</v>
      </c>
      <c r="D1965" s="33" t="s">
        <v>5396</v>
      </c>
      <c r="E1965" s="34" t="s">
        <v>5368</v>
      </c>
      <c r="F1965" s="34" t="s">
        <v>118</v>
      </c>
      <c r="G1965" s="57">
        <v>45747</v>
      </c>
      <c r="H1965" s="57">
        <v>45860</v>
      </c>
      <c r="I1965" s="34">
        <f t="shared" si="92"/>
        <v>3</v>
      </c>
      <c r="J1965" s="34">
        <v>25</v>
      </c>
      <c r="K1965" s="36">
        <v>625</v>
      </c>
      <c r="L1965" s="34" t="s">
        <v>17</v>
      </c>
      <c r="M1965" s="35">
        <v>37063</v>
      </c>
      <c r="N1965" s="37">
        <f>(YEAR(TablaMadre[[#This Row],[ALTA]])-YEAR(M1965))</f>
        <v>24</v>
      </c>
      <c r="O1965" s="34" t="s">
        <v>118</v>
      </c>
      <c r="P1965" s="34" t="s">
        <v>19</v>
      </c>
      <c r="Q1965" s="34" t="s">
        <v>297</v>
      </c>
      <c r="R1965" s="34" t="s">
        <v>21</v>
      </c>
      <c r="S1965" s="34" t="s">
        <v>297</v>
      </c>
      <c r="T1965" s="34" t="s">
        <v>866</v>
      </c>
      <c r="U1965" s="34" t="s">
        <v>30</v>
      </c>
      <c r="V1965" s="34" t="s">
        <v>193</v>
      </c>
      <c r="W1965" s="34" t="s">
        <v>28</v>
      </c>
      <c r="X1965" s="34" t="s">
        <v>173</v>
      </c>
      <c r="Y1965" s="57"/>
      <c r="Z1965" s="34" t="e">
        <f t="shared" si="93"/>
        <v>#NUM!</v>
      </c>
      <c r="AA1965" s="34"/>
      <c r="AB1965" s="34">
        <v>10</v>
      </c>
      <c r="AC1965" s="34">
        <v>10</v>
      </c>
      <c r="AD1965" s="34"/>
      <c r="AE1965" s="59" t="str">
        <f t="shared" si="94"/>
        <v>NO</v>
      </c>
      <c r="AF1965" s="34" t="e" cm="1">
        <f t="array" aca="1" ref="AF1965" ca="1">MIN(100, MAX(0, (IF(R1965="ESTUDIANTE", 31, 0)) + (IF(I1965&lt;=3, 30, IF(I1965&lt;=6, 20, 0))) +(IF(OR(E1965="413 - Control de Costes y Enlace Construcción", E1965="480 - Secretaría General del Consejo", E1965="132 - Civil y estructuras", E1965="136 - Mecánica", E1965="412 - Planificación", E1965="142 - Compras"), 25, 0)) +(IF(OR(S1965="GRADO ING. MECÁNICA", S1965="GRADO ING. ELÉCTRICA", S1965="GRADO DERECHO", S1965="GRADO ECONOMÍA", S1965="GRADO ING. TECNOLOGÍAS INDUSTRIALES"), 24, 0)) + (IF(AND(K1965&gt;=451, K1965&lt;=700), 23, 0)) + (IF(AND(AB1965&gt;=5, AB1965&lt;=8), 17, 0)) +(IF(_xludf.OR(_xludf.AND(AC1965&gt;=8, AC1965&lt;=10), _xludf.AND(AC1965&gt;=0, AC1965&lt;=5)), 16, 0)) + (IF(F1965="Madrid", 11, 0))))</f>
        <v>#NAME?</v>
      </c>
      <c r="AG1965" s="69"/>
      <c r="AH1965" s="71" t="s">
        <v>164</v>
      </c>
      <c r="AS1965" s="7"/>
      <c r="AT1965" s="7"/>
      <c r="AU1965" s="7"/>
      <c r="AV1965" s="7"/>
      <c r="AW1965" s="7"/>
      <c r="AX1965" s="7"/>
      <c r="AY1965" s="7"/>
    </row>
    <row r="1966" spans="1:51" ht="15" customHeight="1" x14ac:dyDescent="0.3">
      <c r="A1966" s="66" t="s">
        <v>2805</v>
      </c>
      <c r="B1966" s="66" t="s">
        <v>4922</v>
      </c>
      <c r="C1966" s="33">
        <v>1965</v>
      </c>
      <c r="D1966" s="33" t="s">
        <v>5397</v>
      </c>
      <c r="E1966" s="34" t="s">
        <v>5368</v>
      </c>
      <c r="F1966" s="34" t="s">
        <v>18</v>
      </c>
      <c r="G1966" s="57">
        <v>45750</v>
      </c>
      <c r="H1966" s="57">
        <v>45842</v>
      </c>
      <c r="I1966" s="34">
        <f t="shared" si="92"/>
        <v>3</v>
      </c>
      <c r="J1966" s="34">
        <v>30</v>
      </c>
      <c r="K1966" s="36">
        <v>750</v>
      </c>
      <c r="L1966" s="34" t="s">
        <v>17</v>
      </c>
      <c r="M1966" s="35">
        <v>34912</v>
      </c>
      <c r="N1966" s="37">
        <f>(YEAR(TablaMadre[[#This Row],[ALTA]])-YEAR(M1966))</f>
        <v>30</v>
      </c>
      <c r="O1966" s="34" t="s">
        <v>856</v>
      </c>
      <c r="P1966" s="34" t="s">
        <v>856</v>
      </c>
      <c r="Q1966" s="34" t="s">
        <v>322</v>
      </c>
      <c r="R1966" s="34" t="s">
        <v>21</v>
      </c>
      <c r="S1966" s="34" t="s">
        <v>322</v>
      </c>
      <c r="T1966" s="34" t="s">
        <v>857</v>
      </c>
      <c r="U1966" s="34" t="s">
        <v>30</v>
      </c>
      <c r="V1966" s="34" t="s">
        <v>90</v>
      </c>
      <c r="W1966" s="34" t="s">
        <v>183</v>
      </c>
      <c r="X1966" s="40" t="s">
        <v>164</v>
      </c>
      <c r="Y1966" s="63"/>
      <c r="Z1966" s="63" t="e">
        <f t="shared" si="93"/>
        <v>#NUM!</v>
      </c>
      <c r="AA1966" s="63"/>
      <c r="AB1966" s="34"/>
      <c r="AC1966" s="34">
        <v>5</v>
      </c>
      <c r="AD1966" s="40"/>
      <c r="AE1966" s="59" t="str">
        <f t="shared" si="94"/>
        <v>SÍ</v>
      </c>
      <c r="AF1966" s="40" t="e" cm="1">
        <f t="array" aca="1" ref="AF1966" ca="1">MIN(100, MAX(0, (IF(R1966="ESTUDIANTE", 31, 0)) + (IF(I1966&lt;=3, 30, IF(I1966&lt;=6, 20, 0))) +(IF(OR(E1966="413 - Control de Costes y Enlace Construcción", E1966="480 - Secretaría General del Consejo", E1966="132 - Civil y estructuras", E1966="136 - Mecánica", E1966="412 - Planificación", E1966="142 - Compras"), 25, 0)) +(IF(OR(S1966="GRADO ING. MECÁNICA", S1966="GRADO ING. ELÉCTRICA", S1966="GRADO DERECHO", S1966="GRADO ECONOMÍA", S1966="GRADO ING. TECNOLOGÍAS INDUSTRIALES"), 24, 0)) + (IF(AND(K1966&gt;=451, K1966&lt;=700), 23, 0)) + (IF(AND(AB1966&gt;=5, AB1966&lt;=8), 17, 0)) +(IF(_xludf.OR(_xludf.AND(AC1966&gt;=8, AC1966&lt;=10), _xludf.AND(AC1966&gt;=0, AC1966&lt;=5)), 16, 0)) + (IF(F1966="Madrid", 11, 0))))</f>
        <v>#NAME?</v>
      </c>
      <c r="AG1966" s="70"/>
      <c r="AH1966" s="71" t="s">
        <v>164</v>
      </c>
      <c r="AI1966" s="9"/>
      <c r="AJ1966" s="9"/>
      <c r="AK1966" s="9"/>
      <c r="AL1966" s="9"/>
      <c r="AM1966" s="9"/>
      <c r="AN1966" s="9"/>
      <c r="AO1966" s="9"/>
      <c r="AP1966" s="9"/>
      <c r="AQ1966" s="9"/>
      <c r="AR1966" s="9"/>
      <c r="AS1966" s="17"/>
      <c r="AT1966" s="17"/>
      <c r="AU1966" s="17"/>
      <c r="AV1966" s="17"/>
      <c r="AW1966" s="17"/>
      <c r="AX1966" s="17"/>
      <c r="AY1966" s="17"/>
    </row>
    <row r="1967" spans="1:51" s="4" customFormat="1" ht="15" customHeight="1" x14ac:dyDescent="0.3">
      <c r="A1967" s="66" t="s">
        <v>2931</v>
      </c>
      <c r="B1967" s="66" t="s">
        <v>5048</v>
      </c>
      <c r="C1967" s="33">
        <v>1966</v>
      </c>
      <c r="D1967" s="33" t="s">
        <v>5393</v>
      </c>
      <c r="E1967" s="34" t="s">
        <v>5236</v>
      </c>
      <c r="F1967" s="34" t="s">
        <v>18</v>
      </c>
      <c r="G1967" s="57">
        <v>45754</v>
      </c>
      <c r="H1967" s="57">
        <v>45936</v>
      </c>
      <c r="I1967" s="34">
        <f t="shared" si="92"/>
        <v>5</v>
      </c>
      <c r="J1967" s="34">
        <v>35</v>
      </c>
      <c r="K1967" s="36">
        <v>700</v>
      </c>
      <c r="L1967" s="34" t="s">
        <v>17</v>
      </c>
      <c r="M1967" s="39">
        <v>36441</v>
      </c>
      <c r="N1967" s="37">
        <f>(YEAR(TablaMadre[[#This Row],[ALTA]])-YEAR(M1967))</f>
        <v>26</v>
      </c>
      <c r="O1967" s="34" t="s">
        <v>18</v>
      </c>
      <c r="P1967" s="34" t="s">
        <v>19</v>
      </c>
      <c r="Q1967" s="34" t="s">
        <v>354</v>
      </c>
      <c r="R1967" s="34" t="s">
        <v>30</v>
      </c>
      <c r="S1967" s="34" t="s">
        <v>354</v>
      </c>
      <c r="T1967" s="34" t="s">
        <v>806</v>
      </c>
      <c r="U1967" s="34" t="s">
        <v>347</v>
      </c>
      <c r="V1967" s="34" t="s">
        <v>22</v>
      </c>
      <c r="W1967" s="34" t="s">
        <v>28</v>
      </c>
      <c r="X1967" s="34" t="s">
        <v>173</v>
      </c>
      <c r="Y1967" s="57"/>
      <c r="Z1967" s="34" t="e">
        <f t="shared" si="93"/>
        <v>#NUM!</v>
      </c>
      <c r="AA1967" s="34"/>
      <c r="AB1967" s="34">
        <v>8</v>
      </c>
      <c r="AC1967" s="34">
        <v>10</v>
      </c>
      <c r="AD1967" s="34"/>
      <c r="AE1967" s="59" t="str">
        <f t="shared" si="94"/>
        <v>NO</v>
      </c>
      <c r="AF1967" s="34" t="e" cm="1">
        <f t="array" aca="1" ref="AF1967" ca="1">MIN(100, MAX(0, (IF(R1967="ESTUDIANTE", 31, 0)) + (IF(I1967&lt;=3, 30, IF(I1967&lt;=6, 20, 0))) +(IF(OR(E1967="413 - Control de Costes y Enlace Construcción", E1967="480 - Secretaría General del Consejo", E1967="132 - Civil y estructuras", E1967="136 - Mecánica", E1967="412 - Planificación", E1967="142 - Compras"), 25, 0)) +(IF(OR(S1967="GRADO ING. MECÁNICA", S1967="GRADO ING. ELÉCTRICA", S1967="GRADO DERECHO", S1967="GRADO ECONOMÍA", S1967="GRADO ING. TECNOLOGÍAS INDUSTRIALES"), 24, 0)) + (IF(AND(K1967&gt;=451, K1967&lt;=700), 23, 0)) + (IF(AND(AB1967&gt;=5, AB1967&lt;=8), 17, 0)) +(IF(_xludf.OR(_xludf.AND(AC1967&gt;=8, AC1967&lt;=10), _xludf.AND(AC1967&gt;=0, AC1967&lt;=5)), 16, 0)) + (IF(F1967="Madrid", 11, 0))))</f>
        <v>#NAME?</v>
      </c>
      <c r="AG1967" s="69"/>
      <c r="AH1967" s="71" t="s">
        <v>164</v>
      </c>
    </row>
    <row r="1968" spans="1:51" s="4" customFormat="1" ht="15" customHeight="1" x14ac:dyDescent="0.3">
      <c r="A1968" s="66" t="s">
        <v>2935</v>
      </c>
      <c r="B1968" s="66" t="s">
        <v>5052</v>
      </c>
      <c r="C1968" s="33">
        <v>1969</v>
      </c>
      <c r="D1968" s="33" t="s">
        <v>5394</v>
      </c>
      <c r="E1968" s="34" t="s">
        <v>5216</v>
      </c>
      <c r="F1968" s="34" t="s">
        <v>18</v>
      </c>
      <c r="G1968" s="57">
        <v>45761</v>
      </c>
      <c r="H1968" s="57">
        <v>46125</v>
      </c>
      <c r="I1968" s="34">
        <f t="shared" si="92"/>
        <v>11</v>
      </c>
      <c r="J1968" s="34">
        <v>30</v>
      </c>
      <c r="K1968" s="36">
        <v>750</v>
      </c>
      <c r="L1968" s="34" t="s">
        <v>29</v>
      </c>
      <c r="M1968" s="39">
        <v>37195</v>
      </c>
      <c r="N1968" s="37">
        <f>(YEAR(TablaMadre[[#This Row],[ALTA]])-YEAR(M1968))</f>
        <v>24</v>
      </c>
      <c r="O1968" s="34" t="s">
        <v>18</v>
      </c>
      <c r="P1968" s="34" t="s">
        <v>19</v>
      </c>
      <c r="Q1968" s="34" t="s">
        <v>297</v>
      </c>
      <c r="R1968" s="34" t="s">
        <v>30</v>
      </c>
      <c r="S1968" s="34" t="s">
        <v>297</v>
      </c>
      <c r="T1968" s="34" t="s">
        <v>806</v>
      </c>
      <c r="U1968" s="34" t="str">
        <f>SUBSTITUTE($T1968, "INGUN", "/")</f>
        <v>N/A</v>
      </c>
      <c r="V1968" s="34" t="s">
        <v>84</v>
      </c>
      <c r="W1968" s="34" t="s">
        <v>28</v>
      </c>
      <c r="X1968" s="34" t="s">
        <v>173</v>
      </c>
      <c r="Y1968" s="34"/>
      <c r="Z1968" s="34" t="e">
        <f t="shared" si="93"/>
        <v>#NUM!</v>
      </c>
      <c r="AA1968" s="34"/>
      <c r="AB1968" s="34">
        <v>10</v>
      </c>
      <c r="AC1968" s="34">
        <v>8</v>
      </c>
      <c r="AD1968" s="34"/>
      <c r="AE1968" s="59" t="str">
        <f t="shared" si="94"/>
        <v>NO</v>
      </c>
      <c r="AF1968" s="34" t="e" cm="1">
        <f t="array" aca="1" ref="AF1968" ca="1">MIN(100, MAX(0, (IF(R1968="ESTUDIANTE", 31, 0)) + (IF(I1968&lt;=3, 30, IF(I1968&lt;=6, 20, 0))) +(IF(OR(E1968="413 - Control de Costes y Enlace Construcción", E1968="480 - Secretaría General del Consejo", E1968="132 - Civil y estructuras", E1968="136 - Mecánica", E1968="412 - Planificación", E1968="142 - Compras"), 25, 0)) +(IF(OR(S1968="GRADO ING. MECÁNICA", S1968="GRADO ING. ELÉCTRICA", S1968="GRADO DERECHO", S1968="GRADO ECONOMÍA", S1968="GRADO ING. TECNOLOGÍAS INDUSTRIALES"), 24, 0)) + (IF(AND(K1968&gt;=451, K1968&lt;=700), 23, 0)) + (IF(AND(AB1968&gt;=5, AB1968&lt;=8), 17, 0)) +(IF(_xludf.OR(_xludf.AND(AC1968&gt;=8, AC1968&lt;=10), _xludf.AND(AC1968&gt;=0, AC1968&lt;=5)), 16, 0)) + (IF(F1968="Madrid", 11, 0))))</f>
        <v>#NAME?</v>
      </c>
      <c r="AG1968" s="69"/>
      <c r="AH1968" s="71" t="s">
        <v>164</v>
      </c>
    </row>
    <row r="1969" spans="1:51" ht="15" customHeight="1" x14ac:dyDescent="0.3">
      <c r="A1969" s="66" t="s">
        <v>2936</v>
      </c>
      <c r="B1969" s="66" t="s">
        <v>5053</v>
      </c>
      <c r="C1969" s="33">
        <v>1967</v>
      </c>
      <c r="D1969" s="33" t="s">
        <v>5395</v>
      </c>
      <c r="E1969" s="34" t="s">
        <v>5216</v>
      </c>
      <c r="F1969" s="34" t="s">
        <v>18</v>
      </c>
      <c r="G1969" s="57">
        <v>45761</v>
      </c>
      <c r="H1969" s="57">
        <v>45943</v>
      </c>
      <c r="I1969" s="34">
        <f t="shared" si="92"/>
        <v>5</v>
      </c>
      <c r="J1969" s="34">
        <v>35</v>
      </c>
      <c r="K1969" s="36">
        <v>1200</v>
      </c>
      <c r="L1969" s="34" t="s">
        <v>17</v>
      </c>
      <c r="M1969" s="39">
        <v>36965</v>
      </c>
      <c r="N1969" s="37">
        <f>(YEAR(TablaMadre[[#This Row],[ALTA]])-YEAR(M1969))</f>
        <v>24</v>
      </c>
      <c r="O1969" s="34" t="s">
        <v>18</v>
      </c>
      <c r="P1969" s="34" t="s">
        <v>19</v>
      </c>
      <c r="Q1969" s="34" t="s">
        <v>322</v>
      </c>
      <c r="R1969" s="34" t="s">
        <v>30</v>
      </c>
      <c r="S1969" s="34" t="s">
        <v>322</v>
      </c>
      <c r="T1969" s="34" t="s">
        <v>823</v>
      </c>
      <c r="U1969" s="34" t="s">
        <v>30</v>
      </c>
      <c r="V1969" s="34" t="s">
        <v>22</v>
      </c>
      <c r="W1969" s="34" t="s">
        <v>28</v>
      </c>
      <c r="X1969" s="34" t="s">
        <v>173</v>
      </c>
      <c r="Y1969" s="57"/>
      <c r="Z1969" s="34" t="e">
        <f t="shared" si="93"/>
        <v>#NUM!</v>
      </c>
      <c r="AA1969" s="34"/>
      <c r="AB1969" s="34">
        <v>10</v>
      </c>
      <c r="AC1969" s="34">
        <v>9</v>
      </c>
      <c r="AD1969" s="34"/>
      <c r="AE1969" s="59" t="str">
        <f t="shared" si="94"/>
        <v>NO</v>
      </c>
      <c r="AF1969" s="40" t="e" cm="1">
        <f t="array" aca="1" ref="AF1969" ca="1">MIN(100, MAX(0, (IF(R1969="ESTUDIANTE", 31, 0)) + (IF(I1969&lt;=3, 30, IF(I1969&lt;=6, 20, 0))) +(IF(OR(E1969="413 - Control de Costes y Enlace Construcción", E1969="480 - Secretaría General del Consejo", E1969="132 - Civil y estructuras", E1969="136 - Mecánica", E1969="412 - Planificación", E1969="142 - Compras"), 25, 0)) +(IF(OR(S1969="GRADO ING. MECÁNICA", S1969="GRADO ING. ELÉCTRICA", S1969="GRADO DERECHO", S1969="GRADO ECONOMÍA", S1969="GRADO ING. TECNOLOGÍAS INDUSTRIALES"), 24, 0)) + (IF(AND(K1969&gt;=451, K1969&lt;=700), 23, 0)) + (IF(AND(AB1969&gt;=5, AB1969&lt;=8), 17, 0)) +(IF(_xludf.OR(_xludf.AND(AC1969&gt;=8, AC1969&lt;=10), _xludf.AND(AC1969&gt;=0, AC1969&lt;=5)), 16, 0)) + (IF(F1969="Madrid", 11, 0))))</f>
        <v>#NAME?</v>
      </c>
      <c r="AG1969" s="70"/>
      <c r="AH1969" s="71" t="s">
        <v>164</v>
      </c>
      <c r="AI1969" s="9"/>
      <c r="AJ1969" s="9"/>
      <c r="AK1969" s="9"/>
      <c r="AL1969" s="9"/>
      <c r="AM1969" s="9"/>
      <c r="AN1969" s="9"/>
      <c r="AO1969" s="9"/>
      <c r="AP1969" s="9"/>
      <c r="AQ1969" s="9"/>
      <c r="AR1969" s="9"/>
      <c r="AS1969" s="9"/>
      <c r="AT1969" s="9"/>
      <c r="AU1969" s="9"/>
      <c r="AV1969" s="9"/>
      <c r="AW1969" s="9"/>
      <c r="AX1969" s="9"/>
      <c r="AY1969" s="9"/>
    </row>
    <row r="1970" spans="1:51" s="4" customFormat="1" ht="15" customHeight="1" x14ac:dyDescent="0.3">
      <c r="A1970" s="66" t="s">
        <v>2941</v>
      </c>
      <c r="B1970" s="66" t="s">
        <v>5058</v>
      </c>
      <c r="C1970" s="33">
        <v>1968</v>
      </c>
      <c r="D1970" s="33" t="s">
        <v>5396</v>
      </c>
      <c r="E1970" s="34" t="s">
        <v>5241</v>
      </c>
      <c r="F1970" s="34" t="s">
        <v>18</v>
      </c>
      <c r="G1970" s="57">
        <v>45761</v>
      </c>
      <c r="H1970" s="57">
        <v>45943</v>
      </c>
      <c r="I1970" s="34">
        <f t="shared" si="92"/>
        <v>5</v>
      </c>
      <c r="J1970" s="34">
        <v>35</v>
      </c>
      <c r="K1970" s="36">
        <v>900</v>
      </c>
      <c r="L1970" s="34" t="s">
        <v>17</v>
      </c>
      <c r="M1970" s="39">
        <v>36998</v>
      </c>
      <c r="N1970" s="37">
        <f>(YEAR(TablaMadre[[#This Row],[ALTA]])-YEAR(M1970))</f>
        <v>24</v>
      </c>
      <c r="O1970" s="34" t="s">
        <v>18</v>
      </c>
      <c r="P1970" s="34" t="s">
        <v>19</v>
      </c>
      <c r="Q1970" s="34" t="s">
        <v>322</v>
      </c>
      <c r="R1970" s="34" t="s">
        <v>21</v>
      </c>
      <c r="S1970" s="34" t="s">
        <v>322</v>
      </c>
      <c r="T1970" s="34" t="s">
        <v>823</v>
      </c>
      <c r="U1970" s="34" t="s">
        <v>30</v>
      </c>
      <c r="V1970" s="34" t="s">
        <v>22</v>
      </c>
      <c r="W1970" s="34" t="s">
        <v>28</v>
      </c>
      <c r="X1970" s="40" t="s">
        <v>173</v>
      </c>
      <c r="Y1970" s="63"/>
      <c r="Z1970" s="40" t="e">
        <f t="shared" si="93"/>
        <v>#NUM!</v>
      </c>
      <c r="AA1970" s="40"/>
      <c r="AB1970" s="34">
        <v>9</v>
      </c>
      <c r="AC1970" s="34">
        <v>9</v>
      </c>
      <c r="AD1970" s="40"/>
      <c r="AE1970" s="59" t="str">
        <f t="shared" si="94"/>
        <v>NO</v>
      </c>
      <c r="AF1970" s="34" t="e" cm="1">
        <f t="array" aca="1" ref="AF1970" ca="1">MIN(100, MAX(0, (IF(R1970="ESTUDIANTE", 31, 0)) + (IF(I1970&lt;=3, 30, IF(I1970&lt;=6, 20, 0))) +(IF(OR(E1970="413 - Control de Costes y Enlace Construcción", E1970="480 - Secretaría General del Consejo", E1970="132 - Civil y estructuras", E1970="136 - Mecánica", E1970="412 - Planificación", E1970="142 - Compras"), 25, 0)) +(IF(OR(S1970="GRADO ING. MECÁNICA", S1970="GRADO ING. ELÉCTRICA", S1970="GRADO DERECHO", S1970="GRADO ECONOMÍA", S1970="GRADO ING. TECNOLOGÍAS INDUSTRIALES"), 24, 0)) + (IF(AND(K1970&gt;=451, K1970&lt;=700), 23, 0)) + (IF(AND(AB1970&gt;=5, AB1970&lt;=8), 17, 0)) +(IF(_xludf.OR(_xludf.AND(AC1970&gt;=8, AC1970&lt;=10), _xludf.AND(AC1970&gt;=0, AC1970&lt;=5)), 16, 0)) + (IF(F1970="Madrid", 11, 0))))</f>
        <v>#NAME?</v>
      </c>
      <c r="AG1970" s="69"/>
      <c r="AH1970" s="71" t="s">
        <v>164</v>
      </c>
      <c r="AS1970" s="23"/>
      <c r="AT1970" s="23"/>
      <c r="AU1970" s="23"/>
      <c r="AV1970" s="23"/>
      <c r="AW1970" s="23"/>
      <c r="AX1970" s="23"/>
      <c r="AY1970" s="23"/>
    </row>
    <row r="1971" spans="1:51" s="4" customFormat="1" ht="15" customHeight="1" x14ac:dyDescent="0.3">
      <c r="A1971" s="66" t="s">
        <v>2809</v>
      </c>
      <c r="B1971" s="66" t="s">
        <v>4926</v>
      </c>
      <c r="C1971" s="33">
        <v>1970</v>
      </c>
      <c r="D1971" s="33" t="s">
        <v>5397</v>
      </c>
      <c r="E1971" s="34" t="s">
        <v>5216</v>
      </c>
      <c r="F1971" s="34" t="s">
        <v>18</v>
      </c>
      <c r="G1971" s="57">
        <v>45762</v>
      </c>
      <c r="H1971" s="57">
        <v>45900</v>
      </c>
      <c r="I1971" s="34">
        <f t="shared" si="92"/>
        <v>4</v>
      </c>
      <c r="J1971" s="34">
        <v>35</v>
      </c>
      <c r="K1971" s="36">
        <v>700</v>
      </c>
      <c r="L1971" s="34" t="s">
        <v>17</v>
      </c>
      <c r="M1971" s="35">
        <v>37674</v>
      </c>
      <c r="N1971" s="37">
        <f>(YEAR(TablaMadre[[#This Row],[ALTA]])-YEAR(M1971))</f>
        <v>22</v>
      </c>
      <c r="O1971" s="34" t="s">
        <v>877</v>
      </c>
      <c r="P1971" s="34" t="s">
        <v>19</v>
      </c>
      <c r="Q1971" s="34" t="s">
        <v>297</v>
      </c>
      <c r="R1971" s="34" t="s">
        <v>30</v>
      </c>
      <c r="S1971" s="34" t="s">
        <v>297</v>
      </c>
      <c r="T1971" s="34" t="s">
        <v>806</v>
      </c>
      <c r="U1971" s="34" t="str">
        <f>SUBSTITUTE($T1971, "INGUN", "/")</f>
        <v>N/A</v>
      </c>
      <c r="V1971" s="34" t="s">
        <v>22</v>
      </c>
      <c r="W1971" s="34" t="s">
        <v>181</v>
      </c>
      <c r="X1971" s="34" t="s">
        <v>173</v>
      </c>
      <c r="Y1971" s="57"/>
      <c r="Z1971" s="57" t="e">
        <f t="shared" si="93"/>
        <v>#NUM!</v>
      </c>
      <c r="AA1971" s="57"/>
      <c r="AB1971" s="34">
        <v>9</v>
      </c>
      <c r="AC1971" s="34">
        <v>9</v>
      </c>
      <c r="AD1971" s="34"/>
      <c r="AE1971" s="59" t="str">
        <f t="shared" si="94"/>
        <v>SÍ</v>
      </c>
      <c r="AF1971" s="34" t="e" cm="1">
        <f t="array" aca="1" ref="AF1971" ca="1">MIN(100, MAX(0, (IF(R1971="ESTUDIANTE", 31, 0)) + (IF(I1971&lt;=3, 30, IF(I1971&lt;=6, 20, 0))) +(IF(OR(E1971="413 - Control de Costes y Enlace Construcción", E1971="480 - Secretaría General del Consejo", E1971="132 - Civil y estructuras", E1971="136 - Mecánica", E1971="412 - Planificación", E1971="142 - Compras"), 25, 0)) +(IF(OR(S1971="GRADO ING. MECÁNICA", S1971="GRADO ING. ELÉCTRICA", S1971="GRADO DERECHO", S1971="GRADO ECONOMÍA", S1971="GRADO ING. TECNOLOGÍAS INDUSTRIALES"), 24, 0)) + (IF(AND(K1971&gt;=451, K1971&lt;=700), 23, 0)) + (IF(AND(AB1971&gt;=5, AB1971&lt;=8), 17, 0)) +(IF(_xludf.OR(_xludf.AND(AC1971&gt;=8, AC1971&lt;=10), _xludf.AND(AC1971&gt;=0, AC1971&lt;=5)), 16, 0)) + (IF(F1971="Madrid", 11, 0))))</f>
        <v>#NAME?</v>
      </c>
      <c r="AG1971" s="69"/>
      <c r="AH1971" s="71" t="s">
        <v>164</v>
      </c>
      <c r="AS1971" s="16"/>
      <c r="AT1971" s="16"/>
      <c r="AU1971" s="16"/>
      <c r="AV1971" s="16"/>
      <c r="AW1971" s="16"/>
      <c r="AX1971" s="16"/>
      <c r="AY1971" s="16"/>
    </row>
    <row r="1972" spans="1:51" s="4" customFormat="1" ht="15" customHeight="1" x14ac:dyDescent="0.3">
      <c r="A1972" s="66" t="s">
        <v>2808</v>
      </c>
      <c r="B1972" s="66" t="s">
        <v>4925</v>
      </c>
      <c r="C1972" s="33">
        <v>1971</v>
      </c>
      <c r="D1972" s="33" t="s">
        <v>5398</v>
      </c>
      <c r="E1972" s="34" t="s">
        <v>5368</v>
      </c>
      <c r="F1972" s="34" t="s">
        <v>18</v>
      </c>
      <c r="G1972" s="57">
        <v>45768</v>
      </c>
      <c r="H1972" s="57">
        <v>45947</v>
      </c>
      <c r="I1972" s="34">
        <f t="shared" si="92"/>
        <v>5</v>
      </c>
      <c r="J1972" s="34">
        <v>35</v>
      </c>
      <c r="K1972" s="36">
        <v>700</v>
      </c>
      <c r="L1972" s="34" t="s">
        <v>17</v>
      </c>
      <c r="M1972" s="39">
        <v>36939</v>
      </c>
      <c r="N1972" s="37">
        <f>(YEAR(TablaMadre[[#This Row],[ALTA]])-YEAR(M1972))</f>
        <v>24</v>
      </c>
      <c r="O1972" s="34" t="s">
        <v>146</v>
      </c>
      <c r="P1972" s="34" t="s">
        <v>19</v>
      </c>
      <c r="Q1972" s="34" t="s">
        <v>881</v>
      </c>
      <c r="R1972" s="34" t="s">
        <v>30</v>
      </c>
      <c r="S1972" s="34" t="s">
        <v>695</v>
      </c>
      <c r="T1972" s="34" t="s">
        <v>806</v>
      </c>
      <c r="U1972" s="34" t="s">
        <v>347</v>
      </c>
      <c r="V1972" s="34" t="s">
        <v>40</v>
      </c>
      <c r="W1972" s="34" t="s">
        <v>23</v>
      </c>
      <c r="X1972" s="34" t="s">
        <v>164</v>
      </c>
      <c r="Y1972" s="57"/>
      <c r="Z1972" s="57" t="e">
        <f t="shared" si="93"/>
        <v>#NUM!</v>
      </c>
      <c r="AA1972" s="57"/>
      <c r="AB1972" s="34">
        <v>10</v>
      </c>
      <c r="AC1972" s="34">
        <v>4</v>
      </c>
      <c r="AD1972" s="34"/>
      <c r="AE1972" s="59" t="str">
        <f t="shared" si="94"/>
        <v>SÍ</v>
      </c>
      <c r="AF1972" s="34" t="e" cm="1">
        <f t="array" aca="1" ref="AF1972" ca="1">MIN(100, MAX(0, (IF(R1972="ESTUDIANTE", 31, 0)) + (IF(I1972&lt;=3, 30, IF(I1972&lt;=6, 20, 0))) +(IF(OR(E1972="413 - Control de Costes y Enlace Construcción", E1972="480 - Secretaría General del Consejo", E1972="132 - Civil y estructuras", E1972="136 - Mecánica", E1972="412 - Planificación", E1972="142 - Compras"), 25, 0)) +(IF(OR(S1972="GRADO ING. MECÁNICA", S1972="GRADO ING. ELÉCTRICA", S1972="GRADO DERECHO", S1972="GRADO ECONOMÍA", S1972="GRADO ING. TECNOLOGÍAS INDUSTRIALES"), 24, 0)) + (IF(AND(K1972&gt;=451, K1972&lt;=700), 23, 0)) + (IF(AND(AB1972&gt;=5, AB1972&lt;=8), 17, 0)) +(IF(_xludf.OR(_xludf.AND(AC1972&gt;=8, AC1972&lt;=10), _xludf.AND(AC1972&gt;=0, AC1972&lt;=5)), 16, 0)) + (IF(F1972="Madrid", 11, 0))))</f>
        <v>#NAME?</v>
      </c>
      <c r="AG1972" s="69"/>
      <c r="AH1972" s="71" t="s">
        <v>164</v>
      </c>
    </row>
    <row r="1973" spans="1:51" s="4" customFormat="1" ht="15" customHeight="1" x14ac:dyDescent="0.3">
      <c r="A1973" s="66" t="s">
        <v>3059</v>
      </c>
      <c r="B1973" s="66" t="s">
        <v>5176</v>
      </c>
      <c r="C1973" s="33">
        <v>1972</v>
      </c>
      <c r="D1973" s="33" t="s">
        <v>5399</v>
      </c>
      <c r="E1973" s="34" t="s">
        <v>5383</v>
      </c>
      <c r="F1973" s="34" t="s">
        <v>18</v>
      </c>
      <c r="G1973" s="57">
        <v>45771</v>
      </c>
      <c r="H1973" s="57">
        <v>45786</v>
      </c>
      <c r="I1973" s="34">
        <f t="shared" si="92"/>
        <v>0</v>
      </c>
      <c r="J1973" s="34">
        <v>40</v>
      </c>
      <c r="K1973" s="36">
        <v>0</v>
      </c>
      <c r="L1973" s="34" t="s">
        <v>17</v>
      </c>
      <c r="M1973" s="35">
        <v>39285</v>
      </c>
      <c r="N1973" s="37">
        <f>(YEAR(TablaMadre[[#This Row],[ALTA]])-YEAR(M1973))</f>
        <v>18</v>
      </c>
      <c r="O1973" s="34" t="s">
        <v>18</v>
      </c>
      <c r="P1973" s="34" t="s">
        <v>19</v>
      </c>
      <c r="Q1973" s="34" t="s">
        <v>392</v>
      </c>
      <c r="R1973" s="34" t="s">
        <v>30</v>
      </c>
      <c r="S1973" s="34" t="s">
        <v>301</v>
      </c>
      <c r="T1973" s="34" t="s">
        <v>806</v>
      </c>
      <c r="U1973" s="34" t="s">
        <v>347</v>
      </c>
      <c r="V1973" s="34" t="s">
        <v>27</v>
      </c>
      <c r="W1973" s="34" t="s">
        <v>23</v>
      </c>
      <c r="X1973" s="34" t="s">
        <v>974</v>
      </c>
      <c r="Y1973" s="57"/>
      <c r="Z1973" s="57" t="e">
        <f t="shared" si="93"/>
        <v>#NUM!</v>
      </c>
      <c r="AA1973" s="57"/>
      <c r="AB1973" s="34"/>
      <c r="AC1973" s="34"/>
      <c r="AD1973" s="34"/>
      <c r="AE1973" s="59" t="str">
        <f t="shared" si="94"/>
        <v>NO</v>
      </c>
      <c r="AF1973" s="34" t="e" cm="1">
        <f t="array" aca="1" ref="AF1973" ca="1">MIN(100, MAX(0, (IF(R1973="ESTUDIANTE", 31, 0)) + (IF(I1973&lt;=3, 30, IF(I1973&lt;=6, 20, 0))) +(IF(OR(E1973="413 - Control de Costes y Enlace Construcción", E1973="480 - Secretaría General del Consejo", E1973="132 - Civil y estructuras", E1973="136 - Mecánica", E1973="412 - Planificación", E1973="142 - Compras"), 25, 0)) +(IF(OR(S1973="GRADO ING. MECÁNICA", S1973="GRADO ING. ELÉCTRICA", S1973="GRADO DERECHO", S1973="GRADO ECONOMÍA", S1973="GRADO ING. TECNOLOGÍAS INDUSTRIALES"), 24, 0)) + (IF(AND(K1973&gt;=451, K1973&lt;=700), 23, 0)) + (IF(AND(AB1973&gt;=5, AB1973&lt;=8), 17, 0)) +(IF(_xludf.OR(_xludf.AND(AC1973&gt;=8, AC1973&lt;=10), _xludf.AND(AC1973&gt;=0, AC1973&lt;=5)), 16, 0)) + (IF(F1973="Madrid", 11, 0))))</f>
        <v>#NAME?</v>
      </c>
      <c r="AG1973" s="69"/>
      <c r="AH1973" s="71" t="s">
        <v>164</v>
      </c>
      <c r="AS1973" s="23"/>
      <c r="AT1973" s="23"/>
      <c r="AU1973" s="23"/>
      <c r="AV1973" s="23"/>
      <c r="AW1973" s="23"/>
      <c r="AX1973" s="23"/>
      <c r="AY1973" s="23"/>
    </row>
    <row r="1974" spans="1:51" s="4" customFormat="1" ht="15" customHeight="1" x14ac:dyDescent="0.3">
      <c r="A1974" s="66" t="s">
        <v>3060</v>
      </c>
      <c r="B1974" s="66" t="s">
        <v>5177</v>
      </c>
      <c r="C1974" s="33">
        <v>1973</v>
      </c>
      <c r="D1974" s="33" t="s">
        <v>5400</v>
      </c>
      <c r="E1974" s="34" t="s">
        <v>5383</v>
      </c>
      <c r="F1974" s="34" t="s">
        <v>18</v>
      </c>
      <c r="G1974" s="57">
        <v>45771</v>
      </c>
      <c r="H1974" s="57">
        <v>45786</v>
      </c>
      <c r="I1974" s="34">
        <f t="shared" si="92"/>
        <v>0</v>
      </c>
      <c r="J1974" s="34">
        <v>40</v>
      </c>
      <c r="K1974" s="36">
        <v>0</v>
      </c>
      <c r="L1974" s="34" t="s">
        <v>17</v>
      </c>
      <c r="M1974" s="35">
        <v>39174</v>
      </c>
      <c r="N1974" s="37">
        <f>(YEAR(TablaMadre[[#This Row],[ALTA]])-YEAR(M1974))</f>
        <v>18</v>
      </c>
      <c r="O1974" s="34" t="s">
        <v>18</v>
      </c>
      <c r="P1974" s="34" t="s">
        <v>19</v>
      </c>
      <c r="Q1974" s="34" t="s">
        <v>392</v>
      </c>
      <c r="R1974" s="34" t="s">
        <v>30</v>
      </c>
      <c r="S1974" s="34" t="s">
        <v>301</v>
      </c>
      <c r="T1974" s="34" t="s">
        <v>806</v>
      </c>
      <c r="U1974" s="34" t="s">
        <v>347</v>
      </c>
      <c r="V1974" s="34" t="s">
        <v>27</v>
      </c>
      <c r="W1974" s="34" t="s">
        <v>23</v>
      </c>
      <c r="X1974" s="34" t="s">
        <v>974</v>
      </c>
      <c r="Y1974" s="57"/>
      <c r="Z1974" s="57" t="e">
        <f t="shared" si="93"/>
        <v>#NUM!</v>
      </c>
      <c r="AA1974" s="57"/>
      <c r="AB1974" s="34"/>
      <c r="AC1974" s="34"/>
      <c r="AD1974" s="34"/>
      <c r="AE1974" s="59" t="str">
        <f t="shared" si="94"/>
        <v>NO</v>
      </c>
      <c r="AF1974" s="34" t="e" cm="1">
        <f t="array" aca="1" ref="AF1974" ca="1">MIN(100, MAX(0, (IF(R1974="ESTUDIANTE", 31, 0)) + (IF(I1974&lt;=3, 30, IF(I1974&lt;=6, 20, 0))) +(IF(OR(E1974="413 - Control de Costes y Enlace Construcción", E1974="480 - Secretaría General del Consejo", E1974="132 - Civil y estructuras", E1974="136 - Mecánica", E1974="412 - Planificación", E1974="142 - Compras"), 25, 0)) +(IF(OR(S1974="GRADO ING. MECÁNICA", S1974="GRADO ING. ELÉCTRICA", S1974="GRADO DERECHO", S1974="GRADO ECONOMÍA", S1974="GRADO ING. TECNOLOGÍAS INDUSTRIALES"), 24, 0)) + (IF(AND(K1974&gt;=451, K1974&lt;=700), 23, 0)) + (IF(AND(AB1974&gt;=5, AB1974&lt;=8), 17, 0)) +(IF(_xludf.OR(_xludf.AND(AC1974&gt;=8, AC1974&lt;=10), _xludf.AND(AC1974&gt;=0, AC1974&lt;=5)), 16, 0)) + (IF(F1974="Madrid", 11, 0))))</f>
        <v>#NAME?</v>
      </c>
      <c r="AG1974" s="69"/>
      <c r="AH1974" s="71" t="s">
        <v>164</v>
      </c>
      <c r="AS1974" s="7"/>
      <c r="AT1974" s="7"/>
      <c r="AU1974" s="7"/>
      <c r="AV1974" s="7"/>
      <c r="AW1974" s="7"/>
      <c r="AX1974" s="7"/>
      <c r="AY1974" s="7"/>
    </row>
    <row r="1975" spans="1:51" s="4" customFormat="1" ht="15" customHeight="1" x14ac:dyDescent="0.3">
      <c r="A1975" s="66" t="s">
        <v>2954</v>
      </c>
      <c r="B1975" s="66" t="s">
        <v>5071</v>
      </c>
      <c r="C1975" s="33">
        <v>1974</v>
      </c>
      <c r="D1975" s="33" t="s">
        <v>5401</v>
      </c>
      <c r="E1975" s="34" t="s">
        <v>5252</v>
      </c>
      <c r="F1975" s="34" t="s">
        <v>18</v>
      </c>
      <c r="G1975" s="57">
        <v>45772</v>
      </c>
      <c r="H1975" s="57">
        <v>45804</v>
      </c>
      <c r="I1975" s="34">
        <f t="shared" si="92"/>
        <v>1</v>
      </c>
      <c r="J1975" s="34">
        <v>40</v>
      </c>
      <c r="K1975" s="36">
        <v>0</v>
      </c>
      <c r="L1975" s="34" t="s">
        <v>17</v>
      </c>
      <c r="M1975" s="35">
        <v>38724</v>
      </c>
      <c r="N1975" s="37">
        <f>(YEAR(TablaMadre[[#This Row],[ALTA]])-YEAR(M1975))</f>
        <v>19</v>
      </c>
      <c r="O1975" s="34" t="s">
        <v>18</v>
      </c>
      <c r="P1975" s="34" t="s">
        <v>19</v>
      </c>
      <c r="Q1975" s="34" t="s">
        <v>359</v>
      </c>
      <c r="R1975" s="34" t="s">
        <v>30</v>
      </c>
      <c r="S1975" s="34" t="s">
        <v>26</v>
      </c>
      <c r="T1975" s="34" t="s">
        <v>806</v>
      </c>
      <c r="U1975" s="34" t="s">
        <v>347</v>
      </c>
      <c r="V1975" s="34" t="s">
        <v>27</v>
      </c>
      <c r="W1975" s="34" t="s">
        <v>380</v>
      </c>
      <c r="X1975" s="34" t="s">
        <v>974</v>
      </c>
      <c r="Y1975" s="57"/>
      <c r="Z1975" s="57" t="e">
        <f t="shared" si="93"/>
        <v>#NUM!</v>
      </c>
      <c r="AA1975" s="57"/>
      <c r="AB1975" s="34"/>
      <c r="AC1975" s="34"/>
      <c r="AD1975" s="34"/>
      <c r="AE1975" s="59" t="str">
        <f t="shared" si="94"/>
        <v>NO</v>
      </c>
      <c r="AF1975" s="34" t="e" cm="1">
        <f t="array" aca="1" ref="AF1975" ca="1">MIN(100, MAX(0, (IF(R1975="ESTUDIANTE", 31, 0)) + (IF(I1975&lt;=3, 30, IF(I1975&lt;=6, 20, 0))) +(IF(OR(E1975="413 - Control de Costes y Enlace Construcción", E1975="480 - Secretaría General del Consejo", E1975="132 - Civil y estructuras", E1975="136 - Mecánica", E1975="412 - Planificación", E1975="142 - Compras"), 25, 0)) +(IF(OR(S1975="GRADO ING. MECÁNICA", S1975="GRADO ING. ELÉCTRICA", S1975="GRADO DERECHO", S1975="GRADO ECONOMÍA", S1975="GRADO ING. TECNOLOGÍAS INDUSTRIALES"), 24, 0)) + (IF(AND(K1975&gt;=451, K1975&lt;=700), 23, 0)) + (IF(AND(AB1975&gt;=5, AB1975&lt;=8), 17, 0)) +(IF(_xludf.OR(_xludf.AND(AC1975&gt;=8, AC1975&lt;=10), _xludf.AND(AC1975&gt;=0, AC1975&lt;=5)), 16, 0)) + (IF(F1975="Madrid", 11, 0))))</f>
        <v>#NAME?</v>
      </c>
      <c r="AG1975" s="69"/>
      <c r="AH1975" s="71" t="s">
        <v>164</v>
      </c>
      <c r="AS1975" s="7"/>
      <c r="AT1975" s="7"/>
      <c r="AU1975" s="7"/>
      <c r="AV1975" s="7"/>
      <c r="AW1975" s="7"/>
      <c r="AX1975" s="7"/>
      <c r="AY1975" s="7"/>
    </row>
    <row r="1976" spans="1:51" ht="15" customHeight="1" x14ac:dyDescent="0.3">
      <c r="A1976" s="66" t="s">
        <v>3061</v>
      </c>
      <c r="B1976" s="66" t="s">
        <v>5178</v>
      </c>
      <c r="C1976" s="33">
        <v>1975</v>
      </c>
      <c r="D1976" s="33" t="s">
        <v>5402</v>
      </c>
      <c r="E1976" s="34" t="s">
        <v>5323</v>
      </c>
      <c r="F1976" s="34" t="s">
        <v>18</v>
      </c>
      <c r="G1976" s="57">
        <v>45772</v>
      </c>
      <c r="H1976" s="57">
        <v>45804</v>
      </c>
      <c r="I1976" s="34">
        <f t="shared" si="92"/>
        <v>1</v>
      </c>
      <c r="J1976" s="34">
        <v>40</v>
      </c>
      <c r="K1976" s="36">
        <v>0</v>
      </c>
      <c r="L1976" s="34" t="s">
        <v>17</v>
      </c>
      <c r="M1976" s="35">
        <v>37915</v>
      </c>
      <c r="N1976" s="37">
        <f>(YEAR(TablaMadre[[#This Row],[ALTA]])-YEAR(M1976))</f>
        <v>22</v>
      </c>
      <c r="O1976" s="34" t="s">
        <v>18</v>
      </c>
      <c r="P1976" s="34" t="s">
        <v>19</v>
      </c>
      <c r="Q1976" s="34" t="s">
        <v>836</v>
      </c>
      <c r="R1976" s="34" t="s">
        <v>30</v>
      </c>
      <c r="S1976" s="34" t="s">
        <v>26</v>
      </c>
      <c r="T1976" s="34" t="s">
        <v>806</v>
      </c>
      <c r="U1976" s="34" t="s">
        <v>347</v>
      </c>
      <c r="V1976" s="34" t="s">
        <v>27</v>
      </c>
      <c r="W1976" s="34" t="s">
        <v>380</v>
      </c>
      <c r="X1976" s="40" t="s">
        <v>164</v>
      </c>
      <c r="Y1976" s="63"/>
      <c r="Z1976" s="63" t="e">
        <f t="shared" si="93"/>
        <v>#NUM!</v>
      </c>
      <c r="AA1976" s="63"/>
      <c r="AB1976" s="34"/>
      <c r="AC1976" s="34"/>
      <c r="AD1976" s="40"/>
      <c r="AE1976" s="59" t="str">
        <f t="shared" si="94"/>
        <v>NO</v>
      </c>
      <c r="AF1976" s="40" t="e" cm="1">
        <f t="array" aca="1" ref="AF1976" ca="1">MIN(100, MAX(0, (IF(R1976="ESTUDIANTE", 31, 0)) + (IF(I1976&lt;=3, 30, IF(I1976&lt;=6, 20, 0))) +(IF(OR(E1976="413 - Control de Costes y Enlace Construcción", E1976="480 - Secretaría General del Consejo", E1976="132 - Civil y estructuras", E1976="136 - Mecánica", E1976="412 - Planificación", E1976="142 - Compras"), 25, 0)) +(IF(OR(S1976="GRADO ING. MECÁNICA", S1976="GRADO ING. ELÉCTRICA", S1976="GRADO DERECHO", S1976="GRADO ECONOMÍA", S1976="GRADO ING. TECNOLOGÍAS INDUSTRIALES"), 24, 0)) + (IF(AND(K1976&gt;=451, K1976&lt;=700), 23, 0)) + (IF(AND(AB1976&gt;=5, AB1976&lt;=8), 17, 0)) +(IF(_xludf.OR(_xludf.AND(AC1976&gt;=8, AC1976&lt;=10), _xludf.AND(AC1976&gt;=0, AC1976&lt;=5)), 16, 0)) + (IF(F1976="Madrid", 11, 0))))</f>
        <v>#NAME?</v>
      </c>
      <c r="AG1976" s="70"/>
      <c r="AH1976" s="71" t="s">
        <v>164</v>
      </c>
      <c r="AI1976" s="9"/>
      <c r="AJ1976" s="9"/>
      <c r="AK1976" s="9"/>
      <c r="AL1976" s="9"/>
      <c r="AM1976" s="9"/>
      <c r="AN1976" s="9"/>
      <c r="AO1976" s="9"/>
      <c r="AP1976" s="9"/>
      <c r="AQ1976" s="9"/>
      <c r="AR1976" s="9"/>
      <c r="AS1976" s="11"/>
      <c r="AT1976" s="11"/>
      <c r="AU1976" s="11"/>
      <c r="AV1976" s="11"/>
      <c r="AW1976" s="11"/>
      <c r="AX1976" s="11"/>
      <c r="AY1976" s="11"/>
    </row>
    <row r="1977" spans="1:51" s="4" customFormat="1" ht="15" customHeight="1" x14ac:dyDescent="0.3">
      <c r="A1977" s="66" t="s">
        <v>3064</v>
      </c>
      <c r="B1977" s="66" t="s">
        <v>5181</v>
      </c>
      <c r="C1977" s="33">
        <v>1976</v>
      </c>
      <c r="D1977" s="33" t="s">
        <v>5393</v>
      </c>
      <c r="E1977" s="34" t="s">
        <v>5323</v>
      </c>
      <c r="F1977" s="34" t="s">
        <v>18</v>
      </c>
      <c r="G1977" s="57">
        <v>45772</v>
      </c>
      <c r="H1977" s="57">
        <v>45804</v>
      </c>
      <c r="I1977" s="34">
        <f t="shared" si="92"/>
        <v>1</v>
      </c>
      <c r="J1977" s="34">
        <v>40</v>
      </c>
      <c r="K1977" s="36">
        <v>0</v>
      </c>
      <c r="L1977" s="34" t="s">
        <v>29</v>
      </c>
      <c r="M1977" s="35">
        <v>35166</v>
      </c>
      <c r="N1977" s="37">
        <f>(YEAR(TablaMadre[[#This Row],[ALTA]])-YEAR(M1977))</f>
        <v>29</v>
      </c>
      <c r="O1977" s="34" t="s">
        <v>191</v>
      </c>
      <c r="P1977" s="34" t="s">
        <v>191</v>
      </c>
      <c r="Q1977" s="34" t="s">
        <v>836</v>
      </c>
      <c r="R1977" s="34" t="s">
        <v>30</v>
      </c>
      <c r="S1977" s="34" t="s">
        <v>26</v>
      </c>
      <c r="T1977" s="34" t="s">
        <v>806</v>
      </c>
      <c r="U1977" s="34" t="s">
        <v>347</v>
      </c>
      <c r="V1977" s="34" t="s">
        <v>27</v>
      </c>
      <c r="W1977" s="34" t="s">
        <v>380</v>
      </c>
      <c r="X1977" s="34" t="s">
        <v>164</v>
      </c>
      <c r="Y1977" s="57"/>
      <c r="Z1977" s="57" t="e">
        <f t="shared" si="93"/>
        <v>#NUM!</v>
      </c>
      <c r="AA1977" s="57"/>
      <c r="AB1977" s="34"/>
      <c r="AC1977" s="34"/>
      <c r="AD1977" s="34"/>
      <c r="AE1977" s="59" t="str">
        <f t="shared" si="94"/>
        <v>SÍ</v>
      </c>
      <c r="AF1977" s="34" t="e" cm="1">
        <f t="array" aca="1" ref="AF1977" ca="1">MIN(100, MAX(0, (IF(R1977="ESTUDIANTE", 31, 0)) + (IF(I1977&lt;=3, 30, IF(I1977&lt;=6, 20, 0))) +(IF(OR(E1977="413 - Control de Costes y Enlace Construcción", E1977="480 - Secretaría General del Consejo", E1977="132 - Civil y estructuras", E1977="136 - Mecánica", E1977="412 - Planificación", E1977="142 - Compras"), 25, 0)) +(IF(OR(S1977="GRADO ING. MECÁNICA", S1977="GRADO ING. ELÉCTRICA", S1977="GRADO DERECHO", S1977="GRADO ECONOMÍA", S1977="GRADO ING. TECNOLOGÍAS INDUSTRIALES"), 24, 0)) + (IF(AND(K1977&gt;=451, K1977&lt;=700), 23, 0)) + (IF(AND(AB1977&gt;=5, AB1977&lt;=8), 17, 0)) +(IF(_xludf.OR(_xludf.AND(AC1977&gt;=8, AC1977&lt;=10), _xludf.AND(AC1977&gt;=0, AC1977&lt;=5)), 16, 0)) + (IF(F1977="Madrid", 11, 0))))</f>
        <v>#NAME?</v>
      </c>
      <c r="AG1977" s="69"/>
      <c r="AH1977" s="71" t="s">
        <v>164</v>
      </c>
      <c r="AS1977" s="7"/>
      <c r="AT1977" s="7"/>
      <c r="AU1977" s="7"/>
      <c r="AV1977" s="7"/>
      <c r="AW1977" s="7"/>
      <c r="AX1977" s="7"/>
      <c r="AY1977" s="7"/>
    </row>
    <row r="1978" spans="1:51" ht="15" customHeight="1" x14ac:dyDescent="0.3">
      <c r="A1978" s="66" t="s">
        <v>3065</v>
      </c>
      <c r="B1978" s="66" t="s">
        <v>5182</v>
      </c>
      <c r="C1978" s="33">
        <v>1977</v>
      </c>
      <c r="D1978" s="33" t="s">
        <v>5394</v>
      </c>
      <c r="E1978" s="34" t="s">
        <v>5306</v>
      </c>
      <c r="F1978" s="34" t="s">
        <v>18</v>
      </c>
      <c r="G1978" s="57">
        <v>45772</v>
      </c>
      <c r="H1978" s="57">
        <v>45804</v>
      </c>
      <c r="I1978" s="34">
        <f t="shared" si="92"/>
        <v>1</v>
      </c>
      <c r="J1978" s="34">
        <v>40</v>
      </c>
      <c r="K1978" s="36">
        <v>0</v>
      </c>
      <c r="L1978" s="34" t="s">
        <v>17</v>
      </c>
      <c r="M1978" s="35">
        <v>38932</v>
      </c>
      <c r="N1978" s="37">
        <f>(YEAR(TablaMadre[[#This Row],[ALTA]])-YEAR(M1978))</f>
        <v>19</v>
      </c>
      <c r="O1978" s="34" t="s">
        <v>18</v>
      </c>
      <c r="P1978" s="34" t="s">
        <v>19</v>
      </c>
      <c r="Q1978" s="34" t="s">
        <v>359</v>
      </c>
      <c r="R1978" s="34" t="s">
        <v>30</v>
      </c>
      <c r="S1978" s="34" t="s">
        <v>26</v>
      </c>
      <c r="T1978" s="34" t="s">
        <v>806</v>
      </c>
      <c r="U1978" s="34" t="s">
        <v>347</v>
      </c>
      <c r="V1978" s="34" t="s">
        <v>27</v>
      </c>
      <c r="W1978" s="34" t="s">
        <v>380</v>
      </c>
      <c r="X1978" s="40" t="s">
        <v>974</v>
      </c>
      <c r="Y1978" s="63"/>
      <c r="Z1978" s="63" t="e">
        <f t="shared" si="93"/>
        <v>#NUM!</v>
      </c>
      <c r="AA1978" s="63"/>
      <c r="AB1978" s="34"/>
      <c r="AC1978" s="34"/>
      <c r="AD1978" s="40"/>
      <c r="AE1978" s="59" t="str">
        <f t="shared" si="94"/>
        <v>NO</v>
      </c>
      <c r="AF1978" s="40" t="e" cm="1">
        <f t="array" aca="1" ref="AF1978" ca="1">MIN(100, MAX(0, (IF(R1978="ESTUDIANTE", 31, 0)) + (IF(I1978&lt;=3, 30, IF(I1978&lt;=6, 20, 0))) +(IF(OR(E1978="413 - Control de Costes y Enlace Construcción", E1978="480 - Secretaría General del Consejo", E1978="132 - Civil y estructuras", E1978="136 - Mecánica", E1978="412 - Planificación", E1978="142 - Compras"), 25, 0)) +(IF(OR(S1978="GRADO ING. MECÁNICA", S1978="GRADO ING. ELÉCTRICA", S1978="GRADO DERECHO", S1978="GRADO ECONOMÍA", S1978="GRADO ING. TECNOLOGÍAS INDUSTRIALES"), 24, 0)) + (IF(AND(K1978&gt;=451, K1978&lt;=700), 23, 0)) + (IF(AND(AB1978&gt;=5, AB1978&lt;=8), 17, 0)) +(IF(_xludf.OR(_xludf.AND(AC1978&gt;=8, AC1978&lt;=10), _xludf.AND(AC1978&gt;=0, AC1978&lt;=5)), 16, 0)) + (IF(F1978="Madrid", 11, 0))))</f>
        <v>#NAME?</v>
      </c>
      <c r="AG1978" s="70"/>
      <c r="AH1978" s="71" t="s">
        <v>164</v>
      </c>
      <c r="AI1978" s="9"/>
      <c r="AJ1978" s="9"/>
      <c r="AK1978" s="9"/>
      <c r="AL1978" s="9"/>
      <c r="AM1978" s="9"/>
      <c r="AN1978" s="9"/>
      <c r="AO1978" s="9"/>
      <c r="AP1978" s="9"/>
      <c r="AQ1978" s="9"/>
      <c r="AR1978" s="9"/>
      <c r="AS1978" s="11"/>
      <c r="AT1978" s="11"/>
      <c r="AU1978" s="11"/>
      <c r="AV1978" s="11"/>
      <c r="AW1978" s="11"/>
      <c r="AX1978" s="11"/>
      <c r="AY1978" s="11"/>
    </row>
    <row r="1979" spans="1:51" s="4" customFormat="1" ht="15" customHeight="1" x14ac:dyDescent="0.3">
      <c r="A1979" s="66" t="s">
        <v>2885</v>
      </c>
      <c r="B1979" s="66" t="s">
        <v>5002</v>
      </c>
      <c r="C1979" s="33">
        <v>1979</v>
      </c>
      <c r="D1979" s="33" t="s">
        <v>5403</v>
      </c>
      <c r="E1979" s="34" t="s">
        <v>5323</v>
      </c>
      <c r="F1979" s="34" t="s">
        <v>558</v>
      </c>
      <c r="G1979" s="57">
        <v>45775</v>
      </c>
      <c r="H1979" s="57">
        <v>45798</v>
      </c>
      <c r="I1979" s="34">
        <f t="shared" si="92"/>
        <v>0</v>
      </c>
      <c r="J1979" s="34">
        <v>40</v>
      </c>
      <c r="K1979" s="36">
        <v>0</v>
      </c>
      <c r="L1979" s="34" t="s">
        <v>17</v>
      </c>
      <c r="M1979" s="35">
        <v>34777</v>
      </c>
      <c r="N1979" s="37">
        <f>(YEAR(TablaMadre[[#This Row],[ALTA]])-YEAR(M1979))</f>
        <v>30</v>
      </c>
      <c r="O1979" s="34" t="s">
        <v>558</v>
      </c>
      <c r="P1979" s="34" t="s">
        <v>19</v>
      </c>
      <c r="Q1979" s="34" t="s">
        <v>836</v>
      </c>
      <c r="R1979" s="34" t="s">
        <v>30</v>
      </c>
      <c r="S1979" s="34" t="s">
        <v>26</v>
      </c>
      <c r="T1979" s="34" t="s">
        <v>806</v>
      </c>
      <c r="U1979" s="34" t="s">
        <v>347</v>
      </c>
      <c r="V1979" s="34" t="s">
        <v>27</v>
      </c>
      <c r="W1979" s="34" t="s">
        <v>380</v>
      </c>
      <c r="X1979" s="34" t="s">
        <v>974</v>
      </c>
      <c r="Y1979" s="57"/>
      <c r="Z1979" s="57" t="e">
        <f t="shared" si="93"/>
        <v>#NUM!</v>
      </c>
      <c r="AA1979" s="57"/>
      <c r="AB1979" s="34"/>
      <c r="AC1979" s="34"/>
      <c r="AD1979" s="34"/>
      <c r="AE1979" s="59" t="str">
        <f t="shared" si="94"/>
        <v>NO</v>
      </c>
      <c r="AF1979" s="34" t="e" cm="1">
        <f t="array" aca="1" ref="AF1979" ca="1">MIN(100, MAX(0, (IF(R1979="ESTUDIANTE", 31, 0)) + (IF(I1979&lt;=3, 30, IF(I1979&lt;=6, 20, 0))) +(IF(OR(E1979="413 - Control de Costes y Enlace Construcción", E1979="480 - Secretaría General del Consejo", E1979="132 - Civil y estructuras", E1979="136 - Mecánica", E1979="412 - Planificación", E1979="142 - Compras"), 25, 0)) +(IF(OR(S1979="GRADO ING. MECÁNICA", S1979="GRADO ING. ELÉCTRICA", S1979="GRADO DERECHO", S1979="GRADO ECONOMÍA", S1979="GRADO ING. TECNOLOGÍAS INDUSTRIALES"), 24, 0)) + (IF(AND(K1979&gt;=451, K1979&lt;=700), 23, 0)) + (IF(AND(AB1979&gt;=5, AB1979&lt;=8), 17, 0)) +(IF(_xludf.OR(_xludf.AND(AC1979&gt;=8, AC1979&lt;=10), _xludf.AND(AC1979&gt;=0, AC1979&lt;=5)), 16, 0)) + (IF(F1979="Madrid", 11, 0))))</f>
        <v>#NAME?</v>
      </c>
      <c r="AG1979" s="69"/>
      <c r="AH1979" s="71" t="s">
        <v>164</v>
      </c>
      <c r="AS1979" s="7"/>
      <c r="AT1979" s="7"/>
      <c r="AU1979" s="7"/>
      <c r="AV1979" s="7"/>
      <c r="AW1979" s="7"/>
      <c r="AX1979" s="7"/>
      <c r="AY1979" s="7"/>
    </row>
    <row r="1980" spans="1:51" s="4" customFormat="1" ht="15" customHeight="1" x14ac:dyDescent="0.3">
      <c r="A1980" s="66" t="s">
        <v>2889</v>
      </c>
      <c r="B1980" s="66" t="s">
        <v>5006</v>
      </c>
      <c r="C1980" s="33">
        <v>1978</v>
      </c>
      <c r="D1980" s="33" t="s">
        <v>5404</v>
      </c>
      <c r="E1980" s="34" t="s">
        <v>5246</v>
      </c>
      <c r="F1980" s="34" t="s">
        <v>558</v>
      </c>
      <c r="G1980" s="57">
        <v>45775</v>
      </c>
      <c r="H1980" s="57">
        <v>45798</v>
      </c>
      <c r="I1980" s="34">
        <f t="shared" si="92"/>
        <v>0</v>
      </c>
      <c r="J1980" s="34">
        <v>40</v>
      </c>
      <c r="K1980" s="36">
        <v>0</v>
      </c>
      <c r="L1980" s="34" t="s">
        <v>17</v>
      </c>
      <c r="M1980" s="35">
        <v>38699</v>
      </c>
      <c r="N1980" s="37">
        <f>(YEAR(TablaMadre[[#This Row],[ALTA]])-YEAR(M1980))</f>
        <v>20</v>
      </c>
      <c r="O1980" s="34" t="s">
        <v>558</v>
      </c>
      <c r="P1980" s="34" t="s">
        <v>19</v>
      </c>
      <c r="Q1980" s="34" t="s">
        <v>729</v>
      </c>
      <c r="R1980" s="34" t="s">
        <v>30</v>
      </c>
      <c r="S1980" s="34" t="s">
        <v>26</v>
      </c>
      <c r="T1980" s="34" t="s">
        <v>806</v>
      </c>
      <c r="U1980" s="34" t="s">
        <v>347</v>
      </c>
      <c r="V1980" s="34" t="s">
        <v>27</v>
      </c>
      <c r="W1980" s="34" t="s">
        <v>380</v>
      </c>
      <c r="X1980" s="34" t="s">
        <v>974</v>
      </c>
      <c r="Y1980" s="57"/>
      <c r="Z1980" s="57" t="e">
        <f t="shared" si="93"/>
        <v>#NUM!</v>
      </c>
      <c r="AA1980" s="57"/>
      <c r="AB1980" s="34"/>
      <c r="AC1980" s="34"/>
      <c r="AD1980" s="34"/>
      <c r="AE1980" s="59" t="str">
        <f t="shared" si="94"/>
        <v>NO</v>
      </c>
      <c r="AF1980" s="34" t="e" cm="1">
        <f t="array" aca="1" ref="AF1980" ca="1">MIN(100, MAX(0, (IF(R1980="ESTUDIANTE", 31, 0)) + (IF(I1980&lt;=3, 30, IF(I1980&lt;=6, 20, 0))) +(IF(OR(E1980="413 - Control de Costes y Enlace Construcción", E1980="480 - Secretaría General del Consejo", E1980="132 - Civil y estructuras", E1980="136 - Mecánica", E1980="412 - Planificación", E1980="142 - Compras"), 25, 0)) +(IF(OR(S1980="GRADO ING. MECÁNICA", S1980="GRADO ING. ELÉCTRICA", S1980="GRADO DERECHO", S1980="GRADO ECONOMÍA", S1980="GRADO ING. TECNOLOGÍAS INDUSTRIALES"), 24, 0)) + (IF(AND(K1980&gt;=451, K1980&lt;=700), 23, 0)) + (IF(AND(AB1980&gt;=5, AB1980&lt;=8), 17, 0)) +(IF(_xludf.OR(_xludf.AND(AC1980&gt;=8, AC1980&lt;=10), _xludf.AND(AC1980&gt;=0, AC1980&lt;=5)), 16, 0)) + (IF(F1980="Madrid", 11, 0))))</f>
        <v>#NAME?</v>
      </c>
      <c r="AG1980" s="69"/>
      <c r="AH1980" s="71" t="s">
        <v>164</v>
      </c>
      <c r="AS1980" s="7"/>
      <c r="AT1980" s="7"/>
      <c r="AU1980" s="7"/>
      <c r="AV1980" s="7"/>
      <c r="AW1980" s="7"/>
      <c r="AX1980" s="7"/>
      <c r="AY1980" s="7"/>
    </row>
    <row r="1981" spans="1:51" s="4" customFormat="1" ht="15" customHeight="1" x14ac:dyDescent="0.3">
      <c r="A1981" s="66" t="s">
        <v>2890</v>
      </c>
      <c r="B1981" s="66" t="s">
        <v>5007</v>
      </c>
      <c r="C1981" s="33">
        <v>1980</v>
      </c>
      <c r="D1981" s="33" t="s">
        <v>5405</v>
      </c>
      <c r="E1981" s="34" t="s">
        <v>5252</v>
      </c>
      <c r="F1981" s="34" t="s">
        <v>558</v>
      </c>
      <c r="G1981" s="57">
        <v>45775</v>
      </c>
      <c r="H1981" s="57">
        <v>45799</v>
      </c>
      <c r="I1981" s="34">
        <f t="shared" si="92"/>
        <v>0</v>
      </c>
      <c r="J1981" s="34">
        <v>40</v>
      </c>
      <c r="K1981" s="36">
        <v>0</v>
      </c>
      <c r="L1981" s="34" t="s">
        <v>17</v>
      </c>
      <c r="M1981" s="35">
        <v>35460</v>
      </c>
      <c r="N1981" s="37">
        <f>(YEAR(TablaMadre[[#This Row],[ALTA]])-YEAR(M1981))</f>
        <v>28</v>
      </c>
      <c r="O1981" s="34" t="s">
        <v>837</v>
      </c>
      <c r="P1981" s="34" t="s">
        <v>837</v>
      </c>
      <c r="Q1981" s="34" t="s">
        <v>359</v>
      </c>
      <c r="R1981" s="34" t="s">
        <v>30</v>
      </c>
      <c r="S1981" s="34" t="s">
        <v>26</v>
      </c>
      <c r="T1981" s="34" t="s">
        <v>806</v>
      </c>
      <c r="U1981" s="34" t="s">
        <v>347</v>
      </c>
      <c r="V1981" s="34" t="s">
        <v>27</v>
      </c>
      <c r="W1981" s="34" t="s">
        <v>380</v>
      </c>
      <c r="X1981" s="34" t="s">
        <v>974</v>
      </c>
      <c r="Y1981" s="57"/>
      <c r="Z1981" s="57" t="e">
        <f t="shared" si="93"/>
        <v>#NUM!</v>
      </c>
      <c r="AA1981" s="57"/>
      <c r="AB1981" s="34"/>
      <c r="AC1981" s="34"/>
      <c r="AD1981" s="34"/>
      <c r="AE1981" s="59" t="str">
        <f t="shared" si="94"/>
        <v>SÍ</v>
      </c>
      <c r="AF1981" s="34" t="e" cm="1">
        <f t="array" aca="1" ref="AF1981" ca="1">MIN(100, MAX(0, (IF(R1981="ESTUDIANTE", 31, 0)) + (IF(I1981&lt;=3, 30, IF(I1981&lt;=6, 20, 0))) +(IF(OR(E1981="413 - Control de Costes y Enlace Construcción", E1981="480 - Secretaría General del Consejo", E1981="132 - Civil y estructuras", E1981="136 - Mecánica", E1981="412 - Planificación", E1981="142 - Compras"), 25, 0)) +(IF(OR(S1981="GRADO ING. MECÁNICA", S1981="GRADO ING. ELÉCTRICA", S1981="GRADO DERECHO", S1981="GRADO ECONOMÍA", S1981="GRADO ING. TECNOLOGÍAS INDUSTRIALES"), 24, 0)) + (IF(AND(K1981&gt;=451, K1981&lt;=700), 23, 0)) + (IF(AND(AB1981&gt;=5, AB1981&lt;=8), 17, 0)) +(IF(_xludf.OR(_xludf.AND(AC1981&gt;=8, AC1981&lt;=10), _xludf.AND(AC1981&gt;=0, AC1981&lt;=5)), 16, 0)) + (IF(F1981="Madrid", 11, 0))))</f>
        <v>#NAME?</v>
      </c>
      <c r="AG1981" s="69"/>
      <c r="AH1981" s="71" t="s">
        <v>164</v>
      </c>
      <c r="AS1981" s="7"/>
      <c r="AT1981" s="7"/>
      <c r="AU1981" s="7"/>
      <c r="AV1981" s="7"/>
      <c r="AW1981" s="7"/>
      <c r="AX1981" s="7"/>
      <c r="AY1981" s="7"/>
    </row>
    <row r="1982" spans="1:51" s="4" customFormat="1" ht="15" customHeight="1" x14ac:dyDescent="0.3">
      <c r="A1982" s="66" t="s">
        <v>2956</v>
      </c>
      <c r="B1982" s="66" t="s">
        <v>5073</v>
      </c>
      <c r="C1982" s="33">
        <v>1981</v>
      </c>
      <c r="D1982" s="33" t="s">
        <v>5396</v>
      </c>
      <c r="E1982" s="34" t="s">
        <v>5252</v>
      </c>
      <c r="F1982" s="34" t="s">
        <v>18</v>
      </c>
      <c r="G1982" s="57">
        <v>45776</v>
      </c>
      <c r="H1982" s="57">
        <v>45808</v>
      </c>
      <c r="I1982" s="34">
        <f t="shared" si="92"/>
        <v>1</v>
      </c>
      <c r="J1982" s="34">
        <v>40</v>
      </c>
      <c r="K1982" s="36">
        <v>0</v>
      </c>
      <c r="L1982" s="34" t="s">
        <v>17</v>
      </c>
      <c r="M1982" s="35">
        <v>38531</v>
      </c>
      <c r="N1982" s="37">
        <f>(YEAR(TablaMadre[[#This Row],[ALTA]])-YEAR(M1982))</f>
        <v>20</v>
      </c>
      <c r="O1982" s="34" t="s">
        <v>18</v>
      </c>
      <c r="P1982" s="34" t="s">
        <v>19</v>
      </c>
      <c r="Q1982" s="34" t="s">
        <v>359</v>
      </c>
      <c r="R1982" s="34" t="s">
        <v>30</v>
      </c>
      <c r="S1982" s="34" t="s">
        <v>26</v>
      </c>
      <c r="T1982" s="34" t="s">
        <v>806</v>
      </c>
      <c r="U1982" s="34" t="s">
        <v>347</v>
      </c>
      <c r="V1982" s="34" t="s">
        <v>27</v>
      </c>
      <c r="W1982" s="34" t="s">
        <v>380</v>
      </c>
      <c r="X1982" s="34" t="s">
        <v>974</v>
      </c>
      <c r="Y1982" s="57"/>
      <c r="Z1982" s="57" t="e">
        <f t="shared" si="93"/>
        <v>#NUM!</v>
      </c>
      <c r="AA1982" s="57"/>
      <c r="AB1982" s="34"/>
      <c r="AC1982" s="34"/>
      <c r="AD1982" s="34"/>
      <c r="AE1982" s="59" t="str">
        <f t="shared" si="94"/>
        <v>NO</v>
      </c>
      <c r="AF1982" s="34" t="e" cm="1">
        <f t="array" aca="1" ref="AF1982" ca="1">MIN(100, MAX(0, (IF(R1982="ESTUDIANTE", 31, 0)) + (IF(I1982&lt;=3, 30, IF(I1982&lt;=6, 20, 0))) +(IF(OR(E1982="413 - Control de Costes y Enlace Construcción", E1982="480 - Secretaría General del Consejo", E1982="132 - Civil y estructuras", E1982="136 - Mecánica", E1982="412 - Planificación", E1982="142 - Compras"), 25, 0)) +(IF(OR(S1982="GRADO ING. MECÁNICA", S1982="GRADO ING. ELÉCTRICA", S1982="GRADO DERECHO", S1982="GRADO ECONOMÍA", S1982="GRADO ING. TECNOLOGÍAS INDUSTRIALES"), 24, 0)) + (IF(AND(K1982&gt;=451, K1982&lt;=700), 23, 0)) + (IF(AND(AB1982&gt;=5, AB1982&lt;=8), 17, 0)) +(IF(_xludf.OR(_xludf.AND(AC1982&gt;=8, AC1982&lt;=10), _xludf.AND(AC1982&gt;=0, AC1982&lt;=5)), 16, 0)) + (IF(F1982="Madrid", 11, 0))))</f>
        <v>#NAME?</v>
      </c>
      <c r="AG1982" s="69"/>
      <c r="AH1982" s="71" t="s">
        <v>164</v>
      </c>
    </row>
    <row r="1983" spans="1:51" s="4" customFormat="1" ht="14.4" x14ac:dyDescent="0.3">
      <c r="A1983" s="66" t="s">
        <v>2810</v>
      </c>
      <c r="B1983" s="66" t="s">
        <v>4927</v>
      </c>
      <c r="C1983" s="33">
        <v>1988</v>
      </c>
      <c r="D1983" s="33" t="s">
        <v>5397</v>
      </c>
      <c r="E1983" s="34" t="s">
        <v>5273</v>
      </c>
      <c r="F1983" s="34" t="s">
        <v>18</v>
      </c>
      <c r="G1983" s="57">
        <v>45782</v>
      </c>
      <c r="H1983" s="57">
        <v>45965</v>
      </c>
      <c r="I1983" s="34">
        <f t="shared" si="92"/>
        <v>5</v>
      </c>
      <c r="J1983" s="34">
        <v>35</v>
      </c>
      <c r="K1983" s="36">
        <v>1200</v>
      </c>
      <c r="L1983" s="34" t="s">
        <v>17</v>
      </c>
      <c r="M1983" s="39">
        <v>36997</v>
      </c>
      <c r="N1983" s="37">
        <f>(YEAR(TablaMadre[[#This Row],[ALTA]])-YEAR(M1983))</f>
        <v>24</v>
      </c>
      <c r="O1983" s="34" t="s">
        <v>226</v>
      </c>
      <c r="P1983" s="34" t="s">
        <v>19</v>
      </c>
      <c r="Q1983" s="34" t="s">
        <v>136</v>
      </c>
      <c r="R1983" s="34" t="s">
        <v>21</v>
      </c>
      <c r="S1983" s="34" t="s">
        <v>136</v>
      </c>
      <c r="T1983" s="34" t="s">
        <v>823</v>
      </c>
      <c r="U1983" s="34" t="s">
        <v>21</v>
      </c>
      <c r="V1983" s="34" t="s">
        <v>122</v>
      </c>
      <c r="W1983" s="34" t="s">
        <v>23</v>
      </c>
      <c r="X1983" s="38" t="s">
        <v>164</v>
      </c>
      <c r="Y1983" s="62"/>
      <c r="Z1983" s="62" t="e">
        <f t="shared" si="93"/>
        <v>#NUM!</v>
      </c>
      <c r="AA1983" s="62"/>
      <c r="AB1983" s="34">
        <v>8</v>
      </c>
      <c r="AC1983" s="34">
        <v>5</v>
      </c>
      <c r="AD1983" s="38"/>
      <c r="AE1983" s="59" t="str">
        <f t="shared" si="94"/>
        <v>SÍ</v>
      </c>
      <c r="AF1983" s="34" t="e" cm="1">
        <f t="array" aca="1" ref="AF1983" ca="1">MIN(100, MAX(0, (IF(R1983="ESTUDIANTE", 31, 0)) + (IF(I1983&lt;=3, 30, IF(I1983&lt;=6, 20, 0))) +(IF(OR(E1983="413 - Control de Costes y Enlace Construcción", E1983="480 - Secretaría General del Consejo", E1983="132 - Civil y estructuras", E1983="136 - Mecánica", E1983="412 - Planificación", E1983="142 - Compras"), 25, 0)) +(IF(OR(S1983="GRADO ING. MECÁNICA", S1983="GRADO ING. ELÉCTRICA", S1983="GRADO DERECHO", S1983="GRADO ECONOMÍA", S1983="GRADO ING. TECNOLOGÍAS INDUSTRIALES"), 24, 0)) + (IF(AND(K1983&gt;=451, K1983&lt;=700), 23, 0)) + (IF(AND(AB1983&gt;=5, AB1983&lt;=8), 17, 0)) +(IF(_xludf.OR(_xludf.AND(AC1983&gt;=8, AC1983&lt;=10), _xludf.AND(AC1983&gt;=0, AC1983&lt;=5)), 16, 0)) + (IF(F1983="Madrid", 11, 0))))</f>
        <v>#NAME?</v>
      </c>
      <c r="AG1983" s="69"/>
      <c r="AH1983" s="71" t="s">
        <v>164</v>
      </c>
    </row>
    <row r="1984" spans="1:51" s="4" customFormat="1" ht="15" customHeight="1" x14ac:dyDescent="0.3">
      <c r="A1984" s="66" t="s">
        <v>2892</v>
      </c>
      <c r="B1984" s="66" t="s">
        <v>5009</v>
      </c>
      <c r="C1984" s="33">
        <v>1983</v>
      </c>
      <c r="D1984" s="33" t="s">
        <v>5393</v>
      </c>
      <c r="E1984" s="34" t="s">
        <v>5285</v>
      </c>
      <c r="F1984" s="34" t="s">
        <v>558</v>
      </c>
      <c r="G1984" s="57">
        <v>45782</v>
      </c>
      <c r="H1984" s="57">
        <v>45803</v>
      </c>
      <c r="I1984" s="34">
        <f t="shared" si="92"/>
        <v>0</v>
      </c>
      <c r="J1984" s="34">
        <v>40</v>
      </c>
      <c r="K1984" s="36">
        <v>0</v>
      </c>
      <c r="L1984" s="34" t="s">
        <v>17</v>
      </c>
      <c r="M1984" s="35">
        <v>37724</v>
      </c>
      <c r="N1984" s="37">
        <f>(YEAR(TablaMadre[[#This Row],[ALTA]])-YEAR(M1984))</f>
        <v>22</v>
      </c>
      <c r="O1984" s="34" t="s">
        <v>558</v>
      </c>
      <c r="P1984" s="34" t="s">
        <v>19</v>
      </c>
      <c r="Q1984" s="34" t="s">
        <v>805</v>
      </c>
      <c r="R1984" s="34" t="s">
        <v>30</v>
      </c>
      <c r="S1984" s="34" t="s">
        <v>26</v>
      </c>
      <c r="T1984" s="34" t="s">
        <v>806</v>
      </c>
      <c r="U1984" s="34" t="s">
        <v>347</v>
      </c>
      <c r="V1984" s="34" t="s">
        <v>27</v>
      </c>
      <c r="W1984" s="34" t="s">
        <v>380</v>
      </c>
      <c r="X1984" s="34" t="s">
        <v>974</v>
      </c>
      <c r="Y1984" s="57"/>
      <c r="Z1984" s="57" t="e">
        <f t="shared" si="93"/>
        <v>#NUM!</v>
      </c>
      <c r="AA1984" s="57"/>
      <c r="AB1984" s="34"/>
      <c r="AC1984" s="34"/>
      <c r="AD1984" s="34"/>
      <c r="AE1984" s="59" t="str">
        <f t="shared" si="94"/>
        <v>NO</v>
      </c>
      <c r="AF1984" s="34" t="e" cm="1">
        <f t="array" aca="1" ref="AF1984" ca="1">MIN(100, MAX(0, (IF(R1984="ESTUDIANTE", 31, 0)) + (IF(I1984&lt;=3, 30, IF(I1984&lt;=6, 20, 0))) +(IF(OR(E1984="413 - Control de Costes y Enlace Construcción", E1984="480 - Secretaría General del Consejo", E1984="132 - Civil y estructuras", E1984="136 - Mecánica", E1984="412 - Planificación", E1984="142 - Compras"), 25, 0)) +(IF(OR(S1984="GRADO ING. MECÁNICA", S1984="GRADO ING. ELÉCTRICA", S1984="GRADO DERECHO", S1984="GRADO ECONOMÍA", S1984="GRADO ING. TECNOLOGÍAS INDUSTRIALES"), 24, 0)) + (IF(AND(K1984&gt;=451, K1984&lt;=700), 23, 0)) + (IF(AND(AB1984&gt;=5, AB1984&lt;=8), 17, 0)) +(IF(_xludf.OR(_xludf.AND(AC1984&gt;=8, AC1984&lt;=10), _xludf.AND(AC1984&gt;=0, AC1984&lt;=5)), 16, 0)) + (IF(F1984="Madrid", 11, 0))))</f>
        <v>#NAME?</v>
      </c>
      <c r="AG1984" s="69"/>
      <c r="AH1984" s="71" t="s">
        <v>164</v>
      </c>
    </row>
    <row r="1985" spans="1:62" s="4" customFormat="1" ht="15" customHeight="1" x14ac:dyDescent="0.3">
      <c r="A1985" s="66" t="s">
        <v>2942</v>
      </c>
      <c r="B1985" s="66" t="s">
        <v>5059</v>
      </c>
      <c r="C1985" s="33">
        <v>1987</v>
      </c>
      <c r="D1985" s="33" t="s">
        <v>5394</v>
      </c>
      <c r="E1985" s="34" t="s">
        <v>5222</v>
      </c>
      <c r="F1985" s="34" t="s">
        <v>558</v>
      </c>
      <c r="G1985" s="57">
        <v>45782</v>
      </c>
      <c r="H1985" s="57">
        <f>G1985+179</f>
        <v>45961</v>
      </c>
      <c r="I1985" s="34">
        <f t="shared" si="92"/>
        <v>5</v>
      </c>
      <c r="J1985" s="34">
        <v>35</v>
      </c>
      <c r="K1985" s="36">
        <v>900</v>
      </c>
      <c r="L1985" s="34" t="s">
        <v>17</v>
      </c>
      <c r="M1985" s="39">
        <v>35849</v>
      </c>
      <c r="N1985" s="37">
        <f>(YEAR(TablaMadre[[#This Row],[ALTA]])-YEAR(M1985))</f>
        <v>27</v>
      </c>
      <c r="O1985" s="34" t="s">
        <v>558</v>
      </c>
      <c r="P1985" s="34" t="s">
        <v>19</v>
      </c>
      <c r="Q1985" s="34" t="s">
        <v>779</v>
      </c>
      <c r="R1985" s="34" t="s">
        <v>21</v>
      </c>
      <c r="S1985" s="34" t="s">
        <v>321</v>
      </c>
      <c r="T1985" s="34" t="s">
        <v>806</v>
      </c>
      <c r="U1985" s="34" t="s">
        <v>347</v>
      </c>
      <c r="V1985" s="34" t="s">
        <v>310</v>
      </c>
      <c r="W1985" s="34" t="s">
        <v>28</v>
      </c>
      <c r="X1985" s="34" t="s">
        <v>173</v>
      </c>
      <c r="Y1985" s="57"/>
      <c r="Z1985" s="34" t="e">
        <f t="shared" si="93"/>
        <v>#NUM!</v>
      </c>
      <c r="AA1985" s="34"/>
      <c r="AB1985" s="34">
        <v>10</v>
      </c>
      <c r="AC1985" s="34">
        <v>10</v>
      </c>
      <c r="AD1985" s="34"/>
      <c r="AE1985" s="59" t="str">
        <f t="shared" si="94"/>
        <v>NO</v>
      </c>
      <c r="AF1985" s="34" t="e" cm="1">
        <f t="array" aca="1" ref="AF1985" ca="1">MIN(100, MAX(0, (IF(R1985="ESTUDIANTE", 31, 0)) + (IF(I1985&lt;=3, 30, IF(I1985&lt;=6, 20, 0))) +(IF(OR(E1985="413 - Control de Costes y Enlace Construcción", E1985="480 - Secretaría General del Consejo", E1985="132 - Civil y estructuras", E1985="136 - Mecánica", E1985="412 - Planificación", E1985="142 - Compras"), 25, 0)) +(IF(OR(S1985="GRADO ING. MECÁNICA", S1985="GRADO ING. ELÉCTRICA", S1985="GRADO DERECHO", S1985="GRADO ECONOMÍA", S1985="GRADO ING. TECNOLOGÍAS INDUSTRIALES"), 24, 0)) + (IF(AND(K1985&gt;=451, K1985&lt;=700), 23, 0)) + (IF(AND(AB1985&gt;=5, AB1985&lt;=8), 17, 0)) +(IF(_xludf.OR(_xludf.AND(AC1985&gt;=8, AC1985&lt;=10), _xludf.AND(AC1985&gt;=0, AC1985&lt;=5)), 16, 0)) + (IF(F1985="Madrid", 11, 0))))</f>
        <v>#NAME?</v>
      </c>
      <c r="AG1985" s="69"/>
      <c r="AH1985" s="71" t="s">
        <v>164</v>
      </c>
    </row>
    <row r="1986" spans="1:62" s="4" customFormat="1" ht="15" customHeight="1" x14ac:dyDescent="0.3">
      <c r="A1986" s="66" t="s">
        <v>2957</v>
      </c>
      <c r="B1986" s="66" t="s">
        <v>5074</v>
      </c>
      <c r="C1986" s="33">
        <v>1985</v>
      </c>
      <c r="D1986" s="33" t="s">
        <v>5395</v>
      </c>
      <c r="E1986" s="34" t="s">
        <v>5222</v>
      </c>
      <c r="F1986" s="34" t="s">
        <v>18</v>
      </c>
      <c r="G1986" s="57">
        <v>45782</v>
      </c>
      <c r="H1986" s="57">
        <v>45803</v>
      </c>
      <c r="I1986" s="34">
        <f t="shared" ref="I1986:I2049" si="97">DATEDIF(G1986, H1986, "M")</f>
        <v>0</v>
      </c>
      <c r="J1986" s="34">
        <v>35</v>
      </c>
      <c r="K1986" s="36">
        <v>0</v>
      </c>
      <c r="L1986" s="34" t="s">
        <v>17</v>
      </c>
      <c r="M1986" s="35">
        <v>36314</v>
      </c>
      <c r="N1986" s="37">
        <f>(YEAR(TablaMadre[[#This Row],[ALTA]])-YEAR(M1986))</f>
        <v>26</v>
      </c>
      <c r="O1986" s="34" t="s">
        <v>18</v>
      </c>
      <c r="P1986" s="34" t="s">
        <v>19</v>
      </c>
      <c r="Q1986" s="34" t="s">
        <v>697</v>
      </c>
      <c r="R1986" s="34" t="s">
        <v>30</v>
      </c>
      <c r="S1986" s="34" t="s">
        <v>26</v>
      </c>
      <c r="T1986" s="34" t="s">
        <v>806</v>
      </c>
      <c r="U1986" s="34" t="s">
        <v>347</v>
      </c>
      <c r="V1986" s="34" t="s">
        <v>27</v>
      </c>
      <c r="W1986" s="34" t="s">
        <v>380</v>
      </c>
      <c r="X1986" s="34" t="s">
        <v>974</v>
      </c>
      <c r="Y1986" s="57"/>
      <c r="Z1986" s="57" t="e">
        <f t="shared" ref="Z1986:Z2049" si="98">DATEDIF(H1986, Y1986, "y")</f>
        <v>#NUM!</v>
      </c>
      <c r="AA1986" s="57"/>
      <c r="AB1986" s="34"/>
      <c r="AC1986" s="34"/>
      <c r="AD1986" s="34"/>
      <c r="AE1986" s="59" t="str">
        <f t="shared" si="94"/>
        <v>NO</v>
      </c>
      <c r="AF1986" s="34" t="e" cm="1">
        <f t="array" aca="1" ref="AF1986" ca="1">MIN(100, MAX(0, (IF(R1986="ESTUDIANTE", 31, 0)) + (IF(I1986&lt;=3, 30, IF(I1986&lt;=6, 20, 0))) +(IF(OR(E1986="413 - Control de Costes y Enlace Construcción", E1986="480 - Secretaría General del Consejo", E1986="132 - Civil y estructuras", E1986="136 - Mecánica", E1986="412 - Planificación", E1986="142 - Compras"), 25, 0)) +(IF(OR(S1986="GRADO ING. MECÁNICA", S1986="GRADO ING. ELÉCTRICA", S1986="GRADO DERECHO", S1986="GRADO ECONOMÍA", S1986="GRADO ING. TECNOLOGÍAS INDUSTRIALES"), 24, 0)) + (IF(AND(K1986&gt;=451, K1986&lt;=700), 23, 0)) + (IF(AND(AB1986&gt;=5, AB1986&lt;=8), 17, 0)) +(IF(_xludf.OR(_xludf.AND(AC1986&gt;=8, AC1986&lt;=10), _xludf.AND(AC1986&gt;=0, AC1986&lt;=5)), 16, 0)) + (IF(F1986="Madrid", 11, 0))))</f>
        <v>#NAME?</v>
      </c>
      <c r="AG1986" s="69"/>
      <c r="AH1986" s="71" t="s">
        <v>164</v>
      </c>
    </row>
    <row r="1987" spans="1:62" s="9" customFormat="1" ht="15" customHeight="1" x14ac:dyDescent="0.3">
      <c r="A1987" s="66" t="s">
        <v>3066</v>
      </c>
      <c r="B1987" s="66" t="s">
        <v>5183</v>
      </c>
      <c r="C1987" s="33">
        <v>1982</v>
      </c>
      <c r="D1987" s="33" t="s">
        <v>5396</v>
      </c>
      <c r="E1987" s="34" t="s">
        <v>5285</v>
      </c>
      <c r="F1987" s="34" t="s">
        <v>18</v>
      </c>
      <c r="G1987" s="57">
        <v>45782</v>
      </c>
      <c r="H1987" s="57">
        <v>45791</v>
      </c>
      <c r="I1987" s="34">
        <f t="shared" si="97"/>
        <v>0</v>
      </c>
      <c r="J1987" s="34">
        <v>40</v>
      </c>
      <c r="K1987" s="36">
        <v>0</v>
      </c>
      <c r="L1987" s="34" t="s">
        <v>29</v>
      </c>
      <c r="M1987" s="35">
        <v>36042</v>
      </c>
      <c r="N1987" s="37">
        <f>(YEAR(TablaMadre[[#This Row],[ALTA]])-YEAR(M1987))</f>
        <v>27</v>
      </c>
      <c r="O1987" s="34" t="s">
        <v>18</v>
      </c>
      <c r="P1987" s="34" t="s">
        <v>19</v>
      </c>
      <c r="Q1987" s="34" t="s">
        <v>728</v>
      </c>
      <c r="R1987" s="34" t="s">
        <v>30</v>
      </c>
      <c r="S1987" s="34" t="s">
        <v>26</v>
      </c>
      <c r="T1987" s="34" t="s">
        <v>806</v>
      </c>
      <c r="U1987" s="34" t="s">
        <v>347</v>
      </c>
      <c r="V1987" s="34" t="s">
        <v>27</v>
      </c>
      <c r="W1987" s="34" t="s">
        <v>23</v>
      </c>
      <c r="X1987" s="34" t="s">
        <v>974</v>
      </c>
      <c r="Y1987" s="57"/>
      <c r="Z1987" s="57" t="e">
        <f t="shared" si="98"/>
        <v>#NUM!</v>
      </c>
      <c r="AA1987" s="57"/>
      <c r="AB1987" s="34"/>
      <c r="AC1987" s="34"/>
      <c r="AD1987" s="34"/>
      <c r="AE1987" s="59" t="str">
        <f t="shared" ref="AE1987:AE2050" si="99">IF(F1987=O1987, "NO", "SÍ")</f>
        <v>NO</v>
      </c>
      <c r="AF1987" s="40" t="e" cm="1">
        <f t="array" aca="1" ref="AF1987" ca="1">MIN(100, MAX(0, (IF(R1987="ESTUDIANTE", 31, 0)) + (IF(I1987&lt;=3, 30, IF(I1987&lt;=6, 20, 0))) +(IF(OR(E1987="413 - Control de Costes y Enlace Construcción", E1987="480 - Secretaría General del Consejo", E1987="132 - Civil y estructuras", E1987="136 - Mecánica", E1987="412 - Planificación", E1987="142 - Compras"), 25, 0)) +(IF(OR(S1987="GRADO ING. MECÁNICA", S1987="GRADO ING. ELÉCTRICA", S1987="GRADO DERECHO", S1987="GRADO ECONOMÍA", S1987="GRADO ING. TECNOLOGÍAS INDUSTRIALES"), 24, 0)) + (IF(AND(K1987&gt;=451, K1987&lt;=700), 23, 0)) + (IF(AND(AB1987&gt;=5, AB1987&lt;=8), 17, 0)) +(IF(_xludf.OR(_xludf.AND(AC1987&gt;=8, AC1987&lt;=10), _xludf.AND(AC1987&gt;=0, AC1987&lt;=5)), 16, 0)) + (IF(F1987="Madrid", 11, 0))))</f>
        <v>#NAME?</v>
      </c>
      <c r="AG1987" s="70"/>
      <c r="AH1987" s="71" t="s">
        <v>164</v>
      </c>
    </row>
    <row r="1988" spans="1:62" s="4" customFormat="1" ht="15" customHeight="1" x14ac:dyDescent="0.3">
      <c r="A1988" s="66" t="s">
        <v>3067</v>
      </c>
      <c r="B1988" s="66" t="s">
        <v>5184</v>
      </c>
      <c r="C1988" s="33">
        <v>1984</v>
      </c>
      <c r="D1988" s="33" t="s">
        <v>5397</v>
      </c>
      <c r="E1988" s="34" t="s">
        <v>5222</v>
      </c>
      <c r="F1988" s="34" t="s">
        <v>18</v>
      </c>
      <c r="G1988" s="57">
        <v>45782</v>
      </c>
      <c r="H1988" s="57">
        <v>45803</v>
      </c>
      <c r="I1988" s="34">
        <f t="shared" si="97"/>
        <v>0</v>
      </c>
      <c r="J1988" s="34">
        <v>35</v>
      </c>
      <c r="K1988" s="36">
        <v>0</v>
      </c>
      <c r="L1988" s="34" t="s">
        <v>17</v>
      </c>
      <c r="M1988" s="35">
        <v>39080</v>
      </c>
      <c r="N1988" s="37">
        <f>(YEAR(TablaMadre[[#This Row],[ALTA]])-YEAR(M1988))</f>
        <v>19</v>
      </c>
      <c r="O1988" s="34" t="s">
        <v>18</v>
      </c>
      <c r="P1988" s="34" t="s">
        <v>19</v>
      </c>
      <c r="Q1988" s="34" t="s">
        <v>697</v>
      </c>
      <c r="R1988" s="34" t="s">
        <v>30</v>
      </c>
      <c r="S1988" s="34" t="s">
        <v>26</v>
      </c>
      <c r="T1988" s="34" t="s">
        <v>806</v>
      </c>
      <c r="U1988" s="34" t="s">
        <v>347</v>
      </c>
      <c r="V1988" s="34" t="s">
        <v>27</v>
      </c>
      <c r="W1988" s="34" t="s">
        <v>380</v>
      </c>
      <c r="X1988" s="34" t="s">
        <v>164</v>
      </c>
      <c r="Y1988" s="57"/>
      <c r="Z1988" s="57" t="e">
        <f t="shared" si="98"/>
        <v>#NUM!</v>
      </c>
      <c r="AA1988" s="57"/>
      <c r="AB1988" s="34"/>
      <c r="AC1988" s="34"/>
      <c r="AD1988" s="34"/>
      <c r="AE1988" s="59" t="str">
        <f t="shared" si="99"/>
        <v>NO</v>
      </c>
      <c r="AF1988" s="34" t="e" cm="1">
        <f t="array" aca="1" ref="AF1988" ca="1">MIN(100, MAX(0, (IF(R1988="ESTUDIANTE", 31, 0)) + (IF(I1988&lt;=3, 30, IF(I1988&lt;=6, 20, 0))) +(IF(OR(E1988="413 - Control de Costes y Enlace Construcción", E1988="480 - Secretaría General del Consejo", E1988="132 - Civil y estructuras", E1988="136 - Mecánica", E1988="412 - Planificación", E1988="142 - Compras"), 25, 0)) +(IF(OR(S1988="GRADO ING. MECÁNICA", S1988="GRADO ING. ELÉCTRICA", S1988="GRADO DERECHO", S1988="GRADO ECONOMÍA", S1988="GRADO ING. TECNOLOGÍAS INDUSTRIALES"), 24, 0)) + (IF(AND(K1988&gt;=451, K1988&lt;=700), 23, 0)) + (IF(AND(AB1988&gt;=5, AB1988&lt;=8), 17, 0)) +(IF(_xludf.OR(_xludf.AND(AC1988&gt;=8, AC1988&lt;=10), _xludf.AND(AC1988&gt;=0, AC1988&lt;=5)), 16, 0)) + (IF(F1988="Madrid", 11, 0))))</f>
        <v>#NAME?</v>
      </c>
      <c r="AG1988" s="69"/>
      <c r="AH1988" s="71" t="s">
        <v>164</v>
      </c>
    </row>
    <row r="1989" spans="1:62" ht="15" customHeight="1" x14ac:dyDescent="0.3">
      <c r="A1989" s="66" t="s">
        <v>3068</v>
      </c>
      <c r="B1989" s="66" t="s">
        <v>5185</v>
      </c>
      <c r="C1989" s="33">
        <v>1986</v>
      </c>
      <c r="D1989" s="33" t="s">
        <v>5398</v>
      </c>
      <c r="E1989" s="34" t="s">
        <v>5224</v>
      </c>
      <c r="F1989" s="34" t="s">
        <v>18</v>
      </c>
      <c r="G1989" s="57">
        <v>45782</v>
      </c>
      <c r="H1989" s="57">
        <v>45808</v>
      </c>
      <c r="I1989" s="34">
        <f t="shared" si="97"/>
        <v>0</v>
      </c>
      <c r="J1989" s="34">
        <v>35</v>
      </c>
      <c r="K1989" s="36">
        <v>0</v>
      </c>
      <c r="L1989" s="34" t="s">
        <v>29</v>
      </c>
      <c r="M1989" s="35">
        <v>38731</v>
      </c>
      <c r="N1989" s="37">
        <f>(YEAR(TablaMadre[[#This Row],[ALTA]])-YEAR(M1989))</f>
        <v>19</v>
      </c>
      <c r="O1989" s="34" t="s">
        <v>18</v>
      </c>
      <c r="P1989" s="34" t="s">
        <v>19</v>
      </c>
      <c r="Q1989" s="34" t="s">
        <v>844</v>
      </c>
      <c r="R1989" s="34" t="s">
        <v>30</v>
      </c>
      <c r="S1989" s="34" t="s">
        <v>844</v>
      </c>
      <c r="T1989" s="34" t="s">
        <v>806</v>
      </c>
      <c r="U1989" s="34" t="s">
        <v>347</v>
      </c>
      <c r="V1989" s="34" t="s">
        <v>843</v>
      </c>
      <c r="W1989" s="34" t="s">
        <v>23</v>
      </c>
      <c r="X1989" s="40" t="s">
        <v>164</v>
      </c>
      <c r="Y1989" s="63"/>
      <c r="Z1989" s="63" t="e">
        <f t="shared" si="98"/>
        <v>#NUM!</v>
      </c>
      <c r="AA1989" s="63"/>
      <c r="AB1989" s="34"/>
      <c r="AC1989" s="34"/>
      <c r="AD1989" s="40"/>
      <c r="AE1989" s="59" t="str">
        <f t="shared" si="99"/>
        <v>NO</v>
      </c>
      <c r="AF1989" s="38" t="e" cm="1">
        <f t="array" aca="1" ref="AF1989" ca="1">MIN(100, MAX(0, (IF(R1989="ESTUDIANTE", 31, 0)) + (IF(I1989&lt;=3, 30, IF(I1989&lt;=6, 20, 0))) +(IF(OR(E1989="413 - Control de Costes y Enlace Construcción", E1989="480 - Secretaría General del Consejo", E1989="132 - Civil y estructuras", E1989="136 - Mecánica", E1989="412 - Planificación", E1989="142 - Compras"), 25, 0)) +(IF(OR(S1989="GRADO ING. MECÁNICA", S1989="GRADO ING. ELÉCTRICA", S1989="GRADO DERECHO", S1989="GRADO ECONOMÍA", S1989="GRADO ING. TECNOLOGÍAS INDUSTRIALES"), 24, 0)) + (IF(AND(K1989&gt;=451, K1989&lt;=700), 23, 0)) + (IF(AND(AB1989&gt;=5, AB1989&lt;=8), 17, 0)) +(IF(_xludf.OR(_xludf.AND(AC1989&gt;=8, AC1989&lt;=10), _xludf.AND(AC1989&gt;=0, AC1989&lt;=5)), 16, 0)) + (IF(F1989="Madrid", 11, 0))))</f>
        <v>#NAME?</v>
      </c>
      <c r="AG1989" s="68"/>
      <c r="AH1989" s="71" t="s">
        <v>164</v>
      </c>
    </row>
    <row r="1990" spans="1:62" s="4" customFormat="1" ht="15" customHeight="1" x14ac:dyDescent="0.3">
      <c r="A1990" s="66" t="s">
        <v>2955</v>
      </c>
      <c r="B1990" s="66" t="s">
        <v>5072</v>
      </c>
      <c r="C1990" s="33">
        <v>1989</v>
      </c>
      <c r="D1990" s="33" t="s">
        <v>5399</v>
      </c>
      <c r="E1990" s="34" t="s">
        <v>5246</v>
      </c>
      <c r="F1990" s="34" t="s">
        <v>18</v>
      </c>
      <c r="G1990" s="57">
        <v>45785</v>
      </c>
      <c r="H1990" s="57">
        <v>45813</v>
      </c>
      <c r="I1990" s="34">
        <f t="shared" si="97"/>
        <v>0</v>
      </c>
      <c r="J1990" s="34">
        <v>40</v>
      </c>
      <c r="K1990" s="36">
        <v>0</v>
      </c>
      <c r="L1990" s="34" t="s">
        <v>17</v>
      </c>
      <c r="M1990" s="35">
        <v>38043</v>
      </c>
      <c r="N1990" s="37">
        <f>(YEAR(TablaMadre[[#This Row],[ALTA]])-YEAR(M1990))</f>
        <v>21</v>
      </c>
      <c r="O1990" s="34" t="s">
        <v>18</v>
      </c>
      <c r="P1990" s="34" t="s">
        <v>19</v>
      </c>
      <c r="Q1990" s="34" t="s">
        <v>729</v>
      </c>
      <c r="R1990" s="34" t="s">
        <v>30</v>
      </c>
      <c r="S1990" s="34" t="s">
        <v>26</v>
      </c>
      <c r="T1990" s="34" t="s">
        <v>806</v>
      </c>
      <c r="U1990" s="34" t="s">
        <v>347</v>
      </c>
      <c r="V1990" s="34" t="s">
        <v>27</v>
      </c>
      <c r="W1990" s="34" t="s">
        <v>380</v>
      </c>
      <c r="X1990" s="34" t="s">
        <v>974</v>
      </c>
      <c r="Y1990" s="57"/>
      <c r="Z1990" s="57" t="e">
        <f t="shared" si="98"/>
        <v>#NUM!</v>
      </c>
      <c r="AA1990" s="57"/>
      <c r="AB1990" s="34"/>
      <c r="AC1990" s="34"/>
      <c r="AD1990" s="34"/>
      <c r="AE1990" s="59" t="str">
        <f t="shared" si="99"/>
        <v>NO</v>
      </c>
      <c r="AF1990" s="34" t="e" cm="1">
        <f t="array" aca="1" ref="AF1990" ca="1">MIN(100, MAX(0, (IF(R1990="ESTUDIANTE", 31, 0)) + (IF(I1990&lt;=3, 30, IF(I1990&lt;=6, 20, 0))) +(IF(OR(E1990="413 - Control de Costes y Enlace Construcción", E1990="480 - Secretaría General del Consejo", E1990="132 - Civil y estructuras", E1990="136 - Mecánica", E1990="412 - Planificación", E1990="142 - Compras"), 25, 0)) +(IF(OR(S1990="GRADO ING. MECÁNICA", S1990="GRADO ING. ELÉCTRICA", S1990="GRADO DERECHO", S1990="GRADO ECONOMÍA", S1990="GRADO ING. TECNOLOGÍAS INDUSTRIALES"), 24, 0)) + (IF(AND(K1990&gt;=451, K1990&lt;=700), 23, 0)) + (IF(AND(AB1990&gt;=5, AB1990&lt;=8), 17, 0)) +(IF(_xludf.OR(_xludf.AND(AC1990&gt;=8, AC1990&lt;=10), _xludf.AND(AC1990&gt;=0, AC1990&lt;=5)), 16, 0)) + (IF(F1990="Madrid", 11, 0))))</f>
        <v>#NAME?</v>
      </c>
      <c r="AG1990" s="69"/>
      <c r="AH1990" s="71" t="s">
        <v>164</v>
      </c>
    </row>
    <row r="1991" spans="1:62" s="4" customFormat="1" ht="15" customHeight="1" x14ac:dyDescent="0.3">
      <c r="A1991" s="66" t="s">
        <v>3069</v>
      </c>
      <c r="B1991" s="66" t="s">
        <v>5186</v>
      </c>
      <c r="C1991" s="33">
        <v>1990</v>
      </c>
      <c r="D1991" s="33" t="s">
        <v>5400</v>
      </c>
      <c r="E1991" s="34" t="s">
        <v>5246</v>
      </c>
      <c r="F1991" s="34" t="s">
        <v>18</v>
      </c>
      <c r="G1991" s="57">
        <v>45785</v>
      </c>
      <c r="H1991" s="57">
        <v>45813</v>
      </c>
      <c r="I1991" s="34">
        <f t="shared" si="97"/>
        <v>0</v>
      </c>
      <c r="J1991" s="34">
        <v>40</v>
      </c>
      <c r="K1991" s="36">
        <v>0</v>
      </c>
      <c r="L1991" s="34" t="s">
        <v>17</v>
      </c>
      <c r="M1991" s="35">
        <v>37897</v>
      </c>
      <c r="N1991" s="37">
        <f>(YEAR(TablaMadre[[#This Row],[ALTA]])-YEAR(M1991))</f>
        <v>22</v>
      </c>
      <c r="O1991" s="34" t="s">
        <v>845</v>
      </c>
      <c r="P1991" s="34" t="s">
        <v>845</v>
      </c>
      <c r="Q1991" s="34" t="s">
        <v>729</v>
      </c>
      <c r="R1991" s="34" t="s">
        <v>30</v>
      </c>
      <c r="S1991" s="34" t="s">
        <v>26</v>
      </c>
      <c r="T1991" s="34" t="s">
        <v>806</v>
      </c>
      <c r="U1991" s="34" t="s">
        <v>347</v>
      </c>
      <c r="V1991" s="34" t="s">
        <v>27</v>
      </c>
      <c r="W1991" s="34" t="s">
        <v>380</v>
      </c>
      <c r="X1991" s="34" t="s">
        <v>164</v>
      </c>
      <c r="Y1991" s="57"/>
      <c r="Z1991" s="57" t="e">
        <f t="shared" si="98"/>
        <v>#NUM!</v>
      </c>
      <c r="AA1991" s="57"/>
      <c r="AB1991" s="34"/>
      <c r="AC1991" s="34"/>
      <c r="AD1991" s="34"/>
      <c r="AE1991" s="59" t="str">
        <f t="shared" si="99"/>
        <v>SÍ</v>
      </c>
      <c r="AF1991" s="34" t="e" cm="1">
        <f t="array" aca="1" ref="AF1991" ca="1">MIN(100, MAX(0, (IF(R1991="ESTUDIANTE", 31, 0)) + (IF(I1991&lt;=3, 30, IF(I1991&lt;=6, 20, 0))) +(IF(OR(E1991="413 - Control de Costes y Enlace Construcción", E1991="480 - Secretaría General del Consejo", E1991="132 - Civil y estructuras", E1991="136 - Mecánica", E1991="412 - Planificación", E1991="142 - Compras"), 25, 0)) +(IF(OR(S1991="GRADO ING. MECÁNICA", S1991="GRADO ING. ELÉCTRICA", S1991="GRADO DERECHO", S1991="GRADO ECONOMÍA", S1991="GRADO ING. TECNOLOGÍAS INDUSTRIALES"), 24, 0)) + (IF(AND(K1991&gt;=451, K1991&lt;=700), 23, 0)) + (IF(AND(AB1991&gt;=5, AB1991&lt;=8), 17, 0)) +(IF(_xludf.OR(_xludf.AND(AC1991&gt;=8, AC1991&lt;=10), _xludf.AND(AC1991&gt;=0, AC1991&lt;=5)), 16, 0)) + (IF(F1991="Madrid", 11, 0))))</f>
        <v>#NAME?</v>
      </c>
      <c r="AG1991" s="69"/>
      <c r="AH1991" s="71" t="s">
        <v>164</v>
      </c>
    </row>
    <row r="1992" spans="1:62" s="4" customFormat="1" ht="15" customHeight="1" x14ac:dyDescent="0.3">
      <c r="A1992" s="66" t="s">
        <v>2813</v>
      </c>
      <c r="B1992" s="66" t="s">
        <v>4930</v>
      </c>
      <c r="C1992" s="33">
        <v>1993</v>
      </c>
      <c r="D1992" s="33" t="s">
        <v>5401</v>
      </c>
      <c r="E1992" s="34" t="s">
        <v>5380</v>
      </c>
      <c r="F1992" s="34" t="s">
        <v>18</v>
      </c>
      <c r="G1992" s="57">
        <v>45789</v>
      </c>
      <c r="H1992" s="57">
        <v>45839</v>
      </c>
      <c r="I1992" s="34">
        <f t="shared" si="97"/>
        <v>1</v>
      </c>
      <c r="J1992" s="34">
        <v>35</v>
      </c>
      <c r="K1992" s="36">
        <v>700</v>
      </c>
      <c r="L1992" s="34" t="s">
        <v>17</v>
      </c>
      <c r="M1992" s="35">
        <v>37765</v>
      </c>
      <c r="N1992" s="37">
        <f>(YEAR(TablaMadre[[#This Row],[ALTA]])-YEAR(M1992))</f>
        <v>22</v>
      </c>
      <c r="O1992" s="34" t="s">
        <v>18</v>
      </c>
      <c r="P1992" s="34" t="s">
        <v>19</v>
      </c>
      <c r="Q1992" s="34" t="s">
        <v>136</v>
      </c>
      <c r="R1992" s="34" t="s">
        <v>30</v>
      </c>
      <c r="S1992" s="34" t="s">
        <v>136</v>
      </c>
      <c r="T1992" s="34" t="s">
        <v>806</v>
      </c>
      <c r="U1992" s="34" t="s">
        <v>347</v>
      </c>
      <c r="V1992" s="34" t="s">
        <v>69</v>
      </c>
      <c r="W1992" s="34" t="s">
        <v>181</v>
      </c>
      <c r="X1992" s="38" t="s">
        <v>164</v>
      </c>
      <c r="Y1992" s="62"/>
      <c r="Z1992" s="62" t="e">
        <f t="shared" si="98"/>
        <v>#NUM!</v>
      </c>
      <c r="AA1992" s="62"/>
      <c r="AB1992" s="34"/>
      <c r="AC1992" s="34"/>
      <c r="AD1992" s="38"/>
      <c r="AE1992" s="59" t="str">
        <f t="shared" si="99"/>
        <v>NO</v>
      </c>
      <c r="AF1992" s="34" t="e" cm="1">
        <f t="array" aca="1" ref="AF1992" ca="1">MIN(100, MAX(0, (IF(R1992="ESTUDIANTE", 31, 0)) + (IF(I1992&lt;=3, 30, IF(I1992&lt;=6, 20, 0))) +(IF(OR(E1992="413 - Control de Costes y Enlace Construcción", E1992="480 - Secretaría General del Consejo", E1992="132 - Civil y estructuras", E1992="136 - Mecánica", E1992="412 - Planificación", E1992="142 - Compras"), 25, 0)) +(IF(OR(S1992="GRADO ING. MECÁNICA", S1992="GRADO ING. ELÉCTRICA", S1992="GRADO DERECHO", S1992="GRADO ECONOMÍA", S1992="GRADO ING. TECNOLOGÍAS INDUSTRIALES"), 24, 0)) + (IF(AND(K1992&gt;=451, K1992&lt;=700), 23, 0)) + (IF(AND(AB1992&gt;=5, AB1992&lt;=8), 17, 0)) +(IF(_xludf.OR(_xludf.AND(AC1992&gt;=8, AC1992&lt;=10), _xludf.AND(AC1992&gt;=0, AC1992&lt;=5)), 16, 0)) + (IF(F1992="Madrid", 11, 0))))</f>
        <v>#NAME?</v>
      </c>
      <c r="AG1992" s="69"/>
      <c r="AH1992" s="71" t="s">
        <v>164</v>
      </c>
    </row>
    <row r="1993" spans="1:62" s="4" customFormat="1" ht="15" customHeight="1" x14ac:dyDescent="0.3">
      <c r="A1993" s="66" t="s">
        <v>2850</v>
      </c>
      <c r="B1993" s="66" t="s">
        <v>4967</v>
      </c>
      <c r="C1993" s="33">
        <v>1994</v>
      </c>
      <c r="D1993" s="33" t="s">
        <v>5402</v>
      </c>
      <c r="E1993" s="34" t="s">
        <v>5234</v>
      </c>
      <c r="F1993" s="34" t="s">
        <v>18</v>
      </c>
      <c r="G1993" s="57">
        <v>45789</v>
      </c>
      <c r="H1993" s="57">
        <v>45940</v>
      </c>
      <c r="I1993" s="34">
        <f t="shared" si="97"/>
        <v>4</v>
      </c>
      <c r="J1993" s="34">
        <v>35</v>
      </c>
      <c r="K1993" s="36">
        <v>1200</v>
      </c>
      <c r="L1993" s="34" t="s">
        <v>29</v>
      </c>
      <c r="M1993" s="39">
        <v>36336</v>
      </c>
      <c r="N1993" s="37">
        <f>(YEAR(TablaMadre[[#This Row],[ALTA]])-YEAR(M1993))</f>
        <v>26</v>
      </c>
      <c r="O1993" s="34" t="s">
        <v>18</v>
      </c>
      <c r="P1993" s="34" t="s">
        <v>19</v>
      </c>
      <c r="Q1993" s="34" t="s">
        <v>690</v>
      </c>
      <c r="R1993" s="34" t="s">
        <v>21</v>
      </c>
      <c r="S1993" s="34" t="s">
        <v>690</v>
      </c>
      <c r="T1993" s="34" t="s">
        <v>883</v>
      </c>
      <c r="U1993" s="34" t="s">
        <v>30</v>
      </c>
      <c r="V1993" s="34" t="s">
        <v>40</v>
      </c>
      <c r="W1993" s="34" t="s">
        <v>28</v>
      </c>
      <c r="X1993" s="34" t="s">
        <v>173</v>
      </c>
      <c r="Y1993" s="57"/>
      <c r="Z1993" s="34" t="e">
        <f t="shared" si="98"/>
        <v>#NUM!</v>
      </c>
      <c r="AA1993" s="34"/>
      <c r="AB1993" s="34">
        <v>8</v>
      </c>
      <c r="AC1993" s="34">
        <v>10</v>
      </c>
      <c r="AD1993" s="34"/>
      <c r="AE1993" s="59" t="str">
        <f t="shared" si="99"/>
        <v>NO</v>
      </c>
      <c r="AF1993" s="34" t="e" cm="1">
        <f t="array" aca="1" ref="AF1993" ca="1">MIN(100, MAX(0, (IF(R1993="ESTUDIANTE", 31, 0)) + (IF(I1993&lt;=3, 30, IF(I1993&lt;=6, 20, 0))) +(IF(OR(E1993="413 - Control de Costes y Enlace Construcción", E1993="480 - Secretaría General del Consejo", E1993="132 - Civil y estructuras", E1993="136 - Mecánica", E1993="412 - Planificación", E1993="142 - Compras"), 25, 0)) +(IF(OR(S1993="GRADO ING. MECÁNICA", S1993="GRADO ING. ELÉCTRICA", S1993="GRADO DERECHO", S1993="GRADO ECONOMÍA", S1993="GRADO ING. TECNOLOGÍAS INDUSTRIALES"), 24, 0)) + (IF(AND(K1993&gt;=451, K1993&lt;=700), 23, 0)) + (IF(AND(AB1993&gt;=5, AB1993&lt;=8), 17, 0)) +(IF(_xludf.OR(_xludf.AND(AC1993&gt;=8, AC1993&lt;=10), _xludf.AND(AC1993&gt;=0, AC1993&lt;=5)), 16, 0)) + (IF(F1993="Madrid", 11, 0))))</f>
        <v>#NAME?</v>
      </c>
      <c r="AG1993" s="69"/>
      <c r="AH1993" s="71" t="s">
        <v>164</v>
      </c>
    </row>
    <row r="1994" spans="1:62" ht="15" customHeight="1" x14ac:dyDescent="0.3">
      <c r="A1994" s="66" t="s">
        <v>3070</v>
      </c>
      <c r="B1994" s="66" t="s">
        <v>5187</v>
      </c>
      <c r="C1994" s="33">
        <v>1991</v>
      </c>
      <c r="D1994" s="33" t="s">
        <v>5393</v>
      </c>
      <c r="E1994" s="34" t="s">
        <v>5252</v>
      </c>
      <c r="F1994" s="34" t="s">
        <v>18</v>
      </c>
      <c r="G1994" s="57">
        <v>45789</v>
      </c>
      <c r="H1994" s="57">
        <v>45807</v>
      </c>
      <c r="I1994" s="34">
        <f t="shared" si="97"/>
        <v>0</v>
      </c>
      <c r="J1994" s="34">
        <v>40</v>
      </c>
      <c r="K1994" s="36">
        <v>0</v>
      </c>
      <c r="L1994" s="34" t="s">
        <v>29</v>
      </c>
      <c r="M1994" s="35">
        <v>37367</v>
      </c>
      <c r="N1994" s="37">
        <f>(YEAR(TablaMadre[[#This Row],[ALTA]])-YEAR(M1994))</f>
        <v>23</v>
      </c>
      <c r="O1994" s="34" t="s">
        <v>18</v>
      </c>
      <c r="P1994" s="34" t="s">
        <v>19</v>
      </c>
      <c r="Q1994" s="34" t="s">
        <v>359</v>
      </c>
      <c r="R1994" s="34" t="s">
        <v>30</v>
      </c>
      <c r="S1994" s="34" t="s">
        <v>26</v>
      </c>
      <c r="T1994" s="34" t="s">
        <v>806</v>
      </c>
      <c r="U1994" s="34" t="s">
        <v>347</v>
      </c>
      <c r="V1994" s="34" t="s">
        <v>27</v>
      </c>
      <c r="W1994" s="34" t="s">
        <v>380</v>
      </c>
      <c r="X1994" s="34" t="s">
        <v>164</v>
      </c>
      <c r="Y1994" s="57"/>
      <c r="Z1994" s="57" t="e">
        <f t="shared" si="98"/>
        <v>#NUM!</v>
      </c>
      <c r="AA1994" s="57"/>
      <c r="AB1994" s="34"/>
      <c r="AC1994" s="34"/>
      <c r="AD1994" s="34"/>
      <c r="AE1994" s="59" t="str">
        <f t="shared" si="99"/>
        <v>NO</v>
      </c>
      <c r="AF1994" s="38" t="e" cm="1">
        <f t="array" aca="1" ref="AF1994" ca="1">MIN(100, MAX(0, (IF(R1994="ESTUDIANTE", 31, 0)) + (IF(I1994&lt;=3, 30, IF(I1994&lt;=6, 20, 0))) +(IF(OR(E1994="413 - Control de Costes y Enlace Construcción", E1994="480 - Secretaría General del Consejo", E1994="132 - Civil y estructuras", E1994="136 - Mecánica", E1994="412 - Planificación", E1994="142 - Compras"), 25, 0)) +(IF(OR(S1994="GRADO ING. MECÁNICA", S1994="GRADO ING. ELÉCTRICA", S1994="GRADO DERECHO", S1994="GRADO ECONOMÍA", S1994="GRADO ING. TECNOLOGÍAS INDUSTRIALES"), 24, 0)) + (IF(AND(K1994&gt;=451, K1994&lt;=700), 23, 0)) + (IF(AND(AB1994&gt;=5, AB1994&lt;=8), 17, 0)) +(IF(_xludf.OR(_xludf.AND(AC1994&gt;=8, AC1994&lt;=10), _xludf.AND(AC1994&gt;=0, AC1994&lt;=5)), 16, 0)) + (IF(F1994="Madrid", 11, 0))))</f>
        <v>#NAME?</v>
      </c>
      <c r="AG1994" s="68"/>
      <c r="AH1994" s="71" t="s">
        <v>164</v>
      </c>
    </row>
    <row r="1995" spans="1:62" s="4" customFormat="1" ht="15" customHeight="1" x14ac:dyDescent="0.3">
      <c r="A1995" s="66" t="s">
        <v>3071</v>
      </c>
      <c r="B1995" s="66" t="s">
        <v>5188</v>
      </c>
      <c r="C1995" s="33">
        <v>1992</v>
      </c>
      <c r="D1995" s="33" t="s">
        <v>5394</v>
      </c>
      <c r="E1995" s="34" t="s">
        <v>5306</v>
      </c>
      <c r="F1995" s="34" t="s">
        <v>18</v>
      </c>
      <c r="G1995" s="57">
        <v>45789</v>
      </c>
      <c r="H1995" s="57">
        <v>45812</v>
      </c>
      <c r="I1995" s="34">
        <f t="shared" si="97"/>
        <v>0</v>
      </c>
      <c r="J1995" s="34">
        <v>35</v>
      </c>
      <c r="K1995" s="36">
        <v>0</v>
      </c>
      <c r="L1995" s="34" t="s">
        <v>17</v>
      </c>
      <c r="M1995" s="35">
        <v>34604</v>
      </c>
      <c r="N1995" s="37">
        <f>(YEAR(TablaMadre[[#This Row],[ALTA]])-YEAR(M1995))</f>
        <v>31</v>
      </c>
      <c r="O1995" s="34" t="s">
        <v>618</v>
      </c>
      <c r="P1995" s="34" t="s">
        <v>618</v>
      </c>
      <c r="Q1995" s="34" t="s">
        <v>359</v>
      </c>
      <c r="R1995" s="34" t="s">
        <v>30</v>
      </c>
      <c r="S1995" s="34" t="s">
        <v>26</v>
      </c>
      <c r="T1995" s="34" t="s">
        <v>806</v>
      </c>
      <c r="U1995" s="34" t="s">
        <v>347</v>
      </c>
      <c r="V1995" s="34" t="s">
        <v>27</v>
      </c>
      <c r="W1995" s="34" t="s">
        <v>380</v>
      </c>
      <c r="X1995" s="34" t="s">
        <v>164</v>
      </c>
      <c r="Y1995" s="57"/>
      <c r="Z1995" s="57" t="e">
        <f t="shared" si="98"/>
        <v>#NUM!</v>
      </c>
      <c r="AA1995" s="57"/>
      <c r="AB1995" s="34"/>
      <c r="AC1995" s="34"/>
      <c r="AD1995" s="34"/>
      <c r="AE1995" s="59" t="str">
        <f t="shared" si="99"/>
        <v>SÍ</v>
      </c>
      <c r="AF1995" s="34" t="e" cm="1">
        <f t="array" aca="1" ref="AF1995" ca="1">MIN(100, MAX(0, (IF(R1995="ESTUDIANTE", 31, 0)) + (IF(I1995&lt;=3, 30, IF(I1995&lt;=6, 20, 0))) +(IF(OR(E1995="413 - Control de Costes y Enlace Construcción", E1995="480 - Secretaría General del Consejo", E1995="132 - Civil y estructuras", E1995="136 - Mecánica", E1995="412 - Planificación", E1995="142 - Compras"), 25, 0)) +(IF(OR(S1995="GRADO ING. MECÁNICA", S1995="GRADO ING. ELÉCTRICA", S1995="GRADO DERECHO", S1995="GRADO ECONOMÍA", S1995="GRADO ING. TECNOLOGÍAS INDUSTRIALES"), 24, 0)) + (IF(AND(K1995&gt;=451, K1995&lt;=700), 23, 0)) + (IF(AND(AB1995&gt;=5, AB1995&lt;=8), 17, 0)) +(IF(_xludf.OR(_xludf.AND(AC1995&gt;=8, AC1995&lt;=10), _xludf.AND(AC1995&gt;=0, AC1995&lt;=5)), 16, 0)) + (IF(F1995="Madrid", 11, 0))))</f>
        <v>#NAME?</v>
      </c>
      <c r="AG1995" s="69"/>
      <c r="AH1995" s="71" t="s">
        <v>164</v>
      </c>
    </row>
    <row r="1996" spans="1:62" s="4" customFormat="1" ht="15" customHeight="1" x14ac:dyDescent="0.3">
      <c r="A1996" s="66" t="s">
        <v>3072</v>
      </c>
      <c r="B1996" s="66" t="s">
        <v>5189</v>
      </c>
      <c r="C1996" s="33">
        <v>1995</v>
      </c>
      <c r="D1996" s="33" t="s">
        <v>5403</v>
      </c>
      <c r="E1996" s="34" t="s">
        <v>5317</v>
      </c>
      <c r="F1996" s="34" t="s">
        <v>18</v>
      </c>
      <c r="G1996" s="57">
        <v>45796</v>
      </c>
      <c r="H1996" s="57">
        <v>45807</v>
      </c>
      <c r="I1996" s="34">
        <f t="shared" si="97"/>
        <v>0</v>
      </c>
      <c r="J1996" s="34">
        <v>40</v>
      </c>
      <c r="K1996" s="36">
        <v>0</v>
      </c>
      <c r="L1996" s="34" t="s">
        <v>17</v>
      </c>
      <c r="M1996" s="35">
        <v>38247</v>
      </c>
      <c r="N1996" s="37">
        <f>(YEAR(TablaMadre[[#This Row],[ALTA]])-YEAR(M1996))</f>
        <v>21</v>
      </c>
      <c r="O1996" s="34" t="s">
        <v>18</v>
      </c>
      <c r="P1996" s="34" t="s">
        <v>19</v>
      </c>
      <c r="Q1996" s="34" t="s">
        <v>838</v>
      </c>
      <c r="R1996" s="34" t="s">
        <v>30</v>
      </c>
      <c r="S1996" s="34" t="s">
        <v>26</v>
      </c>
      <c r="T1996" s="34" t="s">
        <v>806</v>
      </c>
      <c r="U1996" s="34" t="s">
        <v>347</v>
      </c>
      <c r="V1996" s="34" t="s">
        <v>27</v>
      </c>
      <c r="W1996" s="34" t="s">
        <v>380</v>
      </c>
      <c r="X1996" s="34" t="s">
        <v>164</v>
      </c>
      <c r="Y1996" s="57"/>
      <c r="Z1996" s="57" t="e">
        <f t="shared" si="98"/>
        <v>#NUM!</v>
      </c>
      <c r="AA1996" s="57"/>
      <c r="AB1996" s="34"/>
      <c r="AC1996" s="34"/>
      <c r="AD1996" s="34"/>
      <c r="AE1996" s="59" t="str">
        <f t="shared" si="99"/>
        <v>NO</v>
      </c>
      <c r="AF1996" s="34" t="e" cm="1">
        <f t="array" aca="1" ref="AF1996" ca="1">MIN(100, MAX(0, (IF(R1996="ESTUDIANTE", 31, 0)) + (IF(I1996&lt;=3, 30, IF(I1996&lt;=6, 20, 0))) +(IF(OR(E1996="413 - Control de Costes y Enlace Construcción", E1996="480 - Secretaría General del Consejo", E1996="132 - Civil y estructuras", E1996="136 - Mecánica", E1996="412 - Planificación", E1996="142 - Compras"), 25, 0)) +(IF(OR(S1996="GRADO ING. MECÁNICA", S1996="GRADO ING. ELÉCTRICA", S1996="GRADO DERECHO", S1996="GRADO ECONOMÍA", S1996="GRADO ING. TECNOLOGÍAS INDUSTRIALES"), 24, 0)) + (IF(AND(K1996&gt;=451, K1996&lt;=700), 23, 0)) + (IF(AND(AB1996&gt;=5, AB1996&lt;=8), 17, 0)) +(IF(_xludf.OR(_xludf.AND(AC1996&gt;=8, AC1996&lt;=10), _xludf.AND(AC1996&gt;=0, AC1996&lt;=5)), 16, 0)) + (IF(F1996="Madrid", 11, 0))))</f>
        <v>#NAME?</v>
      </c>
      <c r="AG1996" s="69"/>
      <c r="AH1996" s="71" t="s">
        <v>164</v>
      </c>
    </row>
    <row r="1997" spans="1:62" s="4" customFormat="1" ht="15" customHeight="1" x14ac:dyDescent="0.3">
      <c r="A1997" s="66" t="s">
        <v>3073</v>
      </c>
      <c r="B1997" s="66" t="s">
        <v>5190</v>
      </c>
      <c r="C1997" s="33">
        <v>1996</v>
      </c>
      <c r="D1997" s="33" t="s">
        <v>5404</v>
      </c>
      <c r="E1997" s="34" t="s">
        <v>5328</v>
      </c>
      <c r="F1997" s="34" t="s">
        <v>18</v>
      </c>
      <c r="G1997" s="57">
        <v>45796</v>
      </c>
      <c r="H1997" s="57">
        <v>45807</v>
      </c>
      <c r="I1997" s="34">
        <f t="shared" si="97"/>
        <v>0</v>
      </c>
      <c r="J1997" s="34">
        <v>40</v>
      </c>
      <c r="K1997" s="36">
        <v>0</v>
      </c>
      <c r="L1997" s="34" t="s">
        <v>17</v>
      </c>
      <c r="M1997" s="35">
        <v>38077</v>
      </c>
      <c r="N1997" s="37">
        <f>(YEAR(TablaMadre[[#This Row],[ALTA]])-YEAR(M1997))</f>
        <v>21</v>
      </c>
      <c r="O1997" s="34" t="s">
        <v>18</v>
      </c>
      <c r="P1997" s="34" t="s">
        <v>19</v>
      </c>
      <c r="Q1997" s="34" t="s">
        <v>839</v>
      </c>
      <c r="R1997" s="34" t="s">
        <v>30</v>
      </c>
      <c r="S1997" s="34" t="s">
        <v>26</v>
      </c>
      <c r="T1997" s="34" t="s">
        <v>806</v>
      </c>
      <c r="U1997" s="34" t="s">
        <v>347</v>
      </c>
      <c r="V1997" s="34" t="s">
        <v>27</v>
      </c>
      <c r="W1997" s="34" t="s">
        <v>380</v>
      </c>
      <c r="X1997" s="34" t="s">
        <v>974</v>
      </c>
      <c r="Y1997" s="57"/>
      <c r="Z1997" s="57" t="e">
        <f t="shared" si="98"/>
        <v>#NUM!</v>
      </c>
      <c r="AA1997" s="57"/>
      <c r="AB1997" s="34"/>
      <c r="AC1997" s="34"/>
      <c r="AD1997" s="34"/>
      <c r="AE1997" s="59" t="str">
        <f t="shared" si="99"/>
        <v>NO</v>
      </c>
      <c r="AF1997" s="34" t="e" cm="1">
        <f t="array" aca="1" ref="AF1997" ca="1">MIN(100, MAX(0, (IF(R1997="ESTUDIANTE", 31, 0)) + (IF(I1997&lt;=3, 30, IF(I1997&lt;=6, 20, 0))) +(IF(OR(E1997="413 - Control de Costes y Enlace Construcción", E1997="480 - Secretaría General del Consejo", E1997="132 - Civil y estructuras", E1997="136 - Mecánica", E1997="412 - Planificación", E1997="142 - Compras"), 25, 0)) +(IF(OR(S1997="GRADO ING. MECÁNICA", S1997="GRADO ING. ELÉCTRICA", S1997="GRADO DERECHO", S1997="GRADO ECONOMÍA", S1997="GRADO ING. TECNOLOGÍAS INDUSTRIALES"), 24, 0)) + (IF(AND(K1997&gt;=451, K1997&lt;=700), 23, 0)) + (IF(AND(AB1997&gt;=5, AB1997&lt;=8), 17, 0)) +(IF(_xludf.OR(_xludf.AND(AC1997&gt;=8, AC1997&lt;=10), _xludf.AND(AC1997&gt;=0, AC1997&lt;=5)), 16, 0)) + (IF(F1997="Madrid", 11, 0))))</f>
        <v>#NAME?</v>
      </c>
      <c r="AG1997" s="69"/>
      <c r="AH1997" s="71" t="s">
        <v>164</v>
      </c>
    </row>
    <row r="1998" spans="1:62" ht="15" customHeight="1" x14ac:dyDescent="0.3">
      <c r="A1998" s="66" t="s">
        <v>2814</v>
      </c>
      <c r="B1998" s="66" t="s">
        <v>4931</v>
      </c>
      <c r="C1998" s="33">
        <v>2000</v>
      </c>
      <c r="D1998" s="33" t="s">
        <v>5405</v>
      </c>
      <c r="E1998" s="34" t="s">
        <v>5341</v>
      </c>
      <c r="F1998" s="34" t="s">
        <v>18</v>
      </c>
      <c r="G1998" s="57">
        <v>45810</v>
      </c>
      <c r="H1998" s="57">
        <v>46053</v>
      </c>
      <c r="I1998" s="34">
        <f t="shared" si="97"/>
        <v>7</v>
      </c>
      <c r="J1998" s="34">
        <v>25</v>
      </c>
      <c r="K1998" s="36">
        <v>500</v>
      </c>
      <c r="L1998" s="34" t="s">
        <v>29</v>
      </c>
      <c r="M1998" s="39">
        <v>37896</v>
      </c>
      <c r="N1998" s="37">
        <f>(YEAR(TablaMadre[[#This Row],[ALTA]])-YEAR(M1998))</f>
        <v>22</v>
      </c>
      <c r="O1998" s="34" t="s">
        <v>18</v>
      </c>
      <c r="P1998" s="34" t="s">
        <v>19</v>
      </c>
      <c r="Q1998" s="34" t="s">
        <v>897</v>
      </c>
      <c r="R1998" s="34" t="s">
        <v>30</v>
      </c>
      <c r="S1998" s="34" t="s">
        <v>898</v>
      </c>
      <c r="T1998" s="34" t="s">
        <v>806</v>
      </c>
      <c r="U1998" s="34" t="str">
        <f>SUBSTITUTE($T1998, "INGUN", "/")</f>
        <v>N/A</v>
      </c>
      <c r="V1998" s="34" t="s">
        <v>137</v>
      </c>
      <c r="W1998" s="34" t="s">
        <v>380</v>
      </c>
      <c r="X1998" s="38"/>
      <c r="Y1998" s="38"/>
      <c r="Z1998" s="62" t="e">
        <f t="shared" si="98"/>
        <v>#NUM!</v>
      </c>
      <c r="AA1998" s="62"/>
      <c r="AB1998" s="34">
        <v>10</v>
      </c>
      <c r="AC1998" s="34">
        <v>10</v>
      </c>
      <c r="AD1998" s="38"/>
      <c r="AE1998" s="59" t="str">
        <f t="shared" si="99"/>
        <v>NO</v>
      </c>
      <c r="AF1998" s="38" t="e" cm="1">
        <f t="array" aca="1" ref="AF1998" ca="1">MIN(100, MAX(0, (IF(R1998="ESTUDIANTE", 31, 0)) + (IF(I1998&lt;=3, 30, IF(I1998&lt;=6, 20, 0))) +(IF(OR(E1998="413 - Control de Costes y Enlace Construcción", E1998="480 - Secretaría General del Consejo", E1998="132 - Civil y estructuras", E1998="136 - Mecánica", E1998="412 - Planificación", E1998="142 - Compras"), 25, 0)) +(IF(OR(S1998="GRADO ING. MECÁNICA", S1998="GRADO ING. ELÉCTRICA", S1998="GRADO DERECHO", S1998="GRADO ECONOMÍA", S1998="GRADO ING. TECNOLOGÍAS INDUSTRIALES"), 24, 0)) + (IF(AND(K1998&gt;=451, K1998&lt;=700), 23, 0)) + (IF(AND(AB1998&gt;=5, AB1998&lt;=8), 17, 0)) +(IF(_xludf.OR(_xludf.AND(AC1998&gt;=8, AC1998&lt;=10), _xludf.AND(AC1998&gt;=0, AC1998&lt;=5)), 16, 0)) + (IF(F1998="Madrid", 11, 0))))</f>
        <v>#NAME?</v>
      </c>
      <c r="AG1998" s="68"/>
      <c r="AH1998" s="71" t="s">
        <v>164</v>
      </c>
    </row>
    <row r="1999" spans="1:62" ht="15" customHeight="1" x14ac:dyDescent="0.3">
      <c r="A1999" s="66" t="s">
        <v>2816</v>
      </c>
      <c r="B1999" s="66" t="s">
        <v>4933</v>
      </c>
      <c r="C1999" s="33">
        <v>1999</v>
      </c>
      <c r="D1999" s="33" t="s">
        <v>5396</v>
      </c>
      <c r="E1999" s="34" t="s">
        <v>5233</v>
      </c>
      <c r="F1999" s="34" t="s">
        <v>18</v>
      </c>
      <c r="G1999" s="57">
        <v>45810</v>
      </c>
      <c r="H1999" s="57">
        <v>45991</v>
      </c>
      <c r="I1999" s="34">
        <f t="shared" si="97"/>
        <v>5</v>
      </c>
      <c r="J1999" s="34">
        <v>35</v>
      </c>
      <c r="K1999" s="36">
        <v>700</v>
      </c>
      <c r="L1999" s="34" t="s">
        <v>17</v>
      </c>
      <c r="M1999" s="39">
        <v>37997</v>
      </c>
      <c r="N1999" s="37">
        <f>(YEAR(TablaMadre[[#This Row],[ALTA]])-YEAR(M1999))</f>
        <v>21</v>
      </c>
      <c r="O1999" s="34" t="s">
        <v>18</v>
      </c>
      <c r="P1999" s="34" t="s">
        <v>19</v>
      </c>
      <c r="Q1999" s="34" t="s">
        <v>849</v>
      </c>
      <c r="R1999" s="34" t="s">
        <v>30</v>
      </c>
      <c r="S1999" s="34" t="s">
        <v>627</v>
      </c>
      <c r="T1999" s="34" t="s">
        <v>806</v>
      </c>
      <c r="U1999" s="34" t="str">
        <f>SUBSTITUTE($T1999, "INGUN", "/")</f>
        <v>N/A</v>
      </c>
      <c r="V1999" s="34" t="s">
        <v>182</v>
      </c>
      <c r="W1999" s="34" t="s">
        <v>23</v>
      </c>
      <c r="X1999" s="34" t="s">
        <v>164</v>
      </c>
      <c r="Y1999" s="57"/>
      <c r="Z1999" s="57" t="e">
        <f t="shared" si="98"/>
        <v>#NUM!</v>
      </c>
      <c r="AA1999" s="57"/>
      <c r="AB1999" s="34"/>
      <c r="AC1999" s="34">
        <v>10</v>
      </c>
      <c r="AD1999" s="34"/>
      <c r="AE1999" s="59" t="str">
        <f t="shared" si="99"/>
        <v>NO</v>
      </c>
      <c r="AF1999" s="38" t="e" cm="1">
        <f t="array" aca="1" ref="AF1999" ca="1">MIN(100, MAX(0, (IF(R1999="ESTUDIANTE", 31, 0)) + (IF(I1999&lt;=3, 30, IF(I1999&lt;=6, 20, 0))) +(IF(OR(E1999="413 - Control de Costes y Enlace Construcción", E1999="480 - Secretaría General del Consejo", E1999="132 - Civil y estructuras", E1999="136 - Mecánica", E1999="412 - Planificación", E1999="142 - Compras"), 25, 0)) +(IF(OR(S1999="GRADO ING. MECÁNICA", S1999="GRADO ING. ELÉCTRICA", S1999="GRADO DERECHO", S1999="GRADO ECONOMÍA", S1999="GRADO ING. TECNOLOGÍAS INDUSTRIALES"), 24, 0)) + (IF(AND(K1999&gt;=451, K1999&lt;=700), 23, 0)) + (IF(AND(AB1999&gt;=5, AB1999&lt;=8), 17, 0)) +(IF(_xludf.OR(_xludf.AND(AC1999&gt;=8, AC1999&lt;=10), _xludf.AND(AC1999&gt;=0, AC1999&lt;=5)), 16, 0)) + (IF(F1999="Madrid", 11, 0))))</f>
        <v>#NAME?</v>
      </c>
      <c r="AG1999" s="68"/>
      <c r="AH1999" s="71" t="s">
        <v>164</v>
      </c>
    </row>
    <row r="2000" spans="1:62" s="7" customFormat="1" ht="15" customHeight="1" x14ac:dyDescent="0.3">
      <c r="A2000" s="66" t="s">
        <v>2882</v>
      </c>
      <c r="B2000" s="66" t="s">
        <v>4999</v>
      </c>
      <c r="C2000" s="33">
        <v>1998</v>
      </c>
      <c r="D2000" s="33" t="s">
        <v>5397</v>
      </c>
      <c r="E2000" s="34" t="s">
        <v>5306</v>
      </c>
      <c r="F2000" s="34" t="s">
        <v>18</v>
      </c>
      <c r="G2000" s="57">
        <v>45810</v>
      </c>
      <c r="H2000" s="57">
        <v>45821</v>
      </c>
      <c r="I2000" s="34">
        <f t="shared" si="97"/>
        <v>0</v>
      </c>
      <c r="J2000" s="34">
        <v>30</v>
      </c>
      <c r="K2000" s="36">
        <v>0</v>
      </c>
      <c r="L2000" s="34" t="s">
        <v>29</v>
      </c>
      <c r="M2000" s="35">
        <v>38308</v>
      </c>
      <c r="N2000" s="37">
        <f>(YEAR(TablaMadre[[#This Row],[ALTA]])-YEAR(M2000))</f>
        <v>21</v>
      </c>
      <c r="O2000" s="34" t="s">
        <v>18</v>
      </c>
      <c r="P2000" s="34" t="s">
        <v>19</v>
      </c>
      <c r="Q2000" s="34" t="s">
        <v>675</v>
      </c>
      <c r="R2000" s="34" t="s">
        <v>30</v>
      </c>
      <c r="S2000" s="34" t="s">
        <v>26</v>
      </c>
      <c r="T2000" s="34" t="s">
        <v>806</v>
      </c>
      <c r="U2000" s="34" t="str">
        <f>SUBSTITUTE($T2000, "INGUN", "/")</f>
        <v>N/A</v>
      </c>
      <c r="V2000" s="34" t="s">
        <v>27</v>
      </c>
      <c r="W2000" s="34" t="s">
        <v>380</v>
      </c>
      <c r="X2000" s="38" t="s">
        <v>974</v>
      </c>
      <c r="Y2000" s="62"/>
      <c r="Z2000" s="62" t="e">
        <f t="shared" si="98"/>
        <v>#NUM!</v>
      </c>
      <c r="AA2000" s="62"/>
      <c r="AB2000" s="34"/>
      <c r="AC2000" s="34"/>
      <c r="AD2000" s="38"/>
      <c r="AE2000" s="59" t="str">
        <f t="shared" si="99"/>
        <v>NO</v>
      </c>
      <c r="AF2000" s="34" t="e" cm="1">
        <f t="array" aca="1" ref="AF2000" ca="1">MIN(100, MAX(0, (IF(R2000="ESTUDIANTE", 31, 0)) + (IF(I2000&lt;=3, 30, IF(I2000&lt;=6, 20, 0))) +(IF(OR(E2000="413 - Control de Costes y Enlace Construcción", E2000="480 - Secretaría General del Consejo", E2000="132 - Civil y estructuras", E2000="136 - Mecánica", E2000="412 - Planificación", E2000="142 - Compras"), 25, 0)) +(IF(OR(S2000="GRADO ING. MECÁNICA", S2000="GRADO ING. ELÉCTRICA", S2000="GRADO DERECHO", S2000="GRADO ECONOMÍA", S2000="GRADO ING. TECNOLOGÍAS INDUSTRIALES"), 24, 0)) + (IF(AND(K2000&gt;=451, K2000&lt;=700), 23, 0)) + (IF(AND(AB2000&gt;=5, AB2000&lt;=8), 17, 0)) +(IF(_xludf.OR(_xludf.AND(AC2000&gt;=8, AC2000&lt;=10), _xludf.AND(AC2000&gt;=0, AC2000&lt;=5)), 16, 0)) + (IF(F2000="Madrid", 11, 0))))</f>
        <v>#NAME?</v>
      </c>
      <c r="AG2000" s="69"/>
      <c r="AH2000" s="71" t="s">
        <v>164</v>
      </c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20"/>
    </row>
    <row r="2001" spans="1:62" ht="15" customHeight="1" x14ac:dyDescent="0.3">
      <c r="A2001" s="66" t="s">
        <v>2883</v>
      </c>
      <c r="B2001" s="66" t="s">
        <v>5000</v>
      </c>
      <c r="C2001" s="33">
        <v>1997</v>
      </c>
      <c r="D2001" s="33" t="s">
        <v>5393</v>
      </c>
      <c r="E2001" s="34" t="s">
        <v>5216</v>
      </c>
      <c r="F2001" s="34" t="s">
        <v>18</v>
      </c>
      <c r="G2001" s="57">
        <v>45810</v>
      </c>
      <c r="H2001" s="57">
        <v>45821</v>
      </c>
      <c r="I2001" s="34">
        <f t="shared" si="97"/>
        <v>0</v>
      </c>
      <c r="J2001" s="34">
        <v>30</v>
      </c>
      <c r="K2001" s="36">
        <v>0</v>
      </c>
      <c r="L2001" s="34" t="s">
        <v>29</v>
      </c>
      <c r="M2001" s="35">
        <v>38739</v>
      </c>
      <c r="N2001" s="37">
        <f>(YEAR(TablaMadre[[#This Row],[ALTA]])-YEAR(M2001))</f>
        <v>19</v>
      </c>
      <c r="O2001" s="34" t="s">
        <v>18</v>
      </c>
      <c r="P2001" s="34" t="s">
        <v>19</v>
      </c>
      <c r="Q2001" s="34" t="s">
        <v>675</v>
      </c>
      <c r="R2001" s="34" t="s">
        <v>30</v>
      </c>
      <c r="S2001" s="34" t="s">
        <v>26</v>
      </c>
      <c r="T2001" s="34" t="s">
        <v>806</v>
      </c>
      <c r="U2001" s="34" t="str">
        <f>SUBSTITUTE($T2001, "INGUN", "/")</f>
        <v>N/A</v>
      </c>
      <c r="V2001" s="34" t="s">
        <v>27</v>
      </c>
      <c r="W2001" s="34" t="s">
        <v>380</v>
      </c>
      <c r="X2001" s="38" t="s">
        <v>974</v>
      </c>
      <c r="Y2001" s="62"/>
      <c r="Z2001" s="62" t="e">
        <f t="shared" si="98"/>
        <v>#NUM!</v>
      </c>
      <c r="AA2001" s="62"/>
      <c r="AB2001" s="34"/>
      <c r="AC2001" s="34"/>
      <c r="AD2001" s="38"/>
      <c r="AE2001" s="59" t="str">
        <f t="shared" si="99"/>
        <v>NO</v>
      </c>
      <c r="AF2001" s="38" t="e" cm="1">
        <f t="array" aca="1" ref="AF2001" ca="1">MIN(100, MAX(0, (IF(R2001="ESTUDIANTE", 31, 0)) + (IF(I2001&lt;=3, 30, IF(I2001&lt;=6, 20, 0))) +(IF(OR(E2001="413 - Control de Costes y Enlace Construcción", E2001="480 - Secretaría General del Consejo", E2001="132 - Civil y estructuras", E2001="136 - Mecánica", E2001="412 - Planificación", E2001="142 - Compras"), 25, 0)) +(IF(OR(S2001="GRADO ING. MECÁNICA", S2001="GRADO ING. ELÉCTRICA", S2001="GRADO DERECHO", S2001="GRADO ECONOMÍA", S2001="GRADO ING. TECNOLOGÍAS INDUSTRIALES"), 24, 0)) + (IF(AND(K2001&gt;=451, K2001&lt;=700), 23, 0)) + (IF(AND(AB2001&gt;=5, AB2001&lt;=8), 17, 0)) +(IF(_xludf.OR(_xludf.AND(AC2001&gt;=8, AC2001&lt;=10), _xludf.AND(AC2001&gt;=0, AC2001&lt;=5)), 16, 0)) + (IF(F2001="Madrid", 11, 0))))</f>
        <v>#NAME?</v>
      </c>
      <c r="AG2001" s="68"/>
      <c r="AH2001" s="71" t="s">
        <v>164</v>
      </c>
    </row>
    <row r="2002" spans="1:62" ht="15" customHeight="1" x14ac:dyDescent="0.3">
      <c r="A2002" s="66" t="s">
        <v>2943</v>
      </c>
      <c r="B2002" s="66" t="s">
        <v>5060</v>
      </c>
      <c r="C2002" s="33">
        <v>2002</v>
      </c>
      <c r="D2002" s="33" t="s">
        <v>5394</v>
      </c>
      <c r="E2002" s="34" t="s">
        <v>5317</v>
      </c>
      <c r="F2002" s="34" t="s">
        <v>18</v>
      </c>
      <c r="G2002" s="57">
        <v>45817</v>
      </c>
      <c r="H2002" s="57">
        <v>45999</v>
      </c>
      <c r="I2002" s="34">
        <f t="shared" si="97"/>
        <v>5</v>
      </c>
      <c r="J2002" s="34">
        <v>35</v>
      </c>
      <c r="K2002" s="36">
        <v>1200</v>
      </c>
      <c r="L2002" s="34" t="s">
        <v>17</v>
      </c>
      <c r="M2002" s="39">
        <v>37327</v>
      </c>
      <c r="N2002" s="37">
        <f>(YEAR(TablaMadre[[#This Row],[ALTA]])-YEAR(M2002))</f>
        <v>23</v>
      </c>
      <c r="O2002" s="34" t="s">
        <v>945</v>
      </c>
      <c r="P2002" s="34" t="s">
        <v>19</v>
      </c>
      <c r="Q2002" s="34" t="s">
        <v>626</v>
      </c>
      <c r="R2002" s="34" t="s">
        <v>30</v>
      </c>
      <c r="S2002" s="34" t="s">
        <v>322</v>
      </c>
      <c r="T2002" s="34" t="s">
        <v>887</v>
      </c>
      <c r="U2002" s="34" t="s">
        <v>30</v>
      </c>
      <c r="V2002" s="34" t="s">
        <v>239</v>
      </c>
      <c r="W2002" s="34" t="s">
        <v>28</v>
      </c>
      <c r="X2002" s="34" t="s">
        <v>173</v>
      </c>
      <c r="Y2002" s="57"/>
      <c r="Z2002" s="34" t="e">
        <f t="shared" si="98"/>
        <v>#NUM!</v>
      </c>
      <c r="AA2002" s="34"/>
      <c r="AB2002" s="34"/>
      <c r="AC2002" s="34">
        <v>9</v>
      </c>
      <c r="AD2002" s="34"/>
      <c r="AE2002" s="59" t="str">
        <f t="shared" si="99"/>
        <v>SÍ</v>
      </c>
      <c r="AF2002" s="38" t="e" cm="1">
        <f t="array" aca="1" ref="AF2002" ca="1">MIN(100, MAX(0, (IF(R2002="ESTUDIANTE", 31, 0)) + (IF(I2002&lt;=3, 30, IF(I2002&lt;=6, 20, 0))) +(IF(OR(E2002="413 - Control de Costes y Enlace Construcción", E2002="480 - Secretaría General del Consejo", E2002="132 - Civil y estructuras", E2002="136 - Mecánica", E2002="412 - Planificación", E2002="142 - Compras"), 25, 0)) +(IF(OR(S2002="GRADO ING. MECÁNICA", S2002="GRADO ING. ELÉCTRICA", S2002="GRADO DERECHO", S2002="GRADO ECONOMÍA", S2002="GRADO ING. TECNOLOGÍAS INDUSTRIALES"), 24, 0)) + (IF(AND(K2002&gt;=451, K2002&lt;=700), 23, 0)) + (IF(AND(AB2002&gt;=5, AB2002&lt;=8), 17, 0)) +(IF(_xludf.OR(_xludf.AND(AC2002&gt;=8, AC2002&lt;=10), _xludf.AND(AC2002&gt;=0, AC2002&lt;=5)), 16, 0)) + (IF(F2002="Madrid", 11, 0))))</f>
        <v>#NAME?</v>
      </c>
      <c r="AG2002" s="68"/>
      <c r="AH2002" s="71" t="s">
        <v>164</v>
      </c>
    </row>
    <row r="2003" spans="1:62" s="4" customFormat="1" ht="15" customHeight="1" x14ac:dyDescent="0.3">
      <c r="A2003" s="66" t="s">
        <v>2982</v>
      </c>
      <c r="B2003" s="66" t="s">
        <v>5099</v>
      </c>
      <c r="C2003" s="33">
        <v>2003</v>
      </c>
      <c r="D2003" s="33" t="s">
        <v>5395</v>
      </c>
      <c r="E2003" s="34" t="s">
        <v>5361</v>
      </c>
      <c r="F2003" s="34" t="s">
        <v>18</v>
      </c>
      <c r="G2003" s="57">
        <v>45817</v>
      </c>
      <c r="H2003" s="57">
        <v>46181</v>
      </c>
      <c r="I2003" s="38">
        <f t="shared" si="97"/>
        <v>11</v>
      </c>
      <c r="J2003" s="40">
        <v>35</v>
      </c>
      <c r="K2003" s="44">
        <v>1200</v>
      </c>
      <c r="L2003" s="38" t="s">
        <v>17</v>
      </c>
      <c r="M2003" s="43">
        <v>37478</v>
      </c>
      <c r="N2003" s="37">
        <f>(YEAR(TablaMadre[[#This Row],[ALTA]])-YEAR(M2003))</f>
        <v>23</v>
      </c>
      <c r="O2003" s="38" t="s">
        <v>70</v>
      </c>
      <c r="P2003" s="38" t="s">
        <v>19</v>
      </c>
      <c r="Q2003" s="38" t="s">
        <v>626</v>
      </c>
      <c r="R2003" s="38" t="s">
        <v>21</v>
      </c>
      <c r="S2003" s="34" t="s">
        <v>322</v>
      </c>
      <c r="T2003" s="38" t="s">
        <v>823</v>
      </c>
      <c r="U2003" s="38" t="s">
        <v>21</v>
      </c>
      <c r="V2003" s="38" t="s">
        <v>239</v>
      </c>
      <c r="W2003" s="38" t="s">
        <v>886</v>
      </c>
      <c r="X2003" s="38"/>
      <c r="Y2003" s="38"/>
      <c r="Z2003" s="62" t="e">
        <f t="shared" si="98"/>
        <v>#NUM!</v>
      </c>
      <c r="AA2003" s="62"/>
      <c r="AB2003" s="38"/>
      <c r="AC2003" s="38">
        <v>8</v>
      </c>
      <c r="AD2003" s="38"/>
      <c r="AE2003" s="59" t="str">
        <f t="shared" si="99"/>
        <v>SÍ</v>
      </c>
      <c r="AF2003" s="34" t="e" cm="1">
        <f t="array" aca="1" ref="AF2003" ca="1">MIN(100, MAX(0, (IF(R2003="ESTUDIANTE", 31, 0)) + (IF(I2003&lt;=3, 30, IF(I2003&lt;=6, 20, 0))) +(IF(OR(E2003="413 - Control de Costes y Enlace Construcción", E2003="480 - Secretaría General del Consejo", E2003="132 - Civil y estructuras", E2003="136 - Mecánica", E2003="412 - Planificación", E2003="142 - Compras"), 25, 0)) +(IF(OR(S2003="GRADO ING. MECÁNICA", S2003="GRADO ING. ELÉCTRICA", S2003="GRADO DERECHO", S2003="GRADO ECONOMÍA", S2003="GRADO ING. TECNOLOGÍAS INDUSTRIALES"), 24, 0)) + (IF(AND(K2003&gt;=451, K2003&lt;=700), 23, 0)) + (IF(AND(AB2003&gt;=5, AB2003&lt;=8), 17, 0)) +(IF(_xludf.OR(_xludf.AND(AC2003&gt;=8, AC2003&lt;=10), _xludf.AND(AC2003&gt;=0, AC2003&lt;=5)), 16, 0)) + (IF(F2003="Madrid", 11, 0))))</f>
        <v>#NAME?</v>
      </c>
      <c r="AG2003" s="69"/>
      <c r="AH2003" s="71" t="s">
        <v>164</v>
      </c>
    </row>
    <row r="2004" spans="1:62" ht="15" customHeight="1" x14ac:dyDescent="0.3">
      <c r="A2004" s="66" t="s">
        <v>3016</v>
      </c>
      <c r="B2004" s="66" t="s">
        <v>5133</v>
      </c>
      <c r="C2004" s="33">
        <v>2001</v>
      </c>
      <c r="D2004" s="33" t="s">
        <v>5396</v>
      </c>
      <c r="E2004" s="34" t="s">
        <v>5383</v>
      </c>
      <c r="F2004" s="34" t="s">
        <v>18</v>
      </c>
      <c r="G2004" s="57">
        <v>45817</v>
      </c>
      <c r="H2004" s="57">
        <v>45995</v>
      </c>
      <c r="I2004" s="34">
        <f t="shared" si="97"/>
        <v>5</v>
      </c>
      <c r="J2004" s="34">
        <v>35</v>
      </c>
      <c r="K2004" s="36">
        <v>725</v>
      </c>
      <c r="L2004" s="34" t="s">
        <v>17</v>
      </c>
      <c r="M2004" s="39">
        <v>34316</v>
      </c>
      <c r="N2004" s="37">
        <f>(YEAR(TablaMadre[[#This Row],[ALTA]])-YEAR(M2004))</f>
        <v>32</v>
      </c>
      <c r="O2004" s="34" t="s">
        <v>812</v>
      </c>
      <c r="P2004" s="34" t="s">
        <v>19</v>
      </c>
      <c r="Q2004" s="34" t="s">
        <v>555</v>
      </c>
      <c r="R2004" s="34" t="s">
        <v>21</v>
      </c>
      <c r="S2004" s="34" t="s">
        <v>26</v>
      </c>
      <c r="T2004" s="34" t="s">
        <v>806</v>
      </c>
      <c r="U2004" s="34" t="s">
        <v>347</v>
      </c>
      <c r="V2004" s="34" t="s">
        <v>27</v>
      </c>
      <c r="W2004" s="34" t="s">
        <v>28</v>
      </c>
      <c r="X2004" s="38" t="s">
        <v>173</v>
      </c>
      <c r="Y2004" s="62"/>
      <c r="Z2004" s="38" t="e">
        <f t="shared" si="98"/>
        <v>#NUM!</v>
      </c>
      <c r="AA2004" s="38"/>
      <c r="AB2004" s="34">
        <v>10</v>
      </c>
      <c r="AC2004" s="34">
        <v>9</v>
      </c>
      <c r="AD2004" s="38"/>
      <c r="AE2004" s="59" t="str">
        <f t="shared" si="99"/>
        <v>SÍ</v>
      </c>
      <c r="AF2004" s="38" t="e" cm="1">
        <f t="array" aca="1" ref="AF2004" ca="1">MIN(100, MAX(0, (IF(R2004="ESTUDIANTE", 31, 0)) + (IF(I2004&lt;=3, 30, IF(I2004&lt;=6, 20, 0))) +(IF(OR(E2004="413 - Control de Costes y Enlace Construcción", E2004="480 - Secretaría General del Consejo", E2004="132 - Civil y estructuras", E2004="136 - Mecánica", E2004="412 - Planificación", E2004="142 - Compras"), 25, 0)) +(IF(OR(S2004="GRADO ING. MECÁNICA", S2004="GRADO ING. ELÉCTRICA", S2004="GRADO DERECHO", S2004="GRADO ECONOMÍA", S2004="GRADO ING. TECNOLOGÍAS INDUSTRIALES"), 24, 0)) + (IF(AND(K2004&gt;=451, K2004&lt;=700), 23, 0)) + (IF(AND(AB2004&gt;=5, AB2004&lt;=8), 17, 0)) +(IF(_xludf.OR(_xludf.AND(AC2004&gt;=8, AC2004&lt;=10), _xludf.AND(AC2004&gt;=0, AC2004&lt;=5)), 16, 0)) + (IF(F2004="Madrid", 11, 0))))</f>
        <v>#NAME?</v>
      </c>
      <c r="AG2004" s="68"/>
      <c r="AH2004" s="71" t="s">
        <v>164</v>
      </c>
    </row>
    <row r="2005" spans="1:62" s="4" customFormat="1" ht="15" customHeight="1" x14ac:dyDescent="0.3">
      <c r="A2005" s="66" t="s">
        <v>2834</v>
      </c>
      <c r="B2005" s="66" t="s">
        <v>4951</v>
      </c>
      <c r="C2005" s="33">
        <v>2005</v>
      </c>
      <c r="D2005" s="33" t="s">
        <v>5397</v>
      </c>
      <c r="E2005" s="34" t="s">
        <v>5246</v>
      </c>
      <c r="F2005" s="34" t="s">
        <v>118</v>
      </c>
      <c r="G2005" s="57">
        <v>45818</v>
      </c>
      <c r="H2005" s="57">
        <v>45869</v>
      </c>
      <c r="I2005" s="34">
        <f t="shared" si="97"/>
        <v>1</v>
      </c>
      <c r="J2005" s="34">
        <v>35</v>
      </c>
      <c r="K2005" s="36">
        <v>420</v>
      </c>
      <c r="L2005" s="34" t="s">
        <v>17</v>
      </c>
      <c r="M2005" s="35">
        <v>37676</v>
      </c>
      <c r="N2005" s="37">
        <f>(YEAR(TablaMadre[[#This Row],[ALTA]])-YEAR(M2005))</f>
        <v>22</v>
      </c>
      <c r="O2005" s="34" t="s">
        <v>118</v>
      </c>
      <c r="P2005" s="34" t="s">
        <v>19</v>
      </c>
      <c r="Q2005" s="34" t="s">
        <v>729</v>
      </c>
      <c r="R2005" s="34" t="s">
        <v>30</v>
      </c>
      <c r="S2005" s="34" t="s">
        <v>26</v>
      </c>
      <c r="T2005" s="34" t="s">
        <v>806</v>
      </c>
      <c r="U2005" s="34" t="s">
        <v>347</v>
      </c>
      <c r="V2005" s="34" t="s">
        <v>27</v>
      </c>
      <c r="W2005" s="34" t="s">
        <v>380</v>
      </c>
      <c r="X2005" s="38" t="s">
        <v>164</v>
      </c>
      <c r="Y2005" s="62"/>
      <c r="Z2005" s="62" t="e">
        <f t="shared" si="98"/>
        <v>#NUM!</v>
      </c>
      <c r="AA2005" s="62"/>
      <c r="AB2005" s="34">
        <v>10</v>
      </c>
      <c r="AC2005" s="34">
        <v>9</v>
      </c>
      <c r="AD2005" s="38"/>
      <c r="AE2005" s="59" t="str">
        <f t="shared" si="99"/>
        <v>NO</v>
      </c>
      <c r="AF2005" s="34" t="e" cm="1">
        <f t="array" aca="1" ref="AF2005" ca="1">MIN(100, MAX(0, (IF(R2005="ESTUDIANTE", 31, 0)) + (IF(I2005&lt;=3, 30, IF(I2005&lt;=6, 20, 0))) +(IF(OR(E2005="413 - Control de Costes y Enlace Construcción", E2005="480 - Secretaría General del Consejo", E2005="132 - Civil y estructuras", E2005="136 - Mecánica", E2005="412 - Planificación", E2005="142 - Compras"), 25, 0)) +(IF(OR(S2005="GRADO ING. MECÁNICA", S2005="GRADO ING. ELÉCTRICA", S2005="GRADO DERECHO", S2005="GRADO ECONOMÍA", S2005="GRADO ING. TECNOLOGÍAS INDUSTRIALES"), 24, 0)) + (IF(AND(K2005&gt;=451, K2005&lt;=700), 23, 0)) + (IF(AND(AB2005&gt;=5, AB2005&lt;=8), 17, 0)) +(IF(_xludf.OR(_xludf.AND(AC2005&gt;=8, AC2005&lt;=10), _xludf.AND(AC2005&gt;=0, AC2005&lt;=5)), 16, 0)) + (IF(F2005="Madrid", 11, 0))))</f>
        <v>#NAME?</v>
      </c>
      <c r="AG2005" s="69"/>
      <c r="AH2005" s="71" t="s">
        <v>164</v>
      </c>
    </row>
    <row r="2006" spans="1:62" ht="15" customHeight="1" x14ac:dyDescent="0.3">
      <c r="A2006" s="66" t="s">
        <v>2840</v>
      </c>
      <c r="B2006" s="66" t="s">
        <v>4957</v>
      </c>
      <c r="C2006" s="33">
        <v>2004</v>
      </c>
      <c r="D2006" s="33" t="s">
        <v>5398</v>
      </c>
      <c r="E2006" s="34" t="s">
        <v>5306</v>
      </c>
      <c r="F2006" s="34" t="s">
        <v>118</v>
      </c>
      <c r="G2006" s="57">
        <v>45818</v>
      </c>
      <c r="H2006" s="57">
        <v>45863</v>
      </c>
      <c r="I2006" s="34">
        <f t="shared" si="97"/>
        <v>1</v>
      </c>
      <c r="J2006" s="34">
        <v>35</v>
      </c>
      <c r="K2006" s="36">
        <v>420</v>
      </c>
      <c r="L2006" s="34" t="s">
        <v>17</v>
      </c>
      <c r="M2006" s="35">
        <v>38986</v>
      </c>
      <c r="N2006" s="37">
        <f>(YEAR(TablaMadre[[#This Row],[ALTA]])-YEAR(M2006))</f>
        <v>19</v>
      </c>
      <c r="O2006" s="34" t="s">
        <v>118</v>
      </c>
      <c r="P2006" s="34" t="s">
        <v>19</v>
      </c>
      <c r="Q2006" s="34" t="s">
        <v>675</v>
      </c>
      <c r="R2006" s="34" t="s">
        <v>30</v>
      </c>
      <c r="S2006" s="34" t="s">
        <v>26</v>
      </c>
      <c r="T2006" s="34" t="s">
        <v>806</v>
      </c>
      <c r="U2006" s="34" t="s">
        <v>347</v>
      </c>
      <c r="V2006" s="34" t="s">
        <v>27</v>
      </c>
      <c r="W2006" s="34" t="s">
        <v>380</v>
      </c>
      <c r="X2006" s="34" t="s">
        <v>164</v>
      </c>
      <c r="Y2006" s="57"/>
      <c r="Z2006" s="57" t="e">
        <f t="shared" si="98"/>
        <v>#NUM!</v>
      </c>
      <c r="AA2006" s="57"/>
      <c r="AB2006" s="34"/>
      <c r="AC2006" s="34">
        <v>9</v>
      </c>
      <c r="AD2006" s="34"/>
      <c r="AE2006" s="59" t="str">
        <f t="shared" si="99"/>
        <v>NO</v>
      </c>
      <c r="AF2006" s="38" t="e" cm="1">
        <f t="array" aca="1" ref="AF2006" ca="1">MIN(100, MAX(0, (IF(R2006="ESTUDIANTE", 31, 0)) + (IF(I2006&lt;=3, 30, IF(I2006&lt;=6, 20, 0))) +(IF(OR(E2006="413 - Control de Costes y Enlace Construcción", E2006="480 - Secretaría General del Consejo", E2006="132 - Civil y estructuras", E2006="136 - Mecánica", E2006="412 - Planificación", E2006="142 - Compras"), 25, 0)) +(IF(OR(S2006="GRADO ING. MECÁNICA", S2006="GRADO ING. ELÉCTRICA", S2006="GRADO DERECHO", S2006="GRADO ECONOMÍA", S2006="GRADO ING. TECNOLOGÍAS INDUSTRIALES"), 24, 0)) + (IF(AND(K2006&gt;=451, K2006&lt;=700), 23, 0)) + (IF(AND(AB2006&gt;=5, AB2006&lt;=8), 17, 0)) +(IF(_xludf.OR(_xludf.AND(AC2006&gt;=8, AC2006&lt;=10), _xludf.AND(AC2006&gt;=0, AC2006&lt;=5)), 16, 0)) + (IF(F2006="Madrid", 11, 0))))</f>
        <v>#NAME?</v>
      </c>
      <c r="AG2006" s="68"/>
      <c r="AH2006" s="71" t="s">
        <v>164</v>
      </c>
    </row>
    <row r="2007" spans="1:62" ht="15" customHeight="1" x14ac:dyDescent="0.3">
      <c r="A2007" s="66" t="s">
        <v>2851</v>
      </c>
      <c r="B2007" s="66" t="s">
        <v>4968</v>
      </c>
      <c r="C2007" s="33">
        <v>2014</v>
      </c>
      <c r="D2007" s="33" t="s">
        <v>5399</v>
      </c>
      <c r="E2007" s="34" t="s">
        <v>5374</v>
      </c>
      <c r="F2007" s="34" t="s">
        <v>18</v>
      </c>
      <c r="G2007" s="57">
        <v>45824</v>
      </c>
      <c r="H2007" s="57">
        <v>46128</v>
      </c>
      <c r="I2007" s="34">
        <f t="shared" si="97"/>
        <v>10</v>
      </c>
      <c r="J2007" s="34">
        <v>35</v>
      </c>
      <c r="K2007" s="36">
        <v>800</v>
      </c>
      <c r="L2007" s="34" t="s">
        <v>17</v>
      </c>
      <c r="M2007" s="39">
        <v>36918</v>
      </c>
      <c r="N2007" s="37">
        <f>(YEAR(TablaMadre[[#This Row],[ALTA]])-YEAR(M2007))</f>
        <v>24</v>
      </c>
      <c r="O2007" s="34" t="s">
        <v>18</v>
      </c>
      <c r="P2007" s="34" t="s">
        <v>19</v>
      </c>
      <c r="Q2007" s="34" t="s">
        <v>274</v>
      </c>
      <c r="R2007" s="34" t="s">
        <v>21</v>
      </c>
      <c r="S2007" s="34" t="s">
        <v>274</v>
      </c>
      <c r="T2007" s="34" t="s">
        <v>912</v>
      </c>
      <c r="U2007" s="34" t="s">
        <v>30</v>
      </c>
      <c r="V2007" s="34" t="s">
        <v>84</v>
      </c>
      <c r="W2007" s="34" t="s">
        <v>181</v>
      </c>
      <c r="X2007" s="34"/>
      <c r="Y2007" s="34"/>
      <c r="Z2007" s="57" t="e">
        <f t="shared" si="98"/>
        <v>#NUM!</v>
      </c>
      <c r="AA2007" s="57"/>
      <c r="AB2007" s="34">
        <v>8</v>
      </c>
      <c r="AC2007" s="34">
        <v>9</v>
      </c>
      <c r="AD2007" s="34"/>
      <c r="AE2007" s="59" t="str">
        <f t="shared" si="99"/>
        <v>NO</v>
      </c>
      <c r="AF2007" s="38" t="e" cm="1">
        <f t="array" aca="1" ref="AF2007" ca="1">MIN(100, MAX(0, (IF(R2007="ESTUDIANTE", 31, 0)) + (IF(I2007&lt;=3, 30, IF(I2007&lt;=6, 20, 0))) +(IF(OR(E2007="413 - Control de Costes y Enlace Construcción", E2007="480 - Secretaría General del Consejo", E2007="132 - Civil y estructuras", E2007="136 - Mecánica", E2007="412 - Planificación", E2007="142 - Compras"), 25, 0)) +(IF(OR(S2007="GRADO ING. MECÁNICA", S2007="GRADO ING. ELÉCTRICA", S2007="GRADO DERECHO", S2007="GRADO ECONOMÍA", S2007="GRADO ING. TECNOLOGÍAS INDUSTRIALES"), 24, 0)) + (IF(AND(K2007&gt;=451, K2007&lt;=700), 23, 0)) + (IF(AND(AB2007&gt;=5, AB2007&lt;=8), 17, 0)) +(IF(_xludf.OR(_xludf.AND(AC2007&gt;=8, AC2007&lt;=10), _xludf.AND(AC2007&gt;=0, AC2007&lt;=5)), 16, 0)) + (IF(F2007="Madrid", 11, 0))))</f>
        <v>#NAME?</v>
      </c>
      <c r="AG2007" s="68"/>
      <c r="AH2007" s="71" t="s">
        <v>164</v>
      </c>
    </row>
    <row r="2008" spans="1:62" ht="15" customHeight="1" x14ac:dyDescent="0.3">
      <c r="A2008" s="66" t="s">
        <v>2852</v>
      </c>
      <c r="B2008" s="66" t="s">
        <v>4969</v>
      </c>
      <c r="C2008" s="33">
        <v>2006</v>
      </c>
      <c r="D2008" s="33" t="s">
        <v>5400</v>
      </c>
      <c r="E2008" s="34" t="s">
        <v>5359</v>
      </c>
      <c r="F2008" s="34" t="s">
        <v>18</v>
      </c>
      <c r="G2008" s="57">
        <v>45824</v>
      </c>
      <c r="H2008" s="57">
        <v>45863</v>
      </c>
      <c r="I2008" s="34">
        <f t="shared" si="97"/>
        <v>1</v>
      </c>
      <c r="J2008" s="34">
        <v>35</v>
      </c>
      <c r="K2008" s="36">
        <v>0</v>
      </c>
      <c r="L2008" s="34" t="s">
        <v>17</v>
      </c>
      <c r="M2008" s="35">
        <v>38101</v>
      </c>
      <c r="N2008" s="37">
        <f>(YEAR(TablaMadre[[#This Row],[ALTA]])-YEAR(M2008))</f>
        <v>21</v>
      </c>
      <c r="O2008" s="34" t="s">
        <v>18</v>
      </c>
      <c r="P2008" s="34" t="s">
        <v>19</v>
      </c>
      <c r="Q2008" s="34" t="s">
        <v>322</v>
      </c>
      <c r="R2008" s="34" t="s">
        <v>30</v>
      </c>
      <c r="S2008" s="34" t="s">
        <v>322</v>
      </c>
      <c r="T2008" s="34" t="s">
        <v>806</v>
      </c>
      <c r="U2008" s="34" t="s">
        <v>347</v>
      </c>
      <c r="V2008" s="34" t="s">
        <v>137</v>
      </c>
      <c r="W2008" s="34" t="s">
        <v>23</v>
      </c>
      <c r="X2008" s="38" t="s">
        <v>164</v>
      </c>
      <c r="Y2008" s="62"/>
      <c r="Z2008" s="62" t="e">
        <f t="shared" si="98"/>
        <v>#NUM!</v>
      </c>
      <c r="AA2008" s="62"/>
      <c r="AB2008" s="34"/>
      <c r="AC2008" s="34">
        <v>10</v>
      </c>
      <c r="AD2008" s="38"/>
      <c r="AE2008" s="59" t="str">
        <f t="shared" si="99"/>
        <v>NO</v>
      </c>
      <c r="AF2008" s="38" t="e" cm="1">
        <f t="array" aca="1" ref="AF2008" ca="1">MIN(100, MAX(0, (IF(R2008="ESTUDIANTE", 31, 0)) + (IF(I2008&lt;=3, 30, IF(I2008&lt;=6, 20, 0))) +(IF(OR(E2008="413 - Control de Costes y Enlace Construcción", E2008="480 - Secretaría General del Consejo", E2008="132 - Civil y estructuras", E2008="136 - Mecánica", E2008="412 - Planificación", E2008="142 - Compras"), 25, 0)) +(IF(OR(S2008="GRADO ING. MECÁNICA", S2008="GRADO ING. ELÉCTRICA", S2008="GRADO DERECHO", S2008="GRADO ECONOMÍA", S2008="GRADO ING. TECNOLOGÍAS INDUSTRIALES"), 24, 0)) + (IF(AND(K2008&gt;=451, K2008&lt;=700), 23, 0)) + (IF(AND(AB2008&gt;=5, AB2008&lt;=8), 17, 0)) +(IF(_xludf.OR(_xludf.AND(AC2008&gt;=8, AC2008&lt;=10), _xludf.AND(AC2008&gt;=0, AC2008&lt;=5)), 16, 0)) + (IF(F2008="Madrid", 11, 0))))</f>
        <v>#NAME?</v>
      </c>
      <c r="AG2008" s="68"/>
      <c r="AH2008" s="71" t="s">
        <v>164</v>
      </c>
    </row>
    <row r="2009" spans="1:62" s="4" customFormat="1" ht="15" customHeight="1" x14ac:dyDescent="0.3">
      <c r="A2009" s="66" t="s">
        <v>2945</v>
      </c>
      <c r="B2009" s="66" t="s">
        <v>5062</v>
      </c>
      <c r="C2009" s="33">
        <v>2011</v>
      </c>
      <c r="D2009" s="33" t="s">
        <v>5401</v>
      </c>
      <c r="E2009" s="34" t="s">
        <v>5322</v>
      </c>
      <c r="F2009" s="34" t="s">
        <v>18</v>
      </c>
      <c r="G2009" s="57">
        <v>45824</v>
      </c>
      <c r="H2009" s="57">
        <v>46006</v>
      </c>
      <c r="I2009" s="34">
        <f t="shared" si="97"/>
        <v>5</v>
      </c>
      <c r="J2009" s="34">
        <v>35</v>
      </c>
      <c r="K2009" s="36">
        <v>1200</v>
      </c>
      <c r="L2009" s="34" t="s">
        <v>29</v>
      </c>
      <c r="M2009" s="39">
        <v>36958</v>
      </c>
      <c r="N2009" s="37">
        <f>(YEAR(TablaMadre[[#This Row],[ALTA]])-YEAR(M2009))</f>
        <v>24</v>
      </c>
      <c r="O2009" s="34" t="s">
        <v>205</v>
      </c>
      <c r="P2009" s="34" t="s">
        <v>19</v>
      </c>
      <c r="Q2009" s="34" t="s">
        <v>829</v>
      </c>
      <c r="R2009" s="34" t="s">
        <v>21</v>
      </c>
      <c r="S2009" s="34" t="s">
        <v>322</v>
      </c>
      <c r="T2009" s="34" t="s">
        <v>823</v>
      </c>
      <c r="U2009" s="34" t="s">
        <v>30</v>
      </c>
      <c r="V2009" s="34" t="s">
        <v>207</v>
      </c>
      <c r="W2009" s="34" t="s">
        <v>28</v>
      </c>
      <c r="X2009" s="38" t="s">
        <v>173</v>
      </c>
      <c r="Y2009" s="62"/>
      <c r="Z2009" s="38" t="e">
        <f t="shared" si="98"/>
        <v>#NUM!</v>
      </c>
      <c r="AA2009" s="38"/>
      <c r="AB2009" s="34">
        <v>8</v>
      </c>
      <c r="AC2009" s="34">
        <v>10</v>
      </c>
      <c r="AD2009" s="38"/>
      <c r="AE2009" s="59" t="str">
        <f t="shared" si="99"/>
        <v>SÍ</v>
      </c>
      <c r="AF2009" s="34" t="e" cm="1">
        <f t="array" aca="1" ref="AF2009" ca="1">MIN(100, MAX(0, (IF(R2009="ESTUDIANTE", 31, 0)) + (IF(I2009&lt;=3, 30, IF(I2009&lt;=6, 20, 0))) +(IF(OR(E2009="413 - Control de Costes y Enlace Construcción", E2009="480 - Secretaría General del Consejo", E2009="132 - Civil y estructuras", E2009="136 - Mecánica", E2009="412 - Planificación", E2009="142 - Compras"), 25, 0)) +(IF(OR(S2009="GRADO ING. MECÁNICA", S2009="GRADO ING. ELÉCTRICA", S2009="GRADO DERECHO", S2009="GRADO ECONOMÍA", S2009="GRADO ING. TECNOLOGÍAS INDUSTRIALES"), 24, 0)) + (IF(AND(K2009&gt;=451, K2009&lt;=700), 23, 0)) + (IF(AND(AB2009&gt;=5, AB2009&lt;=8), 17, 0)) +(IF(_xludf.OR(_xludf.AND(AC2009&gt;=8, AC2009&lt;=10), _xludf.AND(AC2009&gt;=0, AC2009&lt;=5)), 16, 0)) + (IF(F2009="Madrid", 11, 0))))</f>
        <v>#NAME?</v>
      </c>
      <c r="AG2009" s="69"/>
      <c r="AH2009" s="71" t="s">
        <v>164</v>
      </c>
    </row>
    <row r="2010" spans="1:62" s="4" customFormat="1" ht="15" customHeight="1" x14ac:dyDescent="0.3">
      <c r="A2010" s="66" t="s">
        <v>2946</v>
      </c>
      <c r="B2010" s="66" t="s">
        <v>5063</v>
      </c>
      <c r="C2010" s="33">
        <v>2012</v>
      </c>
      <c r="D2010" s="33" t="s">
        <v>5402</v>
      </c>
      <c r="E2010" s="34" t="s">
        <v>5322</v>
      </c>
      <c r="F2010" s="34" t="s">
        <v>18</v>
      </c>
      <c r="G2010" s="57">
        <v>45824</v>
      </c>
      <c r="H2010" s="57">
        <v>46006</v>
      </c>
      <c r="I2010" s="34">
        <f t="shared" si="97"/>
        <v>5</v>
      </c>
      <c r="J2010" s="34">
        <v>35</v>
      </c>
      <c r="K2010" s="36">
        <v>1200</v>
      </c>
      <c r="L2010" s="34" t="s">
        <v>29</v>
      </c>
      <c r="M2010" s="39">
        <v>37343</v>
      </c>
      <c r="N2010" s="37">
        <f>(YEAR(TablaMadre[[#This Row],[ALTA]])-YEAR(M2010))</f>
        <v>23</v>
      </c>
      <c r="O2010" s="34" t="s">
        <v>558</v>
      </c>
      <c r="P2010" s="34" t="s">
        <v>19</v>
      </c>
      <c r="Q2010" s="34" t="s">
        <v>829</v>
      </c>
      <c r="R2010" s="34" t="s">
        <v>21</v>
      </c>
      <c r="S2010" s="34" t="s">
        <v>322</v>
      </c>
      <c r="T2010" s="34" t="s">
        <v>823</v>
      </c>
      <c r="U2010" s="34" t="s">
        <v>30</v>
      </c>
      <c r="V2010" s="34" t="s">
        <v>239</v>
      </c>
      <c r="W2010" s="34" t="s">
        <v>28</v>
      </c>
      <c r="X2010" s="38" t="s">
        <v>173</v>
      </c>
      <c r="Y2010" s="62"/>
      <c r="Z2010" s="38" t="e">
        <f t="shared" si="98"/>
        <v>#NUM!</v>
      </c>
      <c r="AA2010" s="38"/>
      <c r="AB2010" s="34">
        <v>8</v>
      </c>
      <c r="AC2010" s="34">
        <v>6</v>
      </c>
      <c r="AD2010" s="38"/>
      <c r="AE2010" s="59" t="str">
        <f t="shared" si="99"/>
        <v>SÍ</v>
      </c>
      <c r="AF2010" s="34" t="e" cm="1">
        <f t="array" aca="1" ref="AF2010" ca="1">MIN(100, MAX(0, (IF(R2010="ESTUDIANTE", 31, 0)) + (IF(I2010&lt;=3, 30, IF(I2010&lt;=6, 20, 0))) +(IF(OR(E2010="413 - Control de Costes y Enlace Construcción", E2010="480 - Secretaría General del Consejo", E2010="132 - Civil y estructuras", E2010="136 - Mecánica", E2010="412 - Planificación", E2010="142 - Compras"), 25, 0)) +(IF(OR(S2010="GRADO ING. MECÁNICA", S2010="GRADO ING. ELÉCTRICA", S2010="GRADO DERECHO", S2010="GRADO ECONOMÍA", S2010="GRADO ING. TECNOLOGÍAS INDUSTRIALES"), 24, 0)) + (IF(AND(K2010&gt;=451, K2010&lt;=700), 23, 0)) + (IF(AND(AB2010&gt;=5, AB2010&lt;=8), 17, 0)) +(IF(_xludf.OR(_xludf.AND(AC2010&gt;=8, AC2010&lt;=10), _xludf.AND(AC2010&gt;=0, AC2010&lt;=5)), 16, 0)) + (IF(F2010="Madrid", 11, 0))))</f>
        <v>#NAME?</v>
      </c>
      <c r="AG2010" s="69"/>
      <c r="AH2010" s="71" t="s">
        <v>164</v>
      </c>
    </row>
    <row r="2011" spans="1:62" ht="15" customHeight="1" x14ac:dyDescent="0.3">
      <c r="A2011" s="66" t="s">
        <v>2947</v>
      </c>
      <c r="B2011" s="66" t="s">
        <v>5064</v>
      </c>
      <c r="C2011" s="33">
        <v>2007</v>
      </c>
      <c r="D2011" s="33" t="s">
        <v>5393</v>
      </c>
      <c r="E2011" s="34" t="s">
        <v>5317</v>
      </c>
      <c r="F2011" s="34" t="s">
        <v>18</v>
      </c>
      <c r="G2011" s="57">
        <v>45824</v>
      </c>
      <c r="H2011" s="57">
        <v>46007</v>
      </c>
      <c r="I2011" s="34">
        <f t="shared" si="97"/>
        <v>6</v>
      </c>
      <c r="J2011" s="34">
        <v>35</v>
      </c>
      <c r="K2011" s="36">
        <v>700</v>
      </c>
      <c r="L2011" s="34" t="s">
        <v>17</v>
      </c>
      <c r="M2011" s="39">
        <v>37697</v>
      </c>
      <c r="N2011" s="37">
        <f>(YEAR(TablaMadre[[#This Row],[ALTA]])-YEAR(M2011))</f>
        <v>22</v>
      </c>
      <c r="O2011" s="34" t="s">
        <v>202</v>
      </c>
      <c r="P2011" s="34" t="s">
        <v>19</v>
      </c>
      <c r="Q2011" s="34" t="s">
        <v>136</v>
      </c>
      <c r="R2011" s="34" t="s">
        <v>30</v>
      </c>
      <c r="S2011" s="34" t="s">
        <v>136</v>
      </c>
      <c r="T2011" s="34" t="s">
        <v>806</v>
      </c>
      <c r="U2011" s="34" t="s">
        <v>347</v>
      </c>
      <c r="V2011" s="34" t="s">
        <v>782</v>
      </c>
      <c r="W2011" s="34" t="s">
        <v>28</v>
      </c>
      <c r="X2011" s="38" t="s">
        <v>173</v>
      </c>
      <c r="Y2011" s="62"/>
      <c r="Z2011" s="38" t="e">
        <f t="shared" si="98"/>
        <v>#NUM!</v>
      </c>
      <c r="AA2011" s="38"/>
      <c r="AB2011" s="34">
        <v>9</v>
      </c>
      <c r="AC2011" s="34">
        <v>9</v>
      </c>
      <c r="AD2011" s="38"/>
      <c r="AE2011" s="59" t="str">
        <f t="shared" si="99"/>
        <v>SÍ</v>
      </c>
      <c r="AF2011" s="38" t="e" cm="1">
        <f t="array" aca="1" ref="AF2011" ca="1">MIN(100, MAX(0, (IF(R2011="ESTUDIANTE", 31, 0)) + (IF(I2011&lt;=3, 30, IF(I2011&lt;=6, 20, 0))) +(IF(OR(E2011="413 - Control de Costes y Enlace Construcción", E2011="480 - Secretaría General del Consejo", E2011="132 - Civil y estructuras", E2011="136 - Mecánica", E2011="412 - Planificación", E2011="142 - Compras"), 25, 0)) +(IF(OR(S2011="GRADO ING. MECÁNICA", S2011="GRADO ING. ELÉCTRICA", S2011="GRADO DERECHO", S2011="GRADO ECONOMÍA", S2011="GRADO ING. TECNOLOGÍAS INDUSTRIALES"), 24, 0)) + (IF(AND(K2011&gt;=451, K2011&lt;=700), 23, 0)) + (IF(AND(AB2011&gt;=5, AB2011&lt;=8), 17, 0)) +(IF(_xludf.OR(_xludf.AND(AC2011&gt;=8, AC2011&lt;=10), _xludf.AND(AC2011&gt;=0, AC2011&lt;=5)), 16, 0)) + (IF(F2011="Madrid", 11, 0))))</f>
        <v>#NAME?</v>
      </c>
      <c r="AG2011" s="68"/>
      <c r="AH2011" s="71" t="s">
        <v>164</v>
      </c>
    </row>
    <row r="2012" spans="1:62" s="6" customFormat="1" ht="15" customHeight="1" x14ac:dyDescent="0.3">
      <c r="A2012" s="66" t="s">
        <v>2948</v>
      </c>
      <c r="B2012" s="66" t="s">
        <v>5065</v>
      </c>
      <c r="C2012" s="33">
        <v>2008</v>
      </c>
      <c r="D2012" s="33" t="s">
        <v>5394</v>
      </c>
      <c r="E2012" s="34" t="s">
        <v>5273</v>
      </c>
      <c r="F2012" s="34" t="s">
        <v>18</v>
      </c>
      <c r="G2012" s="57">
        <v>45824</v>
      </c>
      <c r="H2012" s="57">
        <v>46006</v>
      </c>
      <c r="I2012" s="34">
        <f t="shared" si="97"/>
        <v>5</v>
      </c>
      <c r="J2012" s="34">
        <v>35</v>
      </c>
      <c r="K2012" s="36">
        <v>900</v>
      </c>
      <c r="L2012" s="34" t="s">
        <v>29</v>
      </c>
      <c r="M2012" s="39">
        <v>36644</v>
      </c>
      <c r="N2012" s="37">
        <f>(YEAR(TablaMadre[[#This Row],[ALTA]])-YEAR(M2012))</f>
        <v>25</v>
      </c>
      <c r="O2012" s="34" t="s">
        <v>558</v>
      </c>
      <c r="P2012" s="34" t="s">
        <v>19</v>
      </c>
      <c r="Q2012" s="34" t="s">
        <v>326</v>
      </c>
      <c r="R2012" s="34" t="s">
        <v>21</v>
      </c>
      <c r="S2012" s="34" t="s">
        <v>326</v>
      </c>
      <c r="T2012" s="34" t="s">
        <v>861</v>
      </c>
      <c r="U2012" s="34" t="s">
        <v>30</v>
      </c>
      <c r="V2012" s="34" t="s">
        <v>310</v>
      </c>
      <c r="W2012" s="34" t="s">
        <v>28</v>
      </c>
      <c r="X2012" s="34" t="s">
        <v>173</v>
      </c>
      <c r="Y2012" s="57"/>
      <c r="Z2012" s="34" t="e">
        <f t="shared" si="98"/>
        <v>#NUM!</v>
      </c>
      <c r="AA2012" s="34"/>
      <c r="AB2012" s="34">
        <v>8</v>
      </c>
      <c r="AC2012" s="34">
        <v>9</v>
      </c>
      <c r="AD2012" s="34"/>
      <c r="AE2012" s="59" t="str">
        <f t="shared" si="99"/>
        <v>SÍ</v>
      </c>
      <c r="AF2012" s="38" t="e" cm="1">
        <f t="array" aca="1" ref="AF2012" ca="1">MIN(100, MAX(0, (IF(R2012="ESTUDIANTE", 31, 0)) + (IF(I2012&lt;=3, 30, IF(I2012&lt;=6, 20, 0))) +(IF(OR(E2012="413 - Control de Costes y Enlace Construcción", E2012="480 - Secretaría General del Consejo", E2012="132 - Civil y estructuras", E2012="136 - Mecánica", E2012="412 - Planificación", E2012="142 - Compras"), 25, 0)) +(IF(OR(S2012="GRADO ING. MECÁNICA", S2012="GRADO ING. ELÉCTRICA", S2012="GRADO DERECHO", S2012="GRADO ECONOMÍA", S2012="GRADO ING. TECNOLOGÍAS INDUSTRIALES"), 24, 0)) + (IF(AND(K2012&gt;=451, K2012&lt;=700), 23, 0)) + (IF(AND(AB2012&gt;=5, AB2012&lt;=8), 17, 0)) +(IF(_xludf.OR(_xludf.AND(AC2012&gt;=8, AC2012&lt;=10), _xludf.AND(AC2012&gt;=0, AC2012&lt;=5)), 16, 0)) + (IF(F2012="Madrid", 11, 0))))</f>
        <v>#NAME?</v>
      </c>
      <c r="AG2012" s="68"/>
      <c r="AH2012" s="71" t="s">
        <v>164</v>
      </c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18"/>
    </row>
    <row r="2013" spans="1:62" ht="15" customHeight="1" x14ac:dyDescent="0.3">
      <c r="A2013" s="66" t="s">
        <v>2966</v>
      </c>
      <c r="B2013" s="66" t="s">
        <v>5083</v>
      </c>
      <c r="C2013" s="33">
        <v>2010</v>
      </c>
      <c r="D2013" s="33" t="s">
        <v>5403</v>
      </c>
      <c r="E2013" s="34" t="s">
        <v>5313</v>
      </c>
      <c r="F2013" s="34" t="s">
        <v>18</v>
      </c>
      <c r="G2013" s="57">
        <v>45824</v>
      </c>
      <c r="H2013" s="57">
        <v>46006</v>
      </c>
      <c r="I2013" s="34">
        <f t="shared" si="97"/>
        <v>5</v>
      </c>
      <c r="J2013" s="34">
        <v>35</v>
      </c>
      <c r="K2013" s="36">
        <v>900</v>
      </c>
      <c r="L2013" s="34" t="s">
        <v>17</v>
      </c>
      <c r="M2013" s="39">
        <v>37127</v>
      </c>
      <c r="N2013" s="37">
        <f>(YEAR(TablaMadre[[#This Row],[ALTA]])-YEAR(M2013))</f>
        <v>24</v>
      </c>
      <c r="O2013" s="34" t="s">
        <v>18</v>
      </c>
      <c r="P2013" s="34" t="s">
        <v>19</v>
      </c>
      <c r="Q2013" s="34" t="s">
        <v>297</v>
      </c>
      <c r="R2013" s="34" t="s">
        <v>21</v>
      </c>
      <c r="S2013" s="34" t="s">
        <v>297</v>
      </c>
      <c r="T2013" s="34" t="s">
        <v>806</v>
      </c>
      <c r="U2013" s="34" t="s">
        <v>21</v>
      </c>
      <c r="V2013" s="34" t="s">
        <v>84</v>
      </c>
      <c r="W2013" s="34" t="s">
        <v>28</v>
      </c>
      <c r="X2013" s="38" t="s">
        <v>173</v>
      </c>
      <c r="Y2013" s="62"/>
      <c r="Z2013" s="38" t="e">
        <f t="shared" si="98"/>
        <v>#NUM!</v>
      </c>
      <c r="AA2013" s="38"/>
      <c r="AB2013" s="34">
        <v>9</v>
      </c>
      <c r="AC2013" s="34">
        <v>10</v>
      </c>
      <c r="AD2013" s="38"/>
      <c r="AE2013" s="59" t="str">
        <f t="shared" si="99"/>
        <v>NO</v>
      </c>
      <c r="AF2013" s="38" t="e" cm="1">
        <f t="array" aca="1" ref="AF2013" ca="1">MIN(100, MAX(0, (IF(R2013="ESTUDIANTE", 31, 0)) + (IF(I2013&lt;=3, 30, IF(I2013&lt;=6, 20, 0))) +(IF(OR(E2013="413 - Control de Costes y Enlace Construcción", E2013="480 - Secretaría General del Consejo", E2013="132 - Civil y estructuras", E2013="136 - Mecánica", E2013="412 - Planificación", E2013="142 - Compras"), 25, 0)) +(IF(OR(S2013="GRADO ING. MECÁNICA", S2013="GRADO ING. ELÉCTRICA", S2013="GRADO DERECHO", S2013="GRADO ECONOMÍA", S2013="GRADO ING. TECNOLOGÍAS INDUSTRIALES"), 24, 0)) + (IF(AND(K2013&gt;=451, K2013&lt;=700), 23, 0)) + (IF(AND(AB2013&gt;=5, AB2013&lt;=8), 17, 0)) +(IF(_xludf.OR(_xludf.AND(AC2013&gt;=8, AC2013&lt;=10), _xludf.AND(AC2013&gt;=0, AC2013&lt;=5)), 16, 0)) + (IF(F2013="Madrid", 11, 0))))</f>
        <v>#NAME?</v>
      </c>
      <c r="AG2013" s="68"/>
      <c r="AH2013" s="71" t="s">
        <v>164</v>
      </c>
    </row>
    <row r="2014" spans="1:62" ht="15" customHeight="1" x14ac:dyDescent="0.3">
      <c r="A2014" s="66" t="s">
        <v>2973</v>
      </c>
      <c r="B2014" s="66" t="s">
        <v>5090</v>
      </c>
      <c r="C2014" s="33">
        <v>2009</v>
      </c>
      <c r="D2014" s="33" t="s">
        <v>5404</v>
      </c>
      <c r="E2014" s="34" t="s">
        <v>5343</v>
      </c>
      <c r="F2014" s="34" t="s">
        <v>18</v>
      </c>
      <c r="G2014" s="57">
        <v>45824</v>
      </c>
      <c r="H2014" s="57">
        <v>46006</v>
      </c>
      <c r="I2014" s="34">
        <f t="shared" si="97"/>
        <v>5</v>
      </c>
      <c r="J2014" s="34">
        <v>35</v>
      </c>
      <c r="K2014" s="36">
        <v>1200</v>
      </c>
      <c r="L2014" s="34" t="s">
        <v>17</v>
      </c>
      <c r="M2014" s="39">
        <v>36370</v>
      </c>
      <c r="N2014" s="37">
        <f>(YEAR(TablaMadre[[#This Row],[ALTA]])-YEAR(M2014))</f>
        <v>26</v>
      </c>
      <c r="O2014" s="34" t="s">
        <v>18</v>
      </c>
      <c r="P2014" s="34" t="s">
        <v>19</v>
      </c>
      <c r="Q2014" s="34" t="s">
        <v>297</v>
      </c>
      <c r="R2014" s="34" t="s">
        <v>21</v>
      </c>
      <c r="S2014" s="34" t="s">
        <v>297</v>
      </c>
      <c r="T2014" s="34" t="s">
        <v>834</v>
      </c>
      <c r="U2014" s="34" t="s">
        <v>30</v>
      </c>
      <c r="V2014" s="34" t="s">
        <v>22</v>
      </c>
      <c r="W2014" s="34" t="s">
        <v>28</v>
      </c>
      <c r="X2014" s="34" t="s">
        <v>173</v>
      </c>
      <c r="Y2014" s="57"/>
      <c r="Z2014" s="34" t="e">
        <f t="shared" si="98"/>
        <v>#NUM!</v>
      </c>
      <c r="AA2014" s="34"/>
      <c r="AB2014" s="34">
        <v>10</v>
      </c>
      <c r="AC2014" s="34">
        <v>10</v>
      </c>
      <c r="AD2014" s="34"/>
      <c r="AE2014" s="59" t="str">
        <f t="shared" si="99"/>
        <v>NO</v>
      </c>
      <c r="AF2014" s="38" t="e" cm="1">
        <f t="array" aca="1" ref="AF2014" ca="1">MIN(100, MAX(0, (IF(R2014="ESTUDIANTE", 31, 0)) + (IF(I2014&lt;=3, 30, IF(I2014&lt;=6, 20, 0))) +(IF(OR(E2014="413 - Control de Costes y Enlace Construcción", E2014="480 - Secretaría General del Consejo", E2014="132 - Civil y estructuras", E2014="136 - Mecánica", E2014="412 - Planificación", E2014="142 - Compras"), 25, 0)) +(IF(OR(S2014="GRADO ING. MECÁNICA", S2014="GRADO ING. ELÉCTRICA", S2014="GRADO DERECHO", S2014="GRADO ECONOMÍA", S2014="GRADO ING. TECNOLOGÍAS INDUSTRIALES"), 24, 0)) + (IF(AND(K2014&gt;=451, K2014&lt;=700), 23, 0)) + (IF(AND(AB2014&gt;=5, AB2014&lt;=8), 17, 0)) +(IF(_xludf.OR(_xludf.AND(AC2014&gt;=8, AC2014&lt;=10), _xludf.AND(AC2014&gt;=0, AC2014&lt;=5)), 16, 0)) + (IF(F2014="Madrid", 11, 0))))</f>
        <v>#NAME?</v>
      </c>
      <c r="AG2014" s="68"/>
      <c r="AH2014" s="71" t="s">
        <v>164</v>
      </c>
    </row>
    <row r="2015" spans="1:62" s="4" customFormat="1" ht="15" customHeight="1" x14ac:dyDescent="0.3">
      <c r="A2015" s="66" t="s">
        <v>2992</v>
      </c>
      <c r="B2015" s="66" t="s">
        <v>5109</v>
      </c>
      <c r="C2015" s="33">
        <v>2013</v>
      </c>
      <c r="D2015" s="33" t="s">
        <v>5405</v>
      </c>
      <c r="E2015" s="34" t="s">
        <v>5343</v>
      </c>
      <c r="F2015" s="34" t="s">
        <v>18</v>
      </c>
      <c r="G2015" s="57">
        <v>45824</v>
      </c>
      <c r="H2015" s="57">
        <v>46188</v>
      </c>
      <c r="I2015" s="38">
        <f t="shared" si="97"/>
        <v>11</v>
      </c>
      <c r="J2015" s="40">
        <v>35</v>
      </c>
      <c r="K2015" s="44">
        <v>700</v>
      </c>
      <c r="L2015" s="38" t="s">
        <v>17</v>
      </c>
      <c r="M2015" s="43">
        <v>37894</v>
      </c>
      <c r="N2015" s="37">
        <f>(YEAR(TablaMadre[[#This Row],[ALTA]])-YEAR(M2015))</f>
        <v>22</v>
      </c>
      <c r="O2015" s="34" t="s">
        <v>18</v>
      </c>
      <c r="P2015" s="38" t="s">
        <v>19</v>
      </c>
      <c r="Q2015" s="38" t="s">
        <v>136</v>
      </c>
      <c r="R2015" s="38" t="s">
        <v>30</v>
      </c>
      <c r="S2015" s="34" t="s">
        <v>136</v>
      </c>
      <c r="T2015" s="38" t="s">
        <v>806</v>
      </c>
      <c r="U2015" s="38" t="s">
        <v>30</v>
      </c>
      <c r="V2015" s="38" t="s">
        <v>67</v>
      </c>
      <c r="W2015" s="38" t="s">
        <v>886</v>
      </c>
      <c r="X2015" s="38"/>
      <c r="Y2015" s="38"/>
      <c r="Z2015" s="62" t="e">
        <f t="shared" si="98"/>
        <v>#NUM!</v>
      </c>
      <c r="AA2015" s="62"/>
      <c r="AB2015" s="34">
        <v>9</v>
      </c>
      <c r="AC2015" s="34">
        <v>7</v>
      </c>
      <c r="AD2015" s="38"/>
      <c r="AE2015" s="59" t="str">
        <f t="shared" si="99"/>
        <v>NO</v>
      </c>
      <c r="AF2015" s="34" t="e" cm="1">
        <f t="array" aca="1" ref="AF2015" ca="1">MIN(100, MAX(0, (IF(R2015="ESTUDIANTE", 31, 0)) + (IF(I2015&lt;=3, 30, IF(I2015&lt;=6, 20, 0))) +(IF(OR(E2015="413 - Control de Costes y Enlace Construcción", E2015="480 - Secretaría General del Consejo", E2015="132 - Civil y estructuras", E2015="136 - Mecánica", E2015="412 - Planificación", E2015="142 - Compras"), 25, 0)) +(IF(OR(S2015="GRADO ING. MECÁNICA", S2015="GRADO ING. ELÉCTRICA", S2015="GRADO DERECHO", S2015="GRADO ECONOMÍA", S2015="GRADO ING. TECNOLOGÍAS INDUSTRIALES"), 24, 0)) + (IF(AND(K2015&gt;=451, K2015&lt;=700), 23, 0)) + (IF(AND(AB2015&gt;=5, AB2015&lt;=8), 17, 0)) +(IF(_xludf.OR(_xludf.AND(AC2015&gt;=8, AC2015&lt;=10), _xludf.AND(AC2015&gt;=0, AC2015&lt;=5)), 16, 0)) + (IF(F2015="Madrid", 11, 0))))</f>
        <v>#NAME?</v>
      </c>
      <c r="AG2015" s="69"/>
      <c r="AH2015" s="71" t="s">
        <v>164</v>
      </c>
      <c r="AI2015" s="23"/>
      <c r="AJ2015" s="23"/>
      <c r="AK2015" s="23"/>
      <c r="AL2015" s="23"/>
      <c r="AM2015" s="23"/>
      <c r="AN2015" s="23"/>
      <c r="AO2015" s="23"/>
      <c r="AP2015" s="23"/>
      <c r="AQ2015" s="23"/>
      <c r="AR2015" s="23"/>
      <c r="AS2015" s="23"/>
      <c r="AT2015" s="23"/>
      <c r="AU2015" s="23"/>
      <c r="AV2015" s="23"/>
      <c r="AW2015" s="23"/>
      <c r="AX2015" s="23"/>
      <c r="AY2015" s="23"/>
    </row>
    <row r="2016" spans="1:62" s="4" customFormat="1" ht="15" customHeight="1" x14ac:dyDescent="0.3">
      <c r="A2016" s="66" t="s">
        <v>2867</v>
      </c>
      <c r="B2016" s="66" t="s">
        <v>4984</v>
      </c>
      <c r="C2016" s="33">
        <v>2015</v>
      </c>
      <c r="D2016" s="33" t="s">
        <v>5396</v>
      </c>
      <c r="E2016" s="34" t="s">
        <v>5241</v>
      </c>
      <c r="F2016" s="34" t="s">
        <v>18</v>
      </c>
      <c r="G2016" s="57">
        <v>45831</v>
      </c>
      <c r="H2016" s="57">
        <v>45867</v>
      </c>
      <c r="I2016" s="34">
        <f t="shared" si="97"/>
        <v>1</v>
      </c>
      <c r="J2016" s="34">
        <v>35</v>
      </c>
      <c r="K2016" s="36">
        <v>0</v>
      </c>
      <c r="L2016" s="34" t="s">
        <v>29</v>
      </c>
      <c r="M2016" s="35">
        <v>37879</v>
      </c>
      <c r="N2016" s="37">
        <f>(YEAR(TablaMadre[[#This Row],[ALTA]])-YEAR(M2016))</f>
        <v>22</v>
      </c>
      <c r="O2016" s="34" t="s">
        <v>18</v>
      </c>
      <c r="P2016" s="34" t="s">
        <v>19</v>
      </c>
      <c r="Q2016" s="34" t="s">
        <v>322</v>
      </c>
      <c r="R2016" s="34" t="s">
        <v>30</v>
      </c>
      <c r="S2016" s="34" t="s">
        <v>322</v>
      </c>
      <c r="T2016" s="34" t="s">
        <v>806</v>
      </c>
      <c r="U2016" s="34" t="s">
        <v>347</v>
      </c>
      <c r="V2016" s="34" t="s">
        <v>137</v>
      </c>
      <c r="W2016" s="34" t="s">
        <v>23</v>
      </c>
      <c r="X2016" s="34" t="s">
        <v>164</v>
      </c>
      <c r="Y2016" s="57"/>
      <c r="Z2016" s="57" t="e">
        <f t="shared" si="98"/>
        <v>#NUM!</v>
      </c>
      <c r="AA2016" s="57"/>
      <c r="AB2016" s="34"/>
      <c r="AC2016" s="34"/>
      <c r="AD2016" s="34"/>
      <c r="AE2016" s="59" t="str">
        <f t="shared" si="99"/>
        <v>NO</v>
      </c>
      <c r="AF2016" s="34" t="e" cm="1">
        <f t="array" aca="1" ref="AF2016" ca="1">MIN(100, MAX(0, (IF(R2016="ESTUDIANTE", 31, 0)) + (IF(I2016&lt;=3, 30, IF(I2016&lt;=6, 20, 0))) +(IF(OR(E2016="413 - Control de Costes y Enlace Construcción", E2016="480 - Secretaría General del Consejo", E2016="132 - Civil y estructuras", E2016="136 - Mecánica", E2016="412 - Planificación", E2016="142 - Compras"), 25, 0)) +(IF(OR(S2016="GRADO ING. MECÁNICA", S2016="GRADO ING. ELÉCTRICA", S2016="GRADO DERECHO", S2016="GRADO ECONOMÍA", S2016="GRADO ING. TECNOLOGÍAS INDUSTRIALES"), 24, 0)) + (IF(AND(K2016&gt;=451, K2016&lt;=700), 23, 0)) + (IF(AND(AB2016&gt;=5, AB2016&lt;=8), 17, 0)) +(IF(_xludf.OR(_xludf.AND(AC2016&gt;=8, AC2016&lt;=10), _xludf.AND(AC2016&gt;=0, AC2016&lt;=5)), 16, 0)) + (IF(F2016="Madrid", 11, 0))))</f>
        <v>#NAME?</v>
      </c>
      <c r="AG2016" s="69"/>
      <c r="AH2016" s="71" t="s">
        <v>164</v>
      </c>
    </row>
    <row r="2017" spans="1:62" s="16" customFormat="1" ht="15" customHeight="1" x14ac:dyDescent="0.3">
      <c r="A2017" s="66" t="s">
        <v>2980</v>
      </c>
      <c r="B2017" s="66" t="s">
        <v>5097</v>
      </c>
      <c r="C2017" s="33">
        <v>2017</v>
      </c>
      <c r="D2017" s="33" t="s">
        <v>5397</v>
      </c>
      <c r="E2017" s="34" t="s">
        <v>5366</v>
      </c>
      <c r="F2017" s="34" t="s">
        <v>18</v>
      </c>
      <c r="G2017" s="57">
        <v>45831</v>
      </c>
      <c r="H2017" s="57">
        <v>46013</v>
      </c>
      <c r="I2017" s="34">
        <f t="shared" si="97"/>
        <v>5</v>
      </c>
      <c r="J2017" s="34">
        <v>35</v>
      </c>
      <c r="K2017" s="36">
        <v>1200</v>
      </c>
      <c r="L2017" s="34" t="s">
        <v>29</v>
      </c>
      <c r="M2017" s="39">
        <v>36534</v>
      </c>
      <c r="N2017" s="37">
        <f>(YEAR(TablaMadre[[#This Row],[ALTA]])-YEAR(M2017))</f>
        <v>25</v>
      </c>
      <c r="O2017" s="34" t="s">
        <v>100</v>
      </c>
      <c r="P2017" s="34" t="s">
        <v>19</v>
      </c>
      <c r="Q2017" s="34" t="s">
        <v>829</v>
      </c>
      <c r="R2017" s="34" t="s">
        <v>21</v>
      </c>
      <c r="S2017" s="34" t="s">
        <v>322</v>
      </c>
      <c r="T2017" s="34" t="s">
        <v>890</v>
      </c>
      <c r="U2017" s="34" t="s">
        <v>30</v>
      </c>
      <c r="V2017" s="34" t="s">
        <v>107</v>
      </c>
      <c r="W2017" s="34" t="s">
        <v>28</v>
      </c>
      <c r="X2017" s="34" t="s">
        <v>173</v>
      </c>
      <c r="Y2017" s="57"/>
      <c r="Z2017" s="34" t="e">
        <f t="shared" si="98"/>
        <v>#NUM!</v>
      </c>
      <c r="AA2017" s="34"/>
      <c r="AB2017" s="34"/>
      <c r="AC2017" s="34">
        <v>9</v>
      </c>
      <c r="AD2017" s="34"/>
      <c r="AE2017" s="59" t="str">
        <f t="shared" si="99"/>
        <v>SÍ</v>
      </c>
      <c r="AF2017" s="34" t="e" cm="1">
        <f t="array" aca="1" ref="AF2017" ca="1">MIN(100, MAX(0, (IF(R2017="ESTUDIANTE", 31, 0)) + (IF(I2017&lt;=3, 30, IF(I2017&lt;=6, 20, 0))) +(IF(OR(E2017="413 - Control de Costes y Enlace Construcción", E2017="480 - Secretaría General del Consejo", E2017="132 - Civil y estructuras", E2017="136 - Mecánica", E2017="412 - Planificación", E2017="142 - Compras"), 25, 0)) +(IF(OR(S2017="GRADO ING. MECÁNICA", S2017="GRADO ING. ELÉCTRICA", S2017="GRADO DERECHO", S2017="GRADO ECONOMÍA", S2017="GRADO ING. TECNOLOGÍAS INDUSTRIALES"), 24, 0)) + (IF(AND(K2017&gt;=451, K2017&lt;=700), 23, 0)) + (IF(AND(AB2017&gt;=5, AB2017&lt;=8), 17, 0)) +(IF(_xludf.OR(_xludf.AND(AC2017&gt;=8, AC2017&lt;=10), _xludf.AND(AC2017&gt;=0, AC2017&lt;=5)), 16, 0)) + (IF(F2017="Madrid", 11, 0))))</f>
        <v>#NAME?</v>
      </c>
      <c r="AG2017" s="69"/>
      <c r="AH2017" s="71" t="s">
        <v>164</v>
      </c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21"/>
    </row>
    <row r="2018" spans="1:62" s="7" customFormat="1" ht="15" customHeight="1" x14ac:dyDescent="0.3">
      <c r="A2018" s="66" t="s">
        <v>2981</v>
      </c>
      <c r="B2018" s="66" t="s">
        <v>5098</v>
      </c>
      <c r="C2018" s="33">
        <v>2018</v>
      </c>
      <c r="D2018" s="33" t="s">
        <v>5393</v>
      </c>
      <c r="E2018" s="34" t="s">
        <v>5246</v>
      </c>
      <c r="F2018" s="34" t="s">
        <v>18</v>
      </c>
      <c r="G2018" s="57">
        <v>45831</v>
      </c>
      <c r="H2018" s="57">
        <v>46013</v>
      </c>
      <c r="I2018" s="34">
        <f t="shared" si="97"/>
        <v>5</v>
      </c>
      <c r="J2018" s="34">
        <v>35</v>
      </c>
      <c r="K2018" s="36">
        <v>450</v>
      </c>
      <c r="L2018" s="34" t="s">
        <v>17</v>
      </c>
      <c r="M2018" s="39">
        <v>35843</v>
      </c>
      <c r="N2018" s="37">
        <f>(YEAR(TablaMadre[[#This Row],[ALTA]])-YEAR(M2018))</f>
        <v>27</v>
      </c>
      <c r="O2018" s="34" t="s">
        <v>191</v>
      </c>
      <c r="P2018" s="34" t="s">
        <v>19</v>
      </c>
      <c r="Q2018" s="34" t="s">
        <v>729</v>
      </c>
      <c r="R2018" s="34" t="s">
        <v>30</v>
      </c>
      <c r="S2018" s="34" t="s">
        <v>26</v>
      </c>
      <c r="T2018" s="34" t="s">
        <v>806</v>
      </c>
      <c r="U2018" s="34" t="s">
        <v>347</v>
      </c>
      <c r="V2018" s="34" t="s">
        <v>27</v>
      </c>
      <c r="W2018" s="34" t="s">
        <v>28</v>
      </c>
      <c r="X2018" s="38" t="s">
        <v>173</v>
      </c>
      <c r="Y2018" s="62"/>
      <c r="Z2018" s="38" t="e">
        <f t="shared" si="98"/>
        <v>#NUM!</v>
      </c>
      <c r="AA2018" s="38"/>
      <c r="AB2018" s="34">
        <v>9</v>
      </c>
      <c r="AC2018" s="34">
        <v>7</v>
      </c>
      <c r="AD2018" s="38"/>
      <c r="AE2018" s="59" t="str">
        <f t="shared" si="99"/>
        <v>SÍ</v>
      </c>
      <c r="AF2018" s="34" t="e" cm="1">
        <f t="array" aca="1" ref="AF2018" ca="1">MIN(100, MAX(0, (IF(R2018="ESTUDIANTE", 31, 0)) + (IF(I2018&lt;=3, 30, IF(I2018&lt;=6, 20, 0))) +(IF(OR(E2018="413 - Control de Costes y Enlace Construcción", E2018="480 - Secretaría General del Consejo", E2018="132 - Civil y estructuras", E2018="136 - Mecánica", E2018="412 - Planificación", E2018="142 - Compras"), 25, 0)) +(IF(OR(S2018="GRADO ING. MECÁNICA", S2018="GRADO ING. ELÉCTRICA", S2018="GRADO DERECHO", S2018="GRADO ECONOMÍA", S2018="GRADO ING. TECNOLOGÍAS INDUSTRIALES"), 24, 0)) + (IF(AND(K2018&gt;=451, K2018&lt;=700), 23, 0)) + (IF(AND(AB2018&gt;=5, AB2018&lt;=8), 17, 0)) +(IF(_xludf.OR(_xludf.AND(AC2018&gt;=8, AC2018&lt;=10), _xludf.AND(AC2018&gt;=0, AC2018&lt;=5)), 16, 0)) + (IF(F2018="Madrid", 11, 0))))</f>
        <v>#NAME?</v>
      </c>
      <c r="AG2018" s="69"/>
      <c r="AH2018" s="71" t="s">
        <v>164</v>
      </c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20"/>
    </row>
    <row r="2019" spans="1:62" ht="15" customHeight="1" x14ac:dyDescent="0.3">
      <c r="A2019" s="66" t="s">
        <v>2986</v>
      </c>
      <c r="B2019" s="66" t="s">
        <v>5103</v>
      </c>
      <c r="C2019" s="33">
        <v>2016</v>
      </c>
      <c r="D2019" s="33" t="s">
        <v>5394</v>
      </c>
      <c r="E2019" s="34" t="s">
        <v>5383</v>
      </c>
      <c r="F2019" s="34" t="s">
        <v>18</v>
      </c>
      <c r="G2019" s="57">
        <v>45831</v>
      </c>
      <c r="H2019" s="57">
        <v>46031</v>
      </c>
      <c r="I2019" s="34">
        <f t="shared" si="97"/>
        <v>6</v>
      </c>
      <c r="J2019" s="34">
        <v>35</v>
      </c>
      <c r="K2019" s="36">
        <v>650</v>
      </c>
      <c r="L2019" s="34" t="s">
        <v>29</v>
      </c>
      <c r="M2019" s="39">
        <v>35188</v>
      </c>
      <c r="N2019" s="37">
        <f>(YEAR(TablaMadre[[#This Row],[ALTA]])-YEAR(M2019))</f>
        <v>29</v>
      </c>
      <c r="O2019" s="34" t="s">
        <v>257</v>
      </c>
      <c r="P2019" s="34" t="s">
        <v>19</v>
      </c>
      <c r="Q2019" s="34" t="s">
        <v>555</v>
      </c>
      <c r="R2019" s="34" t="s">
        <v>30</v>
      </c>
      <c r="S2019" s="34" t="s">
        <v>26</v>
      </c>
      <c r="T2019" s="34" t="s">
        <v>806</v>
      </c>
      <c r="U2019" s="34" t="s">
        <v>347</v>
      </c>
      <c r="V2019" s="34" t="s">
        <v>27</v>
      </c>
      <c r="W2019" s="34" t="s">
        <v>28</v>
      </c>
      <c r="X2019" s="34" t="s">
        <v>173</v>
      </c>
      <c r="Y2019" s="34"/>
      <c r="Z2019" s="34" t="e">
        <f t="shared" si="98"/>
        <v>#NUM!</v>
      </c>
      <c r="AA2019" s="34"/>
      <c r="AB2019" s="34">
        <v>10</v>
      </c>
      <c r="AC2019" s="34">
        <v>8</v>
      </c>
      <c r="AD2019" s="34"/>
      <c r="AE2019" s="59" t="str">
        <f t="shared" si="99"/>
        <v>SÍ</v>
      </c>
      <c r="AF2019" s="38" t="e" cm="1">
        <f t="array" aca="1" ref="AF2019" ca="1">MIN(100, MAX(0, (IF(R2019="ESTUDIANTE", 31, 0)) + (IF(I2019&lt;=3, 30, IF(I2019&lt;=6, 20, 0))) +(IF(OR(E2019="413 - Control de Costes y Enlace Construcción", E2019="480 - Secretaría General del Consejo", E2019="132 - Civil y estructuras", E2019="136 - Mecánica", E2019="412 - Planificación", E2019="142 - Compras"), 25, 0)) +(IF(OR(S2019="GRADO ING. MECÁNICA", S2019="GRADO ING. ELÉCTRICA", S2019="GRADO DERECHO", S2019="GRADO ECONOMÍA", S2019="GRADO ING. TECNOLOGÍAS INDUSTRIALES"), 24, 0)) + (IF(AND(K2019&gt;=451, K2019&lt;=700), 23, 0)) + (IF(AND(AB2019&gt;=5, AB2019&lt;=8), 17, 0)) +(IF(_xludf.OR(_xludf.AND(AC2019&gt;=8, AC2019&lt;=10), _xludf.AND(AC2019&gt;=0, AC2019&lt;=5)), 16, 0)) + (IF(F2019="Madrid", 11, 0))))</f>
        <v>#NAME?</v>
      </c>
      <c r="AG2019" s="68"/>
      <c r="AH2019" s="71" t="s">
        <v>164</v>
      </c>
    </row>
    <row r="2020" spans="1:62" ht="15" customHeight="1" x14ac:dyDescent="0.3">
      <c r="A2020" s="66" t="s">
        <v>2998</v>
      </c>
      <c r="B2020" s="66" t="s">
        <v>5115</v>
      </c>
      <c r="C2020" s="33">
        <v>2019</v>
      </c>
      <c r="D2020" s="33" t="s">
        <v>5395</v>
      </c>
      <c r="E2020" s="34" t="s">
        <v>5273</v>
      </c>
      <c r="F2020" s="34" t="s">
        <v>18</v>
      </c>
      <c r="G2020" s="57">
        <v>45831</v>
      </c>
      <c r="H2020" s="57">
        <v>46157</v>
      </c>
      <c r="I2020" s="38">
        <f t="shared" si="97"/>
        <v>10</v>
      </c>
      <c r="J2020" s="40">
        <v>35</v>
      </c>
      <c r="K2020" s="44">
        <v>1200</v>
      </c>
      <c r="L2020" s="38" t="s">
        <v>17</v>
      </c>
      <c r="M2020" s="43">
        <v>36807</v>
      </c>
      <c r="N2020" s="37">
        <f>(YEAR(TablaMadre[[#This Row],[ALTA]])-YEAR(M2020))</f>
        <v>25</v>
      </c>
      <c r="O2020" s="34" t="s">
        <v>18</v>
      </c>
      <c r="P2020" s="38" t="s">
        <v>19</v>
      </c>
      <c r="Q2020" s="38" t="s">
        <v>829</v>
      </c>
      <c r="R2020" s="38" t="s">
        <v>21</v>
      </c>
      <c r="S2020" s="34" t="s">
        <v>322</v>
      </c>
      <c r="T2020" s="38" t="s">
        <v>823</v>
      </c>
      <c r="U2020" s="38" t="s">
        <v>30</v>
      </c>
      <c r="V2020" s="38" t="s">
        <v>22</v>
      </c>
      <c r="W2020" s="38" t="s">
        <v>886</v>
      </c>
      <c r="X2020" s="38"/>
      <c r="Y2020" s="38"/>
      <c r="Z2020" s="62" t="e">
        <f t="shared" si="98"/>
        <v>#NUM!</v>
      </c>
      <c r="AA2020" s="62"/>
      <c r="AB2020" s="34">
        <v>9</v>
      </c>
      <c r="AC2020" s="34">
        <v>8</v>
      </c>
      <c r="AD2020" s="38"/>
      <c r="AE2020" s="59" t="str">
        <f t="shared" si="99"/>
        <v>NO</v>
      </c>
      <c r="AF2020" s="38" t="e" cm="1">
        <f t="array" aca="1" ref="AF2020" ca="1">MIN(100, MAX(0, (IF(R2020="ESTUDIANTE", 31, 0)) + (IF(I2020&lt;=3, 30, IF(I2020&lt;=6, 20, 0))) +(IF(OR(E2020="413 - Control de Costes y Enlace Construcción", E2020="480 - Secretaría General del Consejo", E2020="132 - Civil y estructuras", E2020="136 - Mecánica", E2020="412 - Planificación", E2020="142 - Compras"), 25, 0)) +(IF(OR(S2020="GRADO ING. MECÁNICA", S2020="GRADO ING. ELÉCTRICA", S2020="GRADO DERECHO", S2020="GRADO ECONOMÍA", S2020="GRADO ING. TECNOLOGÍAS INDUSTRIALES"), 24, 0)) + (IF(AND(K2020&gt;=451, K2020&lt;=700), 23, 0)) + (IF(AND(AB2020&gt;=5, AB2020&lt;=8), 17, 0)) +(IF(_xludf.OR(_xludf.AND(AC2020&gt;=8, AC2020&lt;=10), _xludf.AND(AC2020&gt;=0, AC2020&lt;=5)), 16, 0)) + (IF(F2020="Madrid", 11, 0))))</f>
        <v>#NAME?</v>
      </c>
      <c r="AG2020" s="68"/>
      <c r="AH2020" s="71" t="s">
        <v>164</v>
      </c>
    </row>
    <row r="2021" spans="1:62" s="4" customFormat="1" ht="15" customHeight="1" x14ac:dyDescent="0.3">
      <c r="A2021" s="66" t="s">
        <v>3075</v>
      </c>
      <c r="B2021" s="66" t="s">
        <v>5192</v>
      </c>
      <c r="C2021" s="33">
        <v>2020</v>
      </c>
      <c r="D2021" s="33" t="s">
        <v>5396</v>
      </c>
      <c r="E2021" s="34" t="s">
        <v>5317</v>
      </c>
      <c r="F2021" s="34" t="s">
        <v>18</v>
      </c>
      <c r="G2021" s="57">
        <v>45833</v>
      </c>
      <c r="H2021" s="57">
        <v>45862</v>
      </c>
      <c r="I2021" s="34">
        <f t="shared" si="97"/>
        <v>0</v>
      </c>
      <c r="J2021" s="34">
        <v>35</v>
      </c>
      <c r="K2021" s="36">
        <v>0</v>
      </c>
      <c r="L2021" s="34" t="s">
        <v>17</v>
      </c>
      <c r="M2021" s="35">
        <v>38345</v>
      </c>
      <c r="N2021" s="37">
        <f>(YEAR(TablaMadre[[#This Row],[ALTA]])-YEAR(M2021))</f>
        <v>21</v>
      </c>
      <c r="O2021" s="34" t="s">
        <v>152</v>
      </c>
      <c r="P2021" s="34" t="s">
        <v>152</v>
      </c>
      <c r="Q2021" s="34" t="s">
        <v>867</v>
      </c>
      <c r="R2021" s="34" t="s">
        <v>30</v>
      </c>
      <c r="S2021" s="34" t="s">
        <v>229</v>
      </c>
      <c r="T2021" s="34" t="s">
        <v>806</v>
      </c>
      <c r="U2021" s="34" t="str">
        <f>SUBSTITUTE($T2021, "INGUN", "/")</f>
        <v>N/A</v>
      </c>
      <c r="V2021" s="34" t="s">
        <v>90</v>
      </c>
      <c r="W2021" s="34" t="s">
        <v>23</v>
      </c>
      <c r="X2021" s="34" t="s">
        <v>164</v>
      </c>
      <c r="Y2021" s="57"/>
      <c r="Z2021" s="57" t="e">
        <f t="shared" si="98"/>
        <v>#NUM!</v>
      </c>
      <c r="AA2021" s="57"/>
      <c r="AB2021" s="34"/>
      <c r="AC2021" s="34"/>
      <c r="AD2021" s="34"/>
      <c r="AE2021" s="59" t="str">
        <f t="shared" si="99"/>
        <v>SÍ</v>
      </c>
      <c r="AF2021" s="34" t="e" cm="1">
        <f t="array" aca="1" ref="AF2021" ca="1">MIN(100, MAX(0, (IF(R2021="ESTUDIANTE", 31, 0)) + (IF(I2021&lt;=3, 30, IF(I2021&lt;=6, 20, 0))) +(IF(OR(E2021="413 - Control de Costes y Enlace Construcción", E2021="480 - Secretaría General del Consejo", E2021="132 - Civil y estructuras", E2021="136 - Mecánica", E2021="412 - Planificación", E2021="142 - Compras"), 25, 0)) +(IF(OR(S2021="GRADO ING. MECÁNICA", S2021="GRADO ING. ELÉCTRICA", S2021="GRADO DERECHO", S2021="GRADO ECONOMÍA", S2021="GRADO ING. TECNOLOGÍAS INDUSTRIALES"), 24, 0)) + (IF(AND(K2021&gt;=451, K2021&lt;=700), 23, 0)) + (IF(AND(AB2021&gt;=5, AB2021&lt;=8), 17, 0)) +(IF(_xludf.OR(_xludf.AND(AC2021&gt;=8, AC2021&lt;=10), _xludf.AND(AC2021&gt;=0, AC2021&lt;=5)), 16, 0)) + (IF(F2021="Madrid", 11, 0))))</f>
        <v>#NAME?</v>
      </c>
      <c r="AG2021" s="69"/>
      <c r="AH2021" s="71" t="s">
        <v>164</v>
      </c>
      <c r="AI2021" s="22"/>
      <c r="AJ2021" s="22"/>
      <c r="AK2021" s="22"/>
      <c r="AL2021" s="22"/>
      <c r="AM2021" s="22"/>
      <c r="AN2021" s="22"/>
      <c r="AO2021" s="22"/>
      <c r="AP2021" s="22"/>
      <c r="AQ2021" s="22"/>
      <c r="AR2021" s="22"/>
      <c r="AS2021" s="22"/>
      <c r="AT2021" s="22"/>
      <c r="AU2021" s="22"/>
      <c r="AV2021" s="22"/>
      <c r="AW2021" s="22"/>
      <c r="AX2021" s="22"/>
      <c r="AY2021" s="22"/>
    </row>
    <row r="2022" spans="1:62" s="4" customFormat="1" ht="15" customHeight="1" x14ac:dyDescent="0.3">
      <c r="A2022" s="66" t="s">
        <v>2859</v>
      </c>
      <c r="B2022" s="66" t="s">
        <v>4976</v>
      </c>
      <c r="C2022" s="33">
        <v>2021</v>
      </c>
      <c r="D2022" s="33" t="s">
        <v>5397</v>
      </c>
      <c r="E2022" s="34" t="s">
        <v>5384</v>
      </c>
      <c r="F2022" s="34" t="s">
        <v>18</v>
      </c>
      <c r="G2022" s="57">
        <v>45838</v>
      </c>
      <c r="H2022" s="57">
        <v>45860</v>
      </c>
      <c r="I2022" s="34">
        <f t="shared" si="97"/>
        <v>0</v>
      </c>
      <c r="J2022" s="34">
        <v>35</v>
      </c>
      <c r="K2022" s="36">
        <v>0</v>
      </c>
      <c r="L2022" s="34" t="s">
        <v>17</v>
      </c>
      <c r="M2022" s="35">
        <v>37509</v>
      </c>
      <c r="N2022" s="37">
        <f>(YEAR(TablaMadre[[#This Row],[ALTA]])-YEAR(M2022))</f>
        <v>23</v>
      </c>
      <c r="O2022" s="34" t="s">
        <v>18</v>
      </c>
      <c r="P2022" s="34" t="s">
        <v>19</v>
      </c>
      <c r="Q2022" s="34" t="s">
        <v>690</v>
      </c>
      <c r="R2022" s="34" t="s">
        <v>30</v>
      </c>
      <c r="S2022" s="34" t="s">
        <v>690</v>
      </c>
      <c r="T2022" s="34" t="s">
        <v>806</v>
      </c>
      <c r="U2022" s="34" t="s">
        <v>347</v>
      </c>
      <c r="V2022" s="34" t="s">
        <v>84</v>
      </c>
      <c r="W2022" s="34" t="s">
        <v>23</v>
      </c>
      <c r="X2022" s="34" t="s">
        <v>164</v>
      </c>
      <c r="Y2022" s="57"/>
      <c r="Z2022" s="57" t="e">
        <f t="shared" si="98"/>
        <v>#NUM!</v>
      </c>
      <c r="AA2022" s="57"/>
      <c r="AB2022" s="34"/>
      <c r="AC2022" s="34">
        <v>8</v>
      </c>
      <c r="AD2022" s="34"/>
      <c r="AE2022" s="59" t="str">
        <f t="shared" si="99"/>
        <v>NO</v>
      </c>
      <c r="AF2022" s="34" t="e" cm="1">
        <f t="array" aca="1" ref="AF2022" ca="1">MIN(100, MAX(0, (IF(R2022="ESTUDIANTE", 31, 0)) + (IF(I2022&lt;=3, 30, IF(I2022&lt;=6, 20, 0))) +(IF(OR(E2022="413 - Control de Costes y Enlace Construcción", E2022="480 - Secretaría General del Consejo", E2022="132 - Civil y estructuras", E2022="136 - Mecánica", E2022="412 - Planificación", E2022="142 - Compras"), 25, 0)) +(IF(OR(S2022="GRADO ING. MECÁNICA", S2022="GRADO ING. ELÉCTRICA", S2022="GRADO DERECHO", S2022="GRADO ECONOMÍA", S2022="GRADO ING. TECNOLOGÍAS INDUSTRIALES"), 24, 0)) + (IF(AND(K2022&gt;=451, K2022&lt;=700), 23, 0)) + (IF(AND(AB2022&gt;=5, AB2022&lt;=8), 17, 0)) +(IF(_xludf.OR(_xludf.AND(AC2022&gt;=8, AC2022&lt;=10), _xludf.AND(AC2022&gt;=0, AC2022&lt;=5)), 16, 0)) + (IF(F2022="Madrid", 11, 0))))</f>
        <v>#NAME?</v>
      </c>
      <c r="AG2022" s="69"/>
      <c r="AH2022" s="71" t="s">
        <v>164</v>
      </c>
    </row>
    <row r="2023" spans="1:62" s="6" customFormat="1" ht="15" customHeight="1" x14ac:dyDescent="0.3">
      <c r="A2023" s="66" t="s">
        <v>2863</v>
      </c>
      <c r="B2023" s="66" t="s">
        <v>4980</v>
      </c>
      <c r="C2023" s="33">
        <v>2022</v>
      </c>
      <c r="D2023" s="33" t="s">
        <v>5398</v>
      </c>
      <c r="E2023" s="34" t="s">
        <v>5317</v>
      </c>
      <c r="F2023" s="34" t="s">
        <v>18</v>
      </c>
      <c r="G2023" s="57">
        <v>45838</v>
      </c>
      <c r="H2023" s="57">
        <v>45900</v>
      </c>
      <c r="I2023" s="34">
        <f t="shared" si="97"/>
        <v>2</v>
      </c>
      <c r="J2023" s="34">
        <v>35</v>
      </c>
      <c r="K2023" s="36">
        <v>0</v>
      </c>
      <c r="L2023" s="34" t="s">
        <v>17</v>
      </c>
      <c r="M2023" s="35">
        <v>38077</v>
      </c>
      <c r="N2023" s="37">
        <f>(YEAR(TablaMadre[[#This Row],[ALTA]])-YEAR(M2023))</f>
        <v>21</v>
      </c>
      <c r="O2023" s="34" t="s">
        <v>18</v>
      </c>
      <c r="P2023" s="34" t="s">
        <v>19</v>
      </c>
      <c r="Q2023" s="34" t="s">
        <v>878</v>
      </c>
      <c r="R2023" s="34" t="s">
        <v>30</v>
      </c>
      <c r="S2023" s="34" t="s">
        <v>647</v>
      </c>
      <c r="T2023" s="34" t="s">
        <v>806</v>
      </c>
      <c r="U2023" s="34" t="s">
        <v>347</v>
      </c>
      <c r="V2023" s="34" t="s">
        <v>137</v>
      </c>
      <c r="W2023" s="34" t="s">
        <v>380</v>
      </c>
      <c r="X2023" s="38" t="s">
        <v>164</v>
      </c>
      <c r="Y2023" s="62"/>
      <c r="Z2023" s="62" t="e">
        <f t="shared" si="98"/>
        <v>#NUM!</v>
      </c>
      <c r="AA2023" s="62"/>
      <c r="AB2023" s="34"/>
      <c r="AC2023" s="34">
        <v>10</v>
      </c>
      <c r="AD2023" s="38"/>
      <c r="AE2023" s="59" t="str">
        <f t="shared" si="99"/>
        <v>NO</v>
      </c>
      <c r="AF2023" s="38" t="e" cm="1">
        <f t="array" aca="1" ref="AF2023" ca="1">MIN(100, MAX(0, (IF(R2023="ESTUDIANTE", 31, 0)) + (IF(I2023&lt;=3, 30, IF(I2023&lt;=6, 20, 0))) +(IF(OR(E2023="413 - Control de Costes y Enlace Construcción", E2023="480 - Secretaría General del Consejo", E2023="132 - Civil y estructuras", E2023="136 - Mecánica", E2023="412 - Planificación", E2023="142 - Compras"), 25, 0)) +(IF(OR(S2023="GRADO ING. MECÁNICA", S2023="GRADO ING. ELÉCTRICA", S2023="GRADO DERECHO", S2023="GRADO ECONOMÍA", S2023="GRADO ING. TECNOLOGÍAS INDUSTRIALES"), 24, 0)) + (IF(AND(K2023&gt;=451, K2023&lt;=700), 23, 0)) + (IF(AND(AB2023&gt;=5, AB2023&lt;=8), 17, 0)) +(IF(_xludf.OR(_xludf.AND(AC2023&gt;=8, AC2023&lt;=10), _xludf.AND(AC2023&gt;=0, AC2023&lt;=5)), 16, 0)) + (IF(F2023="Madrid", 11, 0))))</f>
        <v>#NAME?</v>
      </c>
      <c r="AG2023" s="68"/>
      <c r="AH2023" s="71" t="s">
        <v>164</v>
      </c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18"/>
    </row>
    <row r="2024" spans="1:62" s="23" customFormat="1" ht="15" customHeight="1" x14ac:dyDescent="0.3">
      <c r="A2024" s="66" t="s">
        <v>3002</v>
      </c>
      <c r="B2024" s="66" t="s">
        <v>5119</v>
      </c>
      <c r="C2024" s="33">
        <v>2023</v>
      </c>
      <c r="D2024" s="33" t="s">
        <v>5399</v>
      </c>
      <c r="E2024" s="34" t="s">
        <v>5285</v>
      </c>
      <c r="F2024" s="34" t="s">
        <v>558</v>
      </c>
      <c r="G2024" s="57">
        <v>45838</v>
      </c>
      <c r="H2024" s="57">
        <v>46188</v>
      </c>
      <c r="I2024" s="38">
        <f t="shared" si="97"/>
        <v>11</v>
      </c>
      <c r="J2024" s="40">
        <v>40</v>
      </c>
      <c r="K2024" s="44">
        <v>894.39</v>
      </c>
      <c r="L2024" s="38" t="s">
        <v>17</v>
      </c>
      <c r="M2024" s="43">
        <v>38186</v>
      </c>
      <c r="N2024" s="37">
        <f>(YEAR(TablaMadre[[#This Row],[ALTA]])-YEAR(M2024))</f>
        <v>21</v>
      </c>
      <c r="O2024" s="34" t="s">
        <v>525</v>
      </c>
      <c r="P2024" s="38" t="s">
        <v>19</v>
      </c>
      <c r="Q2024" s="38" t="s">
        <v>728</v>
      </c>
      <c r="R2024" s="38" t="s">
        <v>30</v>
      </c>
      <c r="S2024" s="38" t="s">
        <v>26</v>
      </c>
      <c r="T2024" s="38" t="s">
        <v>806</v>
      </c>
      <c r="U2024" s="38" t="s">
        <v>347</v>
      </c>
      <c r="V2024" s="38" t="s">
        <v>27</v>
      </c>
      <c r="W2024" s="38" t="s">
        <v>886</v>
      </c>
      <c r="X2024" s="34"/>
      <c r="Y2024" s="34"/>
      <c r="Z2024" s="57" t="e">
        <f t="shared" si="98"/>
        <v>#NUM!</v>
      </c>
      <c r="AA2024" s="57"/>
      <c r="AB2024" s="34">
        <v>8</v>
      </c>
      <c r="AC2024" s="34">
        <v>7</v>
      </c>
      <c r="AD2024" s="34"/>
      <c r="AE2024" s="59" t="str">
        <f t="shared" si="99"/>
        <v>SÍ</v>
      </c>
      <c r="AF2024" s="34" t="e" cm="1">
        <f t="array" aca="1" ref="AF2024" ca="1">MIN(100, MAX(0, (IF(R2024="ESTUDIANTE", 31, 0)) + (IF(I2024&lt;=3, 30, IF(I2024&lt;=6, 20, 0))) +(IF(OR(E2024="413 - Control de Costes y Enlace Construcción", E2024="480 - Secretaría General del Consejo", E2024="132 - Civil y estructuras", E2024="136 - Mecánica", E2024="412 - Planificación", E2024="142 - Compras"), 25, 0)) +(IF(OR(S2024="GRADO ING. MECÁNICA", S2024="GRADO ING. ELÉCTRICA", S2024="GRADO DERECHO", S2024="GRADO ECONOMÍA", S2024="GRADO ING. TECNOLOGÍAS INDUSTRIALES"), 24, 0)) + (IF(AND(K2024&gt;=451, K2024&lt;=700), 23, 0)) + (IF(AND(AB2024&gt;=5, AB2024&lt;=8), 17, 0)) +(IF(_xludf.OR(_xludf.AND(AC2024&gt;=8, AC2024&lt;=10), _xludf.AND(AC2024&gt;=0, AC2024&lt;=5)), 16, 0)) + (IF(F2024="Madrid", 11, 0))))</f>
        <v>#NAME?</v>
      </c>
      <c r="AG2024" s="69"/>
      <c r="AH2024" s="71" t="s">
        <v>164</v>
      </c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24"/>
    </row>
    <row r="2025" spans="1:62" s="4" customFormat="1" ht="15" customHeight="1" x14ac:dyDescent="0.3">
      <c r="A2025" s="66" t="s">
        <v>2997</v>
      </c>
      <c r="B2025" s="66" t="s">
        <v>5114</v>
      </c>
      <c r="C2025" s="33">
        <v>2024</v>
      </c>
      <c r="D2025" s="33" t="s">
        <v>5400</v>
      </c>
      <c r="E2025" s="34" t="s">
        <v>5326</v>
      </c>
      <c r="F2025" s="34" t="s">
        <v>18</v>
      </c>
      <c r="G2025" s="57">
        <v>45839</v>
      </c>
      <c r="H2025" s="57">
        <v>45967</v>
      </c>
      <c r="I2025" s="34">
        <f t="shared" si="97"/>
        <v>4</v>
      </c>
      <c r="J2025" s="34">
        <v>35</v>
      </c>
      <c r="K2025" s="36">
        <v>650</v>
      </c>
      <c r="L2025" s="34" t="s">
        <v>29</v>
      </c>
      <c r="M2025" s="39">
        <v>38395</v>
      </c>
      <c r="N2025" s="37">
        <f>(YEAR(TablaMadre[[#This Row],[ALTA]])-YEAR(M2025))</f>
        <v>20</v>
      </c>
      <c r="O2025" s="34" t="s">
        <v>18</v>
      </c>
      <c r="P2025" s="34" t="s">
        <v>19</v>
      </c>
      <c r="Q2025" s="34" t="s">
        <v>734</v>
      </c>
      <c r="R2025" s="34" t="s">
        <v>21</v>
      </c>
      <c r="S2025" s="34" t="s">
        <v>26</v>
      </c>
      <c r="T2025" s="34" t="s">
        <v>806</v>
      </c>
      <c r="U2025" s="34" t="s">
        <v>347</v>
      </c>
      <c r="V2025" s="34" t="s">
        <v>27</v>
      </c>
      <c r="W2025" s="34" t="s">
        <v>28</v>
      </c>
      <c r="X2025" s="34" t="s">
        <v>173</v>
      </c>
      <c r="Y2025" s="57"/>
      <c r="Z2025" s="34" t="e">
        <f t="shared" si="98"/>
        <v>#NUM!</v>
      </c>
      <c r="AA2025" s="34"/>
      <c r="AB2025" s="34">
        <v>9</v>
      </c>
      <c r="AC2025" s="34">
        <v>10</v>
      </c>
      <c r="AD2025" s="34"/>
      <c r="AE2025" s="59" t="str">
        <f t="shared" si="99"/>
        <v>NO</v>
      </c>
      <c r="AF2025" s="34" t="e" cm="1">
        <f t="array" aca="1" ref="AF2025" ca="1">MIN(100, MAX(0, (IF(R2025="ESTUDIANTE", 31, 0)) + (IF(I2025&lt;=3, 30, IF(I2025&lt;=6, 20, 0))) +(IF(OR(E2025="413 - Control de Costes y Enlace Construcción", E2025="480 - Secretaría General del Consejo", E2025="132 - Civil y estructuras", E2025="136 - Mecánica", E2025="412 - Planificación", E2025="142 - Compras"), 25, 0)) +(IF(OR(S2025="GRADO ING. MECÁNICA", S2025="GRADO ING. ELÉCTRICA", S2025="GRADO DERECHO", S2025="GRADO ECONOMÍA", S2025="GRADO ING. TECNOLOGÍAS INDUSTRIALES"), 24, 0)) + (IF(AND(K2025&gt;=451, K2025&lt;=700), 23, 0)) + (IF(AND(AB2025&gt;=5, AB2025&lt;=8), 17, 0)) +(IF(_xludf.OR(_xludf.AND(AC2025&gt;=8, AC2025&lt;=10), _xludf.AND(AC2025&gt;=0, AC2025&lt;=5)), 16, 0)) + (IF(F2025="Madrid", 11, 0))))</f>
        <v>#NAME?</v>
      </c>
      <c r="AG2025" s="69"/>
      <c r="AH2025" s="71" t="s">
        <v>164</v>
      </c>
    </row>
    <row r="2026" spans="1:62" ht="15" customHeight="1" x14ac:dyDescent="0.3">
      <c r="A2026" s="66" t="s">
        <v>3076</v>
      </c>
      <c r="B2026" s="66" t="s">
        <v>5193</v>
      </c>
      <c r="C2026" s="33">
        <v>2025</v>
      </c>
      <c r="D2026" s="33" t="s">
        <v>5401</v>
      </c>
      <c r="E2026" s="34" t="s">
        <v>5385</v>
      </c>
      <c r="F2026" s="34" t="s">
        <v>18</v>
      </c>
      <c r="G2026" s="57">
        <v>45841</v>
      </c>
      <c r="H2026" s="57">
        <v>45869</v>
      </c>
      <c r="I2026" s="34">
        <f t="shared" si="97"/>
        <v>0</v>
      </c>
      <c r="J2026" s="34">
        <v>35</v>
      </c>
      <c r="K2026" s="36">
        <v>0</v>
      </c>
      <c r="L2026" s="34" t="s">
        <v>29</v>
      </c>
      <c r="M2026" s="35">
        <v>38331</v>
      </c>
      <c r="N2026" s="37">
        <f>(YEAR(TablaMadre[[#This Row],[ALTA]])-YEAR(M2026))</f>
        <v>21</v>
      </c>
      <c r="O2026" s="34" t="s">
        <v>18</v>
      </c>
      <c r="P2026" s="34" t="s">
        <v>19</v>
      </c>
      <c r="Q2026" s="34" t="s">
        <v>871</v>
      </c>
      <c r="R2026" s="34" t="s">
        <v>30</v>
      </c>
      <c r="S2026" s="34" t="s">
        <v>871</v>
      </c>
      <c r="T2026" s="34" t="s">
        <v>806</v>
      </c>
      <c r="U2026" s="34" t="str">
        <f>SUBSTITUTE($T2026, "INGUN", "/")</f>
        <v>N/A</v>
      </c>
      <c r="V2026" s="34" t="s">
        <v>163</v>
      </c>
      <c r="W2026" s="34" t="s">
        <v>23</v>
      </c>
      <c r="X2026" s="38" t="s">
        <v>974</v>
      </c>
      <c r="Y2026" s="62"/>
      <c r="Z2026" s="62" t="e">
        <f t="shared" si="98"/>
        <v>#NUM!</v>
      </c>
      <c r="AA2026" s="62"/>
      <c r="AB2026" s="34"/>
      <c r="AC2026" s="34"/>
      <c r="AD2026" s="38"/>
      <c r="AE2026" s="59" t="str">
        <f t="shared" si="99"/>
        <v>NO</v>
      </c>
      <c r="AF2026" s="38" t="e" cm="1">
        <f t="array" aca="1" ref="AF2026" ca="1">MIN(100, MAX(0, (IF(R2026="ESTUDIANTE", 31, 0)) + (IF(I2026&lt;=3, 30, IF(I2026&lt;=6, 20, 0))) +(IF(OR(E2026="413 - Control de Costes y Enlace Construcción", E2026="480 - Secretaría General del Consejo", E2026="132 - Civil y estructuras", E2026="136 - Mecánica", E2026="412 - Planificación", E2026="142 - Compras"), 25, 0)) +(IF(OR(S2026="GRADO ING. MECÁNICA", S2026="GRADO ING. ELÉCTRICA", S2026="GRADO DERECHO", S2026="GRADO ECONOMÍA", S2026="GRADO ING. TECNOLOGÍAS INDUSTRIALES"), 24, 0)) + (IF(AND(K2026&gt;=451, K2026&lt;=700), 23, 0)) + (IF(AND(AB2026&gt;=5, AB2026&lt;=8), 17, 0)) +(IF(_xludf.OR(_xludf.AND(AC2026&gt;=8, AC2026&lt;=10), _xludf.AND(AC2026&gt;=0, AC2026&lt;=5)), 16, 0)) + (IF(F2026="Madrid", 11, 0))))</f>
        <v>#NAME?</v>
      </c>
      <c r="AG2026" s="68"/>
      <c r="AH2026" s="71" t="s">
        <v>164</v>
      </c>
    </row>
    <row r="2027" spans="1:62" s="4" customFormat="1" ht="15" customHeight="1" x14ac:dyDescent="0.3">
      <c r="A2027" s="66" t="s">
        <v>3007</v>
      </c>
      <c r="B2027" s="66" t="s">
        <v>5124</v>
      </c>
      <c r="C2027" s="33">
        <v>2028</v>
      </c>
      <c r="D2027" s="33" t="s">
        <v>5402</v>
      </c>
      <c r="E2027" s="34" t="s">
        <v>5374</v>
      </c>
      <c r="F2027" s="34" t="s">
        <v>18</v>
      </c>
      <c r="G2027" s="57">
        <v>45852</v>
      </c>
      <c r="H2027" s="57">
        <v>46216</v>
      </c>
      <c r="I2027" s="38">
        <f t="shared" si="97"/>
        <v>11</v>
      </c>
      <c r="J2027" s="40">
        <v>35</v>
      </c>
      <c r="K2027" s="44">
        <v>800</v>
      </c>
      <c r="L2027" s="38" t="s">
        <v>17</v>
      </c>
      <c r="M2027" s="43">
        <v>37431</v>
      </c>
      <c r="N2027" s="37">
        <f>(YEAR(TablaMadre[[#This Row],[ALTA]])-YEAR(M2027))</f>
        <v>23</v>
      </c>
      <c r="O2027" s="34" t="s">
        <v>18</v>
      </c>
      <c r="P2027" s="38" t="s">
        <v>19</v>
      </c>
      <c r="Q2027" s="38" t="s">
        <v>229</v>
      </c>
      <c r="R2027" s="38" t="s">
        <v>21</v>
      </c>
      <c r="S2027" s="38" t="s">
        <v>229</v>
      </c>
      <c r="T2027" s="38" t="s">
        <v>806</v>
      </c>
      <c r="U2027" s="38" t="s">
        <v>21</v>
      </c>
      <c r="V2027" s="38" t="s">
        <v>84</v>
      </c>
      <c r="W2027" s="38" t="s">
        <v>886</v>
      </c>
      <c r="X2027" s="38"/>
      <c r="Y2027" s="38"/>
      <c r="Z2027" s="62" t="e">
        <f t="shared" si="98"/>
        <v>#NUM!</v>
      </c>
      <c r="AA2027" s="62"/>
      <c r="AB2027" s="38">
        <v>8</v>
      </c>
      <c r="AC2027" s="38">
        <v>9</v>
      </c>
      <c r="AD2027" s="38"/>
      <c r="AE2027" s="59" t="str">
        <f t="shared" si="99"/>
        <v>NO</v>
      </c>
      <c r="AF2027" s="34" t="e" cm="1">
        <f t="array" aca="1" ref="AF2027" ca="1">MIN(100, MAX(0, (IF(R2027="ESTUDIANTE", 31, 0)) + (IF(I2027&lt;=3, 30, IF(I2027&lt;=6, 20, 0))) +(IF(OR(E2027="413 - Control de Costes y Enlace Construcción", E2027="480 - Secretaría General del Consejo", E2027="132 - Civil y estructuras", E2027="136 - Mecánica", E2027="412 - Planificación", E2027="142 - Compras"), 25, 0)) +(IF(OR(S2027="GRADO ING. MECÁNICA", S2027="GRADO ING. ELÉCTRICA", S2027="GRADO DERECHO", S2027="GRADO ECONOMÍA", S2027="GRADO ING. TECNOLOGÍAS INDUSTRIALES"), 24, 0)) + (IF(AND(K2027&gt;=451, K2027&lt;=700), 23, 0)) + (IF(AND(AB2027&gt;=5, AB2027&lt;=8), 17, 0)) +(IF(_xludf.OR(_xludf.AND(AC2027&gt;=8, AC2027&lt;=10), _xludf.AND(AC2027&gt;=0, AC2027&lt;=5)), 16, 0)) + (IF(F2027="Madrid", 11, 0))))</f>
        <v>#NAME?</v>
      </c>
      <c r="AG2027" s="69"/>
      <c r="AH2027" s="71" t="s">
        <v>164</v>
      </c>
    </row>
    <row r="2028" spans="1:62" s="4" customFormat="1" ht="15" customHeight="1" x14ac:dyDescent="0.3">
      <c r="A2028" s="66" t="s">
        <v>3011</v>
      </c>
      <c r="B2028" s="66" t="s">
        <v>5128</v>
      </c>
      <c r="C2028" s="33">
        <v>2027</v>
      </c>
      <c r="D2028" s="33" t="s">
        <v>5393</v>
      </c>
      <c r="E2028" s="34" t="s">
        <v>5241</v>
      </c>
      <c r="F2028" s="34" t="s">
        <v>18</v>
      </c>
      <c r="G2028" s="57">
        <v>45852</v>
      </c>
      <c r="H2028" s="57">
        <v>46035</v>
      </c>
      <c r="I2028" s="34">
        <f t="shared" si="97"/>
        <v>5</v>
      </c>
      <c r="J2028" s="34">
        <v>35</v>
      </c>
      <c r="K2028" s="36">
        <v>1200</v>
      </c>
      <c r="L2028" s="34" t="s">
        <v>29</v>
      </c>
      <c r="M2028" s="39">
        <v>37116</v>
      </c>
      <c r="N2028" s="37">
        <f>(YEAR(TablaMadre[[#This Row],[ALTA]])-YEAR(M2028))</f>
        <v>24</v>
      </c>
      <c r="O2028" s="34" t="s">
        <v>18</v>
      </c>
      <c r="P2028" s="34" t="s">
        <v>19</v>
      </c>
      <c r="Q2028" s="34" t="s">
        <v>297</v>
      </c>
      <c r="R2028" s="34" t="s">
        <v>21</v>
      </c>
      <c r="S2028" s="34" t="s">
        <v>297</v>
      </c>
      <c r="T2028" s="34" t="s">
        <v>820</v>
      </c>
      <c r="U2028" s="34" t="s">
        <v>30</v>
      </c>
      <c r="V2028" s="34" t="s">
        <v>40</v>
      </c>
      <c r="W2028" s="34" t="s">
        <v>28</v>
      </c>
      <c r="X2028" s="34" t="s">
        <v>173</v>
      </c>
      <c r="Y2028" s="34"/>
      <c r="Z2028" s="34" t="e">
        <f t="shared" si="98"/>
        <v>#NUM!</v>
      </c>
      <c r="AA2028" s="34"/>
      <c r="AB2028" s="34">
        <v>10</v>
      </c>
      <c r="AC2028" s="34">
        <v>10</v>
      </c>
      <c r="AD2028" s="34"/>
      <c r="AE2028" s="59" t="str">
        <f t="shared" si="99"/>
        <v>NO</v>
      </c>
      <c r="AF2028" s="34" t="e" cm="1">
        <f t="array" aca="1" ref="AF2028" ca="1">MIN(100, MAX(0, (IF(R2028="ESTUDIANTE", 31, 0)) + (IF(I2028&lt;=3, 30, IF(I2028&lt;=6, 20, 0))) +(IF(OR(E2028="413 - Control de Costes y Enlace Construcción", E2028="480 - Secretaría General del Consejo", E2028="132 - Civil y estructuras", E2028="136 - Mecánica", E2028="412 - Planificación", E2028="142 - Compras"), 25, 0)) +(IF(OR(S2028="GRADO ING. MECÁNICA", S2028="GRADO ING. ELÉCTRICA", S2028="GRADO DERECHO", S2028="GRADO ECONOMÍA", S2028="GRADO ING. TECNOLOGÍAS INDUSTRIALES"), 24, 0)) + (IF(AND(K2028&gt;=451, K2028&lt;=700), 23, 0)) + (IF(AND(AB2028&gt;=5, AB2028&lt;=8), 17, 0)) +(IF(_xludf.OR(_xludf.AND(AC2028&gt;=8, AC2028&lt;=10), _xludf.AND(AC2028&gt;=0, AC2028&lt;=5)), 16, 0)) + (IF(F2028="Madrid", 11, 0))))</f>
        <v>#NAME?</v>
      </c>
      <c r="AG2028" s="69"/>
      <c r="AH2028" s="71" t="s">
        <v>164</v>
      </c>
    </row>
    <row r="2029" spans="1:62" ht="15" customHeight="1" x14ac:dyDescent="0.3">
      <c r="A2029" s="66" t="s">
        <v>3077</v>
      </c>
      <c r="B2029" s="66" t="s">
        <v>5194</v>
      </c>
      <c r="C2029" s="33">
        <v>2026</v>
      </c>
      <c r="D2029" s="33" t="s">
        <v>5394</v>
      </c>
      <c r="E2029" s="34" t="s">
        <v>5359</v>
      </c>
      <c r="F2029" s="34" t="s">
        <v>18</v>
      </c>
      <c r="G2029" s="57">
        <v>45852</v>
      </c>
      <c r="H2029" s="57">
        <v>45862</v>
      </c>
      <c r="I2029" s="34">
        <f t="shared" si="97"/>
        <v>0</v>
      </c>
      <c r="J2029" s="34">
        <v>20</v>
      </c>
      <c r="K2029" s="36">
        <v>0</v>
      </c>
      <c r="L2029" s="34" t="s">
        <v>29</v>
      </c>
      <c r="M2029" s="35">
        <v>39561</v>
      </c>
      <c r="N2029" s="37">
        <f>(YEAR(TablaMadre[[#This Row],[ALTA]])-YEAR(M2029))</f>
        <v>17</v>
      </c>
      <c r="O2029" s="34" t="s">
        <v>18</v>
      </c>
      <c r="P2029" s="34" t="s">
        <v>19</v>
      </c>
      <c r="Q2029" s="34" t="s">
        <v>868</v>
      </c>
      <c r="R2029" s="34" t="s">
        <v>30</v>
      </c>
      <c r="S2029" s="34"/>
      <c r="T2029" s="34" t="s">
        <v>806</v>
      </c>
      <c r="U2029" s="34" t="s">
        <v>347</v>
      </c>
      <c r="V2029" s="34" t="s">
        <v>27</v>
      </c>
      <c r="W2029" s="34" t="s">
        <v>23</v>
      </c>
      <c r="X2029" s="34" t="s">
        <v>164</v>
      </c>
      <c r="Y2029" s="57"/>
      <c r="Z2029" s="57" t="e">
        <f t="shared" si="98"/>
        <v>#NUM!</v>
      </c>
      <c r="AA2029" s="57"/>
      <c r="AB2029" s="34"/>
      <c r="AC2029" s="34">
        <v>9</v>
      </c>
      <c r="AD2029" s="34"/>
      <c r="AE2029" s="59" t="str">
        <f t="shared" si="99"/>
        <v>NO</v>
      </c>
      <c r="AF2029" s="38" t="e" cm="1">
        <f t="array" aca="1" ref="AF2029" ca="1">MIN(100, MAX(0, (IF(R2029="ESTUDIANTE", 31, 0)) + (IF(I2029&lt;=3, 30, IF(I2029&lt;=6, 20, 0))) +(IF(OR(E2029="413 - Control de Costes y Enlace Construcción", E2029="480 - Secretaría General del Consejo", E2029="132 - Civil y estructuras", E2029="136 - Mecánica", E2029="412 - Planificación", E2029="142 - Compras"), 25, 0)) +(IF(OR(S2029="GRADO ING. MECÁNICA", S2029="GRADO ING. ELÉCTRICA", S2029="GRADO DERECHO", S2029="GRADO ECONOMÍA", S2029="GRADO ING. TECNOLOGÍAS INDUSTRIALES"), 24, 0)) + (IF(AND(K2029&gt;=451, K2029&lt;=700), 23, 0)) + (IF(AND(AB2029&gt;=5, AB2029&lt;=8), 17, 0)) +(IF(_xludf.OR(_xludf.AND(AC2029&gt;=8, AC2029&lt;=10), _xludf.AND(AC2029&gt;=0, AC2029&lt;=5)), 16, 0)) + (IF(F2029="Madrid", 11, 0))))</f>
        <v>#NAME?</v>
      </c>
      <c r="AG2029" s="68"/>
      <c r="AH2029" s="71" t="s">
        <v>164</v>
      </c>
    </row>
    <row r="2030" spans="1:62" ht="15" customHeight="1" x14ac:dyDescent="0.3">
      <c r="A2030" s="66" t="s">
        <v>3009</v>
      </c>
      <c r="B2030" s="66" t="s">
        <v>5126</v>
      </c>
      <c r="C2030" s="33">
        <v>2030</v>
      </c>
      <c r="D2030" s="33" t="s">
        <v>5403</v>
      </c>
      <c r="E2030" s="34" t="s">
        <v>5273</v>
      </c>
      <c r="F2030" s="34" t="s">
        <v>18</v>
      </c>
      <c r="G2030" s="57">
        <v>45859</v>
      </c>
      <c r="H2030" s="57">
        <v>46223</v>
      </c>
      <c r="I2030" s="38">
        <f t="shared" si="97"/>
        <v>11</v>
      </c>
      <c r="J2030" s="40">
        <v>35</v>
      </c>
      <c r="K2030" s="44">
        <v>1200</v>
      </c>
      <c r="L2030" s="38" t="s">
        <v>17</v>
      </c>
      <c r="M2030" s="43">
        <v>37113</v>
      </c>
      <c r="N2030" s="37">
        <f>(YEAR(TablaMadre[[#This Row],[ALTA]])-YEAR(M2030))</f>
        <v>24</v>
      </c>
      <c r="O2030" s="38" t="s">
        <v>205</v>
      </c>
      <c r="P2030" s="38" t="s">
        <v>19</v>
      </c>
      <c r="Q2030" s="38" t="s">
        <v>829</v>
      </c>
      <c r="R2030" s="38" t="s">
        <v>21</v>
      </c>
      <c r="S2030" s="34" t="s">
        <v>322</v>
      </c>
      <c r="T2030" s="38" t="s">
        <v>823</v>
      </c>
      <c r="U2030" s="38" t="s">
        <v>30</v>
      </c>
      <c r="V2030" s="38" t="s">
        <v>207</v>
      </c>
      <c r="W2030" s="38" t="s">
        <v>886</v>
      </c>
      <c r="X2030" s="38"/>
      <c r="Y2030" s="38"/>
      <c r="Z2030" s="62" t="e">
        <f t="shared" si="98"/>
        <v>#NUM!</v>
      </c>
      <c r="AA2030" s="62"/>
      <c r="AB2030" s="34">
        <v>8</v>
      </c>
      <c r="AC2030" s="34">
        <v>7</v>
      </c>
      <c r="AD2030" s="38"/>
      <c r="AE2030" s="59" t="str">
        <f t="shared" si="99"/>
        <v>SÍ</v>
      </c>
      <c r="AF2030" s="38" t="e" cm="1">
        <f t="array" aca="1" ref="AF2030" ca="1">MIN(100, MAX(0, (IF(R2030="ESTUDIANTE", 31, 0)) + (IF(I2030&lt;=3, 30, IF(I2030&lt;=6, 20, 0))) +(IF(OR(E2030="413 - Control de Costes y Enlace Construcción", E2030="480 - Secretaría General del Consejo", E2030="132 - Civil y estructuras", E2030="136 - Mecánica", E2030="412 - Planificación", E2030="142 - Compras"), 25, 0)) +(IF(OR(S2030="GRADO ING. MECÁNICA", S2030="GRADO ING. ELÉCTRICA", S2030="GRADO DERECHO", S2030="GRADO ECONOMÍA", S2030="GRADO ING. TECNOLOGÍAS INDUSTRIALES"), 24, 0)) + (IF(AND(K2030&gt;=451, K2030&lt;=700), 23, 0)) + (IF(AND(AB2030&gt;=5, AB2030&lt;=8), 17, 0)) +(IF(_xludf.OR(_xludf.AND(AC2030&gt;=8, AC2030&lt;=10), _xludf.AND(AC2030&gt;=0, AC2030&lt;=5)), 16, 0)) + (IF(F2030="Madrid", 11, 0))))</f>
        <v>#NAME?</v>
      </c>
      <c r="AG2030" s="68"/>
      <c r="AH2030" s="71" t="s">
        <v>164</v>
      </c>
    </row>
    <row r="2031" spans="1:62" ht="15" customHeight="1" x14ac:dyDescent="0.3">
      <c r="A2031" s="66" t="s">
        <v>3010</v>
      </c>
      <c r="B2031" s="66" t="s">
        <v>5127</v>
      </c>
      <c r="C2031" s="33">
        <v>2031</v>
      </c>
      <c r="D2031" s="33" t="s">
        <v>5404</v>
      </c>
      <c r="E2031" s="34" t="s">
        <v>5270</v>
      </c>
      <c r="F2031" s="34" t="s">
        <v>18</v>
      </c>
      <c r="G2031" s="57">
        <v>45859</v>
      </c>
      <c r="H2031" s="57">
        <v>46223</v>
      </c>
      <c r="I2031" s="38">
        <f t="shared" si="97"/>
        <v>11</v>
      </c>
      <c r="J2031" s="40">
        <v>35</v>
      </c>
      <c r="K2031" s="44">
        <v>700</v>
      </c>
      <c r="L2031" s="38" t="s">
        <v>17</v>
      </c>
      <c r="M2031" s="43">
        <v>35127</v>
      </c>
      <c r="N2031" s="37">
        <f>(YEAR(TablaMadre[[#This Row],[ALTA]])-YEAR(M2031))</f>
        <v>29</v>
      </c>
      <c r="O2031" s="38" t="s">
        <v>211</v>
      </c>
      <c r="P2031" s="38" t="s">
        <v>19</v>
      </c>
      <c r="Q2031" s="38" t="s">
        <v>397</v>
      </c>
      <c r="R2031" s="38" t="s">
        <v>30</v>
      </c>
      <c r="S2031" s="34" t="s">
        <v>397</v>
      </c>
      <c r="T2031" s="38" t="s">
        <v>806</v>
      </c>
      <c r="U2031" s="38" t="s">
        <v>347</v>
      </c>
      <c r="V2031" s="38" t="s">
        <v>81</v>
      </c>
      <c r="W2031" s="38" t="s">
        <v>886</v>
      </c>
      <c r="X2031" s="38"/>
      <c r="Y2031" s="38"/>
      <c r="Z2031" s="62" t="e">
        <f t="shared" si="98"/>
        <v>#NUM!</v>
      </c>
      <c r="AA2031" s="62"/>
      <c r="AB2031" s="38">
        <v>10</v>
      </c>
      <c r="AC2031" s="38">
        <v>9</v>
      </c>
      <c r="AD2031" s="38"/>
      <c r="AE2031" s="59" t="str">
        <f t="shared" si="99"/>
        <v>SÍ</v>
      </c>
      <c r="AF2031" s="38" t="e" cm="1">
        <f t="array" aca="1" ref="AF2031" ca="1">MIN(100, MAX(0, (IF(R2031="ESTUDIANTE", 31, 0)) + (IF(I2031&lt;=3, 30, IF(I2031&lt;=6, 20, 0))) +(IF(OR(E2031="413 - Control de Costes y Enlace Construcción", E2031="480 - Secretaría General del Consejo", E2031="132 - Civil y estructuras", E2031="136 - Mecánica", E2031="412 - Planificación", E2031="142 - Compras"), 25, 0)) +(IF(OR(S2031="GRADO ING. MECÁNICA", S2031="GRADO ING. ELÉCTRICA", S2031="GRADO DERECHO", S2031="GRADO ECONOMÍA", S2031="GRADO ING. TECNOLOGÍAS INDUSTRIALES"), 24, 0)) + (IF(AND(K2031&gt;=451, K2031&lt;=700), 23, 0)) + (IF(AND(AB2031&gt;=5, AB2031&lt;=8), 17, 0)) +(IF(_xludf.OR(_xludf.AND(AC2031&gt;=8, AC2031&lt;=10), _xludf.AND(AC2031&gt;=0, AC2031&lt;=5)), 16, 0)) + (IF(F2031="Madrid", 11, 0))))</f>
        <v>#NAME?</v>
      </c>
      <c r="AG2031" s="68"/>
      <c r="AH2031" s="71" t="s">
        <v>164</v>
      </c>
    </row>
    <row r="2032" spans="1:62" ht="15" customHeight="1" x14ac:dyDescent="0.3">
      <c r="A2032" s="66" t="s">
        <v>3012</v>
      </c>
      <c r="B2032" s="66" t="s">
        <v>5129</v>
      </c>
      <c r="C2032" s="33">
        <v>2029</v>
      </c>
      <c r="D2032" s="33" t="s">
        <v>5405</v>
      </c>
      <c r="E2032" s="34" t="s">
        <v>5360</v>
      </c>
      <c r="F2032" s="34" t="s">
        <v>18</v>
      </c>
      <c r="G2032" s="57">
        <v>45859</v>
      </c>
      <c r="H2032" s="57">
        <v>46042</v>
      </c>
      <c r="I2032" s="34">
        <f t="shared" si="97"/>
        <v>5</v>
      </c>
      <c r="J2032" s="34">
        <v>30</v>
      </c>
      <c r="K2032" s="36">
        <v>600</v>
      </c>
      <c r="L2032" s="34" t="s">
        <v>29</v>
      </c>
      <c r="M2032" s="39">
        <v>37278</v>
      </c>
      <c r="N2032" s="37">
        <f>(YEAR(TablaMadre[[#This Row],[ALTA]])-YEAR(M2032))</f>
        <v>23</v>
      </c>
      <c r="O2032" s="34" t="s">
        <v>18</v>
      </c>
      <c r="P2032" s="34" t="s">
        <v>19</v>
      </c>
      <c r="Q2032" s="34" t="s">
        <v>322</v>
      </c>
      <c r="R2032" s="34" t="s">
        <v>30</v>
      </c>
      <c r="S2032" s="34" t="s">
        <v>322</v>
      </c>
      <c r="T2032" s="34" t="s">
        <v>806</v>
      </c>
      <c r="U2032" s="34" t="s">
        <v>30</v>
      </c>
      <c r="V2032" s="34" t="s">
        <v>22</v>
      </c>
      <c r="W2032" s="34" t="s">
        <v>28</v>
      </c>
      <c r="X2032" s="38" t="s">
        <v>173</v>
      </c>
      <c r="Y2032" s="38"/>
      <c r="Z2032" s="38" t="e">
        <f t="shared" si="98"/>
        <v>#NUM!</v>
      </c>
      <c r="AA2032" s="38"/>
      <c r="AB2032" s="34"/>
      <c r="AC2032" s="34">
        <v>9</v>
      </c>
      <c r="AD2032" s="38"/>
      <c r="AE2032" s="59" t="str">
        <f t="shared" si="99"/>
        <v>NO</v>
      </c>
      <c r="AF2032" s="38" t="e" cm="1">
        <f t="array" aca="1" ref="AF2032" ca="1">MIN(100, MAX(0, (IF(R2032="ESTUDIANTE", 31, 0)) + (IF(I2032&lt;=3, 30, IF(I2032&lt;=6, 20, 0))) +(IF(OR(E2032="413 - Control de Costes y Enlace Construcción", E2032="480 - Secretaría General del Consejo", E2032="132 - Civil y estructuras", E2032="136 - Mecánica", E2032="412 - Planificación", E2032="142 - Compras"), 25, 0)) +(IF(OR(S2032="GRADO ING. MECÁNICA", S2032="GRADO ING. ELÉCTRICA", S2032="GRADO DERECHO", S2032="GRADO ECONOMÍA", S2032="GRADO ING. TECNOLOGÍAS INDUSTRIALES"), 24, 0)) + (IF(AND(K2032&gt;=451, K2032&lt;=700), 23, 0)) + (IF(AND(AB2032&gt;=5, AB2032&lt;=8), 17, 0)) +(IF(_xludf.OR(_xludf.AND(AC2032&gt;=8, AC2032&lt;=10), _xludf.AND(AC2032&gt;=0, AC2032&lt;=5)), 16, 0)) + (IF(F2032="Madrid", 11, 0))))</f>
        <v>#NAME?</v>
      </c>
      <c r="AG2032" s="68"/>
      <c r="AH2032" s="71" t="s">
        <v>164</v>
      </c>
    </row>
    <row r="2033" spans="1:34" s="4" customFormat="1" ht="15" customHeight="1" x14ac:dyDescent="0.3">
      <c r="A2033" s="66" t="s">
        <v>2871</v>
      </c>
      <c r="B2033" s="66" t="s">
        <v>4988</v>
      </c>
      <c r="C2033" s="33">
        <v>2032</v>
      </c>
      <c r="D2033" s="33" t="s">
        <v>5396</v>
      </c>
      <c r="E2033" s="34" t="s">
        <v>5354</v>
      </c>
      <c r="F2033" s="34" t="s">
        <v>558</v>
      </c>
      <c r="G2033" s="57">
        <v>45860</v>
      </c>
      <c r="H2033" s="57">
        <f>$G2033+179</f>
        <v>46039</v>
      </c>
      <c r="I2033" s="34">
        <f t="shared" si="97"/>
        <v>5</v>
      </c>
      <c r="J2033" s="34">
        <v>25</v>
      </c>
      <c r="K2033" s="36">
        <v>625</v>
      </c>
      <c r="L2033" s="34" t="s">
        <v>29</v>
      </c>
      <c r="M2033" s="39">
        <v>37049</v>
      </c>
      <c r="N2033" s="37">
        <f>(YEAR(TablaMadre[[#This Row],[ALTA]])-YEAR(M2033))</f>
        <v>24</v>
      </c>
      <c r="O2033" s="34" t="s">
        <v>575</v>
      </c>
      <c r="P2033" s="34" t="s">
        <v>19</v>
      </c>
      <c r="Q2033" s="34" t="s">
        <v>322</v>
      </c>
      <c r="R2033" s="34" t="s">
        <v>21</v>
      </c>
      <c r="S2033" s="34" t="s">
        <v>322</v>
      </c>
      <c r="T2033" s="34" t="s">
        <v>823</v>
      </c>
      <c r="U2033" s="34" t="s">
        <v>21</v>
      </c>
      <c r="V2033" s="34" t="s">
        <v>310</v>
      </c>
      <c r="W2033" s="34" t="s">
        <v>28</v>
      </c>
      <c r="X2033" s="34"/>
      <c r="Y2033" s="34"/>
      <c r="Z2033" s="34" t="e">
        <f t="shared" si="98"/>
        <v>#NUM!</v>
      </c>
      <c r="AA2033" s="34"/>
      <c r="AB2033" s="34">
        <v>10</v>
      </c>
      <c r="AC2033" s="34">
        <v>9</v>
      </c>
      <c r="AD2033" s="34"/>
      <c r="AE2033" s="59" t="str">
        <f t="shared" si="99"/>
        <v>SÍ</v>
      </c>
      <c r="AF2033" s="34" t="e" cm="1">
        <f t="array" aca="1" ref="AF2033" ca="1">MIN(100, MAX(0, (IF(R2033="ESTUDIANTE", 31, 0)) + (IF(I2033&lt;=3, 30, IF(I2033&lt;=6, 20, 0))) +(IF(OR(E2033="413 - Control de Costes y Enlace Construcción", E2033="480 - Secretaría General del Consejo", E2033="132 - Civil y estructuras", E2033="136 - Mecánica", E2033="412 - Planificación", E2033="142 - Compras"), 25, 0)) +(IF(OR(S2033="GRADO ING. MECÁNICA", S2033="GRADO ING. ELÉCTRICA", S2033="GRADO DERECHO", S2033="GRADO ECONOMÍA", S2033="GRADO ING. TECNOLOGÍAS INDUSTRIALES"), 24, 0)) + (IF(AND(K2033&gt;=451, K2033&lt;=700), 23, 0)) + (IF(AND(AB2033&gt;=5, AB2033&lt;=8), 17, 0)) +(IF(_xludf.OR(_xludf.AND(AC2033&gt;=8, AC2033&lt;=10), _xludf.AND(AC2033&gt;=0, AC2033&lt;=5)), 16, 0)) + (IF(F2033="Madrid", 11, 0))))</f>
        <v>#NAME?</v>
      </c>
      <c r="AG2033" s="69"/>
      <c r="AH2033" s="71" t="s">
        <v>164</v>
      </c>
    </row>
    <row r="2034" spans="1:34" s="4" customFormat="1" ht="15" customHeight="1" x14ac:dyDescent="0.3">
      <c r="A2034" s="66" t="s">
        <v>2899</v>
      </c>
      <c r="B2034" s="66" t="s">
        <v>5016</v>
      </c>
      <c r="C2034" s="33">
        <v>2033</v>
      </c>
      <c r="D2034" s="33" t="s">
        <v>5397</v>
      </c>
      <c r="E2034" s="34" t="s">
        <v>5324</v>
      </c>
      <c r="F2034" s="34" t="s">
        <v>18</v>
      </c>
      <c r="G2034" s="57">
        <v>45888</v>
      </c>
      <c r="H2034" s="57">
        <v>46071</v>
      </c>
      <c r="I2034" s="34">
        <f t="shared" si="97"/>
        <v>5</v>
      </c>
      <c r="J2034" s="34">
        <v>35</v>
      </c>
      <c r="K2034" s="36">
        <v>700</v>
      </c>
      <c r="L2034" s="34" t="s">
        <v>17</v>
      </c>
      <c r="M2034" s="39">
        <v>37658</v>
      </c>
      <c r="N2034" s="37">
        <f>(YEAR(TablaMadre[[#This Row],[ALTA]])-YEAR(M2034))</f>
        <v>22</v>
      </c>
      <c r="O2034" s="34" t="s">
        <v>18</v>
      </c>
      <c r="P2034" s="34" t="s">
        <v>19</v>
      </c>
      <c r="Q2034" s="34" t="s">
        <v>229</v>
      </c>
      <c r="R2034" s="34" t="s">
        <v>30</v>
      </c>
      <c r="S2034" s="34" t="s">
        <v>229</v>
      </c>
      <c r="T2034" s="34" t="s">
        <v>806</v>
      </c>
      <c r="U2034" s="34" t="s">
        <v>347</v>
      </c>
      <c r="V2034" s="34" t="s">
        <v>858</v>
      </c>
      <c r="W2034" s="34" t="s">
        <v>28</v>
      </c>
      <c r="X2034" s="34" t="s">
        <v>173</v>
      </c>
      <c r="Y2034" s="34"/>
      <c r="Z2034" s="34" t="e">
        <f t="shared" si="98"/>
        <v>#NUM!</v>
      </c>
      <c r="AA2034" s="34"/>
      <c r="AB2034" s="34">
        <v>7</v>
      </c>
      <c r="AC2034" s="34">
        <v>8</v>
      </c>
      <c r="AD2034" s="34"/>
      <c r="AE2034" s="59" t="str">
        <f t="shared" si="99"/>
        <v>NO</v>
      </c>
      <c r="AF2034" s="34" t="e" cm="1">
        <f t="array" aca="1" ref="AF2034" ca="1">MIN(100, MAX(0, (IF(R2034="ESTUDIANTE", 31, 0)) + (IF(I2034&lt;=3, 30, IF(I2034&lt;=6, 20, 0))) +(IF(OR(E2034="413 - Control de Costes y Enlace Construcción", E2034="480 - Secretaría General del Consejo", E2034="132 - Civil y estructuras", E2034="136 - Mecánica", E2034="412 - Planificación", E2034="142 - Compras"), 25, 0)) +(IF(OR(S2034="GRADO ING. MECÁNICA", S2034="GRADO ING. ELÉCTRICA", S2034="GRADO DERECHO", S2034="GRADO ECONOMÍA", S2034="GRADO ING. TECNOLOGÍAS INDUSTRIALES"), 24, 0)) + (IF(AND(K2034&gt;=451, K2034&lt;=700), 23, 0)) + (IF(AND(AB2034&gt;=5, AB2034&lt;=8), 17, 0)) +(IF(_xludf.OR(_xludf.AND(AC2034&gt;=8, AC2034&lt;=10), _xludf.AND(AC2034&gt;=0, AC2034&lt;=5)), 16, 0)) + (IF(F2034="Madrid", 11, 0))))</f>
        <v>#NAME?</v>
      </c>
      <c r="AG2034" s="69"/>
      <c r="AH2034" s="71" t="s">
        <v>164</v>
      </c>
    </row>
    <row r="2035" spans="1:34" s="4" customFormat="1" ht="15" customHeight="1" x14ac:dyDescent="0.3">
      <c r="A2035" s="66" t="s">
        <v>2836</v>
      </c>
      <c r="B2035" s="66" t="s">
        <v>4953</v>
      </c>
      <c r="C2035" s="33">
        <v>2034</v>
      </c>
      <c r="D2035" s="33" t="s">
        <v>5393</v>
      </c>
      <c r="E2035" s="34" t="s">
        <v>5246</v>
      </c>
      <c r="F2035" s="34" t="s">
        <v>118</v>
      </c>
      <c r="G2035" s="57">
        <v>45901</v>
      </c>
      <c r="H2035" s="57">
        <v>45912</v>
      </c>
      <c r="I2035" s="34">
        <f t="shared" si="97"/>
        <v>0</v>
      </c>
      <c r="J2035" s="34">
        <v>35</v>
      </c>
      <c r="K2035" s="36">
        <v>420</v>
      </c>
      <c r="L2035" s="34" t="s">
        <v>17</v>
      </c>
      <c r="M2035" s="35">
        <v>37676</v>
      </c>
      <c r="N2035" s="37">
        <f>(YEAR(TablaMadre[[#This Row],[ALTA]])-YEAR(M2035))</f>
        <v>22</v>
      </c>
      <c r="O2035" s="34" t="s">
        <v>118</v>
      </c>
      <c r="P2035" s="34" t="s">
        <v>19</v>
      </c>
      <c r="Q2035" s="34" t="s">
        <v>729</v>
      </c>
      <c r="R2035" s="34" t="s">
        <v>30</v>
      </c>
      <c r="S2035" s="34" t="s">
        <v>26</v>
      </c>
      <c r="T2035" s="34" t="s">
        <v>806</v>
      </c>
      <c r="U2035" s="34" t="s">
        <v>347</v>
      </c>
      <c r="V2035" s="34" t="s">
        <v>27</v>
      </c>
      <c r="W2035" s="34" t="s">
        <v>380</v>
      </c>
      <c r="X2035" s="34" t="s">
        <v>164</v>
      </c>
      <c r="Y2035" s="57"/>
      <c r="Z2035" s="57" t="e">
        <f t="shared" si="98"/>
        <v>#NUM!</v>
      </c>
      <c r="AA2035" s="57"/>
      <c r="AB2035" s="34">
        <v>10</v>
      </c>
      <c r="AC2035" s="34">
        <v>9</v>
      </c>
      <c r="AD2035" s="34"/>
      <c r="AE2035" s="59" t="str">
        <f t="shared" si="99"/>
        <v>NO</v>
      </c>
      <c r="AF2035" s="34" t="e" cm="1">
        <f t="array" aca="1" ref="AF2035" ca="1">MIN(100, MAX(0, (IF(R2035="ESTUDIANTE", 31, 0)) + (IF(I2035&lt;=3, 30, IF(I2035&lt;=6, 20, 0))) +(IF(OR(E2035="413 - Control de Costes y Enlace Construcción", E2035="480 - Secretaría General del Consejo", E2035="132 - Civil y estructuras", E2035="136 - Mecánica", E2035="412 - Planificación", E2035="142 - Compras"), 25, 0)) +(IF(OR(S2035="GRADO ING. MECÁNICA", S2035="GRADO ING. ELÉCTRICA", S2035="GRADO DERECHO", S2035="GRADO ECONOMÍA", S2035="GRADO ING. TECNOLOGÍAS INDUSTRIALES"), 24, 0)) + (IF(AND(K2035&gt;=451, K2035&lt;=700), 23, 0)) + (IF(AND(AB2035&gt;=5, AB2035&lt;=8), 17, 0)) +(IF(_xludf.OR(_xludf.AND(AC2035&gt;=8, AC2035&lt;=10), _xludf.AND(AC2035&gt;=0, AC2035&lt;=5)), 16, 0)) + (IF(F2035="Madrid", 11, 0))))</f>
        <v>#NAME?</v>
      </c>
      <c r="AG2035" s="69"/>
      <c r="AH2035" s="71" t="s">
        <v>164</v>
      </c>
    </row>
    <row r="2036" spans="1:34" ht="15" customHeight="1" x14ac:dyDescent="0.3">
      <c r="A2036" s="66" t="s">
        <v>2854</v>
      </c>
      <c r="B2036" s="66" t="s">
        <v>4971</v>
      </c>
      <c r="C2036" s="33">
        <v>2035</v>
      </c>
      <c r="D2036" s="33" t="s">
        <v>5394</v>
      </c>
      <c r="E2036" s="34" t="s">
        <v>5359</v>
      </c>
      <c r="F2036" s="34" t="s">
        <v>18</v>
      </c>
      <c r="G2036" s="57">
        <v>45901</v>
      </c>
      <c r="H2036" s="57">
        <v>46022</v>
      </c>
      <c r="I2036" s="34">
        <f t="shared" si="97"/>
        <v>3</v>
      </c>
      <c r="J2036" s="34">
        <v>25</v>
      </c>
      <c r="K2036" s="36">
        <v>625</v>
      </c>
      <c r="L2036" s="34" t="s">
        <v>17</v>
      </c>
      <c r="M2036" s="39">
        <v>36930</v>
      </c>
      <c r="N2036" s="37">
        <f>(YEAR(TablaMadre[[#This Row],[ALTA]])-YEAR(M2036))</f>
        <v>24</v>
      </c>
      <c r="O2036" s="34" t="s">
        <v>414</v>
      </c>
      <c r="P2036" s="34" t="s">
        <v>19</v>
      </c>
      <c r="Q2036" s="34" t="s">
        <v>322</v>
      </c>
      <c r="R2036" s="34" t="s">
        <v>21</v>
      </c>
      <c r="S2036" s="34" t="s">
        <v>322</v>
      </c>
      <c r="T2036" s="34" t="s">
        <v>823</v>
      </c>
      <c r="U2036" s="34" t="s">
        <v>30</v>
      </c>
      <c r="V2036" s="34" t="s">
        <v>137</v>
      </c>
      <c r="W2036" s="34" t="s">
        <v>28</v>
      </c>
      <c r="X2036" s="38" t="s">
        <v>173</v>
      </c>
      <c r="Y2036" s="62"/>
      <c r="Z2036" s="38" t="e">
        <f t="shared" si="98"/>
        <v>#NUM!</v>
      </c>
      <c r="AA2036" s="38"/>
      <c r="AB2036" s="41">
        <v>9</v>
      </c>
      <c r="AC2036" s="41">
        <v>10</v>
      </c>
      <c r="AD2036" s="38"/>
      <c r="AE2036" s="59" t="str">
        <f t="shared" si="99"/>
        <v>SÍ</v>
      </c>
      <c r="AF2036" s="38" t="e" cm="1">
        <f t="array" aca="1" ref="AF2036" ca="1">MIN(100, MAX(0, (IF(R2036="ESTUDIANTE", 31, 0)) + (IF(I2036&lt;=3, 30, IF(I2036&lt;=6, 20, 0))) +(IF(OR(E2036="413 - Control de Costes y Enlace Construcción", E2036="480 - Secretaría General del Consejo", E2036="132 - Civil y estructuras", E2036="136 - Mecánica", E2036="412 - Planificación", E2036="142 - Compras"), 25, 0)) +(IF(OR(S2036="GRADO ING. MECÁNICA", S2036="GRADO ING. ELÉCTRICA", S2036="GRADO DERECHO", S2036="GRADO ECONOMÍA", S2036="GRADO ING. TECNOLOGÍAS INDUSTRIALES"), 24, 0)) + (IF(AND(K2036&gt;=451, K2036&lt;=700), 23, 0)) + (IF(AND(AB2036&gt;=5, AB2036&lt;=8), 17, 0)) +(IF(_xludf.OR(_xludf.AND(AC2036&gt;=8, AC2036&lt;=10), _xludf.AND(AC2036&gt;=0, AC2036&lt;=5)), 16, 0)) + (IF(F2036="Madrid", 11, 0))))</f>
        <v>#NAME?</v>
      </c>
      <c r="AG2036" s="68"/>
      <c r="AH2036" s="71" t="s">
        <v>164</v>
      </c>
    </row>
    <row r="2037" spans="1:34" ht="15" customHeight="1" x14ac:dyDescent="0.3">
      <c r="A2037" s="66" t="s">
        <v>2873</v>
      </c>
      <c r="B2037" s="66" t="s">
        <v>4990</v>
      </c>
      <c r="C2037" s="33">
        <v>2036</v>
      </c>
      <c r="D2037" s="33" t="s">
        <v>5395</v>
      </c>
      <c r="E2037" s="34" t="s">
        <v>5345</v>
      </c>
      <c r="F2037" s="34" t="s">
        <v>18</v>
      </c>
      <c r="G2037" s="57">
        <v>45901</v>
      </c>
      <c r="H2037" s="57">
        <v>46081</v>
      </c>
      <c r="I2037" s="34">
        <f t="shared" si="97"/>
        <v>5</v>
      </c>
      <c r="J2037" s="34">
        <v>35</v>
      </c>
      <c r="K2037" s="36">
        <v>900</v>
      </c>
      <c r="L2037" s="34" t="s">
        <v>29</v>
      </c>
      <c r="M2037" s="39">
        <v>37419</v>
      </c>
      <c r="N2037" s="37">
        <f>(YEAR(TablaMadre[[#This Row],[ALTA]])-YEAR(M2037))</f>
        <v>23</v>
      </c>
      <c r="O2037" s="34" t="s">
        <v>558</v>
      </c>
      <c r="P2037" s="34" t="s">
        <v>19</v>
      </c>
      <c r="Q2037" s="34" t="s">
        <v>136</v>
      </c>
      <c r="R2037" s="34" t="s">
        <v>21</v>
      </c>
      <c r="S2037" s="34" t="s">
        <v>136</v>
      </c>
      <c r="T2037" s="34" t="s">
        <v>806</v>
      </c>
      <c r="U2037" s="34" t="s">
        <v>347</v>
      </c>
      <c r="V2037" s="34" t="s">
        <v>22</v>
      </c>
      <c r="W2037" s="34" t="s">
        <v>28</v>
      </c>
      <c r="X2037" s="38"/>
      <c r="Y2037" s="38"/>
      <c r="Z2037" s="38" t="e">
        <f t="shared" si="98"/>
        <v>#NUM!</v>
      </c>
      <c r="AA2037" s="38"/>
      <c r="AB2037" s="34">
        <v>10</v>
      </c>
      <c r="AC2037" s="34">
        <v>10</v>
      </c>
      <c r="AD2037" s="38"/>
      <c r="AE2037" s="59" t="str">
        <f t="shared" si="99"/>
        <v>SÍ</v>
      </c>
      <c r="AF2037" s="38" t="e" cm="1">
        <f t="array" aca="1" ref="AF2037" ca="1">MIN(100, MAX(0, (IF(R2037="ESTUDIANTE", 31, 0)) + (IF(I2037&lt;=3, 30, IF(I2037&lt;=6, 20, 0))) +(IF(OR(E2037="413 - Control de Costes y Enlace Construcción", E2037="480 - Secretaría General del Consejo", E2037="132 - Civil y estructuras", E2037="136 - Mecánica", E2037="412 - Planificación", E2037="142 - Compras"), 25, 0)) +(IF(OR(S2037="GRADO ING. MECÁNICA", S2037="GRADO ING. ELÉCTRICA", S2037="GRADO DERECHO", S2037="GRADO ECONOMÍA", S2037="GRADO ING. TECNOLOGÍAS INDUSTRIALES"), 24, 0)) + (IF(AND(K2037&gt;=451, K2037&lt;=700), 23, 0)) + (IF(AND(AB2037&gt;=5, AB2037&lt;=8), 17, 0)) +(IF(_xludf.OR(_xludf.AND(AC2037&gt;=8, AC2037&lt;=10), _xludf.AND(AC2037&gt;=0, AC2037&lt;=5)), 16, 0)) + (IF(F2037="Madrid", 11, 0))))</f>
        <v>#NAME?</v>
      </c>
      <c r="AG2037" s="68"/>
      <c r="AH2037" s="71" t="s">
        <v>164</v>
      </c>
    </row>
    <row r="2038" spans="1:34" s="4" customFormat="1" ht="15" customHeight="1" x14ac:dyDescent="0.3">
      <c r="A2038" s="66" t="s">
        <v>2874</v>
      </c>
      <c r="B2038" s="66" t="s">
        <v>4991</v>
      </c>
      <c r="C2038" s="33">
        <v>2037</v>
      </c>
      <c r="D2038" s="33" t="s">
        <v>5396</v>
      </c>
      <c r="E2038" s="34" t="s">
        <v>5380</v>
      </c>
      <c r="F2038" s="34" t="s">
        <v>18</v>
      </c>
      <c r="G2038" s="57">
        <v>45901</v>
      </c>
      <c r="H2038" s="57">
        <v>46081</v>
      </c>
      <c r="I2038" s="34">
        <f t="shared" si="97"/>
        <v>5</v>
      </c>
      <c r="J2038" s="34">
        <v>35</v>
      </c>
      <c r="K2038" s="36">
        <v>1200</v>
      </c>
      <c r="L2038" s="34" t="s">
        <v>29</v>
      </c>
      <c r="M2038" s="39">
        <v>36686</v>
      </c>
      <c r="N2038" s="37">
        <f>(YEAR(TablaMadre[[#This Row],[ALTA]])-YEAR(M2038))</f>
        <v>25</v>
      </c>
      <c r="O2038" s="34" t="s">
        <v>118</v>
      </c>
      <c r="P2038" s="34" t="s">
        <v>19</v>
      </c>
      <c r="Q2038" s="34" t="s">
        <v>322</v>
      </c>
      <c r="R2038" s="34" t="s">
        <v>21</v>
      </c>
      <c r="S2038" s="34" t="s">
        <v>322</v>
      </c>
      <c r="T2038" s="34" t="s">
        <v>823</v>
      </c>
      <c r="U2038" s="34" t="s">
        <v>30</v>
      </c>
      <c r="V2038" s="34" t="s">
        <v>22</v>
      </c>
      <c r="W2038" s="34" t="s">
        <v>28</v>
      </c>
      <c r="X2038" s="34"/>
      <c r="Y2038" s="34"/>
      <c r="Z2038" s="34" t="e">
        <f t="shared" si="98"/>
        <v>#NUM!</v>
      </c>
      <c r="AA2038" s="34"/>
      <c r="AB2038" s="34">
        <v>7</v>
      </c>
      <c r="AC2038" s="34">
        <v>10</v>
      </c>
      <c r="AD2038" s="34"/>
      <c r="AE2038" s="59" t="str">
        <f t="shared" si="99"/>
        <v>SÍ</v>
      </c>
      <c r="AF2038" s="34" t="e" cm="1">
        <f t="array" aca="1" ref="AF2038" ca="1">MIN(100, MAX(0, (IF(R2038="ESTUDIANTE", 31, 0)) + (IF(I2038&lt;=3, 30, IF(I2038&lt;=6, 20, 0))) +(IF(OR(E2038="413 - Control de Costes y Enlace Construcción", E2038="480 - Secretaría General del Consejo", E2038="132 - Civil y estructuras", E2038="136 - Mecánica", E2038="412 - Planificación", E2038="142 - Compras"), 25, 0)) +(IF(OR(S2038="GRADO ING. MECÁNICA", S2038="GRADO ING. ELÉCTRICA", S2038="GRADO DERECHO", S2038="GRADO ECONOMÍA", S2038="GRADO ING. TECNOLOGÍAS INDUSTRIALES"), 24, 0)) + (IF(AND(K2038&gt;=451, K2038&lt;=700), 23, 0)) + (IF(AND(AB2038&gt;=5, AB2038&lt;=8), 17, 0)) +(IF(_xludf.OR(_xludf.AND(AC2038&gt;=8, AC2038&lt;=10), _xludf.AND(AC2038&gt;=0, AC2038&lt;=5)), 16, 0)) + (IF(F2038="Madrid", 11, 0))))</f>
        <v>#NAME?</v>
      </c>
      <c r="AG2038" s="69"/>
      <c r="AH2038" s="71" t="s">
        <v>164</v>
      </c>
    </row>
    <row r="2039" spans="1:34" ht="15" customHeight="1" x14ac:dyDescent="0.3">
      <c r="A2039" s="66" t="s">
        <v>2875</v>
      </c>
      <c r="B2039" s="66" t="s">
        <v>4992</v>
      </c>
      <c r="C2039" s="33">
        <v>2038</v>
      </c>
      <c r="D2039" s="33" t="s">
        <v>5397</v>
      </c>
      <c r="E2039" s="34" t="s">
        <v>5278</v>
      </c>
      <c r="F2039" s="34" t="s">
        <v>18</v>
      </c>
      <c r="G2039" s="57">
        <v>45901</v>
      </c>
      <c r="H2039" s="57">
        <v>46081</v>
      </c>
      <c r="I2039" s="34">
        <f t="shared" si="97"/>
        <v>5</v>
      </c>
      <c r="J2039" s="34">
        <v>35</v>
      </c>
      <c r="K2039" s="36">
        <v>1200</v>
      </c>
      <c r="L2039" s="34" t="s">
        <v>17</v>
      </c>
      <c r="M2039" s="39">
        <v>37214</v>
      </c>
      <c r="N2039" s="37">
        <f>(YEAR(TablaMadre[[#This Row],[ALTA]])-YEAR(M2039))</f>
        <v>24</v>
      </c>
      <c r="O2039" s="34" t="s">
        <v>18</v>
      </c>
      <c r="P2039" s="34" t="s">
        <v>19</v>
      </c>
      <c r="Q2039" s="34" t="s">
        <v>902</v>
      </c>
      <c r="R2039" s="34" t="s">
        <v>21</v>
      </c>
      <c r="S2039" s="34" t="s">
        <v>291</v>
      </c>
      <c r="T2039" s="34" t="s">
        <v>903</v>
      </c>
      <c r="U2039" s="34" t="s">
        <v>30</v>
      </c>
      <c r="V2039" s="34" t="s">
        <v>572</v>
      </c>
      <c r="W2039" s="34" t="s">
        <v>28</v>
      </c>
      <c r="X2039" s="38"/>
      <c r="Y2039" s="38"/>
      <c r="Z2039" s="38" t="e">
        <f t="shared" si="98"/>
        <v>#NUM!</v>
      </c>
      <c r="AA2039" s="38"/>
      <c r="AB2039" s="34">
        <v>8</v>
      </c>
      <c r="AC2039" s="34">
        <v>9</v>
      </c>
      <c r="AD2039" s="38"/>
      <c r="AE2039" s="59" t="str">
        <f t="shared" si="99"/>
        <v>NO</v>
      </c>
      <c r="AF2039" s="38" t="e" cm="1">
        <f t="array" aca="1" ref="AF2039" ca="1">MIN(100, MAX(0, (IF(R2039="ESTUDIANTE", 31, 0)) + (IF(I2039&lt;=3, 30, IF(I2039&lt;=6, 20, 0))) +(IF(OR(E2039="413 - Control de Costes y Enlace Construcción", E2039="480 - Secretaría General del Consejo", E2039="132 - Civil y estructuras", E2039="136 - Mecánica", E2039="412 - Planificación", E2039="142 - Compras"), 25, 0)) +(IF(OR(S2039="GRADO ING. MECÁNICA", S2039="GRADO ING. ELÉCTRICA", S2039="GRADO DERECHO", S2039="GRADO ECONOMÍA", S2039="GRADO ING. TECNOLOGÍAS INDUSTRIALES"), 24, 0)) + (IF(AND(K2039&gt;=451, K2039&lt;=700), 23, 0)) + (IF(AND(AB2039&gt;=5, AB2039&lt;=8), 17, 0)) +(IF(_xludf.OR(_xludf.AND(AC2039&gt;=8, AC2039&lt;=10), _xludf.AND(AC2039&gt;=0, AC2039&lt;=5)), 16, 0)) + (IF(F2039="Madrid", 11, 0))))</f>
        <v>#NAME?</v>
      </c>
      <c r="AG2039" s="68"/>
      <c r="AH2039" s="71" t="s">
        <v>164</v>
      </c>
    </row>
    <row r="2040" spans="1:34" ht="15" customHeight="1" x14ac:dyDescent="0.3">
      <c r="A2040" s="66" t="s">
        <v>3018</v>
      </c>
      <c r="B2040" s="66" t="s">
        <v>5135</v>
      </c>
      <c r="C2040" s="33">
        <v>2039</v>
      </c>
      <c r="D2040" s="33" t="s">
        <v>5398</v>
      </c>
      <c r="E2040" s="34" t="s">
        <v>5319</v>
      </c>
      <c r="F2040" s="34" t="s">
        <v>18</v>
      </c>
      <c r="G2040" s="57">
        <v>45901</v>
      </c>
      <c r="H2040" s="57">
        <v>46265</v>
      </c>
      <c r="I2040" s="38">
        <f t="shared" si="97"/>
        <v>11</v>
      </c>
      <c r="J2040" s="40">
        <v>35</v>
      </c>
      <c r="K2040" s="44">
        <v>1200</v>
      </c>
      <c r="L2040" s="38" t="s">
        <v>29</v>
      </c>
      <c r="M2040" s="43">
        <v>37104</v>
      </c>
      <c r="N2040" s="37">
        <f>(YEAR(TablaMadre[[#This Row],[ALTA]])-YEAR(M2040))</f>
        <v>24</v>
      </c>
      <c r="O2040" s="34" t="s">
        <v>18</v>
      </c>
      <c r="P2040" s="38" t="s">
        <v>19</v>
      </c>
      <c r="Q2040" s="38" t="s">
        <v>297</v>
      </c>
      <c r="R2040" s="38" t="s">
        <v>21</v>
      </c>
      <c r="S2040" s="38" t="s">
        <v>297</v>
      </c>
      <c r="T2040" s="38" t="s">
        <v>820</v>
      </c>
      <c r="U2040" s="38" t="s">
        <v>30</v>
      </c>
      <c r="V2040" s="38" t="s">
        <v>22</v>
      </c>
      <c r="W2040" s="38" t="s">
        <v>886</v>
      </c>
      <c r="X2040" s="38"/>
      <c r="Y2040" s="38"/>
      <c r="Z2040" s="62" t="e">
        <f t="shared" si="98"/>
        <v>#NUM!</v>
      </c>
      <c r="AA2040" s="62"/>
      <c r="AB2040" s="38">
        <v>8</v>
      </c>
      <c r="AC2040" s="38">
        <v>9</v>
      </c>
      <c r="AD2040" s="38"/>
      <c r="AE2040" s="59" t="str">
        <f t="shared" si="99"/>
        <v>NO</v>
      </c>
      <c r="AF2040" s="38" t="e" cm="1">
        <f t="array" aca="1" ref="AF2040" ca="1">MIN(100, MAX(0, (IF(R2040="ESTUDIANTE", 31, 0)) + (IF(I2040&lt;=3, 30, IF(I2040&lt;=6, 20, 0))) +(IF(OR(E2040="413 - Control de Costes y Enlace Construcción", E2040="480 - Secretaría General del Consejo", E2040="132 - Civil y estructuras", E2040="136 - Mecánica", E2040="412 - Planificación", E2040="142 - Compras"), 25, 0)) +(IF(OR(S2040="GRADO ING. MECÁNICA", S2040="GRADO ING. ELÉCTRICA", S2040="GRADO DERECHO", S2040="GRADO ECONOMÍA", S2040="GRADO ING. TECNOLOGÍAS INDUSTRIALES"), 24, 0)) + (IF(AND(K2040&gt;=451, K2040&lt;=700), 23, 0)) + (IF(AND(AB2040&gt;=5, AB2040&lt;=8), 17, 0)) +(IF(_xludf.OR(_xludf.AND(AC2040&gt;=8, AC2040&lt;=10), _xludf.AND(AC2040&gt;=0, AC2040&lt;=5)), 16, 0)) + (IF(F2040="Madrid", 11, 0))))</f>
        <v>#NAME?</v>
      </c>
      <c r="AG2040" s="68"/>
      <c r="AH2040" s="71" t="s">
        <v>164</v>
      </c>
    </row>
    <row r="2041" spans="1:34" ht="15" customHeight="1" x14ac:dyDescent="0.3">
      <c r="A2041" s="66" t="s">
        <v>3019</v>
      </c>
      <c r="B2041" s="66" t="s">
        <v>5136</v>
      </c>
      <c r="C2041" s="33">
        <v>2040</v>
      </c>
      <c r="D2041" s="33" t="s">
        <v>5399</v>
      </c>
      <c r="E2041" s="34" t="s">
        <v>5319</v>
      </c>
      <c r="F2041" s="34" t="s">
        <v>18</v>
      </c>
      <c r="G2041" s="57">
        <v>45901</v>
      </c>
      <c r="H2041" s="57">
        <v>46265</v>
      </c>
      <c r="I2041" s="38">
        <f t="shared" si="97"/>
        <v>11</v>
      </c>
      <c r="J2041" s="40">
        <v>35</v>
      </c>
      <c r="K2041" s="44">
        <v>1200</v>
      </c>
      <c r="L2041" s="38" t="s">
        <v>29</v>
      </c>
      <c r="M2041" s="43">
        <v>37022</v>
      </c>
      <c r="N2041" s="37">
        <f>(YEAR(TablaMadre[[#This Row],[ALTA]])-YEAR(M2041))</f>
        <v>24</v>
      </c>
      <c r="O2041" s="34" t="s">
        <v>18</v>
      </c>
      <c r="P2041" s="38" t="s">
        <v>19</v>
      </c>
      <c r="Q2041" s="38" t="s">
        <v>297</v>
      </c>
      <c r="R2041" s="38" t="s">
        <v>21</v>
      </c>
      <c r="S2041" s="38" t="s">
        <v>297</v>
      </c>
      <c r="T2041" s="38" t="s">
        <v>820</v>
      </c>
      <c r="U2041" s="38" t="s">
        <v>30</v>
      </c>
      <c r="V2041" s="38" t="s">
        <v>56</v>
      </c>
      <c r="W2041" s="38" t="s">
        <v>886</v>
      </c>
      <c r="X2041" s="38"/>
      <c r="Y2041" s="38"/>
      <c r="Z2041" s="62" t="e">
        <f t="shared" si="98"/>
        <v>#NUM!</v>
      </c>
      <c r="AA2041" s="62"/>
      <c r="AB2041" s="38">
        <v>9</v>
      </c>
      <c r="AC2041" s="38">
        <v>10</v>
      </c>
      <c r="AD2041" s="38"/>
      <c r="AE2041" s="59" t="str">
        <f t="shared" si="99"/>
        <v>NO</v>
      </c>
      <c r="AF2041" s="38" t="e" cm="1">
        <f t="array" aca="1" ref="AF2041" ca="1">MIN(100, MAX(0, (IF(R2041="ESTUDIANTE", 31, 0)) + (IF(I2041&lt;=3, 30, IF(I2041&lt;=6, 20, 0))) +(IF(OR(E2041="413 - Control de Costes y Enlace Construcción", E2041="480 - Secretaría General del Consejo", E2041="132 - Civil y estructuras", E2041="136 - Mecánica", E2041="412 - Planificación", E2041="142 - Compras"), 25, 0)) +(IF(OR(S2041="GRADO ING. MECÁNICA", S2041="GRADO ING. ELÉCTRICA", S2041="GRADO DERECHO", S2041="GRADO ECONOMÍA", S2041="GRADO ING. TECNOLOGÍAS INDUSTRIALES"), 24, 0)) + (IF(AND(K2041&gt;=451, K2041&lt;=700), 23, 0)) + (IF(AND(AB2041&gt;=5, AB2041&lt;=8), 17, 0)) +(IF(_xludf.OR(_xludf.AND(AC2041&gt;=8, AC2041&lt;=10), _xludf.AND(AC2041&gt;=0, AC2041&lt;=5)), 16, 0)) + (IF(F2041="Madrid", 11, 0))))</f>
        <v>#NAME?</v>
      </c>
      <c r="AG2041" s="68"/>
      <c r="AH2041" s="71" t="s">
        <v>164</v>
      </c>
    </row>
    <row r="2042" spans="1:34" ht="15" customHeight="1" x14ac:dyDescent="0.3">
      <c r="A2042" s="66" t="s">
        <v>3020</v>
      </c>
      <c r="B2042" s="66" t="s">
        <v>5137</v>
      </c>
      <c r="C2042" s="33">
        <v>2041</v>
      </c>
      <c r="D2042" s="33" t="s">
        <v>5400</v>
      </c>
      <c r="E2042" s="34" t="s">
        <v>5222</v>
      </c>
      <c r="F2042" s="34" t="s">
        <v>18</v>
      </c>
      <c r="G2042" s="57">
        <v>45902</v>
      </c>
      <c r="H2042" s="57">
        <v>46265</v>
      </c>
      <c r="I2042" s="40">
        <f t="shared" si="97"/>
        <v>11</v>
      </c>
      <c r="J2042" s="40">
        <v>40</v>
      </c>
      <c r="K2042" s="45">
        <v>600</v>
      </c>
      <c r="L2042" s="38" t="s">
        <v>17</v>
      </c>
      <c r="M2042" s="43">
        <v>37257</v>
      </c>
      <c r="N2042" s="37">
        <f>(YEAR(TablaMadre[[#This Row],[ALTA]])-YEAR(M2042))</f>
        <v>23</v>
      </c>
      <c r="O2042" s="34" t="s">
        <v>138</v>
      </c>
      <c r="P2042" s="38" t="s">
        <v>138</v>
      </c>
      <c r="Q2042" s="38" t="s">
        <v>295</v>
      </c>
      <c r="R2042" s="38" t="s">
        <v>30</v>
      </c>
      <c r="S2042" s="34" t="s">
        <v>296</v>
      </c>
      <c r="T2042" s="38" t="s">
        <v>806</v>
      </c>
      <c r="U2042" s="38" t="s">
        <v>347</v>
      </c>
      <c r="V2042" s="38" t="s">
        <v>90</v>
      </c>
      <c r="W2042" s="38" t="s">
        <v>886</v>
      </c>
      <c r="X2042" s="38"/>
      <c r="Y2042" s="38"/>
      <c r="Z2042" s="62" t="e">
        <f t="shared" si="98"/>
        <v>#NUM!</v>
      </c>
      <c r="AA2042" s="62"/>
      <c r="AB2042" s="34">
        <v>9</v>
      </c>
      <c r="AC2042" s="34">
        <v>6</v>
      </c>
      <c r="AD2042" s="38"/>
      <c r="AE2042" s="59" t="str">
        <f t="shared" si="99"/>
        <v>SÍ</v>
      </c>
      <c r="AF2042" s="38" t="e" cm="1">
        <f t="array" aca="1" ref="AF2042" ca="1">MIN(100, MAX(0, (IF(R2042="ESTUDIANTE", 31, 0)) + (IF(I2042&lt;=3, 30, IF(I2042&lt;=6, 20, 0))) +(IF(OR(E2042="413 - Control de Costes y Enlace Construcción", E2042="480 - Secretaría General del Consejo", E2042="132 - Civil y estructuras", E2042="136 - Mecánica", E2042="412 - Planificación", E2042="142 - Compras"), 25, 0)) +(IF(OR(S2042="GRADO ING. MECÁNICA", S2042="GRADO ING. ELÉCTRICA", S2042="GRADO DERECHO", S2042="GRADO ECONOMÍA", S2042="GRADO ING. TECNOLOGÍAS INDUSTRIALES"), 24, 0)) + (IF(AND(K2042&gt;=451, K2042&lt;=700), 23, 0)) + (IF(AND(AB2042&gt;=5, AB2042&lt;=8), 17, 0)) +(IF(_xludf.OR(_xludf.AND(AC2042&gt;=8, AC2042&lt;=10), _xludf.AND(AC2042&gt;=0, AC2042&lt;=5)), 16, 0)) + (IF(F2042="Madrid", 11, 0))))</f>
        <v>#NAME?</v>
      </c>
      <c r="AG2042" s="68"/>
      <c r="AH2042" s="71" t="s">
        <v>164</v>
      </c>
    </row>
    <row r="2043" spans="1:34" ht="15" customHeight="1" x14ac:dyDescent="0.3">
      <c r="A2043" s="66" t="s">
        <v>3021</v>
      </c>
      <c r="B2043" s="66" t="s">
        <v>5138</v>
      </c>
      <c r="C2043" s="33">
        <v>2042</v>
      </c>
      <c r="D2043" s="33" t="s">
        <v>5401</v>
      </c>
      <c r="E2043" s="34" t="s">
        <v>5285</v>
      </c>
      <c r="F2043" s="34" t="s">
        <v>18</v>
      </c>
      <c r="G2043" s="57">
        <v>45902</v>
      </c>
      <c r="H2043" s="57">
        <v>46265</v>
      </c>
      <c r="I2043" s="38">
        <f t="shared" si="97"/>
        <v>11</v>
      </c>
      <c r="J2043" s="38">
        <v>40</v>
      </c>
      <c r="K2043" s="44">
        <v>1200</v>
      </c>
      <c r="L2043" s="38" t="s">
        <v>17</v>
      </c>
      <c r="M2043" s="43">
        <v>35992</v>
      </c>
      <c r="N2043" s="37">
        <f>(YEAR(TablaMadre[[#This Row],[ALTA]])-YEAR(M2043))</f>
        <v>27</v>
      </c>
      <c r="O2043" s="34" t="s">
        <v>152</v>
      </c>
      <c r="P2043" s="38" t="s">
        <v>152</v>
      </c>
      <c r="Q2043" s="38" t="s">
        <v>151</v>
      </c>
      <c r="R2043" s="38" t="s">
        <v>21</v>
      </c>
      <c r="S2043" s="38" t="s">
        <v>151</v>
      </c>
      <c r="T2043" s="38" t="s">
        <v>888</v>
      </c>
      <c r="U2043" s="38" t="s">
        <v>30</v>
      </c>
      <c r="V2043" s="38" t="s">
        <v>90</v>
      </c>
      <c r="W2043" s="38" t="s">
        <v>886</v>
      </c>
      <c r="X2043" s="38"/>
      <c r="Y2043" s="38"/>
      <c r="Z2043" s="62" t="e">
        <f t="shared" si="98"/>
        <v>#NUM!</v>
      </c>
      <c r="AA2043" s="62"/>
      <c r="AB2043" s="38">
        <v>10</v>
      </c>
      <c r="AC2043" s="38">
        <v>10</v>
      </c>
      <c r="AD2043" s="38"/>
      <c r="AE2043" s="59" t="str">
        <f t="shared" si="99"/>
        <v>SÍ</v>
      </c>
      <c r="AF2043" s="38" t="e" cm="1">
        <f t="array" aca="1" ref="AF2043" ca="1">MIN(100, MAX(0, (IF(R2043="ESTUDIANTE", 31, 0)) + (IF(I2043&lt;=3, 30, IF(I2043&lt;=6, 20, 0))) +(IF(OR(E2043="413 - Control de Costes y Enlace Construcción", E2043="480 - Secretaría General del Consejo", E2043="132 - Civil y estructuras", E2043="136 - Mecánica", E2043="412 - Planificación", E2043="142 - Compras"), 25, 0)) +(IF(OR(S2043="GRADO ING. MECÁNICA", S2043="GRADO ING. ELÉCTRICA", S2043="GRADO DERECHO", S2043="GRADO ECONOMÍA", S2043="GRADO ING. TECNOLOGÍAS INDUSTRIALES"), 24, 0)) + (IF(AND(K2043&gt;=451, K2043&lt;=700), 23, 0)) + (IF(AND(AB2043&gt;=5, AB2043&lt;=8), 17, 0)) +(IF(_xludf.OR(_xludf.AND(AC2043&gt;=8, AC2043&lt;=10), _xludf.AND(AC2043&gt;=0, AC2043&lt;=5)), 16, 0)) + (IF(F2043="Madrid", 11, 0))))</f>
        <v>#NAME?</v>
      </c>
      <c r="AG2043" s="68"/>
      <c r="AH2043" s="71" t="s">
        <v>164</v>
      </c>
    </row>
    <row r="2044" spans="1:34" ht="15" customHeight="1" x14ac:dyDescent="0.3">
      <c r="A2044" s="66" t="s">
        <v>2881</v>
      </c>
      <c r="B2044" s="66" t="s">
        <v>4998</v>
      </c>
      <c r="C2044" s="33">
        <v>2049</v>
      </c>
      <c r="D2044" s="33" t="s">
        <v>5402</v>
      </c>
      <c r="E2044" s="34" t="s">
        <v>5339</v>
      </c>
      <c r="F2044" s="34" t="s">
        <v>18</v>
      </c>
      <c r="G2044" s="57">
        <v>45908</v>
      </c>
      <c r="H2044" s="57">
        <v>46088</v>
      </c>
      <c r="I2044" s="34">
        <f t="shared" si="97"/>
        <v>5</v>
      </c>
      <c r="J2044" s="34">
        <v>30</v>
      </c>
      <c r="K2044" s="36">
        <v>750</v>
      </c>
      <c r="L2044" s="34" t="s">
        <v>17</v>
      </c>
      <c r="M2044" s="39">
        <v>37475</v>
      </c>
      <c r="N2044" s="37">
        <f>(YEAR(TablaMadre[[#This Row],[ALTA]])-YEAR(M2044))</f>
        <v>23</v>
      </c>
      <c r="O2044" s="34" t="s">
        <v>18</v>
      </c>
      <c r="P2044" s="34" t="s">
        <v>19</v>
      </c>
      <c r="Q2044" s="34" t="s">
        <v>215</v>
      </c>
      <c r="R2044" s="34" t="s">
        <v>21</v>
      </c>
      <c r="S2044" s="34" t="s">
        <v>322</v>
      </c>
      <c r="T2044" s="34" t="s">
        <v>823</v>
      </c>
      <c r="U2044" s="34" t="s">
        <v>30</v>
      </c>
      <c r="V2044" s="34" t="s">
        <v>67</v>
      </c>
      <c r="W2044" s="34" t="s">
        <v>28</v>
      </c>
      <c r="X2044" s="38"/>
      <c r="Y2044" s="38"/>
      <c r="Z2044" s="38" t="e">
        <f t="shared" si="98"/>
        <v>#NUM!</v>
      </c>
      <c r="AA2044" s="38"/>
      <c r="AB2044" s="41">
        <v>7</v>
      </c>
      <c r="AC2044" s="41">
        <v>9</v>
      </c>
      <c r="AD2044" s="38"/>
      <c r="AE2044" s="59" t="str">
        <f t="shared" si="99"/>
        <v>NO</v>
      </c>
      <c r="AF2044" s="38" t="e" cm="1">
        <f t="array" aca="1" ref="AF2044" ca="1">MIN(100, MAX(0, (IF(R2044="ESTUDIANTE", 31, 0)) + (IF(I2044&lt;=3, 30, IF(I2044&lt;=6, 20, 0))) +(IF(OR(E2044="413 - Control de Costes y Enlace Construcción", E2044="480 - Secretaría General del Consejo", E2044="132 - Civil y estructuras", E2044="136 - Mecánica", E2044="412 - Planificación", E2044="142 - Compras"), 25, 0)) +(IF(OR(S2044="GRADO ING. MECÁNICA", S2044="GRADO ING. ELÉCTRICA", S2044="GRADO DERECHO", S2044="GRADO ECONOMÍA", S2044="GRADO ING. TECNOLOGÍAS INDUSTRIALES"), 24, 0)) + (IF(AND(K2044&gt;=451, K2044&lt;=700), 23, 0)) + (IF(AND(AB2044&gt;=5, AB2044&lt;=8), 17, 0)) +(IF(_xludf.OR(_xludf.AND(AC2044&gt;=8, AC2044&lt;=10), _xludf.AND(AC2044&gt;=0, AC2044&lt;=5)), 16, 0)) + (IF(F2044="Madrid", 11, 0))))</f>
        <v>#NAME?</v>
      </c>
      <c r="AG2044" s="68"/>
      <c r="AH2044" s="71" t="s">
        <v>164</v>
      </c>
    </row>
    <row r="2045" spans="1:34" ht="15" customHeight="1" x14ac:dyDescent="0.3">
      <c r="A2045" s="66" t="s">
        <v>2884</v>
      </c>
      <c r="B2045" s="66" t="s">
        <v>5001</v>
      </c>
      <c r="C2045" s="33">
        <v>2050</v>
      </c>
      <c r="D2045" s="33" t="s">
        <v>5393</v>
      </c>
      <c r="E2045" s="34" t="s">
        <v>5366</v>
      </c>
      <c r="F2045" s="34" t="s">
        <v>118</v>
      </c>
      <c r="G2045" s="57">
        <v>45908</v>
      </c>
      <c r="H2045" s="57">
        <v>46088</v>
      </c>
      <c r="I2045" s="34">
        <f t="shared" si="97"/>
        <v>5</v>
      </c>
      <c r="J2045" s="34">
        <v>35</v>
      </c>
      <c r="K2045" s="36">
        <v>1200</v>
      </c>
      <c r="L2045" s="34" t="s">
        <v>17</v>
      </c>
      <c r="M2045" s="39">
        <v>37035</v>
      </c>
      <c r="N2045" s="37">
        <f>(YEAR(TablaMadre[[#This Row],[ALTA]])-YEAR(M2045))</f>
        <v>24</v>
      </c>
      <c r="O2045" s="34" t="s">
        <v>118</v>
      </c>
      <c r="P2045" s="34" t="s">
        <v>19</v>
      </c>
      <c r="Q2045" s="34" t="s">
        <v>668</v>
      </c>
      <c r="R2045" s="34" t="s">
        <v>21</v>
      </c>
      <c r="S2045" s="34" t="s">
        <v>297</v>
      </c>
      <c r="T2045" s="34" t="s">
        <v>823</v>
      </c>
      <c r="U2045" s="34" t="s">
        <v>21</v>
      </c>
      <c r="V2045" s="34" t="s">
        <v>37</v>
      </c>
      <c r="W2045" s="34" t="s">
        <v>28</v>
      </c>
      <c r="X2045" s="38"/>
      <c r="Y2045" s="38"/>
      <c r="Z2045" s="38" t="e">
        <f t="shared" si="98"/>
        <v>#NUM!</v>
      </c>
      <c r="AA2045" s="38"/>
      <c r="AB2045" s="34">
        <v>7</v>
      </c>
      <c r="AC2045" s="34">
        <v>10</v>
      </c>
      <c r="AD2045" s="38"/>
      <c r="AE2045" s="59" t="str">
        <f t="shared" si="99"/>
        <v>NO</v>
      </c>
      <c r="AF2045" s="38" t="e" cm="1">
        <f t="array" aca="1" ref="AF2045" ca="1">MIN(100, MAX(0, (IF(R2045="ESTUDIANTE", 31, 0)) + (IF(I2045&lt;=3, 30, IF(I2045&lt;=6, 20, 0))) +(IF(OR(E2045="413 - Control de Costes y Enlace Construcción", E2045="480 - Secretaría General del Consejo", E2045="132 - Civil y estructuras", E2045="136 - Mecánica", E2045="412 - Planificación", E2045="142 - Compras"), 25, 0)) +(IF(OR(S2045="GRADO ING. MECÁNICA", S2045="GRADO ING. ELÉCTRICA", S2045="GRADO DERECHO", S2045="GRADO ECONOMÍA", S2045="GRADO ING. TECNOLOGÍAS INDUSTRIALES"), 24, 0)) + (IF(AND(K2045&gt;=451, K2045&lt;=700), 23, 0)) + (IF(AND(AB2045&gt;=5, AB2045&lt;=8), 17, 0)) +(IF(_xludf.OR(_xludf.AND(AC2045&gt;=8, AC2045&lt;=10), _xludf.AND(AC2045&gt;=0, AC2045&lt;=5)), 16, 0)) + (IF(F2045="Madrid", 11, 0))))</f>
        <v>#NAME?</v>
      </c>
      <c r="AG2045" s="68"/>
      <c r="AH2045" s="71" t="s">
        <v>164</v>
      </c>
    </row>
    <row r="2046" spans="1:34" s="9" customFormat="1" ht="15" customHeight="1" x14ac:dyDescent="0.3">
      <c r="A2046" s="66" t="s">
        <v>2894</v>
      </c>
      <c r="B2046" s="66" t="s">
        <v>5011</v>
      </c>
      <c r="C2046" s="33">
        <v>2044</v>
      </c>
      <c r="D2046" s="33" t="s">
        <v>5394</v>
      </c>
      <c r="E2046" s="34" t="s">
        <v>5233</v>
      </c>
      <c r="F2046" s="34" t="s">
        <v>18</v>
      </c>
      <c r="G2046" s="57">
        <v>45908</v>
      </c>
      <c r="H2046" s="57">
        <v>46080</v>
      </c>
      <c r="I2046" s="34">
        <f t="shared" si="97"/>
        <v>5</v>
      </c>
      <c r="J2046" s="34">
        <v>35</v>
      </c>
      <c r="K2046" s="36">
        <v>1000</v>
      </c>
      <c r="L2046" s="34" t="s">
        <v>29</v>
      </c>
      <c r="M2046" s="39">
        <v>37592</v>
      </c>
      <c r="N2046" s="37">
        <f>(YEAR(TablaMadre[[#This Row],[ALTA]])-YEAR(M2046))</f>
        <v>23</v>
      </c>
      <c r="O2046" s="34" t="s">
        <v>265</v>
      </c>
      <c r="P2046" s="34" t="s">
        <v>265</v>
      </c>
      <c r="Q2046" s="34" t="s">
        <v>899</v>
      </c>
      <c r="R2046" s="34" t="s">
        <v>21</v>
      </c>
      <c r="S2046" s="34" t="s">
        <v>899</v>
      </c>
      <c r="T2046" s="34" t="s">
        <v>900</v>
      </c>
      <c r="U2046" s="34" t="s">
        <v>30</v>
      </c>
      <c r="V2046" s="34" t="s">
        <v>90</v>
      </c>
      <c r="W2046" s="34" t="s">
        <v>28</v>
      </c>
      <c r="X2046" s="38"/>
      <c r="Y2046" s="38"/>
      <c r="Z2046" s="38" t="e">
        <f t="shared" si="98"/>
        <v>#NUM!</v>
      </c>
      <c r="AA2046" s="38"/>
      <c r="AB2046" s="41">
        <v>7</v>
      </c>
      <c r="AC2046" s="41">
        <v>9</v>
      </c>
      <c r="AD2046" s="38"/>
      <c r="AE2046" s="59" t="str">
        <f t="shared" si="99"/>
        <v>SÍ</v>
      </c>
      <c r="AF2046" s="40" t="e" cm="1">
        <f t="array" aca="1" ref="AF2046" ca="1">MIN(100, MAX(0, (IF(R2046="ESTUDIANTE", 31, 0)) + (IF(I2046&lt;=3, 30, IF(I2046&lt;=6, 20, 0))) +(IF(OR(E2046="413 - Control de Costes y Enlace Construcción", E2046="480 - Secretaría General del Consejo", E2046="132 - Civil y estructuras", E2046="136 - Mecánica", E2046="412 - Planificación", E2046="142 - Compras"), 25, 0)) +(IF(OR(S2046="GRADO ING. MECÁNICA", S2046="GRADO ING. ELÉCTRICA", S2046="GRADO DERECHO", S2046="GRADO ECONOMÍA", S2046="GRADO ING. TECNOLOGÍAS INDUSTRIALES"), 24, 0)) + (IF(AND(K2046&gt;=451, K2046&lt;=700), 23, 0)) + (IF(AND(AB2046&gt;=5, AB2046&lt;=8), 17, 0)) +(IF(_xludf.OR(_xludf.AND(AC2046&gt;=8, AC2046&lt;=10), _xludf.AND(AC2046&gt;=0, AC2046&lt;=5)), 16, 0)) + (IF(F2046="Madrid", 11, 0))))</f>
        <v>#NAME?</v>
      </c>
      <c r="AG2046" s="70"/>
      <c r="AH2046" s="71" t="s">
        <v>164</v>
      </c>
    </row>
    <row r="2047" spans="1:34" s="9" customFormat="1" ht="15" customHeight="1" x14ac:dyDescent="0.3">
      <c r="A2047" s="66" t="s">
        <v>2901</v>
      </c>
      <c r="B2047" s="66" t="s">
        <v>5018</v>
      </c>
      <c r="C2047" s="33">
        <v>2045</v>
      </c>
      <c r="D2047" s="33" t="s">
        <v>5403</v>
      </c>
      <c r="E2047" s="34" t="s">
        <v>5354</v>
      </c>
      <c r="F2047" s="34" t="s">
        <v>558</v>
      </c>
      <c r="G2047" s="57">
        <v>45908</v>
      </c>
      <c r="H2047" s="57">
        <v>46088</v>
      </c>
      <c r="I2047" s="34">
        <f t="shared" si="97"/>
        <v>5</v>
      </c>
      <c r="J2047" s="34">
        <v>35</v>
      </c>
      <c r="K2047" s="36">
        <v>725</v>
      </c>
      <c r="L2047" s="34" t="s">
        <v>17</v>
      </c>
      <c r="M2047" s="39">
        <v>38135</v>
      </c>
      <c r="N2047" s="37">
        <f>(YEAR(TablaMadre[[#This Row],[ALTA]])-YEAR(M2047))</f>
        <v>21</v>
      </c>
      <c r="O2047" s="34" t="s">
        <v>558</v>
      </c>
      <c r="P2047" s="34" t="s">
        <v>19</v>
      </c>
      <c r="Q2047" s="34" t="s">
        <v>359</v>
      </c>
      <c r="R2047" s="34" t="s">
        <v>21</v>
      </c>
      <c r="S2047" s="34" t="s">
        <v>26</v>
      </c>
      <c r="T2047" s="34" t="s">
        <v>806</v>
      </c>
      <c r="U2047" s="34" t="str">
        <f>SUBSTITUTE($T2047, "INGUN", "/")</f>
        <v>N/A</v>
      </c>
      <c r="V2047" s="34" t="s">
        <v>27</v>
      </c>
      <c r="W2047" s="34" t="s">
        <v>23</v>
      </c>
      <c r="X2047" s="40"/>
      <c r="Y2047" s="40"/>
      <c r="Z2047" s="63" t="e">
        <f t="shared" si="98"/>
        <v>#NUM!</v>
      </c>
      <c r="AA2047" s="63"/>
      <c r="AB2047" s="41">
        <v>10</v>
      </c>
      <c r="AC2047" s="41">
        <v>8</v>
      </c>
      <c r="AD2047" s="40"/>
      <c r="AE2047" s="59" t="str">
        <f t="shared" si="99"/>
        <v>NO</v>
      </c>
      <c r="AF2047" s="40" t="e" cm="1">
        <f t="array" aca="1" ref="AF2047" ca="1">MIN(100, MAX(0, (IF(R2047="ESTUDIANTE", 31, 0)) + (IF(I2047&lt;=3, 30, IF(I2047&lt;=6, 20, 0))) +(IF(OR(E2047="413 - Control de Costes y Enlace Construcción", E2047="480 - Secretaría General del Consejo", E2047="132 - Civil y estructuras", E2047="136 - Mecánica", E2047="412 - Planificación", E2047="142 - Compras"), 25, 0)) +(IF(OR(S2047="GRADO ING. MECÁNICA", S2047="GRADO ING. ELÉCTRICA", S2047="GRADO DERECHO", S2047="GRADO ECONOMÍA", S2047="GRADO ING. TECNOLOGÍAS INDUSTRIALES"), 24, 0)) + (IF(AND(K2047&gt;=451, K2047&lt;=700), 23, 0)) + (IF(AND(AB2047&gt;=5, AB2047&lt;=8), 17, 0)) +(IF(_xludf.OR(_xludf.AND(AC2047&gt;=8, AC2047&lt;=10), _xludf.AND(AC2047&gt;=0, AC2047&lt;=5)), 16, 0)) + (IF(F2047="Madrid", 11, 0))))</f>
        <v>#NAME?</v>
      </c>
      <c r="AG2047" s="70"/>
      <c r="AH2047" s="71" t="s">
        <v>164</v>
      </c>
    </row>
    <row r="2048" spans="1:34" ht="15" customHeight="1" x14ac:dyDescent="0.3">
      <c r="A2048" s="66" t="s">
        <v>2912</v>
      </c>
      <c r="B2048" s="66" t="s">
        <v>5029</v>
      </c>
      <c r="C2048" s="33">
        <v>2043</v>
      </c>
      <c r="D2048" s="33" t="s">
        <v>5404</v>
      </c>
      <c r="E2048" s="34" t="s">
        <v>5335</v>
      </c>
      <c r="F2048" s="34" t="s">
        <v>18</v>
      </c>
      <c r="G2048" s="57">
        <v>45908</v>
      </c>
      <c r="H2048" s="57">
        <v>46053</v>
      </c>
      <c r="I2048" s="34">
        <f t="shared" si="97"/>
        <v>4</v>
      </c>
      <c r="J2048" s="34">
        <v>35</v>
      </c>
      <c r="K2048" s="36">
        <v>700</v>
      </c>
      <c r="L2048" s="34" t="s">
        <v>29</v>
      </c>
      <c r="M2048" s="39">
        <v>37936</v>
      </c>
      <c r="N2048" s="37">
        <f>(YEAR(TablaMadre[[#This Row],[ALTA]])-YEAR(M2048))</f>
        <v>22</v>
      </c>
      <c r="O2048" s="34" t="s">
        <v>803</v>
      </c>
      <c r="P2048" s="34" t="s">
        <v>803</v>
      </c>
      <c r="Q2048" s="34" t="s">
        <v>891</v>
      </c>
      <c r="R2048" s="34" t="s">
        <v>30</v>
      </c>
      <c r="S2048" s="34" t="s">
        <v>151</v>
      </c>
      <c r="T2048" s="34" t="s">
        <v>806</v>
      </c>
      <c r="U2048" s="34" t="s">
        <v>347</v>
      </c>
      <c r="V2048" s="34" t="s">
        <v>90</v>
      </c>
      <c r="W2048" s="34" t="s">
        <v>23</v>
      </c>
      <c r="X2048" s="38"/>
      <c r="Y2048" s="38"/>
      <c r="Z2048" s="62" t="e">
        <f t="shared" si="98"/>
        <v>#NUM!</v>
      </c>
      <c r="AA2048" s="62"/>
      <c r="AB2048" s="34"/>
      <c r="AC2048" s="34"/>
      <c r="AD2048" s="38"/>
      <c r="AE2048" s="59" t="str">
        <f t="shared" si="99"/>
        <v>SÍ</v>
      </c>
      <c r="AF2048" s="38" t="e" cm="1">
        <f t="array" aca="1" ref="AF2048" ca="1">MIN(100, MAX(0, (IF(R2048="ESTUDIANTE", 31, 0)) + (IF(I2048&lt;=3, 30, IF(I2048&lt;=6, 20, 0))) +(IF(OR(E2048="413 - Control de Costes y Enlace Construcción", E2048="480 - Secretaría General del Consejo", E2048="132 - Civil y estructuras", E2048="136 - Mecánica", E2048="412 - Planificación", E2048="142 - Compras"), 25, 0)) +(IF(OR(S2048="GRADO ING. MECÁNICA", S2048="GRADO ING. ELÉCTRICA", S2048="GRADO DERECHO", S2048="GRADO ECONOMÍA", S2048="GRADO ING. TECNOLOGÍAS INDUSTRIALES"), 24, 0)) + (IF(AND(K2048&gt;=451, K2048&lt;=700), 23, 0)) + (IF(AND(AB2048&gt;=5, AB2048&lt;=8), 17, 0)) +(IF(_xludf.OR(_xludf.AND(AC2048&gt;=8, AC2048&lt;=10), _xludf.AND(AC2048&gt;=0, AC2048&lt;=5)), 16, 0)) + (IF(F2048="Madrid", 11, 0))))</f>
        <v>#NAME?</v>
      </c>
      <c r="AG2048" s="68"/>
      <c r="AH2048" s="71" t="s">
        <v>164</v>
      </c>
    </row>
    <row r="2049" spans="1:34" s="4" customFormat="1" ht="15" customHeight="1" x14ac:dyDescent="0.3">
      <c r="A2049" s="66" t="s">
        <v>3025</v>
      </c>
      <c r="B2049" s="66" t="s">
        <v>5142</v>
      </c>
      <c r="C2049" s="33">
        <v>2046</v>
      </c>
      <c r="D2049" s="33" t="s">
        <v>5405</v>
      </c>
      <c r="E2049" s="34" t="s">
        <v>5216</v>
      </c>
      <c r="F2049" s="34" t="s">
        <v>18</v>
      </c>
      <c r="G2049" s="57">
        <v>45908</v>
      </c>
      <c r="H2049" s="57">
        <v>46171</v>
      </c>
      <c r="I2049" s="38">
        <f t="shared" si="97"/>
        <v>8</v>
      </c>
      <c r="J2049" s="40">
        <v>30</v>
      </c>
      <c r="K2049" s="44">
        <v>375</v>
      </c>
      <c r="L2049" s="38" t="s">
        <v>29</v>
      </c>
      <c r="M2049" s="43">
        <v>38739</v>
      </c>
      <c r="N2049" s="37">
        <f>(YEAR(TablaMadre[[#This Row],[ALTA]])-YEAR(M2049))</f>
        <v>19</v>
      </c>
      <c r="O2049" s="34" t="s">
        <v>18</v>
      </c>
      <c r="P2049" s="38" t="s">
        <v>19</v>
      </c>
      <c r="Q2049" s="38" t="s">
        <v>675</v>
      </c>
      <c r="R2049" s="38" t="s">
        <v>30</v>
      </c>
      <c r="S2049" s="38" t="s">
        <v>26</v>
      </c>
      <c r="T2049" s="38" t="s">
        <v>806</v>
      </c>
      <c r="U2049" s="34" t="str">
        <f>SUBSTITUTE($T2049, "INGUN", "/")</f>
        <v>N/A</v>
      </c>
      <c r="V2049" s="38" t="s">
        <v>27</v>
      </c>
      <c r="W2049" s="38" t="s">
        <v>886</v>
      </c>
      <c r="X2049" s="40"/>
      <c r="Y2049" s="40"/>
      <c r="Z2049" s="63" t="e">
        <f t="shared" si="98"/>
        <v>#NUM!</v>
      </c>
      <c r="AA2049" s="63"/>
      <c r="AB2049" s="38"/>
      <c r="AC2049" s="38">
        <v>5</v>
      </c>
      <c r="AD2049" s="40"/>
      <c r="AE2049" s="59" t="str">
        <f t="shared" si="99"/>
        <v>NO</v>
      </c>
      <c r="AF2049" s="34" t="e" cm="1">
        <f t="array" aca="1" ref="AF2049" ca="1">MIN(100, MAX(0, (IF(R2049="ESTUDIANTE", 31, 0)) + (IF(I2049&lt;=3, 30, IF(I2049&lt;=6, 20, 0))) +(IF(OR(E2049="413 - Control de Costes y Enlace Construcción", E2049="480 - Secretaría General del Consejo", E2049="132 - Civil y estructuras", E2049="136 - Mecánica", E2049="412 - Planificación", E2049="142 - Compras"), 25, 0)) +(IF(OR(S2049="GRADO ING. MECÁNICA", S2049="GRADO ING. ELÉCTRICA", S2049="GRADO DERECHO", S2049="GRADO ECONOMÍA", S2049="GRADO ING. TECNOLOGÍAS INDUSTRIALES"), 24, 0)) + (IF(AND(K2049&gt;=451, K2049&lt;=700), 23, 0)) + (IF(AND(AB2049&gt;=5, AB2049&lt;=8), 17, 0)) +(IF(_xludf.OR(_xludf.AND(AC2049&gt;=8, AC2049&lt;=10), _xludf.AND(AC2049&gt;=0, AC2049&lt;=5)), 16, 0)) + (IF(F2049="Madrid", 11, 0))))</f>
        <v>#NAME?</v>
      </c>
      <c r="AG2049" s="69"/>
      <c r="AH2049" s="71" t="s">
        <v>164</v>
      </c>
    </row>
    <row r="2050" spans="1:34" ht="15" customHeight="1" x14ac:dyDescent="0.3">
      <c r="A2050" s="66" t="s">
        <v>3026</v>
      </c>
      <c r="B2050" s="66" t="s">
        <v>5143</v>
      </c>
      <c r="C2050" s="33">
        <v>2047</v>
      </c>
      <c r="D2050" s="33" t="s">
        <v>5396</v>
      </c>
      <c r="E2050" s="34" t="s">
        <v>5306</v>
      </c>
      <c r="F2050" s="34" t="s">
        <v>18</v>
      </c>
      <c r="G2050" s="57">
        <v>45908</v>
      </c>
      <c r="H2050" s="57">
        <v>46171</v>
      </c>
      <c r="I2050" s="38">
        <f t="shared" ref="I2050:I2113" si="100">DATEDIF(G2050, H2050, "M")</f>
        <v>8</v>
      </c>
      <c r="J2050" s="40">
        <v>30</v>
      </c>
      <c r="K2050" s="44">
        <v>375</v>
      </c>
      <c r="L2050" s="38" t="s">
        <v>29</v>
      </c>
      <c r="M2050" s="43">
        <v>38308</v>
      </c>
      <c r="N2050" s="37">
        <f>(YEAR(TablaMadre[[#This Row],[ALTA]])-YEAR(M2050))</f>
        <v>21</v>
      </c>
      <c r="O2050" s="34" t="s">
        <v>18</v>
      </c>
      <c r="P2050" s="38" t="s">
        <v>19</v>
      </c>
      <c r="Q2050" s="38" t="s">
        <v>675</v>
      </c>
      <c r="R2050" s="38" t="s">
        <v>30</v>
      </c>
      <c r="S2050" s="38" t="s">
        <v>26</v>
      </c>
      <c r="T2050" s="38" t="s">
        <v>806</v>
      </c>
      <c r="U2050" s="34" t="str">
        <f>SUBSTITUTE($T2050, "INGUN", "/")</f>
        <v>N/A</v>
      </c>
      <c r="V2050" s="38" t="s">
        <v>27</v>
      </c>
      <c r="W2050" s="38" t="s">
        <v>886</v>
      </c>
      <c r="X2050" s="38"/>
      <c r="Y2050" s="38"/>
      <c r="Z2050" s="62" t="e">
        <f t="shared" ref="Z2050:Z2113" si="101">DATEDIF(H2050, Y2050, "y")</f>
        <v>#NUM!</v>
      </c>
      <c r="AA2050" s="62"/>
      <c r="AB2050" s="38">
        <v>7</v>
      </c>
      <c r="AC2050" s="38">
        <v>5</v>
      </c>
      <c r="AD2050" s="38"/>
      <c r="AE2050" s="59" t="str">
        <f t="shared" si="99"/>
        <v>NO</v>
      </c>
      <c r="AF2050" s="38" t="e" cm="1">
        <f t="array" aca="1" ref="AF2050" ca="1">MIN(100, MAX(0, (IF(R2050="ESTUDIANTE", 31, 0)) + (IF(I2050&lt;=3, 30, IF(I2050&lt;=6, 20, 0))) +(IF(OR(E2050="413 - Control de Costes y Enlace Construcción", E2050="480 - Secretaría General del Consejo", E2050="132 - Civil y estructuras", E2050="136 - Mecánica", E2050="412 - Planificación", E2050="142 - Compras"), 25, 0)) +(IF(OR(S2050="GRADO ING. MECÁNICA", S2050="GRADO ING. ELÉCTRICA", S2050="GRADO DERECHO", S2050="GRADO ECONOMÍA", S2050="GRADO ING. TECNOLOGÍAS INDUSTRIALES"), 24, 0)) + (IF(AND(K2050&gt;=451, K2050&lt;=700), 23, 0)) + (IF(AND(AB2050&gt;=5, AB2050&lt;=8), 17, 0)) +(IF(_xludf.OR(_xludf.AND(AC2050&gt;=8, AC2050&lt;=10), _xludf.AND(AC2050&gt;=0, AC2050&lt;=5)), 16, 0)) + (IF(F2050="Madrid", 11, 0))))</f>
        <v>#NAME?</v>
      </c>
      <c r="AG2050" s="68"/>
      <c r="AH2050" s="71" t="s">
        <v>164</v>
      </c>
    </row>
    <row r="2051" spans="1:34" ht="15" customHeight="1" x14ac:dyDescent="0.3">
      <c r="A2051" s="66" t="s">
        <v>3027</v>
      </c>
      <c r="B2051" s="66" t="s">
        <v>5144</v>
      </c>
      <c r="C2051" s="33">
        <v>2048</v>
      </c>
      <c r="D2051" s="33" t="s">
        <v>5397</v>
      </c>
      <c r="E2051" s="34" t="s">
        <v>5285</v>
      </c>
      <c r="F2051" s="34" t="s">
        <v>558</v>
      </c>
      <c r="G2051" s="57">
        <v>45908</v>
      </c>
      <c r="H2051" s="57">
        <v>46173</v>
      </c>
      <c r="I2051" s="38">
        <f t="shared" si="100"/>
        <v>8</v>
      </c>
      <c r="J2051" s="40">
        <v>40</v>
      </c>
      <c r="K2051" s="44">
        <v>894.39</v>
      </c>
      <c r="L2051" s="38" t="s">
        <v>17</v>
      </c>
      <c r="M2051" s="43">
        <v>37724</v>
      </c>
      <c r="N2051" s="37">
        <f>(YEAR(TablaMadre[[#This Row],[ALTA]])-YEAR(M2051))</f>
        <v>22</v>
      </c>
      <c r="O2051" s="34" t="s">
        <v>558</v>
      </c>
      <c r="P2051" s="38" t="s">
        <v>19</v>
      </c>
      <c r="Q2051" s="38" t="s">
        <v>805</v>
      </c>
      <c r="R2051" s="38" t="s">
        <v>30</v>
      </c>
      <c r="S2051" s="38" t="s">
        <v>26</v>
      </c>
      <c r="T2051" s="38" t="s">
        <v>806</v>
      </c>
      <c r="U2051" s="38" t="s">
        <v>347</v>
      </c>
      <c r="V2051" s="38" t="s">
        <v>27</v>
      </c>
      <c r="W2051" s="38" t="s">
        <v>886</v>
      </c>
      <c r="X2051" s="34"/>
      <c r="Y2051" s="34"/>
      <c r="Z2051" s="57" t="e">
        <f t="shared" si="101"/>
        <v>#NUM!</v>
      </c>
      <c r="AA2051" s="57"/>
      <c r="AB2051" s="38">
        <v>9</v>
      </c>
      <c r="AC2051" s="38">
        <v>6</v>
      </c>
      <c r="AD2051" s="34"/>
      <c r="AE2051" s="59" t="str">
        <f t="shared" ref="AE2051:AE2114" si="102">IF(F2051=O2051, "NO", "SÍ")</f>
        <v>NO</v>
      </c>
      <c r="AF2051" s="38" t="e" cm="1">
        <f t="array" aca="1" ref="AF2051" ca="1">MIN(100, MAX(0, (IF(R2051="ESTUDIANTE", 31, 0)) + (IF(I2051&lt;=3, 30, IF(I2051&lt;=6, 20, 0))) +(IF(OR(E2051="413 - Control de Costes y Enlace Construcción", E2051="480 - Secretaría General del Consejo", E2051="132 - Civil y estructuras", E2051="136 - Mecánica", E2051="412 - Planificación", E2051="142 - Compras"), 25, 0)) +(IF(OR(S2051="GRADO ING. MECÁNICA", S2051="GRADO ING. ELÉCTRICA", S2051="GRADO DERECHO", S2051="GRADO ECONOMÍA", S2051="GRADO ING. TECNOLOGÍAS INDUSTRIALES"), 24, 0)) + (IF(AND(K2051&gt;=451, K2051&lt;=700), 23, 0)) + (IF(AND(AB2051&gt;=5, AB2051&lt;=8), 17, 0)) +(IF(_xludf.OR(_xludf.AND(AC2051&gt;=8, AC2051&lt;=10), _xludf.AND(AC2051&gt;=0, AC2051&lt;=5)), 16, 0)) + (IF(F2051="Madrid", 11, 0))))</f>
        <v>#NAME?</v>
      </c>
      <c r="AG2051" s="68"/>
      <c r="AH2051" s="71" t="s">
        <v>164</v>
      </c>
    </row>
    <row r="2052" spans="1:34" s="4" customFormat="1" ht="15" customHeight="1" x14ac:dyDescent="0.3">
      <c r="A2052" s="66" t="s">
        <v>3030</v>
      </c>
      <c r="B2052" s="66" t="s">
        <v>5147</v>
      </c>
      <c r="C2052" s="33">
        <v>2051</v>
      </c>
      <c r="D2052" s="33" t="s">
        <v>5393</v>
      </c>
      <c r="E2052" s="34" t="s">
        <v>5222</v>
      </c>
      <c r="F2052" s="34" t="s">
        <v>558</v>
      </c>
      <c r="G2052" s="57">
        <v>45908</v>
      </c>
      <c r="H2052" s="57">
        <v>46188</v>
      </c>
      <c r="I2052" s="38">
        <f t="shared" si="100"/>
        <v>9</v>
      </c>
      <c r="J2052" s="40">
        <v>40</v>
      </c>
      <c r="K2052" s="45">
        <v>894.39</v>
      </c>
      <c r="L2052" s="38" t="s">
        <v>29</v>
      </c>
      <c r="M2052" s="43">
        <v>36575</v>
      </c>
      <c r="N2052" s="37">
        <f>(YEAR(TablaMadre[[#This Row],[ALTA]])-YEAR(M2052))</f>
        <v>25</v>
      </c>
      <c r="O2052" s="34" t="s">
        <v>525</v>
      </c>
      <c r="P2052" s="38" t="s">
        <v>19</v>
      </c>
      <c r="Q2052" s="38" t="s">
        <v>697</v>
      </c>
      <c r="R2052" s="38" t="s">
        <v>30</v>
      </c>
      <c r="S2052" s="38" t="s">
        <v>26</v>
      </c>
      <c r="T2052" s="38" t="s">
        <v>806</v>
      </c>
      <c r="U2052" s="38" t="s">
        <v>347</v>
      </c>
      <c r="V2052" s="38" t="s">
        <v>27</v>
      </c>
      <c r="W2052" s="38" t="s">
        <v>886</v>
      </c>
      <c r="X2052" s="34"/>
      <c r="Y2052" s="34"/>
      <c r="Z2052" s="57" t="e">
        <f t="shared" si="101"/>
        <v>#NUM!</v>
      </c>
      <c r="AA2052" s="57"/>
      <c r="AB2052" s="38">
        <v>7</v>
      </c>
      <c r="AC2052" s="38">
        <v>7</v>
      </c>
      <c r="AD2052" s="34"/>
      <c r="AE2052" s="59" t="str">
        <f t="shared" si="102"/>
        <v>SÍ</v>
      </c>
      <c r="AF2052" s="34" t="e" cm="1">
        <f t="array" aca="1" ref="AF2052" ca="1">MIN(100, MAX(0, (IF(R2052="ESTUDIANTE", 31, 0)) + (IF(I2052&lt;=3, 30, IF(I2052&lt;=6, 20, 0))) +(IF(OR(E2052="413 - Control de Costes y Enlace Construcción", E2052="480 - Secretaría General del Consejo", E2052="132 - Civil y estructuras", E2052="136 - Mecánica", E2052="412 - Planificación", E2052="142 - Compras"), 25, 0)) +(IF(OR(S2052="GRADO ING. MECÁNICA", S2052="GRADO ING. ELÉCTRICA", S2052="GRADO DERECHO", S2052="GRADO ECONOMÍA", S2052="GRADO ING. TECNOLOGÍAS INDUSTRIALES"), 24, 0)) + (IF(AND(K2052&gt;=451, K2052&lt;=700), 23, 0)) + (IF(AND(AB2052&gt;=5, AB2052&lt;=8), 17, 0)) +(IF(_xludf.OR(_xludf.AND(AC2052&gt;=8, AC2052&lt;=10), _xludf.AND(AC2052&gt;=0, AC2052&lt;=5)), 16, 0)) + (IF(F2052="Madrid", 11, 0))))</f>
        <v>#NAME?</v>
      </c>
      <c r="AG2052" s="69"/>
      <c r="AH2052" s="71" t="s">
        <v>164</v>
      </c>
    </row>
    <row r="2053" spans="1:34" ht="15" customHeight="1" x14ac:dyDescent="0.3">
      <c r="A2053" s="66" t="s">
        <v>3031</v>
      </c>
      <c r="B2053" s="66" t="s">
        <v>5148</v>
      </c>
      <c r="C2053" s="33">
        <v>2052</v>
      </c>
      <c r="D2053" s="33" t="s">
        <v>5394</v>
      </c>
      <c r="E2053" s="34" t="s">
        <v>5252</v>
      </c>
      <c r="F2053" s="34" t="s">
        <v>558</v>
      </c>
      <c r="G2053" s="57">
        <v>45908</v>
      </c>
      <c r="H2053" s="57">
        <v>46188</v>
      </c>
      <c r="I2053" s="38">
        <f t="shared" si="100"/>
        <v>9</v>
      </c>
      <c r="J2053" s="40">
        <v>40</v>
      </c>
      <c r="K2053" s="44">
        <v>894.39</v>
      </c>
      <c r="L2053" s="38" t="s">
        <v>17</v>
      </c>
      <c r="M2053" s="43">
        <v>35460</v>
      </c>
      <c r="N2053" s="37">
        <f>(YEAR(TablaMadre[[#This Row],[ALTA]])-YEAR(M2053))</f>
        <v>28</v>
      </c>
      <c r="O2053" s="38" t="s">
        <v>837</v>
      </c>
      <c r="P2053" s="38" t="s">
        <v>837</v>
      </c>
      <c r="Q2053" s="38" t="s">
        <v>359</v>
      </c>
      <c r="R2053" s="38" t="s">
        <v>30</v>
      </c>
      <c r="S2053" s="38" t="s">
        <v>26</v>
      </c>
      <c r="T2053" s="38" t="s">
        <v>806</v>
      </c>
      <c r="U2053" s="38" t="s">
        <v>347</v>
      </c>
      <c r="V2053" s="38" t="s">
        <v>27</v>
      </c>
      <c r="W2053" s="38" t="s">
        <v>886</v>
      </c>
      <c r="X2053" s="38"/>
      <c r="Y2053" s="38"/>
      <c r="Z2053" s="62" t="e">
        <f t="shared" si="101"/>
        <v>#NUM!</v>
      </c>
      <c r="AA2053" s="62"/>
      <c r="AB2053" s="34">
        <v>8</v>
      </c>
      <c r="AC2053" s="34">
        <v>9</v>
      </c>
      <c r="AD2053" s="38"/>
      <c r="AE2053" s="59" t="str">
        <f t="shared" si="102"/>
        <v>SÍ</v>
      </c>
      <c r="AF2053" s="38" t="e" cm="1">
        <f t="array" aca="1" ref="AF2053" ca="1">MIN(100, MAX(0, (IF(R2053="ESTUDIANTE", 31, 0)) + (IF(I2053&lt;=3, 30, IF(I2053&lt;=6, 20, 0))) +(IF(OR(E2053="413 - Control de Costes y Enlace Construcción", E2053="480 - Secretaría General del Consejo", E2053="132 - Civil y estructuras", E2053="136 - Mecánica", E2053="412 - Planificación", E2053="142 - Compras"), 25, 0)) +(IF(OR(S2053="GRADO ING. MECÁNICA", S2053="GRADO ING. ELÉCTRICA", S2053="GRADO DERECHO", S2053="GRADO ECONOMÍA", S2053="GRADO ING. TECNOLOGÍAS INDUSTRIALES"), 24, 0)) + (IF(AND(K2053&gt;=451, K2053&lt;=700), 23, 0)) + (IF(AND(AB2053&gt;=5, AB2053&lt;=8), 17, 0)) +(IF(_xludf.OR(_xludf.AND(AC2053&gt;=8, AC2053&lt;=10), _xludf.AND(AC2053&gt;=0, AC2053&lt;=5)), 16, 0)) + (IF(F2053="Madrid", 11, 0))))</f>
        <v>#NAME?</v>
      </c>
      <c r="AG2053" s="68"/>
      <c r="AH2053" s="71" t="s">
        <v>164</v>
      </c>
    </row>
    <row r="2054" spans="1:34" s="4" customFormat="1" ht="15" customHeight="1" x14ac:dyDescent="0.3">
      <c r="A2054" s="66" t="s">
        <v>3032</v>
      </c>
      <c r="B2054" s="66" t="s">
        <v>5149</v>
      </c>
      <c r="C2054" s="33">
        <v>2053</v>
      </c>
      <c r="D2054" s="33" t="s">
        <v>5395</v>
      </c>
      <c r="E2054" s="34" t="s">
        <v>5246</v>
      </c>
      <c r="F2054" s="34" t="s">
        <v>558</v>
      </c>
      <c r="G2054" s="57">
        <v>45908</v>
      </c>
      <c r="H2054" s="57">
        <v>46188</v>
      </c>
      <c r="I2054" s="38">
        <f t="shared" si="100"/>
        <v>9</v>
      </c>
      <c r="J2054" s="40">
        <v>40</v>
      </c>
      <c r="K2054" s="44">
        <v>894.39</v>
      </c>
      <c r="L2054" s="38" t="s">
        <v>17</v>
      </c>
      <c r="M2054" s="43">
        <v>38699</v>
      </c>
      <c r="N2054" s="37">
        <f>(YEAR(TablaMadre[[#This Row],[ALTA]])-YEAR(M2054))</f>
        <v>20</v>
      </c>
      <c r="O2054" s="34" t="s">
        <v>558</v>
      </c>
      <c r="P2054" s="38" t="s">
        <v>19</v>
      </c>
      <c r="Q2054" s="38" t="s">
        <v>729</v>
      </c>
      <c r="R2054" s="38" t="s">
        <v>30</v>
      </c>
      <c r="S2054" s="38" t="s">
        <v>26</v>
      </c>
      <c r="T2054" s="38" t="s">
        <v>806</v>
      </c>
      <c r="U2054" s="38" t="s">
        <v>347</v>
      </c>
      <c r="V2054" s="38" t="s">
        <v>27</v>
      </c>
      <c r="W2054" s="38" t="s">
        <v>886</v>
      </c>
      <c r="X2054" s="34"/>
      <c r="Y2054" s="34"/>
      <c r="Z2054" s="57" t="e">
        <f t="shared" si="101"/>
        <v>#NUM!</v>
      </c>
      <c r="AA2054" s="57"/>
      <c r="AB2054" s="34">
        <v>9</v>
      </c>
      <c r="AC2054" s="34">
        <v>6</v>
      </c>
      <c r="AD2054" s="34"/>
      <c r="AE2054" s="59" t="str">
        <f t="shared" si="102"/>
        <v>NO</v>
      </c>
      <c r="AF2054" s="34" t="e" cm="1">
        <f t="array" aca="1" ref="AF2054" ca="1">MIN(100, MAX(0, (IF(R2054="ESTUDIANTE", 31, 0)) + (IF(I2054&lt;=3, 30, IF(I2054&lt;=6, 20, 0))) +(IF(OR(E2054="413 - Control de Costes y Enlace Construcción", E2054="480 - Secretaría General del Consejo", E2054="132 - Civil y estructuras", E2054="136 - Mecánica", E2054="412 - Planificación", E2054="142 - Compras"), 25, 0)) +(IF(OR(S2054="GRADO ING. MECÁNICA", S2054="GRADO ING. ELÉCTRICA", S2054="GRADO DERECHO", S2054="GRADO ECONOMÍA", S2054="GRADO ING. TECNOLOGÍAS INDUSTRIALES"), 24, 0)) + (IF(AND(K2054&gt;=451, K2054&lt;=700), 23, 0)) + (IF(AND(AB2054&gt;=5, AB2054&lt;=8), 17, 0)) +(IF(_xludf.OR(_xludf.AND(AC2054&gt;=8, AC2054&lt;=10), _xludf.AND(AC2054&gt;=0, AC2054&lt;=5)), 16, 0)) + (IF(F2054="Madrid", 11, 0))))</f>
        <v>#NAME?</v>
      </c>
      <c r="AG2054" s="69"/>
      <c r="AH2054" s="71" t="s">
        <v>164</v>
      </c>
    </row>
    <row r="2055" spans="1:34" ht="15" customHeight="1" x14ac:dyDescent="0.3">
      <c r="A2055" s="66" t="s">
        <v>3033</v>
      </c>
      <c r="B2055" s="66" t="s">
        <v>5150</v>
      </c>
      <c r="C2055" s="33">
        <v>2054</v>
      </c>
      <c r="D2055" s="33" t="s">
        <v>5396</v>
      </c>
      <c r="E2055" s="34" t="s">
        <v>5323</v>
      </c>
      <c r="F2055" s="34" t="s">
        <v>558</v>
      </c>
      <c r="G2055" s="57">
        <v>45908</v>
      </c>
      <c r="H2055" s="57">
        <v>46188</v>
      </c>
      <c r="I2055" s="38">
        <f t="shared" si="100"/>
        <v>9</v>
      </c>
      <c r="J2055" s="40">
        <v>40</v>
      </c>
      <c r="K2055" s="46">
        <v>894.39</v>
      </c>
      <c r="L2055" s="38" t="s">
        <v>17</v>
      </c>
      <c r="M2055" s="43">
        <v>34777</v>
      </c>
      <c r="N2055" s="37">
        <f>(YEAR(TablaMadre[[#This Row],[ALTA]])-YEAR(M2055))</f>
        <v>30</v>
      </c>
      <c r="O2055" s="34" t="s">
        <v>558</v>
      </c>
      <c r="P2055" s="38" t="s">
        <v>19</v>
      </c>
      <c r="Q2055" s="38" t="s">
        <v>836</v>
      </c>
      <c r="R2055" s="38" t="s">
        <v>30</v>
      </c>
      <c r="S2055" s="38" t="s">
        <v>26</v>
      </c>
      <c r="T2055" s="38" t="s">
        <v>806</v>
      </c>
      <c r="U2055" s="38" t="s">
        <v>347</v>
      </c>
      <c r="V2055" s="38" t="s">
        <v>27</v>
      </c>
      <c r="W2055" s="38" t="s">
        <v>886</v>
      </c>
      <c r="X2055" s="38"/>
      <c r="Y2055" s="38"/>
      <c r="Z2055" s="62" t="e">
        <f t="shared" si="101"/>
        <v>#NUM!</v>
      </c>
      <c r="AA2055" s="62"/>
      <c r="AB2055" s="34">
        <v>6</v>
      </c>
      <c r="AC2055" s="34">
        <v>8</v>
      </c>
      <c r="AD2055" s="38"/>
      <c r="AE2055" s="59" t="str">
        <f t="shared" si="102"/>
        <v>NO</v>
      </c>
      <c r="AF2055" s="38" t="e" cm="1">
        <f t="array" aca="1" ref="AF2055" ca="1">MIN(100, MAX(0, (IF(R2055="ESTUDIANTE", 31, 0)) + (IF(I2055&lt;=3, 30, IF(I2055&lt;=6, 20, 0))) +(IF(OR(E2055="413 - Control de Costes y Enlace Construcción", E2055="480 - Secretaría General del Consejo", E2055="132 - Civil y estructuras", E2055="136 - Mecánica", E2055="412 - Planificación", E2055="142 - Compras"), 25, 0)) +(IF(OR(S2055="GRADO ING. MECÁNICA", S2055="GRADO ING. ELÉCTRICA", S2055="GRADO DERECHO", S2055="GRADO ECONOMÍA", S2055="GRADO ING. TECNOLOGÍAS INDUSTRIALES"), 24, 0)) + (IF(AND(K2055&gt;=451, K2055&lt;=700), 23, 0)) + (IF(AND(AB2055&gt;=5, AB2055&lt;=8), 17, 0)) +(IF(_xludf.OR(_xludf.AND(AC2055&gt;=8, AC2055&lt;=10), _xludf.AND(AC2055&gt;=0, AC2055&lt;=5)), 16, 0)) + (IF(F2055="Madrid", 11, 0))))</f>
        <v>#NAME?</v>
      </c>
      <c r="AG2055" s="68"/>
      <c r="AH2055" s="71" t="s">
        <v>164</v>
      </c>
    </row>
    <row r="2056" spans="1:34" ht="15" customHeight="1" x14ac:dyDescent="0.3">
      <c r="A2056" s="66" t="s">
        <v>3034</v>
      </c>
      <c r="B2056" s="66" t="s">
        <v>5151</v>
      </c>
      <c r="C2056" s="33">
        <v>2055</v>
      </c>
      <c r="D2056" s="33" t="s">
        <v>5397</v>
      </c>
      <c r="E2056" s="34" t="s">
        <v>5236</v>
      </c>
      <c r="F2056" s="34" t="s">
        <v>18</v>
      </c>
      <c r="G2056" s="57">
        <v>45908</v>
      </c>
      <c r="H2056" s="57">
        <v>46272</v>
      </c>
      <c r="I2056" s="38">
        <f t="shared" si="100"/>
        <v>11</v>
      </c>
      <c r="J2056" s="40">
        <v>35</v>
      </c>
      <c r="K2056" s="44">
        <v>900</v>
      </c>
      <c r="L2056" s="38" t="s">
        <v>17</v>
      </c>
      <c r="M2056" s="43">
        <v>37972</v>
      </c>
      <c r="N2056" s="37">
        <f>(YEAR(TablaMadre[[#This Row],[ALTA]])-YEAR(M2056))</f>
        <v>22</v>
      </c>
      <c r="O2056" s="34" t="s">
        <v>18</v>
      </c>
      <c r="P2056" s="38" t="s">
        <v>19</v>
      </c>
      <c r="Q2056" s="38" t="s">
        <v>647</v>
      </c>
      <c r="R2056" s="38" t="s">
        <v>21</v>
      </c>
      <c r="S2056" s="38" t="s">
        <v>647</v>
      </c>
      <c r="T2056" s="38" t="s">
        <v>806</v>
      </c>
      <c r="U2056" s="38" t="s">
        <v>347</v>
      </c>
      <c r="V2056" s="38" t="s">
        <v>69</v>
      </c>
      <c r="W2056" s="38" t="s">
        <v>886</v>
      </c>
      <c r="X2056" s="38"/>
      <c r="Y2056" s="38"/>
      <c r="Z2056" s="62" t="e">
        <f t="shared" si="101"/>
        <v>#NUM!</v>
      </c>
      <c r="AA2056" s="62"/>
      <c r="AB2056" s="47">
        <v>10</v>
      </c>
      <c r="AC2056" s="47">
        <v>7</v>
      </c>
      <c r="AD2056" s="38"/>
      <c r="AE2056" s="59" t="str">
        <f t="shared" si="102"/>
        <v>NO</v>
      </c>
      <c r="AF2056" s="38" t="e" cm="1">
        <f t="array" aca="1" ref="AF2056" ca="1">MIN(100, MAX(0, (IF(R2056="ESTUDIANTE", 31, 0)) + (IF(I2056&lt;=3, 30, IF(I2056&lt;=6, 20, 0))) +(IF(OR(E2056="413 - Control de Costes y Enlace Construcción", E2056="480 - Secretaría General del Consejo", E2056="132 - Civil y estructuras", E2056="136 - Mecánica", E2056="412 - Planificación", E2056="142 - Compras"), 25, 0)) +(IF(OR(S2056="GRADO ING. MECÁNICA", S2056="GRADO ING. ELÉCTRICA", S2056="GRADO DERECHO", S2056="GRADO ECONOMÍA", S2056="GRADO ING. TECNOLOGÍAS INDUSTRIALES"), 24, 0)) + (IF(AND(K2056&gt;=451, K2056&lt;=700), 23, 0)) + (IF(AND(AB2056&gt;=5, AB2056&lt;=8), 17, 0)) +(IF(_xludf.OR(_xludf.AND(AC2056&gt;=8, AC2056&lt;=10), _xludf.AND(AC2056&gt;=0, AC2056&lt;=5)), 16, 0)) + (IF(F2056="Madrid", 11, 0))))</f>
        <v>#NAME?</v>
      </c>
      <c r="AG2056" s="68"/>
      <c r="AH2056" s="71" t="s">
        <v>164</v>
      </c>
    </row>
    <row r="2057" spans="1:34" s="9" customFormat="1" ht="15" customHeight="1" x14ac:dyDescent="0.3">
      <c r="A2057" s="66" t="s">
        <v>3035</v>
      </c>
      <c r="B2057" s="66" t="s">
        <v>5152</v>
      </c>
      <c r="C2057" s="33">
        <v>2056</v>
      </c>
      <c r="D2057" s="33" t="s">
        <v>5398</v>
      </c>
      <c r="E2057" s="34" t="s">
        <v>5236</v>
      </c>
      <c r="F2057" s="34" t="s">
        <v>558</v>
      </c>
      <c r="G2057" s="57">
        <v>45908</v>
      </c>
      <c r="H2057" s="57">
        <v>46265</v>
      </c>
      <c r="I2057" s="40">
        <f t="shared" si="100"/>
        <v>11</v>
      </c>
      <c r="J2057" s="40">
        <v>25</v>
      </c>
      <c r="K2057" s="45">
        <v>500</v>
      </c>
      <c r="L2057" s="40" t="s">
        <v>17</v>
      </c>
      <c r="M2057" s="48">
        <v>38002</v>
      </c>
      <c r="N2057" s="37">
        <f>(YEAR(TablaMadre[[#This Row],[ALTA]])-YEAR(M2057))</f>
        <v>21</v>
      </c>
      <c r="O2057" s="34" t="s">
        <v>558</v>
      </c>
      <c r="P2057" s="40" t="s">
        <v>19</v>
      </c>
      <c r="Q2057" s="40" t="s">
        <v>914</v>
      </c>
      <c r="R2057" s="40" t="s">
        <v>30</v>
      </c>
      <c r="S2057" s="40" t="s">
        <v>914</v>
      </c>
      <c r="T2057" s="40" t="s">
        <v>806</v>
      </c>
      <c r="U2057" s="40" t="str">
        <f>SUBSTITUTE($T2057, "INGUN", "/")</f>
        <v>N/A</v>
      </c>
      <c r="V2057" s="40" t="s">
        <v>290</v>
      </c>
      <c r="W2057" s="40" t="s">
        <v>886</v>
      </c>
      <c r="X2057" s="40"/>
      <c r="Y2057" s="40"/>
      <c r="Z2057" s="63" t="e">
        <f t="shared" si="101"/>
        <v>#NUM!</v>
      </c>
      <c r="AA2057" s="63"/>
      <c r="AB2057" s="40">
        <v>8</v>
      </c>
      <c r="AC2057" s="40">
        <v>9</v>
      </c>
      <c r="AD2057" s="40"/>
      <c r="AE2057" s="59" t="str">
        <f t="shared" si="102"/>
        <v>NO</v>
      </c>
      <c r="AF2057" s="40" t="e" cm="1">
        <f t="array" aca="1" ref="AF2057" ca="1">MIN(100, MAX(0, (IF(R2057="ESTUDIANTE", 31, 0)) + (IF(I2057&lt;=3, 30, IF(I2057&lt;=6, 20, 0))) +(IF(OR(E2057="413 - Control de Costes y Enlace Construcción", E2057="480 - Secretaría General del Consejo", E2057="132 - Civil y estructuras", E2057="136 - Mecánica", E2057="412 - Planificación", E2057="142 - Compras"), 25, 0)) +(IF(OR(S2057="GRADO ING. MECÁNICA", S2057="GRADO ING. ELÉCTRICA", S2057="GRADO DERECHO", S2057="GRADO ECONOMÍA", S2057="GRADO ING. TECNOLOGÍAS INDUSTRIALES"), 24, 0)) + (IF(AND(K2057&gt;=451, K2057&lt;=700), 23, 0)) + (IF(AND(AB2057&gt;=5, AB2057&lt;=8), 17, 0)) +(IF(_xludf.OR(_xludf.AND(AC2057&gt;=8, AC2057&lt;=10), _xludf.AND(AC2057&gt;=0, AC2057&lt;=5)), 16, 0)) + (IF(F2057="Madrid", 11, 0))))</f>
        <v>#NAME?</v>
      </c>
      <c r="AG2057" s="70"/>
      <c r="AH2057" s="71" t="s">
        <v>164</v>
      </c>
    </row>
    <row r="2058" spans="1:34" ht="15" customHeight="1" x14ac:dyDescent="0.3">
      <c r="A2058" s="66" t="s">
        <v>3036</v>
      </c>
      <c r="B2058" s="66" t="s">
        <v>5153</v>
      </c>
      <c r="C2058" s="33">
        <v>2057</v>
      </c>
      <c r="D2058" s="33" t="s">
        <v>5399</v>
      </c>
      <c r="E2058" s="34" t="s">
        <v>5314</v>
      </c>
      <c r="F2058" s="34" t="s">
        <v>18</v>
      </c>
      <c r="G2058" s="57">
        <v>45908</v>
      </c>
      <c r="H2058" s="57">
        <v>46272</v>
      </c>
      <c r="I2058" s="38">
        <f t="shared" si="100"/>
        <v>11</v>
      </c>
      <c r="J2058" s="40">
        <v>35</v>
      </c>
      <c r="K2058" s="44">
        <v>1200</v>
      </c>
      <c r="L2058" s="38" t="s">
        <v>29</v>
      </c>
      <c r="M2058" s="43">
        <v>37292</v>
      </c>
      <c r="N2058" s="37">
        <f>(YEAR(TablaMadre[[#This Row],[ALTA]])-YEAR(M2058))</f>
        <v>23</v>
      </c>
      <c r="O2058" s="38" t="s">
        <v>68</v>
      </c>
      <c r="P2058" s="38" t="s">
        <v>19</v>
      </c>
      <c r="Q2058" s="38" t="s">
        <v>297</v>
      </c>
      <c r="R2058" s="38" t="s">
        <v>21</v>
      </c>
      <c r="S2058" s="38" t="s">
        <v>297</v>
      </c>
      <c r="T2058" s="38" t="s">
        <v>823</v>
      </c>
      <c r="U2058" s="38" t="s">
        <v>30</v>
      </c>
      <c r="V2058" s="38" t="s">
        <v>782</v>
      </c>
      <c r="W2058" s="38" t="s">
        <v>886</v>
      </c>
      <c r="X2058" s="38"/>
      <c r="Y2058" s="38"/>
      <c r="Z2058" s="62" t="e">
        <f t="shared" si="101"/>
        <v>#NUM!</v>
      </c>
      <c r="AA2058" s="62"/>
      <c r="AB2058" s="34">
        <v>9</v>
      </c>
      <c r="AC2058" s="34">
        <v>10</v>
      </c>
      <c r="AD2058" s="38"/>
      <c r="AE2058" s="59" t="str">
        <f t="shared" si="102"/>
        <v>SÍ</v>
      </c>
      <c r="AF2058" s="38" t="e" cm="1">
        <f t="array" aca="1" ref="AF2058" ca="1">MIN(100, MAX(0, (IF(R2058="ESTUDIANTE", 31, 0)) + (IF(I2058&lt;=3, 30, IF(I2058&lt;=6, 20, 0))) +(IF(OR(E2058="413 - Control de Costes y Enlace Construcción", E2058="480 - Secretaría General del Consejo", E2058="132 - Civil y estructuras", E2058="136 - Mecánica", E2058="412 - Planificación", E2058="142 - Compras"), 25, 0)) +(IF(OR(S2058="GRADO ING. MECÁNICA", S2058="GRADO ING. ELÉCTRICA", S2058="GRADO DERECHO", S2058="GRADO ECONOMÍA", S2058="GRADO ING. TECNOLOGÍAS INDUSTRIALES"), 24, 0)) + (IF(AND(K2058&gt;=451, K2058&lt;=700), 23, 0)) + (IF(AND(AB2058&gt;=5, AB2058&lt;=8), 17, 0)) +(IF(_xludf.OR(_xludf.AND(AC2058&gt;=8, AC2058&lt;=10), _xludf.AND(AC2058&gt;=0, AC2058&lt;=5)), 16, 0)) + (IF(F2058="Madrid", 11, 0))))</f>
        <v>#NAME?</v>
      </c>
      <c r="AG2058" s="68"/>
      <c r="AH2058" s="71" t="s">
        <v>164</v>
      </c>
    </row>
    <row r="2059" spans="1:34" ht="15" customHeight="1" x14ac:dyDescent="0.3">
      <c r="A2059" s="66" t="s">
        <v>3037</v>
      </c>
      <c r="B2059" s="66" t="s">
        <v>5154</v>
      </c>
      <c r="C2059" s="33">
        <v>2058</v>
      </c>
      <c r="D2059" s="33" t="s">
        <v>5400</v>
      </c>
      <c r="E2059" s="34" t="s">
        <v>5252</v>
      </c>
      <c r="F2059" s="34" t="s">
        <v>18</v>
      </c>
      <c r="G2059" s="57">
        <v>45911</v>
      </c>
      <c r="H2059" s="57">
        <v>46178</v>
      </c>
      <c r="I2059" s="40">
        <f t="shared" si="100"/>
        <v>8</v>
      </c>
      <c r="J2059" s="40">
        <v>40</v>
      </c>
      <c r="K2059" s="45">
        <v>500</v>
      </c>
      <c r="L2059" s="38" t="s">
        <v>17</v>
      </c>
      <c r="M2059" s="43">
        <v>36570</v>
      </c>
      <c r="N2059" s="37">
        <f>(YEAR(TablaMadre[[#This Row],[ALTA]])-YEAR(M2059))</f>
        <v>25</v>
      </c>
      <c r="O2059" s="34" t="s">
        <v>18</v>
      </c>
      <c r="P2059" s="38" t="s">
        <v>19</v>
      </c>
      <c r="Q2059" s="38" t="s">
        <v>836</v>
      </c>
      <c r="R2059" s="38" t="s">
        <v>30</v>
      </c>
      <c r="S2059" s="38" t="s">
        <v>26</v>
      </c>
      <c r="T2059" s="38" t="s">
        <v>806</v>
      </c>
      <c r="U2059" s="38" t="s">
        <v>347</v>
      </c>
      <c r="V2059" s="38" t="s">
        <v>27</v>
      </c>
      <c r="W2059" s="38" t="s">
        <v>886</v>
      </c>
      <c r="X2059" s="38"/>
      <c r="Y2059" s="38"/>
      <c r="Z2059" s="62" t="e">
        <f t="shared" si="101"/>
        <v>#NUM!</v>
      </c>
      <c r="AA2059" s="62"/>
      <c r="AB2059" s="47">
        <v>10</v>
      </c>
      <c r="AC2059" s="47">
        <v>9</v>
      </c>
      <c r="AD2059" s="38"/>
      <c r="AE2059" s="59" t="str">
        <f t="shared" si="102"/>
        <v>NO</v>
      </c>
      <c r="AF2059" s="38" t="e" cm="1">
        <f t="array" aca="1" ref="AF2059" ca="1">MIN(100, MAX(0, (IF(R2059="ESTUDIANTE", 31, 0)) + (IF(I2059&lt;=3, 30, IF(I2059&lt;=6, 20, 0))) +(IF(OR(E2059="413 - Control de Costes y Enlace Construcción", E2059="480 - Secretaría General del Consejo", E2059="132 - Civil y estructuras", E2059="136 - Mecánica", E2059="412 - Planificación", E2059="142 - Compras"), 25, 0)) +(IF(OR(S2059="GRADO ING. MECÁNICA", S2059="GRADO ING. ELÉCTRICA", S2059="GRADO DERECHO", S2059="GRADO ECONOMÍA", S2059="GRADO ING. TECNOLOGÍAS INDUSTRIALES"), 24, 0)) + (IF(AND(K2059&gt;=451, K2059&lt;=700), 23, 0)) + (IF(AND(AB2059&gt;=5, AB2059&lt;=8), 17, 0)) +(IF(_xludf.OR(_xludf.AND(AC2059&gt;=8, AC2059&lt;=10), _xludf.AND(AC2059&gt;=0, AC2059&lt;=5)), 16, 0)) + (IF(F2059="Madrid", 11, 0))))</f>
        <v>#NAME?</v>
      </c>
      <c r="AG2059" s="68"/>
      <c r="AH2059" s="71" t="s">
        <v>164</v>
      </c>
    </row>
    <row r="2060" spans="1:34" s="4" customFormat="1" ht="15" customHeight="1" x14ac:dyDescent="0.3">
      <c r="A2060" s="66" t="s">
        <v>2903</v>
      </c>
      <c r="B2060" s="66" t="s">
        <v>5020</v>
      </c>
      <c r="C2060" s="33">
        <v>2060</v>
      </c>
      <c r="D2060" s="33" t="s">
        <v>5401</v>
      </c>
      <c r="E2060" s="34" t="s">
        <v>5253</v>
      </c>
      <c r="F2060" s="34" t="s">
        <v>18</v>
      </c>
      <c r="G2060" s="57">
        <v>45915</v>
      </c>
      <c r="H2060" s="57">
        <v>46095</v>
      </c>
      <c r="I2060" s="34">
        <f t="shared" si="100"/>
        <v>5</v>
      </c>
      <c r="J2060" s="34">
        <v>35</v>
      </c>
      <c r="K2060" s="36">
        <v>700</v>
      </c>
      <c r="L2060" s="34" t="s">
        <v>29</v>
      </c>
      <c r="M2060" s="39">
        <v>36079</v>
      </c>
      <c r="N2060" s="37">
        <f>(YEAR(TablaMadre[[#This Row],[ALTA]])-YEAR(M2060))</f>
        <v>27</v>
      </c>
      <c r="O2060" s="34" t="s">
        <v>837</v>
      </c>
      <c r="P2060" s="34" t="s">
        <v>837</v>
      </c>
      <c r="Q2060" s="34" t="s">
        <v>354</v>
      </c>
      <c r="R2060" s="34" t="s">
        <v>30</v>
      </c>
      <c r="S2060" s="34" t="s">
        <v>354</v>
      </c>
      <c r="T2060" s="34" t="s">
        <v>806</v>
      </c>
      <c r="U2060" s="34" t="s">
        <v>347</v>
      </c>
      <c r="V2060" s="34" t="s">
        <v>163</v>
      </c>
      <c r="W2060" s="34" t="s">
        <v>28</v>
      </c>
      <c r="X2060" s="34"/>
      <c r="Y2060" s="34"/>
      <c r="Z2060" s="34" t="e">
        <f t="shared" si="101"/>
        <v>#NUM!</v>
      </c>
      <c r="AA2060" s="34"/>
      <c r="AB2060" s="41">
        <v>10</v>
      </c>
      <c r="AC2060" s="41">
        <v>9</v>
      </c>
      <c r="AD2060" s="34"/>
      <c r="AE2060" s="59" t="str">
        <f t="shared" si="102"/>
        <v>SÍ</v>
      </c>
      <c r="AF2060" s="34" t="e" cm="1">
        <f t="array" aca="1" ref="AF2060" ca="1">MIN(100, MAX(0, (IF(R2060="ESTUDIANTE", 31, 0)) + (IF(I2060&lt;=3, 30, IF(I2060&lt;=6, 20, 0))) +(IF(OR(E2060="413 - Control de Costes y Enlace Construcción", E2060="480 - Secretaría General del Consejo", E2060="132 - Civil y estructuras", E2060="136 - Mecánica", E2060="412 - Planificación", E2060="142 - Compras"), 25, 0)) +(IF(OR(S2060="GRADO ING. MECÁNICA", S2060="GRADO ING. ELÉCTRICA", S2060="GRADO DERECHO", S2060="GRADO ECONOMÍA", S2060="GRADO ING. TECNOLOGÍAS INDUSTRIALES"), 24, 0)) + (IF(AND(K2060&gt;=451, K2060&lt;=700), 23, 0)) + (IF(AND(AB2060&gt;=5, AB2060&lt;=8), 17, 0)) +(IF(_xludf.OR(_xludf.AND(AC2060&gt;=8, AC2060&lt;=10), _xludf.AND(AC2060&gt;=0, AC2060&lt;=5)), 16, 0)) + (IF(F2060="Madrid", 11, 0))))</f>
        <v>#NAME?</v>
      </c>
      <c r="AG2060" s="69"/>
      <c r="AH2060" s="71" t="s">
        <v>164</v>
      </c>
    </row>
    <row r="2061" spans="1:34" s="4" customFormat="1" ht="15" customHeight="1" x14ac:dyDescent="0.3">
      <c r="A2061" s="66" t="s">
        <v>2904</v>
      </c>
      <c r="B2061" s="66" t="s">
        <v>5021</v>
      </c>
      <c r="C2061" s="33">
        <v>2063</v>
      </c>
      <c r="D2061" s="33" t="s">
        <v>5402</v>
      </c>
      <c r="E2061" s="34" t="s">
        <v>5216</v>
      </c>
      <c r="F2061" s="34" t="s">
        <v>18</v>
      </c>
      <c r="G2061" s="57">
        <v>45915</v>
      </c>
      <c r="H2061" s="57">
        <v>46095</v>
      </c>
      <c r="I2061" s="34">
        <f t="shared" si="100"/>
        <v>5</v>
      </c>
      <c r="J2061" s="34">
        <v>35</v>
      </c>
      <c r="K2061" s="36">
        <v>900</v>
      </c>
      <c r="L2061" s="34" t="s">
        <v>29</v>
      </c>
      <c r="M2061" s="39">
        <v>37462</v>
      </c>
      <c r="N2061" s="37">
        <f>(YEAR(TablaMadre[[#This Row],[ALTA]])-YEAR(M2061))</f>
        <v>23</v>
      </c>
      <c r="O2061" s="34" t="s">
        <v>787</v>
      </c>
      <c r="P2061" s="34" t="s">
        <v>19</v>
      </c>
      <c r="Q2061" s="34" t="s">
        <v>297</v>
      </c>
      <c r="R2061" s="34" t="s">
        <v>21</v>
      </c>
      <c r="S2061" s="34" t="s">
        <v>297</v>
      </c>
      <c r="T2061" s="34" t="s">
        <v>806</v>
      </c>
      <c r="U2061" s="34" t="s">
        <v>347</v>
      </c>
      <c r="V2061" s="34" t="s">
        <v>84</v>
      </c>
      <c r="W2061" s="34" t="s">
        <v>28</v>
      </c>
      <c r="X2061" s="38"/>
      <c r="Y2061" s="38"/>
      <c r="Z2061" s="38" t="e">
        <f t="shared" si="101"/>
        <v>#NUM!</v>
      </c>
      <c r="AA2061" s="38"/>
      <c r="AB2061" s="41">
        <v>10</v>
      </c>
      <c r="AC2061" s="41">
        <v>7</v>
      </c>
      <c r="AD2061" s="38"/>
      <c r="AE2061" s="59" t="str">
        <f t="shared" si="102"/>
        <v>SÍ</v>
      </c>
      <c r="AF2061" s="34" t="e" cm="1">
        <f t="array" aca="1" ref="AF2061" ca="1">MIN(100, MAX(0, (IF(R2061="ESTUDIANTE", 31, 0)) + (IF(I2061&lt;=3, 30, IF(I2061&lt;=6, 20, 0))) +(IF(OR(E2061="413 - Control de Costes y Enlace Construcción", E2061="480 - Secretaría General del Consejo", E2061="132 - Civil y estructuras", E2061="136 - Mecánica", E2061="412 - Planificación", E2061="142 - Compras"), 25, 0)) +(IF(OR(S2061="GRADO ING. MECÁNICA", S2061="GRADO ING. ELÉCTRICA", S2061="GRADO DERECHO", S2061="GRADO ECONOMÍA", S2061="GRADO ING. TECNOLOGÍAS INDUSTRIALES"), 24, 0)) + (IF(AND(K2061&gt;=451, K2061&lt;=700), 23, 0)) + (IF(AND(AB2061&gt;=5, AB2061&lt;=8), 17, 0)) +(IF(_xludf.OR(_xludf.AND(AC2061&gt;=8, AC2061&lt;=10), _xludf.AND(AC2061&gt;=0, AC2061&lt;=5)), 16, 0)) + (IF(F2061="Madrid", 11, 0))))</f>
        <v>#NAME?</v>
      </c>
      <c r="AG2061" s="69"/>
      <c r="AH2061" s="71" t="s">
        <v>164</v>
      </c>
    </row>
    <row r="2062" spans="1:34" s="4" customFormat="1" ht="15" customHeight="1" x14ac:dyDescent="0.3">
      <c r="A2062" s="66" t="s">
        <v>2905</v>
      </c>
      <c r="B2062" s="66" t="s">
        <v>5022</v>
      </c>
      <c r="C2062" s="33">
        <v>2062</v>
      </c>
      <c r="D2062" s="33" t="s">
        <v>5393</v>
      </c>
      <c r="E2062" s="34" t="s">
        <v>5322</v>
      </c>
      <c r="F2062" s="34" t="s">
        <v>18</v>
      </c>
      <c r="G2062" s="57">
        <v>45915</v>
      </c>
      <c r="H2062" s="57">
        <v>46095</v>
      </c>
      <c r="I2062" s="34">
        <f t="shared" si="100"/>
        <v>5</v>
      </c>
      <c r="J2062" s="34">
        <v>20</v>
      </c>
      <c r="K2062" s="36">
        <v>500</v>
      </c>
      <c r="L2062" s="34" t="s">
        <v>17</v>
      </c>
      <c r="M2062" s="39">
        <v>37919</v>
      </c>
      <c r="N2062" s="37">
        <f>(YEAR(TablaMadre[[#This Row],[ALTA]])-YEAR(M2062))</f>
        <v>22</v>
      </c>
      <c r="O2062" s="34" t="s">
        <v>121</v>
      </c>
      <c r="P2062" s="34" t="s">
        <v>19</v>
      </c>
      <c r="Q2062" s="34" t="s">
        <v>136</v>
      </c>
      <c r="R2062" s="34" t="s">
        <v>21</v>
      </c>
      <c r="S2062" s="34" t="s">
        <v>136</v>
      </c>
      <c r="T2062" s="34" t="s">
        <v>806</v>
      </c>
      <c r="U2062" s="34" t="str">
        <f>SUBSTITUTE($T2062, "INGUN", "/")</f>
        <v>N/A</v>
      </c>
      <c r="V2062" s="34" t="s">
        <v>67</v>
      </c>
      <c r="W2062" s="34" t="s">
        <v>28</v>
      </c>
      <c r="X2062" s="34"/>
      <c r="Y2062" s="34"/>
      <c r="Z2062" s="34" t="e">
        <f t="shared" si="101"/>
        <v>#NUM!</v>
      </c>
      <c r="AA2062" s="34"/>
      <c r="AB2062" s="41">
        <v>9</v>
      </c>
      <c r="AC2062" s="41">
        <v>9</v>
      </c>
      <c r="AD2062" s="34"/>
      <c r="AE2062" s="59" t="str">
        <f t="shared" si="102"/>
        <v>SÍ</v>
      </c>
      <c r="AF2062" s="34" t="e" cm="1">
        <f t="array" aca="1" ref="AF2062" ca="1">MIN(100, MAX(0, (IF(R2062="ESTUDIANTE", 31, 0)) + (IF(I2062&lt;=3, 30, IF(I2062&lt;=6, 20, 0))) +(IF(OR(E2062="413 - Control de Costes y Enlace Construcción", E2062="480 - Secretaría General del Consejo", E2062="132 - Civil y estructuras", E2062="136 - Mecánica", E2062="412 - Planificación", E2062="142 - Compras"), 25, 0)) +(IF(OR(S2062="GRADO ING. MECÁNICA", S2062="GRADO ING. ELÉCTRICA", S2062="GRADO DERECHO", S2062="GRADO ECONOMÍA", S2062="GRADO ING. TECNOLOGÍAS INDUSTRIALES"), 24, 0)) + (IF(AND(K2062&gt;=451, K2062&lt;=700), 23, 0)) + (IF(AND(AB2062&gt;=5, AB2062&lt;=8), 17, 0)) +(IF(_xludf.OR(_xludf.AND(AC2062&gt;=8, AC2062&lt;=10), _xludf.AND(AC2062&gt;=0, AC2062&lt;=5)), 16, 0)) + (IF(F2062="Madrid", 11, 0))))</f>
        <v>#NAME?</v>
      </c>
      <c r="AG2062" s="69"/>
      <c r="AH2062" s="71" t="s">
        <v>164</v>
      </c>
    </row>
    <row r="2063" spans="1:34" s="4" customFormat="1" ht="15" customHeight="1" x14ac:dyDescent="0.3">
      <c r="A2063" s="66" t="s">
        <v>2908</v>
      </c>
      <c r="B2063" s="66" t="s">
        <v>5025</v>
      </c>
      <c r="C2063" s="33">
        <v>2059</v>
      </c>
      <c r="D2063" s="33" t="s">
        <v>5394</v>
      </c>
      <c r="E2063" s="34" t="s">
        <v>5252</v>
      </c>
      <c r="F2063" s="34" t="s">
        <v>118</v>
      </c>
      <c r="G2063" s="57">
        <v>45915</v>
      </c>
      <c r="H2063" s="57">
        <v>46034</v>
      </c>
      <c r="I2063" s="34">
        <f t="shared" si="100"/>
        <v>3</v>
      </c>
      <c r="J2063" s="34">
        <v>25</v>
      </c>
      <c r="K2063" s="36">
        <v>500</v>
      </c>
      <c r="L2063" s="34" t="s">
        <v>29</v>
      </c>
      <c r="M2063" s="39">
        <v>37087</v>
      </c>
      <c r="N2063" s="37">
        <f>(YEAR(TablaMadre[[#This Row],[ALTA]])-YEAR(M2063))</f>
        <v>24</v>
      </c>
      <c r="O2063" s="34" t="s">
        <v>118</v>
      </c>
      <c r="P2063" s="34" t="s">
        <v>19</v>
      </c>
      <c r="Q2063" s="34" t="s">
        <v>322</v>
      </c>
      <c r="R2063" s="34" t="s">
        <v>30</v>
      </c>
      <c r="S2063" s="34" t="s">
        <v>322</v>
      </c>
      <c r="T2063" s="34" t="s">
        <v>806</v>
      </c>
      <c r="U2063" s="34" t="s">
        <v>30</v>
      </c>
      <c r="V2063" s="34" t="s">
        <v>174</v>
      </c>
      <c r="W2063" s="34" t="s">
        <v>23</v>
      </c>
      <c r="X2063" s="34"/>
      <c r="Y2063" s="34"/>
      <c r="Z2063" s="57" t="e">
        <f t="shared" si="101"/>
        <v>#NUM!</v>
      </c>
      <c r="AA2063" s="57"/>
      <c r="AB2063" s="41"/>
      <c r="AC2063" s="41">
        <v>4</v>
      </c>
      <c r="AD2063" s="34"/>
      <c r="AE2063" s="59" t="str">
        <f t="shared" si="102"/>
        <v>NO</v>
      </c>
      <c r="AF2063" s="34" t="e" cm="1">
        <f t="array" aca="1" ref="AF2063" ca="1">MIN(100, MAX(0, (IF(R2063="ESTUDIANTE", 31, 0)) + (IF(I2063&lt;=3, 30, IF(I2063&lt;=6, 20, 0))) +(IF(OR(E2063="413 - Control de Costes y Enlace Construcción", E2063="480 - Secretaría General del Consejo", E2063="132 - Civil y estructuras", E2063="136 - Mecánica", E2063="412 - Planificación", E2063="142 - Compras"), 25, 0)) +(IF(OR(S2063="GRADO ING. MECÁNICA", S2063="GRADO ING. ELÉCTRICA", S2063="GRADO DERECHO", S2063="GRADO ECONOMÍA", S2063="GRADO ING. TECNOLOGÍAS INDUSTRIALES"), 24, 0)) + (IF(AND(K2063&gt;=451, K2063&lt;=700), 23, 0)) + (IF(AND(AB2063&gt;=5, AB2063&lt;=8), 17, 0)) +(IF(_xludf.OR(_xludf.AND(AC2063&gt;=8, AC2063&lt;=10), _xludf.AND(AC2063&gt;=0, AC2063&lt;=5)), 16, 0)) + (IF(F2063="Madrid", 11, 0))))</f>
        <v>#NAME?</v>
      </c>
      <c r="AG2063" s="69"/>
      <c r="AH2063" s="71" t="s">
        <v>164</v>
      </c>
    </row>
    <row r="2064" spans="1:34" ht="15" customHeight="1" x14ac:dyDescent="0.3">
      <c r="A2064" s="66" t="s">
        <v>2909</v>
      </c>
      <c r="B2064" s="66" t="s">
        <v>5026</v>
      </c>
      <c r="C2064" s="33">
        <v>2061</v>
      </c>
      <c r="D2064" s="33" t="s">
        <v>5403</v>
      </c>
      <c r="E2064" s="34" t="s">
        <v>5222</v>
      </c>
      <c r="F2064" s="34" t="s">
        <v>18</v>
      </c>
      <c r="G2064" s="57">
        <v>45915</v>
      </c>
      <c r="H2064" s="57">
        <v>46095</v>
      </c>
      <c r="I2064" s="34">
        <f t="shared" si="100"/>
        <v>5</v>
      </c>
      <c r="J2064" s="34">
        <v>35</v>
      </c>
      <c r="K2064" s="36">
        <v>900</v>
      </c>
      <c r="L2064" s="34" t="s">
        <v>17</v>
      </c>
      <c r="M2064" s="39">
        <v>36751</v>
      </c>
      <c r="N2064" s="37">
        <f>(YEAR(TablaMadre[[#This Row],[ALTA]])-YEAR(M2064))</f>
        <v>25</v>
      </c>
      <c r="O2064" s="34" t="s">
        <v>18</v>
      </c>
      <c r="P2064" s="34" t="s">
        <v>19</v>
      </c>
      <c r="Q2064" s="34" t="s">
        <v>297</v>
      </c>
      <c r="R2064" s="34" t="s">
        <v>21</v>
      </c>
      <c r="S2064" s="34" t="s">
        <v>297</v>
      </c>
      <c r="T2064" s="34" t="s">
        <v>905</v>
      </c>
      <c r="U2064" s="34" t="s">
        <v>21</v>
      </c>
      <c r="V2064" s="34" t="s">
        <v>22</v>
      </c>
      <c r="W2064" s="34" t="s">
        <v>28</v>
      </c>
      <c r="X2064" s="34"/>
      <c r="Y2064" s="34"/>
      <c r="Z2064" s="34" t="e">
        <f t="shared" si="101"/>
        <v>#NUM!</v>
      </c>
      <c r="AA2064" s="34"/>
      <c r="AB2064" s="41">
        <v>8</v>
      </c>
      <c r="AC2064" s="41">
        <v>9</v>
      </c>
      <c r="AD2064" s="34"/>
      <c r="AE2064" s="59" t="str">
        <f t="shared" si="102"/>
        <v>NO</v>
      </c>
      <c r="AF2064" s="38" t="e" cm="1">
        <f t="array" aca="1" ref="AF2064" ca="1">MIN(100, MAX(0, (IF(R2064="ESTUDIANTE", 31, 0)) + (IF(I2064&lt;=3, 30, IF(I2064&lt;=6, 20, 0))) +(IF(OR(E2064="413 - Control de Costes y Enlace Construcción", E2064="480 - Secretaría General del Consejo", E2064="132 - Civil y estructuras", E2064="136 - Mecánica", E2064="412 - Planificación", E2064="142 - Compras"), 25, 0)) +(IF(OR(S2064="GRADO ING. MECÁNICA", S2064="GRADO ING. ELÉCTRICA", S2064="GRADO DERECHO", S2064="GRADO ECONOMÍA", S2064="GRADO ING. TECNOLOGÍAS INDUSTRIALES"), 24, 0)) + (IF(AND(K2064&gt;=451, K2064&lt;=700), 23, 0)) + (IF(AND(AB2064&gt;=5, AB2064&lt;=8), 17, 0)) +(IF(_xludf.OR(_xludf.AND(AC2064&gt;=8, AC2064&lt;=10), _xludf.AND(AC2064&gt;=0, AC2064&lt;=5)), 16, 0)) + (IF(F2064="Madrid", 11, 0))))</f>
        <v>#NAME?</v>
      </c>
      <c r="AG2064" s="68"/>
      <c r="AH2064" s="71" t="s">
        <v>164</v>
      </c>
    </row>
    <row r="2065" spans="1:34" s="4" customFormat="1" ht="15" customHeight="1" x14ac:dyDescent="0.3">
      <c r="A2065" s="66" t="s">
        <v>3043</v>
      </c>
      <c r="B2065" s="66" t="s">
        <v>5160</v>
      </c>
      <c r="C2065" s="33">
        <v>2064</v>
      </c>
      <c r="D2065" s="33" t="s">
        <v>5404</v>
      </c>
      <c r="E2065" s="34" t="s">
        <v>5241</v>
      </c>
      <c r="F2065" s="34" t="s">
        <v>18</v>
      </c>
      <c r="G2065" s="57">
        <v>45915</v>
      </c>
      <c r="H2065" s="57">
        <v>46170</v>
      </c>
      <c r="I2065" s="34">
        <f t="shared" si="100"/>
        <v>8</v>
      </c>
      <c r="J2065" s="34">
        <v>25</v>
      </c>
      <c r="K2065" s="36">
        <v>500</v>
      </c>
      <c r="L2065" s="34" t="s">
        <v>29</v>
      </c>
      <c r="M2065" s="39">
        <v>37476</v>
      </c>
      <c r="N2065" s="37">
        <f>(YEAR(TablaMadre[[#This Row],[ALTA]])-YEAR(M2065))</f>
        <v>23</v>
      </c>
      <c r="O2065" s="34" t="s">
        <v>913</v>
      </c>
      <c r="P2065" s="34" t="s">
        <v>19</v>
      </c>
      <c r="Q2065" s="34" t="s">
        <v>721</v>
      </c>
      <c r="R2065" s="34" t="s">
        <v>30</v>
      </c>
      <c r="S2065" s="34" t="s">
        <v>721</v>
      </c>
      <c r="T2065" s="34" t="s">
        <v>806</v>
      </c>
      <c r="U2065" s="34" t="s">
        <v>347</v>
      </c>
      <c r="V2065" s="34" t="s">
        <v>40</v>
      </c>
      <c r="W2065" s="34" t="s">
        <v>886</v>
      </c>
      <c r="X2065" s="34"/>
      <c r="Y2065" s="34"/>
      <c r="Z2065" s="57" t="e">
        <f t="shared" si="101"/>
        <v>#NUM!</v>
      </c>
      <c r="AA2065" s="57"/>
      <c r="AB2065" s="41">
        <v>8</v>
      </c>
      <c r="AC2065" s="41">
        <v>8</v>
      </c>
      <c r="AD2065" s="34"/>
      <c r="AE2065" s="59" t="str">
        <f t="shared" si="102"/>
        <v>SÍ</v>
      </c>
      <c r="AF2065" s="34" t="e" cm="1">
        <f t="array" aca="1" ref="AF2065" ca="1">MIN(100, MAX(0, (IF(R2065="ESTUDIANTE", 31, 0)) + (IF(I2065&lt;=3, 30, IF(I2065&lt;=6, 20, 0))) +(IF(OR(E2065="413 - Control de Costes y Enlace Construcción", E2065="480 - Secretaría General del Consejo", E2065="132 - Civil y estructuras", E2065="136 - Mecánica", E2065="412 - Planificación", E2065="142 - Compras"), 25, 0)) +(IF(OR(S2065="GRADO ING. MECÁNICA", S2065="GRADO ING. ELÉCTRICA", S2065="GRADO DERECHO", S2065="GRADO ECONOMÍA", S2065="GRADO ING. TECNOLOGÍAS INDUSTRIALES"), 24, 0)) + (IF(AND(K2065&gt;=451, K2065&lt;=700), 23, 0)) + (IF(AND(AB2065&gt;=5, AB2065&lt;=8), 17, 0)) +(IF(_xludf.OR(_xludf.AND(AC2065&gt;=8, AC2065&lt;=10), _xludf.AND(AC2065&gt;=0, AC2065&lt;=5)), 16, 0)) + (IF(F2065="Madrid", 11, 0))))</f>
        <v>#NAME?</v>
      </c>
      <c r="AG2065" s="69"/>
      <c r="AH2065" s="71" t="s">
        <v>164</v>
      </c>
    </row>
    <row r="2066" spans="1:34" ht="15" customHeight="1" x14ac:dyDescent="0.3">
      <c r="A2066" s="66" t="s">
        <v>3044</v>
      </c>
      <c r="B2066" s="66" t="s">
        <v>5161</v>
      </c>
      <c r="C2066" s="33">
        <v>2065</v>
      </c>
      <c r="D2066" s="33" t="s">
        <v>5405</v>
      </c>
      <c r="E2066" s="34" t="s">
        <v>5285</v>
      </c>
      <c r="F2066" s="34" t="s">
        <v>18</v>
      </c>
      <c r="G2066" s="57">
        <v>45915</v>
      </c>
      <c r="H2066" s="57">
        <v>46279</v>
      </c>
      <c r="I2066" s="40">
        <f t="shared" si="100"/>
        <v>11</v>
      </c>
      <c r="J2066" s="40">
        <v>35</v>
      </c>
      <c r="K2066" s="45">
        <v>700</v>
      </c>
      <c r="L2066" s="40" t="s">
        <v>17</v>
      </c>
      <c r="M2066" s="48">
        <v>36195</v>
      </c>
      <c r="N2066" s="37">
        <f>(YEAR(TablaMadre[[#This Row],[ALTA]])-YEAR(M2066))</f>
        <v>26</v>
      </c>
      <c r="O2066" s="34" t="s">
        <v>233</v>
      </c>
      <c r="P2066" s="40" t="s">
        <v>19</v>
      </c>
      <c r="Q2066" s="40" t="s">
        <v>151</v>
      </c>
      <c r="R2066" s="40" t="s">
        <v>30</v>
      </c>
      <c r="S2066" s="40" t="s">
        <v>151</v>
      </c>
      <c r="T2066" s="40" t="s">
        <v>806</v>
      </c>
      <c r="U2066" s="40" t="s">
        <v>347</v>
      </c>
      <c r="V2066" s="40" t="s">
        <v>22</v>
      </c>
      <c r="W2066" s="40" t="s">
        <v>886</v>
      </c>
      <c r="X2066" s="38"/>
      <c r="Y2066" s="38"/>
      <c r="Z2066" s="62" t="e">
        <f t="shared" si="101"/>
        <v>#NUM!</v>
      </c>
      <c r="AA2066" s="62"/>
      <c r="AB2066" s="47">
        <v>10</v>
      </c>
      <c r="AC2066" s="47"/>
      <c r="AD2066" s="38"/>
      <c r="AE2066" s="59" t="str">
        <f t="shared" si="102"/>
        <v>SÍ</v>
      </c>
      <c r="AF2066" s="38" t="e" cm="1">
        <f t="array" aca="1" ref="AF2066" ca="1">MIN(100, MAX(0, (IF(R2066="ESTUDIANTE", 31, 0)) + (IF(I2066&lt;=3, 30, IF(I2066&lt;=6, 20, 0))) +(IF(OR(E2066="413 - Control de Costes y Enlace Construcción", E2066="480 - Secretaría General del Consejo", E2066="132 - Civil y estructuras", E2066="136 - Mecánica", E2066="412 - Planificación", E2066="142 - Compras"), 25, 0)) +(IF(OR(S2066="GRADO ING. MECÁNICA", S2066="GRADO ING. ELÉCTRICA", S2066="GRADO DERECHO", S2066="GRADO ECONOMÍA", S2066="GRADO ING. TECNOLOGÍAS INDUSTRIALES"), 24, 0)) + (IF(AND(K2066&gt;=451, K2066&lt;=700), 23, 0)) + (IF(AND(AB2066&gt;=5, AB2066&lt;=8), 17, 0)) +(IF(_xludf.OR(_xludf.AND(AC2066&gt;=8, AC2066&lt;=10), _xludf.AND(AC2066&gt;=0, AC2066&lt;=5)), 16, 0)) + (IF(F2066="Madrid", 11, 0))))</f>
        <v>#NAME?</v>
      </c>
      <c r="AG2066" s="68"/>
      <c r="AH2066" s="71" t="s">
        <v>164</v>
      </c>
    </row>
    <row r="2067" spans="1:34" s="4" customFormat="1" ht="15" customHeight="1" x14ac:dyDescent="0.3">
      <c r="A2067" s="66" t="s">
        <v>3045</v>
      </c>
      <c r="B2067" s="66" t="s">
        <v>5162</v>
      </c>
      <c r="C2067" s="33">
        <v>2066</v>
      </c>
      <c r="D2067" s="33" t="s">
        <v>5396</v>
      </c>
      <c r="E2067" s="34" t="s">
        <v>5367</v>
      </c>
      <c r="F2067" s="34" t="s">
        <v>411</v>
      </c>
      <c r="G2067" s="57">
        <v>45915</v>
      </c>
      <c r="H2067" s="57">
        <v>46157</v>
      </c>
      <c r="I2067" s="38">
        <f t="shared" si="100"/>
        <v>8</v>
      </c>
      <c r="J2067" s="40">
        <v>35</v>
      </c>
      <c r="K2067" s="44">
        <v>1200</v>
      </c>
      <c r="L2067" s="38" t="s">
        <v>29</v>
      </c>
      <c r="M2067" s="43">
        <v>37487</v>
      </c>
      <c r="N2067" s="37">
        <f>(YEAR(TablaMadre[[#This Row],[ALTA]])-YEAR(M2067))</f>
        <v>23</v>
      </c>
      <c r="O2067" s="34" t="s">
        <v>411</v>
      </c>
      <c r="P2067" s="38" t="s">
        <v>19</v>
      </c>
      <c r="Q2067" s="38" t="s">
        <v>297</v>
      </c>
      <c r="R2067" s="38" t="s">
        <v>21</v>
      </c>
      <c r="S2067" s="38" t="s">
        <v>297</v>
      </c>
      <c r="T2067" s="38" t="s">
        <v>820</v>
      </c>
      <c r="U2067" s="38" t="s">
        <v>30</v>
      </c>
      <c r="V2067" s="38" t="s">
        <v>142</v>
      </c>
      <c r="W2067" s="38" t="s">
        <v>886</v>
      </c>
      <c r="X2067" s="34"/>
      <c r="Y2067" s="34"/>
      <c r="Z2067" s="57" t="e">
        <f t="shared" si="101"/>
        <v>#NUM!</v>
      </c>
      <c r="AA2067" s="57"/>
      <c r="AB2067" s="47">
        <v>10</v>
      </c>
      <c r="AC2067" s="47">
        <v>7</v>
      </c>
      <c r="AD2067" s="34"/>
      <c r="AE2067" s="59" t="str">
        <f t="shared" si="102"/>
        <v>NO</v>
      </c>
      <c r="AF2067" s="34" t="e" cm="1">
        <f t="array" aca="1" ref="AF2067" ca="1">MIN(100, MAX(0, (IF(R2067="ESTUDIANTE", 31, 0)) + (IF(I2067&lt;=3, 30, IF(I2067&lt;=6, 20, 0))) +(IF(OR(E2067="413 - Control de Costes y Enlace Construcción", E2067="480 - Secretaría General del Consejo", E2067="132 - Civil y estructuras", E2067="136 - Mecánica", E2067="412 - Planificación", E2067="142 - Compras"), 25, 0)) +(IF(OR(S2067="GRADO ING. MECÁNICA", S2067="GRADO ING. ELÉCTRICA", S2067="GRADO DERECHO", S2067="GRADO ECONOMÍA", S2067="GRADO ING. TECNOLOGÍAS INDUSTRIALES"), 24, 0)) + (IF(AND(K2067&gt;=451, K2067&lt;=700), 23, 0)) + (IF(AND(AB2067&gt;=5, AB2067&lt;=8), 17, 0)) +(IF(_xludf.OR(_xludf.AND(AC2067&gt;=8, AC2067&lt;=10), _xludf.AND(AC2067&gt;=0, AC2067&lt;=5)), 16, 0)) + (IF(F2067="Madrid", 11, 0))))</f>
        <v>#NAME?</v>
      </c>
      <c r="AG2067" s="69"/>
      <c r="AH2067" s="71" t="s">
        <v>164</v>
      </c>
    </row>
    <row r="2068" spans="1:34" s="4" customFormat="1" ht="15" customHeight="1" x14ac:dyDescent="0.3">
      <c r="A2068" s="66" t="s">
        <v>3046</v>
      </c>
      <c r="B2068" s="66" t="s">
        <v>5163</v>
      </c>
      <c r="C2068" s="33">
        <v>2067</v>
      </c>
      <c r="D2068" s="33" t="s">
        <v>5397</v>
      </c>
      <c r="E2068" s="34" t="s">
        <v>5343</v>
      </c>
      <c r="F2068" s="34" t="s">
        <v>18</v>
      </c>
      <c r="G2068" s="57">
        <v>45915</v>
      </c>
      <c r="H2068" s="57">
        <v>46278</v>
      </c>
      <c r="I2068" s="38">
        <f t="shared" si="100"/>
        <v>11</v>
      </c>
      <c r="J2068" s="40">
        <v>35</v>
      </c>
      <c r="K2068" s="44">
        <v>700</v>
      </c>
      <c r="L2068" s="38" t="s">
        <v>17</v>
      </c>
      <c r="M2068" s="43">
        <v>37059</v>
      </c>
      <c r="N2068" s="37">
        <f>(YEAR(TablaMadre[[#This Row],[ALTA]])-YEAR(M2068))</f>
        <v>24</v>
      </c>
      <c r="O2068" s="34" t="s">
        <v>18</v>
      </c>
      <c r="P2068" s="38" t="s">
        <v>19</v>
      </c>
      <c r="Q2068" s="38" t="s">
        <v>915</v>
      </c>
      <c r="R2068" s="38" t="s">
        <v>30</v>
      </c>
      <c r="S2068" s="34" t="s">
        <v>307</v>
      </c>
      <c r="T2068" s="38" t="s">
        <v>806</v>
      </c>
      <c r="U2068" s="38" t="s">
        <v>347</v>
      </c>
      <c r="V2068" s="38" t="s">
        <v>40</v>
      </c>
      <c r="W2068" s="38" t="s">
        <v>886</v>
      </c>
      <c r="X2068" s="34"/>
      <c r="Y2068" s="34"/>
      <c r="Z2068" s="57" t="e">
        <f t="shared" si="101"/>
        <v>#NUM!</v>
      </c>
      <c r="AA2068" s="57"/>
      <c r="AB2068" s="47">
        <v>9</v>
      </c>
      <c r="AC2068" s="47">
        <v>8</v>
      </c>
      <c r="AD2068" s="34"/>
      <c r="AE2068" s="59" t="str">
        <f t="shared" si="102"/>
        <v>NO</v>
      </c>
      <c r="AF2068" s="34" t="e" cm="1">
        <f t="array" aca="1" ref="AF2068" ca="1">MIN(100, MAX(0, (IF(R2068="ESTUDIANTE", 31, 0)) + (IF(I2068&lt;=3, 30, IF(I2068&lt;=6, 20, 0))) +(IF(OR(E2068="413 - Control de Costes y Enlace Construcción", E2068="480 - Secretaría General del Consejo", E2068="132 - Civil y estructuras", E2068="136 - Mecánica", E2068="412 - Planificación", E2068="142 - Compras"), 25, 0)) +(IF(OR(S2068="GRADO ING. MECÁNICA", S2068="GRADO ING. ELÉCTRICA", S2068="GRADO DERECHO", S2068="GRADO ECONOMÍA", S2068="GRADO ING. TECNOLOGÍAS INDUSTRIALES"), 24, 0)) + (IF(AND(K2068&gt;=451, K2068&lt;=700), 23, 0)) + (IF(AND(AB2068&gt;=5, AB2068&lt;=8), 17, 0)) +(IF(_xludf.OR(_xludf.AND(AC2068&gt;=8, AC2068&lt;=10), _xludf.AND(AC2068&gt;=0, AC2068&lt;=5)), 16, 0)) + (IF(F2068="Madrid", 11, 0))))</f>
        <v>#NAME?</v>
      </c>
      <c r="AG2068" s="69"/>
      <c r="AH2068" s="71" t="s">
        <v>164</v>
      </c>
    </row>
    <row r="2069" spans="1:34" s="4" customFormat="1" ht="15" customHeight="1" x14ac:dyDescent="0.3">
      <c r="A2069" s="66" t="s">
        <v>3047</v>
      </c>
      <c r="B2069" s="66" t="s">
        <v>5164</v>
      </c>
      <c r="C2069" s="33">
        <v>2068</v>
      </c>
      <c r="D2069" s="33" t="s">
        <v>5393</v>
      </c>
      <c r="E2069" s="34" t="s">
        <v>5337</v>
      </c>
      <c r="F2069" s="34" t="s">
        <v>18</v>
      </c>
      <c r="G2069" s="57">
        <v>45915</v>
      </c>
      <c r="H2069" s="57">
        <v>46279</v>
      </c>
      <c r="I2069" s="38">
        <f t="shared" si="100"/>
        <v>11</v>
      </c>
      <c r="J2069" s="40">
        <v>30</v>
      </c>
      <c r="K2069" s="44">
        <v>600</v>
      </c>
      <c r="L2069" s="38" t="s">
        <v>17</v>
      </c>
      <c r="M2069" s="43">
        <v>36875</v>
      </c>
      <c r="N2069" s="37">
        <f>(YEAR(TablaMadre[[#This Row],[ALTA]])-YEAR(M2069))</f>
        <v>25</v>
      </c>
      <c r="O2069" s="34" t="s">
        <v>18</v>
      </c>
      <c r="P2069" s="38" t="s">
        <v>19</v>
      </c>
      <c r="Q2069" s="38" t="s">
        <v>384</v>
      </c>
      <c r="R2069" s="38" t="s">
        <v>30</v>
      </c>
      <c r="S2069" s="34" t="s">
        <v>384</v>
      </c>
      <c r="T2069" s="38" t="s">
        <v>806</v>
      </c>
      <c r="U2069" s="38" t="s">
        <v>347</v>
      </c>
      <c r="V2069" s="38" t="s">
        <v>22</v>
      </c>
      <c r="W2069" s="38" t="s">
        <v>886</v>
      </c>
      <c r="X2069" s="34"/>
      <c r="Y2069" s="34"/>
      <c r="Z2069" s="57" t="e">
        <f t="shared" si="101"/>
        <v>#NUM!</v>
      </c>
      <c r="AA2069" s="57"/>
      <c r="AB2069" s="47">
        <v>10</v>
      </c>
      <c r="AC2069" s="47">
        <v>8</v>
      </c>
      <c r="AD2069" s="34"/>
      <c r="AE2069" s="59" t="str">
        <f t="shared" si="102"/>
        <v>NO</v>
      </c>
      <c r="AF2069" s="34" t="e" cm="1">
        <f t="array" aca="1" ref="AF2069" ca="1">MIN(100, MAX(0, (IF(R2069="ESTUDIANTE", 31, 0)) + (IF(I2069&lt;=3, 30, IF(I2069&lt;=6, 20, 0))) +(IF(OR(E2069="413 - Control de Costes y Enlace Construcción", E2069="480 - Secretaría General del Consejo", E2069="132 - Civil y estructuras", E2069="136 - Mecánica", E2069="412 - Planificación", E2069="142 - Compras"), 25, 0)) +(IF(OR(S2069="GRADO ING. MECÁNICA", S2069="GRADO ING. ELÉCTRICA", S2069="GRADO DERECHO", S2069="GRADO ECONOMÍA", S2069="GRADO ING. TECNOLOGÍAS INDUSTRIALES"), 24, 0)) + (IF(AND(K2069&gt;=451, K2069&lt;=700), 23, 0)) + (IF(AND(AB2069&gt;=5, AB2069&lt;=8), 17, 0)) +(IF(_xludf.OR(_xludf.AND(AC2069&gt;=8, AC2069&lt;=10), _xludf.AND(AC2069&gt;=0, AC2069&lt;=5)), 16, 0)) + (IF(F2069="Madrid", 11, 0))))</f>
        <v>#NAME?</v>
      </c>
      <c r="AG2069" s="69"/>
      <c r="AH2069" s="71" t="s">
        <v>164</v>
      </c>
    </row>
    <row r="2070" spans="1:34" s="4" customFormat="1" ht="15" customHeight="1" x14ac:dyDescent="0.3">
      <c r="A2070" s="66" t="s">
        <v>2914</v>
      </c>
      <c r="B2070" s="66" t="s">
        <v>5031</v>
      </c>
      <c r="C2070" s="33">
        <v>2072</v>
      </c>
      <c r="D2070" s="33" t="s">
        <v>5394</v>
      </c>
      <c r="E2070" s="34" t="s">
        <v>5219</v>
      </c>
      <c r="F2070" s="34" t="s">
        <v>18</v>
      </c>
      <c r="G2070" s="57">
        <v>45922</v>
      </c>
      <c r="H2070" s="57">
        <v>46102</v>
      </c>
      <c r="I2070" s="34">
        <f t="shared" si="100"/>
        <v>5</v>
      </c>
      <c r="J2070" s="34">
        <v>25</v>
      </c>
      <c r="K2070" s="36">
        <v>625</v>
      </c>
      <c r="L2070" s="34" t="s">
        <v>17</v>
      </c>
      <c r="M2070" s="39">
        <v>37333</v>
      </c>
      <c r="N2070" s="37">
        <f>(YEAR(TablaMadre[[#This Row],[ALTA]])-YEAR(M2070))</f>
        <v>23</v>
      </c>
      <c r="O2070" s="34" t="s">
        <v>205</v>
      </c>
      <c r="P2070" s="34" t="s">
        <v>19</v>
      </c>
      <c r="Q2070" s="34" t="s">
        <v>322</v>
      </c>
      <c r="R2070" s="34" t="s">
        <v>21</v>
      </c>
      <c r="S2070" s="34" t="s">
        <v>322</v>
      </c>
      <c r="T2070" s="34" t="s">
        <v>823</v>
      </c>
      <c r="U2070" s="34" t="s">
        <v>30</v>
      </c>
      <c r="V2070" s="34" t="s">
        <v>207</v>
      </c>
      <c r="W2070" s="34" t="s">
        <v>181</v>
      </c>
      <c r="X2070" s="38"/>
      <c r="Y2070" s="38"/>
      <c r="Z2070" s="62" t="e">
        <f t="shared" si="101"/>
        <v>#NUM!</v>
      </c>
      <c r="AA2070" s="62"/>
      <c r="AB2070" s="41">
        <v>10</v>
      </c>
      <c r="AC2070" s="41">
        <v>10</v>
      </c>
      <c r="AD2070" s="38"/>
      <c r="AE2070" s="59" t="str">
        <f t="shared" si="102"/>
        <v>SÍ</v>
      </c>
      <c r="AF2070" s="34" t="e" cm="1">
        <f t="array" aca="1" ref="AF2070" ca="1">MIN(100, MAX(0, (IF(R2070="ESTUDIANTE", 31, 0)) + (IF(I2070&lt;=3, 30, IF(I2070&lt;=6, 20, 0))) +(IF(OR(E2070="413 - Control de Costes y Enlace Construcción", E2070="480 - Secretaría General del Consejo", E2070="132 - Civil y estructuras", E2070="136 - Mecánica", E2070="412 - Planificación", E2070="142 - Compras"), 25, 0)) +(IF(OR(S2070="GRADO ING. MECÁNICA", S2070="GRADO ING. ELÉCTRICA", S2070="GRADO DERECHO", S2070="GRADO ECONOMÍA", S2070="GRADO ING. TECNOLOGÍAS INDUSTRIALES"), 24, 0)) + (IF(AND(K2070&gt;=451, K2070&lt;=700), 23, 0)) + (IF(AND(AB2070&gt;=5, AB2070&lt;=8), 17, 0)) +(IF(_xludf.OR(_xludf.AND(AC2070&gt;=8, AC2070&lt;=10), _xludf.AND(AC2070&gt;=0, AC2070&lt;=5)), 16, 0)) + (IF(F2070="Madrid", 11, 0))))</f>
        <v>#NAME?</v>
      </c>
      <c r="AG2070" s="69"/>
      <c r="AH2070" s="71" t="s">
        <v>164</v>
      </c>
    </row>
    <row r="2071" spans="1:34" s="4" customFormat="1" ht="15" customHeight="1" x14ac:dyDescent="0.3">
      <c r="A2071" s="66" t="s">
        <v>2918</v>
      </c>
      <c r="B2071" s="66" t="s">
        <v>5035</v>
      </c>
      <c r="C2071" s="33">
        <v>2073</v>
      </c>
      <c r="D2071" s="33" t="s">
        <v>5395</v>
      </c>
      <c r="E2071" s="34" t="s">
        <v>5219</v>
      </c>
      <c r="F2071" s="34" t="s">
        <v>18</v>
      </c>
      <c r="G2071" s="57">
        <v>45922</v>
      </c>
      <c r="H2071" s="57">
        <v>46102</v>
      </c>
      <c r="I2071" s="34">
        <f t="shared" si="100"/>
        <v>5</v>
      </c>
      <c r="J2071" s="34">
        <v>25</v>
      </c>
      <c r="K2071" s="36">
        <v>625</v>
      </c>
      <c r="L2071" s="34" t="s">
        <v>17</v>
      </c>
      <c r="M2071" s="39">
        <v>37495</v>
      </c>
      <c r="N2071" s="37">
        <f>(YEAR(TablaMadre[[#This Row],[ALTA]])-YEAR(M2071))</f>
        <v>23</v>
      </c>
      <c r="O2071" s="34" t="s">
        <v>118</v>
      </c>
      <c r="P2071" s="34" t="s">
        <v>19</v>
      </c>
      <c r="Q2071" s="34" t="s">
        <v>322</v>
      </c>
      <c r="R2071" s="34" t="s">
        <v>21</v>
      </c>
      <c r="S2071" s="34" t="s">
        <v>322</v>
      </c>
      <c r="T2071" s="34" t="s">
        <v>823</v>
      </c>
      <c r="U2071" s="34" t="s">
        <v>30</v>
      </c>
      <c r="V2071" s="34" t="s">
        <v>37</v>
      </c>
      <c r="W2071" s="34" t="s">
        <v>370</v>
      </c>
      <c r="X2071" s="38"/>
      <c r="Y2071" s="38"/>
      <c r="Z2071" s="62" t="e">
        <f t="shared" si="101"/>
        <v>#NUM!</v>
      </c>
      <c r="AA2071" s="62"/>
      <c r="AB2071" s="41">
        <v>8</v>
      </c>
      <c r="AC2071" s="41">
        <v>9</v>
      </c>
      <c r="AD2071" s="38"/>
      <c r="AE2071" s="59" t="str">
        <f t="shared" si="102"/>
        <v>SÍ</v>
      </c>
      <c r="AF2071" s="34" t="e" cm="1">
        <f t="array" aca="1" ref="AF2071" ca="1">MIN(100, MAX(0, (IF(R2071="ESTUDIANTE", 31, 0)) + (IF(I2071&lt;=3, 30, IF(I2071&lt;=6, 20, 0))) +(IF(OR(E2071="413 - Control de Costes y Enlace Construcción", E2071="480 - Secretaría General del Consejo", E2071="132 - Civil y estructuras", E2071="136 - Mecánica", E2071="412 - Planificación", E2071="142 - Compras"), 25, 0)) +(IF(OR(S2071="GRADO ING. MECÁNICA", S2071="GRADO ING. ELÉCTRICA", S2071="GRADO DERECHO", S2071="GRADO ECONOMÍA", S2071="GRADO ING. TECNOLOGÍAS INDUSTRIALES"), 24, 0)) + (IF(AND(K2071&gt;=451, K2071&lt;=700), 23, 0)) + (IF(AND(AB2071&gt;=5, AB2071&lt;=8), 17, 0)) +(IF(_xludf.OR(_xludf.AND(AC2071&gt;=8, AC2071&lt;=10), _xludf.AND(AC2071&gt;=0, AC2071&lt;=5)), 16, 0)) + (IF(F2071="Madrid", 11, 0))))</f>
        <v>#NAME?</v>
      </c>
      <c r="AG2071" s="69"/>
      <c r="AH2071" s="71" t="s">
        <v>164</v>
      </c>
    </row>
    <row r="2072" spans="1:34" s="4" customFormat="1" ht="15" customHeight="1" x14ac:dyDescent="0.3">
      <c r="A2072" s="66" t="s">
        <v>2919</v>
      </c>
      <c r="B2072" s="66" t="s">
        <v>5036</v>
      </c>
      <c r="C2072" s="33">
        <v>2069</v>
      </c>
      <c r="D2072" s="33" t="s">
        <v>5396</v>
      </c>
      <c r="E2072" s="34" t="s">
        <v>5317</v>
      </c>
      <c r="F2072" s="34" t="s">
        <v>18</v>
      </c>
      <c r="G2072" s="57">
        <v>45922</v>
      </c>
      <c r="H2072" s="57">
        <v>46102</v>
      </c>
      <c r="I2072" s="34">
        <f t="shared" si="100"/>
        <v>5</v>
      </c>
      <c r="J2072" s="34">
        <v>35</v>
      </c>
      <c r="K2072" s="36">
        <v>850</v>
      </c>
      <c r="L2072" s="34" t="s">
        <v>29</v>
      </c>
      <c r="M2072" s="39">
        <v>37503</v>
      </c>
      <c r="N2072" s="37">
        <f>(YEAR(TablaMadre[[#This Row],[ALTA]])-YEAR(M2072))</f>
        <v>23</v>
      </c>
      <c r="O2072" s="34" t="s">
        <v>18</v>
      </c>
      <c r="P2072" s="34" t="s">
        <v>19</v>
      </c>
      <c r="Q2072" s="34" t="s">
        <v>906</v>
      </c>
      <c r="R2072" s="34" t="s">
        <v>21</v>
      </c>
      <c r="S2072" s="34" t="s">
        <v>609</v>
      </c>
      <c r="T2072" s="34" t="s">
        <v>907</v>
      </c>
      <c r="U2072" s="34" t="s">
        <v>21</v>
      </c>
      <c r="V2072" s="34" t="s">
        <v>858</v>
      </c>
      <c r="W2072" s="34" t="s">
        <v>28</v>
      </c>
      <c r="X2072" s="34"/>
      <c r="Y2072" s="34"/>
      <c r="Z2072" s="34" t="e">
        <f t="shared" si="101"/>
        <v>#NUM!</v>
      </c>
      <c r="AA2072" s="34"/>
      <c r="AB2072" s="41">
        <v>9</v>
      </c>
      <c r="AC2072" s="41">
        <v>8</v>
      </c>
      <c r="AD2072" s="34"/>
      <c r="AE2072" s="59" t="str">
        <f t="shared" si="102"/>
        <v>NO</v>
      </c>
      <c r="AF2072" s="34" t="e" cm="1">
        <f t="array" aca="1" ref="AF2072" ca="1">MIN(100, MAX(0, (IF(R2072="ESTUDIANTE", 31, 0)) + (IF(I2072&lt;=3, 30, IF(I2072&lt;=6, 20, 0))) +(IF(OR(E2072="413 - Control de Costes y Enlace Construcción", E2072="480 - Secretaría General del Consejo", E2072="132 - Civil y estructuras", E2072="136 - Mecánica", E2072="412 - Planificación", E2072="142 - Compras"), 25, 0)) +(IF(OR(S2072="GRADO ING. MECÁNICA", S2072="GRADO ING. ELÉCTRICA", S2072="GRADO DERECHO", S2072="GRADO ECONOMÍA", S2072="GRADO ING. TECNOLOGÍAS INDUSTRIALES"), 24, 0)) + (IF(AND(K2072&gt;=451, K2072&lt;=700), 23, 0)) + (IF(AND(AB2072&gt;=5, AB2072&lt;=8), 17, 0)) +(IF(_xludf.OR(_xludf.AND(AC2072&gt;=8, AC2072&lt;=10), _xludf.AND(AC2072&gt;=0, AC2072&lt;=5)), 16, 0)) + (IF(F2072="Madrid", 11, 0))))</f>
        <v>#NAME?</v>
      </c>
      <c r="AG2072" s="69"/>
      <c r="AH2072" s="71" t="s">
        <v>164</v>
      </c>
    </row>
    <row r="2073" spans="1:34" ht="15" customHeight="1" x14ac:dyDescent="0.3">
      <c r="A2073" s="66" t="s">
        <v>2920</v>
      </c>
      <c r="B2073" s="66" t="s">
        <v>5037</v>
      </c>
      <c r="C2073" s="33">
        <v>2070</v>
      </c>
      <c r="D2073" s="33" t="s">
        <v>5397</v>
      </c>
      <c r="E2073" s="34" t="s">
        <v>5317</v>
      </c>
      <c r="F2073" s="34" t="s">
        <v>18</v>
      </c>
      <c r="G2073" s="57">
        <v>45922</v>
      </c>
      <c r="H2073" s="57">
        <v>46102</v>
      </c>
      <c r="I2073" s="34">
        <f t="shared" si="100"/>
        <v>5</v>
      </c>
      <c r="J2073" s="34">
        <v>35</v>
      </c>
      <c r="K2073" s="36">
        <v>800</v>
      </c>
      <c r="L2073" s="34" t="s">
        <v>29</v>
      </c>
      <c r="M2073" s="39">
        <v>37575</v>
      </c>
      <c r="N2073" s="37">
        <f>(YEAR(TablaMadre[[#This Row],[ALTA]])-YEAR(M2073))</f>
        <v>23</v>
      </c>
      <c r="O2073" s="34" t="s">
        <v>18</v>
      </c>
      <c r="P2073" s="34" t="s">
        <v>19</v>
      </c>
      <c r="Q2073" s="34" t="s">
        <v>908</v>
      </c>
      <c r="R2073" s="34" t="s">
        <v>21</v>
      </c>
      <c r="S2073" s="34" t="s">
        <v>908</v>
      </c>
      <c r="T2073" s="34" t="s">
        <v>806</v>
      </c>
      <c r="U2073" s="34" t="str">
        <f>SUBSTITUTE($T2073, "INGUN", "/")</f>
        <v>N/A</v>
      </c>
      <c r="V2073" s="34" t="s">
        <v>572</v>
      </c>
      <c r="W2073" s="34" t="s">
        <v>28</v>
      </c>
      <c r="X2073" s="34"/>
      <c r="Y2073" s="34"/>
      <c r="Z2073" s="34" t="e">
        <f t="shared" si="101"/>
        <v>#NUM!</v>
      </c>
      <c r="AA2073" s="34"/>
      <c r="AB2073" s="41">
        <v>7</v>
      </c>
      <c r="AC2073" s="41">
        <v>8</v>
      </c>
      <c r="AD2073" s="34"/>
      <c r="AE2073" s="59" t="str">
        <f t="shared" si="102"/>
        <v>NO</v>
      </c>
      <c r="AF2073" s="38" t="e" cm="1">
        <f t="array" aca="1" ref="AF2073" ca="1">MIN(100, MAX(0, (IF(R2073="ESTUDIANTE", 31, 0)) + (IF(I2073&lt;=3, 30, IF(I2073&lt;=6, 20, 0))) +(IF(OR(E2073="413 - Control de Costes y Enlace Construcción", E2073="480 - Secretaría General del Consejo", E2073="132 - Civil y estructuras", E2073="136 - Mecánica", E2073="412 - Planificación", E2073="142 - Compras"), 25, 0)) +(IF(OR(S2073="GRADO ING. MECÁNICA", S2073="GRADO ING. ELÉCTRICA", S2073="GRADO DERECHO", S2073="GRADO ECONOMÍA", S2073="GRADO ING. TECNOLOGÍAS INDUSTRIALES"), 24, 0)) + (IF(AND(K2073&gt;=451, K2073&lt;=700), 23, 0)) + (IF(AND(AB2073&gt;=5, AB2073&lt;=8), 17, 0)) +(IF(_xludf.OR(_xludf.AND(AC2073&gt;=8, AC2073&lt;=10), _xludf.AND(AC2073&gt;=0, AC2073&lt;=5)), 16, 0)) + (IF(F2073="Madrid", 11, 0))))</f>
        <v>#NAME?</v>
      </c>
      <c r="AG2073" s="68"/>
      <c r="AH2073" s="71" t="s">
        <v>164</v>
      </c>
    </row>
    <row r="2074" spans="1:34" ht="15" customHeight="1" x14ac:dyDescent="0.3">
      <c r="A2074" s="66" t="s">
        <v>2925</v>
      </c>
      <c r="B2074" s="66" t="s">
        <v>5042</v>
      </c>
      <c r="C2074" s="33">
        <v>2074</v>
      </c>
      <c r="D2074" s="33" t="s">
        <v>5398</v>
      </c>
      <c r="E2074" s="34" t="s">
        <v>5219</v>
      </c>
      <c r="F2074" s="34" t="s">
        <v>18</v>
      </c>
      <c r="G2074" s="57">
        <v>45922</v>
      </c>
      <c r="H2074" s="57">
        <v>46102</v>
      </c>
      <c r="I2074" s="34">
        <f t="shared" si="100"/>
        <v>5</v>
      </c>
      <c r="J2074" s="34">
        <v>35</v>
      </c>
      <c r="K2074" s="36">
        <v>900</v>
      </c>
      <c r="L2074" s="34" t="s">
        <v>17</v>
      </c>
      <c r="M2074" s="39">
        <v>37424</v>
      </c>
      <c r="N2074" s="37">
        <f>(YEAR(TablaMadre[[#This Row],[ALTA]])-YEAR(M2074))</f>
        <v>23</v>
      </c>
      <c r="O2074" s="34" t="s">
        <v>18</v>
      </c>
      <c r="P2074" s="34" t="s">
        <v>19</v>
      </c>
      <c r="Q2074" s="34" t="s">
        <v>322</v>
      </c>
      <c r="R2074" s="34" t="s">
        <v>21</v>
      </c>
      <c r="S2074" s="34" t="s">
        <v>322</v>
      </c>
      <c r="T2074" s="34" t="s">
        <v>806</v>
      </c>
      <c r="U2074" s="34" t="s">
        <v>347</v>
      </c>
      <c r="V2074" s="34" t="s">
        <v>182</v>
      </c>
      <c r="W2074" s="34" t="s">
        <v>28</v>
      </c>
      <c r="X2074" s="34"/>
      <c r="Y2074" s="34"/>
      <c r="Z2074" s="34" t="e">
        <f t="shared" si="101"/>
        <v>#NUM!</v>
      </c>
      <c r="AA2074" s="34"/>
      <c r="AB2074" s="41">
        <v>9</v>
      </c>
      <c r="AC2074" s="41">
        <v>10</v>
      </c>
      <c r="AD2074" s="34"/>
      <c r="AE2074" s="59" t="str">
        <f t="shared" si="102"/>
        <v>NO</v>
      </c>
      <c r="AF2074" s="38" t="e" cm="1">
        <f t="array" aca="1" ref="AF2074" ca="1">MIN(100, MAX(0, (IF(R2074="ESTUDIANTE", 31, 0)) + (IF(I2074&lt;=3, 30, IF(I2074&lt;=6, 20, 0))) +(IF(OR(E2074="413 - Control de Costes y Enlace Construcción", E2074="480 - Secretaría General del Consejo", E2074="132 - Civil y estructuras", E2074="136 - Mecánica", E2074="412 - Planificación", E2074="142 - Compras"), 25, 0)) +(IF(OR(S2074="GRADO ING. MECÁNICA", S2074="GRADO ING. ELÉCTRICA", S2074="GRADO DERECHO", S2074="GRADO ECONOMÍA", S2074="GRADO ING. TECNOLOGÍAS INDUSTRIALES"), 24, 0)) + (IF(AND(K2074&gt;=451, K2074&lt;=700), 23, 0)) + (IF(AND(AB2074&gt;=5, AB2074&lt;=8), 17, 0)) +(IF(_xludf.OR(_xludf.AND(AC2074&gt;=8, AC2074&lt;=10), _xludf.AND(AC2074&gt;=0, AC2074&lt;=5)), 16, 0)) + (IF(F2074="Madrid", 11, 0))))</f>
        <v>#NAME?</v>
      </c>
      <c r="AG2074" s="68"/>
      <c r="AH2074" s="71" t="s">
        <v>164</v>
      </c>
    </row>
    <row r="2075" spans="1:34" s="4" customFormat="1" ht="15" customHeight="1" x14ac:dyDescent="0.3">
      <c r="A2075" s="66" t="s">
        <v>3054</v>
      </c>
      <c r="B2075" s="66" t="s">
        <v>5171</v>
      </c>
      <c r="C2075" s="33">
        <v>2075</v>
      </c>
      <c r="D2075" s="33" t="s">
        <v>5399</v>
      </c>
      <c r="E2075" s="34" t="s">
        <v>5251</v>
      </c>
      <c r="F2075" s="34" t="s">
        <v>18</v>
      </c>
      <c r="G2075" s="57">
        <v>45922</v>
      </c>
      <c r="H2075" s="57">
        <v>46265</v>
      </c>
      <c r="I2075" s="38">
        <f t="shared" si="100"/>
        <v>11</v>
      </c>
      <c r="J2075" s="40">
        <v>40</v>
      </c>
      <c r="K2075" s="44">
        <v>600</v>
      </c>
      <c r="L2075" s="38" t="s">
        <v>29</v>
      </c>
      <c r="M2075" s="43">
        <v>37018</v>
      </c>
      <c r="N2075" s="37">
        <f>(YEAR(TablaMadre[[#This Row],[ALTA]])-YEAR(M2075))</f>
        <v>24</v>
      </c>
      <c r="O2075" s="34" t="s">
        <v>138</v>
      </c>
      <c r="P2075" s="38" t="s">
        <v>138</v>
      </c>
      <c r="Q2075" s="38" t="s">
        <v>322</v>
      </c>
      <c r="R2075" s="38" t="s">
        <v>21</v>
      </c>
      <c r="S2075" s="34" t="s">
        <v>322</v>
      </c>
      <c r="T2075" s="38" t="s">
        <v>806</v>
      </c>
      <c r="U2075" s="38" t="s">
        <v>347</v>
      </c>
      <c r="V2075" s="38" t="s">
        <v>90</v>
      </c>
      <c r="W2075" s="38" t="s">
        <v>886</v>
      </c>
      <c r="X2075" s="38"/>
      <c r="Y2075" s="38"/>
      <c r="Z2075" s="62" t="e">
        <f t="shared" si="101"/>
        <v>#NUM!</v>
      </c>
      <c r="AA2075" s="62"/>
      <c r="AB2075" s="47">
        <v>9</v>
      </c>
      <c r="AC2075" s="47">
        <v>10</v>
      </c>
      <c r="AD2075" s="38"/>
      <c r="AE2075" s="59" t="str">
        <f t="shared" si="102"/>
        <v>SÍ</v>
      </c>
      <c r="AF2075" s="34" t="e" cm="1">
        <f t="array" aca="1" ref="AF2075" ca="1">MIN(100, MAX(0, (IF(R2075="ESTUDIANTE", 31, 0)) + (IF(I2075&lt;=3, 30, IF(I2075&lt;=6, 20, 0))) +(IF(OR(E2075="413 - Control de Costes y Enlace Construcción", E2075="480 - Secretaría General del Consejo", E2075="132 - Civil y estructuras", E2075="136 - Mecánica", E2075="412 - Planificación", E2075="142 - Compras"), 25, 0)) +(IF(OR(S2075="GRADO ING. MECÁNICA", S2075="GRADO ING. ELÉCTRICA", S2075="GRADO DERECHO", S2075="GRADO ECONOMÍA", S2075="GRADO ING. TECNOLOGÍAS INDUSTRIALES"), 24, 0)) + (IF(AND(K2075&gt;=451, K2075&lt;=700), 23, 0)) + (IF(AND(AB2075&gt;=5, AB2075&lt;=8), 17, 0)) +(IF(_xludf.OR(_xludf.AND(AC2075&gt;=8, AC2075&lt;=10), _xludf.AND(AC2075&gt;=0, AC2075&lt;=5)), 16, 0)) + (IF(F2075="Madrid", 11, 0))))</f>
        <v>#NAME?</v>
      </c>
      <c r="AG2075" s="69"/>
      <c r="AH2075" s="71" t="s">
        <v>164</v>
      </c>
    </row>
    <row r="2076" spans="1:34" ht="15" customHeight="1" x14ac:dyDescent="0.3">
      <c r="A2076" s="66" t="s">
        <v>3055</v>
      </c>
      <c r="B2076" s="66" t="s">
        <v>5172</v>
      </c>
      <c r="C2076" s="33">
        <v>2076</v>
      </c>
      <c r="D2076" s="33" t="s">
        <v>5400</v>
      </c>
      <c r="E2076" s="34" t="s">
        <v>5342</v>
      </c>
      <c r="F2076" s="34" t="s">
        <v>18</v>
      </c>
      <c r="G2076" s="57">
        <v>45922</v>
      </c>
      <c r="H2076" s="57">
        <v>46265</v>
      </c>
      <c r="I2076" s="38">
        <f t="shared" si="100"/>
        <v>11</v>
      </c>
      <c r="J2076" s="40">
        <v>40</v>
      </c>
      <c r="K2076" s="44">
        <v>600</v>
      </c>
      <c r="L2076" s="38" t="s">
        <v>29</v>
      </c>
      <c r="M2076" s="43">
        <v>36894</v>
      </c>
      <c r="N2076" s="37">
        <f>(YEAR(TablaMadre[[#This Row],[ALTA]])-YEAR(M2076))</f>
        <v>24</v>
      </c>
      <c r="O2076" s="34" t="s">
        <v>138</v>
      </c>
      <c r="P2076" s="38" t="s">
        <v>138</v>
      </c>
      <c r="Q2076" s="38" t="s">
        <v>322</v>
      </c>
      <c r="R2076" s="38" t="s">
        <v>30</v>
      </c>
      <c r="S2076" s="34" t="s">
        <v>322</v>
      </c>
      <c r="T2076" s="38" t="s">
        <v>806</v>
      </c>
      <c r="U2076" s="38" t="s">
        <v>347</v>
      </c>
      <c r="V2076" s="38" t="s">
        <v>90</v>
      </c>
      <c r="W2076" s="38" t="s">
        <v>886</v>
      </c>
      <c r="X2076" s="38"/>
      <c r="Y2076" s="38"/>
      <c r="Z2076" s="62" t="e">
        <f t="shared" si="101"/>
        <v>#NUM!</v>
      </c>
      <c r="AA2076" s="62"/>
      <c r="AB2076" s="47">
        <v>8</v>
      </c>
      <c r="AC2076" s="47">
        <v>10</v>
      </c>
      <c r="AD2076" s="38"/>
      <c r="AE2076" s="59" t="str">
        <f t="shared" si="102"/>
        <v>SÍ</v>
      </c>
      <c r="AF2076" s="38" t="e" cm="1">
        <f t="array" aca="1" ref="AF2076" ca="1">MIN(100, MAX(0, (IF(R2076="ESTUDIANTE", 31, 0)) + (IF(I2076&lt;=3, 30, IF(I2076&lt;=6, 20, 0))) +(IF(OR(E2076="413 - Control de Costes y Enlace Construcción", E2076="480 - Secretaría General del Consejo", E2076="132 - Civil y estructuras", E2076="136 - Mecánica", E2076="412 - Planificación", E2076="142 - Compras"), 25, 0)) +(IF(OR(S2076="GRADO ING. MECÁNICA", S2076="GRADO ING. ELÉCTRICA", S2076="GRADO DERECHO", S2076="GRADO ECONOMÍA", S2076="GRADO ING. TECNOLOGÍAS INDUSTRIALES"), 24, 0)) + (IF(AND(K2076&gt;=451, K2076&lt;=700), 23, 0)) + (IF(AND(AB2076&gt;=5, AB2076&lt;=8), 17, 0)) +(IF(_xludf.OR(_xludf.AND(AC2076&gt;=8, AC2076&lt;=10), _xludf.AND(AC2076&gt;=0, AC2076&lt;=5)), 16, 0)) + (IF(F2076="Madrid", 11, 0))))</f>
        <v>#NAME?</v>
      </c>
      <c r="AG2076" s="68"/>
      <c r="AH2076" s="71" t="s">
        <v>164</v>
      </c>
    </row>
    <row r="2077" spans="1:34" ht="15" customHeight="1" x14ac:dyDescent="0.3">
      <c r="A2077" s="66" t="s">
        <v>3056</v>
      </c>
      <c r="B2077" s="66" t="s">
        <v>5173</v>
      </c>
      <c r="C2077" s="33">
        <v>2077</v>
      </c>
      <c r="D2077" s="33" t="s">
        <v>5401</v>
      </c>
      <c r="E2077" s="34" t="s">
        <v>5219</v>
      </c>
      <c r="F2077" s="34" t="s">
        <v>18</v>
      </c>
      <c r="G2077" s="57">
        <v>45922</v>
      </c>
      <c r="H2077" s="57">
        <v>46286</v>
      </c>
      <c r="I2077" s="38">
        <f t="shared" si="100"/>
        <v>11</v>
      </c>
      <c r="J2077" s="40">
        <v>25</v>
      </c>
      <c r="K2077" s="44">
        <v>625</v>
      </c>
      <c r="L2077" s="38" t="s">
        <v>17</v>
      </c>
      <c r="M2077" s="43">
        <v>36060</v>
      </c>
      <c r="N2077" s="37">
        <f>(YEAR(TablaMadre[[#This Row],[ALTA]])-YEAR(M2077))</f>
        <v>27</v>
      </c>
      <c r="O2077" s="34" t="s">
        <v>293</v>
      </c>
      <c r="P2077" s="38" t="s">
        <v>19</v>
      </c>
      <c r="Q2077" s="38" t="s">
        <v>322</v>
      </c>
      <c r="R2077" s="38" t="s">
        <v>21</v>
      </c>
      <c r="S2077" s="34" t="s">
        <v>322</v>
      </c>
      <c r="T2077" s="38" t="s">
        <v>823</v>
      </c>
      <c r="U2077" s="38" t="s">
        <v>30</v>
      </c>
      <c r="V2077" s="38" t="s">
        <v>22</v>
      </c>
      <c r="W2077" s="38" t="s">
        <v>886</v>
      </c>
      <c r="X2077" s="34"/>
      <c r="Y2077" s="34"/>
      <c r="Z2077" s="57" t="e">
        <f t="shared" si="101"/>
        <v>#NUM!</v>
      </c>
      <c r="AA2077" s="57"/>
      <c r="AB2077" s="47">
        <v>10</v>
      </c>
      <c r="AC2077" s="47">
        <v>10</v>
      </c>
      <c r="AD2077" s="34"/>
      <c r="AE2077" s="59" t="str">
        <f t="shared" si="102"/>
        <v>SÍ</v>
      </c>
      <c r="AF2077" s="38" t="e" cm="1">
        <f t="array" aca="1" ref="AF2077" ca="1">MIN(100, MAX(0, (IF(R2077="ESTUDIANTE", 31, 0)) + (IF(I2077&lt;=3, 30, IF(I2077&lt;=6, 20, 0))) +(IF(OR(E2077="413 - Control de Costes y Enlace Construcción", E2077="480 - Secretaría General del Consejo", E2077="132 - Civil y estructuras", E2077="136 - Mecánica", E2077="412 - Planificación", E2077="142 - Compras"), 25, 0)) +(IF(OR(S2077="GRADO ING. MECÁNICA", S2077="GRADO ING. ELÉCTRICA", S2077="GRADO DERECHO", S2077="GRADO ECONOMÍA", S2077="GRADO ING. TECNOLOGÍAS INDUSTRIALES"), 24, 0)) + (IF(AND(K2077&gt;=451, K2077&lt;=700), 23, 0)) + (IF(AND(AB2077&gt;=5, AB2077&lt;=8), 17, 0)) +(IF(_xludf.OR(_xludf.AND(AC2077&gt;=8, AC2077&lt;=10), _xludf.AND(AC2077&gt;=0, AC2077&lt;=5)), 16, 0)) + (IF(F2077="Madrid", 11, 0))))</f>
        <v>#NAME?</v>
      </c>
      <c r="AG2077" s="68"/>
      <c r="AH2077" s="71" t="s">
        <v>164</v>
      </c>
    </row>
    <row r="2078" spans="1:34" s="4" customFormat="1" ht="15" customHeight="1" x14ac:dyDescent="0.3">
      <c r="A2078" s="66" t="s">
        <v>3057</v>
      </c>
      <c r="B2078" s="66" t="s">
        <v>5174</v>
      </c>
      <c r="C2078" s="33">
        <v>2078</v>
      </c>
      <c r="D2078" s="33" t="s">
        <v>5402</v>
      </c>
      <c r="E2078" s="34" t="s">
        <v>5219</v>
      </c>
      <c r="F2078" s="34" t="s">
        <v>18</v>
      </c>
      <c r="G2078" s="57">
        <v>45922</v>
      </c>
      <c r="H2078" s="57">
        <v>46286</v>
      </c>
      <c r="I2078" s="38">
        <f t="shared" si="100"/>
        <v>11</v>
      </c>
      <c r="J2078" s="40">
        <v>25</v>
      </c>
      <c r="K2078" s="44">
        <v>625</v>
      </c>
      <c r="L2078" s="38" t="s">
        <v>17</v>
      </c>
      <c r="M2078" s="43">
        <v>36484</v>
      </c>
      <c r="N2078" s="37">
        <f>(YEAR(TablaMadre[[#This Row],[ALTA]])-YEAR(M2078))</f>
        <v>26</v>
      </c>
      <c r="O2078" s="34" t="s">
        <v>18</v>
      </c>
      <c r="P2078" s="38" t="s">
        <v>19</v>
      </c>
      <c r="Q2078" s="38" t="s">
        <v>322</v>
      </c>
      <c r="R2078" s="38" t="s">
        <v>21</v>
      </c>
      <c r="S2078" s="34" t="s">
        <v>322</v>
      </c>
      <c r="T2078" s="38" t="s">
        <v>823</v>
      </c>
      <c r="U2078" s="38" t="s">
        <v>30</v>
      </c>
      <c r="V2078" s="38" t="s">
        <v>22</v>
      </c>
      <c r="W2078" s="38" t="s">
        <v>886</v>
      </c>
      <c r="X2078" s="34"/>
      <c r="Y2078" s="34"/>
      <c r="Z2078" s="57" t="e">
        <f t="shared" si="101"/>
        <v>#NUM!</v>
      </c>
      <c r="AA2078" s="57"/>
      <c r="AB2078" s="47">
        <v>10</v>
      </c>
      <c r="AC2078" s="47">
        <v>8</v>
      </c>
      <c r="AD2078" s="34"/>
      <c r="AE2078" s="59" t="str">
        <f t="shared" si="102"/>
        <v>NO</v>
      </c>
      <c r="AF2078" s="34" t="e" cm="1">
        <f t="array" aca="1" ref="AF2078" ca="1">MIN(100, MAX(0, (IF(R2078="ESTUDIANTE", 31, 0)) + (IF(I2078&lt;=3, 30, IF(I2078&lt;=6, 20, 0))) +(IF(OR(E2078="413 - Control de Costes y Enlace Construcción", E2078="480 - Secretaría General del Consejo", E2078="132 - Civil y estructuras", E2078="136 - Mecánica", E2078="412 - Planificación", E2078="142 - Compras"), 25, 0)) +(IF(OR(S2078="GRADO ING. MECÁNICA", S2078="GRADO ING. ELÉCTRICA", S2078="GRADO DERECHO", S2078="GRADO ECONOMÍA", S2078="GRADO ING. TECNOLOGÍAS INDUSTRIALES"), 24, 0)) + (IF(AND(K2078&gt;=451, K2078&lt;=700), 23, 0)) + (IF(AND(AB2078&gt;=5, AB2078&lt;=8), 17, 0)) +(IF(_xludf.OR(_xludf.AND(AC2078&gt;=8, AC2078&lt;=10), _xludf.AND(AC2078&gt;=0, AC2078&lt;=5)), 16, 0)) + (IF(F2078="Madrid", 11, 0))))</f>
        <v>#NAME?</v>
      </c>
      <c r="AG2078" s="69"/>
      <c r="AH2078" s="71" t="s">
        <v>164</v>
      </c>
    </row>
    <row r="2079" spans="1:34" s="4" customFormat="1" ht="15" customHeight="1" x14ac:dyDescent="0.3">
      <c r="A2079" s="66" t="s">
        <v>3079</v>
      </c>
      <c r="B2079" s="66" t="s">
        <v>5196</v>
      </c>
      <c r="C2079" s="33">
        <v>2071</v>
      </c>
      <c r="D2079" s="33" t="s">
        <v>5393</v>
      </c>
      <c r="E2079" s="34" t="s">
        <v>5306</v>
      </c>
      <c r="F2079" s="34" t="s">
        <v>18</v>
      </c>
      <c r="G2079" s="57">
        <v>45922</v>
      </c>
      <c r="H2079" s="57">
        <v>45989</v>
      </c>
      <c r="I2079" s="34">
        <f t="shared" si="100"/>
        <v>2</v>
      </c>
      <c r="J2079" s="34">
        <v>40</v>
      </c>
      <c r="K2079" s="36">
        <v>0</v>
      </c>
      <c r="L2079" s="34" t="s">
        <v>29</v>
      </c>
      <c r="M2079" s="39">
        <v>38636</v>
      </c>
      <c r="N2079" s="37">
        <f>(YEAR(TablaMadre[[#This Row],[ALTA]])-YEAR(M2079))</f>
        <v>20</v>
      </c>
      <c r="O2079" s="34" t="s">
        <v>99</v>
      </c>
      <c r="P2079" s="34" t="s">
        <v>99</v>
      </c>
      <c r="Q2079" s="34" t="s">
        <v>675</v>
      </c>
      <c r="R2079" s="34" t="s">
        <v>30</v>
      </c>
      <c r="S2079" s="34" t="s">
        <v>26</v>
      </c>
      <c r="T2079" s="34" t="s">
        <v>806</v>
      </c>
      <c r="U2079" s="34" t="s">
        <v>347</v>
      </c>
      <c r="V2079" s="34" t="s">
        <v>27</v>
      </c>
      <c r="W2079" s="34" t="s">
        <v>23</v>
      </c>
      <c r="X2079" s="34" t="s">
        <v>164</v>
      </c>
      <c r="Y2079" s="57"/>
      <c r="Z2079" s="57" t="e">
        <f t="shared" si="101"/>
        <v>#NUM!</v>
      </c>
      <c r="AA2079" s="57"/>
      <c r="AB2079" s="41"/>
      <c r="AC2079" s="41"/>
      <c r="AD2079" s="34"/>
      <c r="AE2079" s="59" t="str">
        <f t="shared" si="102"/>
        <v>SÍ</v>
      </c>
      <c r="AF2079" s="34" t="e" cm="1">
        <f t="array" aca="1" ref="AF2079" ca="1">MIN(100, MAX(0, (IF(R2079="ESTUDIANTE", 31, 0)) + (IF(I2079&lt;=3, 30, IF(I2079&lt;=6, 20, 0))) +(IF(OR(E2079="413 - Control de Costes y Enlace Construcción", E2079="480 - Secretaría General del Consejo", E2079="132 - Civil y estructuras", E2079="136 - Mecánica", E2079="412 - Planificación", E2079="142 - Compras"), 25, 0)) +(IF(OR(S2079="GRADO ING. MECÁNICA", S2079="GRADO ING. ELÉCTRICA", S2079="GRADO DERECHO", S2079="GRADO ECONOMÍA", S2079="GRADO ING. TECNOLOGÍAS INDUSTRIALES"), 24, 0)) + (IF(AND(K2079&gt;=451, K2079&lt;=700), 23, 0)) + (IF(AND(AB2079&gt;=5, AB2079&lt;=8), 17, 0)) +(IF(_xludf.OR(_xludf.AND(AC2079&gt;=8, AC2079&lt;=10), _xludf.AND(AC2079&gt;=0, AC2079&lt;=5)), 16, 0)) + (IF(F2079="Madrid", 11, 0))))</f>
        <v>#NAME?</v>
      </c>
      <c r="AG2079" s="69"/>
      <c r="AH2079" s="71" t="s">
        <v>164</v>
      </c>
    </row>
    <row r="2080" spans="1:34" s="4" customFormat="1" ht="15" customHeight="1" x14ac:dyDescent="0.3">
      <c r="A2080" s="66" t="s">
        <v>3058</v>
      </c>
      <c r="B2080" s="66" t="s">
        <v>5175</v>
      </c>
      <c r="C2080" s="33">
        <v>2079</v>
      </c>
      <c r="D2080" s="33" t="s">
        <v>5394</v>
      </c>
      <c r="E2080" s="34" t="s">
        <v>5233</v>
      </c>
      <c r="F2080" s="34" t="s">
        <v>18</v>
      </c>
      <c r="G2080" s="57">
        <v>45923</v>
      </c>
      <c r="H2080" s="57">
        <v>46265</v>
      </c>
      <c r="I2080" s="38">
        <f t="shared" si="100"/>
        <v>11</v>
      </c>
      <c r="J2080" s="40">
        <v>40</v>
      </c>
      <c r="K2080" s="44">
        <v>600</v>
      </c>
      <c r="L2080" s="38" t="s">
        <v>29</v>
      </c>
      <c r="M2080" s="43">
        <v>36320</v>
      </c>
      <c r="N2080" s="37">
        <f>(YEAR(TablaMadre[[#This Row],[ALTA]])-YEAR(M2080))</f>
        <v>26</v>
      </c>
      <c r="O2080" s="34" t="s">
        <v>152</v>
      </c>
      <c r="P2080" s="38" t="s">
        <v>152</v>
      </c>
      <c r="Q2080" s="38" t="s">
        <v>136</v>
      </c>
      <c r="R2080" s="38" t="s">
        <v>21</v>
      </c>
      <c r="S2080" s="34" t="s">
        <v>136</v>
      </c>
      <c r="T2080" s="38" t="s">
        <v>916</v>
      </c>
      <c r="U2080" s="38" t="s">
        <v>21</v>
      </c>
      <c r="V2080" s="38" t="s">
        <v>90</v>
      </c>
      <c r="W2080" s="38" t="s">
        <v>886</v>
      </c>
      <c r="X2080" s="34"/>
      <c r="Y2080" s="34"/>
      <c r="Z2080" s="57" t="e">
        <f t="shared" si="101"/>
        <v>#NUM!</v>
      </c>
      <c r="AA2080" s="57"/>
      <c r="AB2080" s="47">
        <v>9</v>
      </c>
      <c r="AC2080" s="47">
        <v>6</v>
      </c>
      <c r="AD2080" s="34"/>
      <c r="AE2080" s="59" t="str">
        <f t="shared" si="102"/>
        <v>SÍ</v>
      </c>
      <c r="AF2080" s="34" t="e" cm="1">
        <f t="array" aca="1" ref="AF2080" ca="1">MIN(100, MAX(0, (IF(R2080="ESTUDIANTE", 31, 0)) + (IF(I2080&lt;=3, 30, IF(I2080&lt;=6, 20, 0))) +(IF(OR(E2080="413 - Control de Costes y Enlace Construcción", E2080="480 - Secretaría General del Consejo", E2080="132 - Civil y estructuras", E2080="136 - Mecánica", E2080="412 - Planificación", E2080="142 - Compras"), 25, 0)) +(IF(OR(S2080="GRADO ING. MECÁNICA", S2080="GRADO ING. ELÉCTRICA", S2080="GRADO DERECHO", S2080="GRADO ECONOMÍA", S2080="GRADO ING. TECNOLOGÍAS INDUSTRIALES"), 24, 0)) + (IF(AND(K2080&gt;=451, K2080&lt;=700), 23, 0)) + (IF(AND(AB2080&gt;=5, AB2080&lt;=8), 17, 0)) +(IF(_xludf.OR(_xludf.AND(AC2080&gt;=8, AC2080&lt;=10), _xludf.AND(AC2080&gt;=0, AC2080&lt;=5)), 16, 0)) + (IF(F2080="Madrid", 11, 0))))</f>
        <v>#NAME?</v>
      </c>
      <c r="AG2080" s="69"/>
      <c r="AH2080" s="71" t="s">
        <v>164</v>
      </c>
    </row>
    <row r="2081" spans="1:34" s="4" customFormat="1" ht="15" customHeight="1" x14ac:dyDescent="0.3">
      <c r="A2081" s="66" t="s">
        <v>2926</v>
      </c>
      <c r="B2081" s="66" t="s">
        <v>5043</v>
      </c>
      <c r="C2081" s="33">
        <v>2080</v>
      </c>
      <c r="D2081" s="33" t="s">
        <v>5403</v>
      </c>
      <c r="E2081" s="34" t="s">
        <v>5273</v>
      </c>
      <c r="F2081" s="34" t="s">
        <v>95</v>
      </c>
      <c r="G2081" s="57">
        <v>45929</v>
      </c>
      <c r="H2081" s="57">
        <v>45961</v>
      </c>
      <c r="I2081" s="34">
        <f t="shared" si="100"/>
        <v>1</v>
      </c>
      <c r="J2081" s="34">
        <v>40</v>
      </c>
      <c r="K2081" s="36" t="s">
        <v>34</v>
      </c>
      <c r="L2081" s="34" t="s">
        <v>29</v>
      </c>
      <c r="M2081" s="39">
        <v>37004</v>
      </c>
      <c r="N2081" s="37">
        <f>(YEAR(TablaMadre[[#This Row],[ALTA]])-YEAR(M2081))</f>
        <v>24</v>
      </c>
      <c r="O2081" s="34" t="s">
        <v>18</v>
      </c>
      <c r="P2081" s="34" t="s">
        <v>19</v>
      </c>
      <c r="Q2081" s="34" t="s">
        <v>322</v>
      </c>
      <c r="R2081" s="34" t="s">
        <v>21</v>
      </c>
      <c r="S2081" s="34" t="s">
        <v>322</v>
      </c>
      <c r="T2081" s="34" t="s">
        <v>823</v>
      </c>
      <c r="U2081" s="34" t="s">
        <v>30</v>
      </c>
      <c r="V2081" s="34" t="s">
        <v>22</v>
      </c>
      <c r="W2081" s="34" t="s">
        <v>183</v>
      </c>
      <c r="X2081" s="34" t="s">
        <v>164</v>
      </c>
      <c r="Y2081" s="57"/>
      <c r="Z2081" s="57" t="e">
        <f t="shared" si="101"/>
        <v>#NUM!</v>
      </c>
      <c r="AA2081" s="57"/>
      <c r="AB2081" s="41"/>
      <c r="AC2081" s="41">
        <v>0</v>
      </c>
      <c r="AD2081" s="34"/>
      <c r="AE2081" s="59" t="str">
        <f t="shared" si="102"/>
        <v>SÍ</v>
      </c>
      <c r="AF2081" s="34" t="e" cm="1">
        <f t="array" aca="1" ref="AF2081" ca="1">MIN(100, MAX(0, (IF(R2081="ESTUDIANTE", 31, 0)) + (IF(I2081&lt;=3, 30, IF(I2081&lt;=6, 20, 0))) +(IF(OR(E2081="413 - Control de Costes y Enlace Construcción", E2081="480 - Secretaría General del Consejo", E2081="132 - Civil y estructuras", E2081="136 - Mecánica", E2081="412 - Planificación", E2081="142 - Compras"), 25, 0)) +(IF(OR(S2081="GRADO ING. MECÁNICA", S2081="GRADO ING. ELÉCTRICA", S2081="GRADO DERECHO", S2081="GRADO ECONOMÍA", S2081="GRADO ING. TECNOLOGÍAS INDUSTRIALES"), 24, 0)) + (IF(AND(K2081&gt;=451, K2081&lt;=700), 23, 0)) + (IF(AND(AB2081&gt;=5, AB2081&lt;=8), 17, 0)) +(IF(_xludf.OR(_xludf.AND(AC2081&gt;=8, AC2081&lt;=10), _xludf.AND(AC2081&gt;=0, AC2081&lt;=5)), 16, 0)) + (IF(F2081="Madrid", 11, 0))))</f>
        <v>#NAME?</v>
      </c>
      <c r="AG2081" s="69"/>
      <c r="AH2081" s="71" t="s">
        <v>164</v>
      </c>
    </row>
    <row r="2082" spans="1:34" ht="15" customHeight="1" x14ac:dyDescent="0.3">
      <c r="A2082" s="66" t="s">
        <v>2928</v>
      </c>
      <c r="B2082" s="66" t="s">
        <v>5045</v>
      </c>
      <c r="C2082" s="33">
        <v>2082</v>
      </c>
      <c r="D2082" s="33" t="s">
        <v>5404</v>
      </c>
      <c r="E2082" s="34" t="s">
        <v>5248</v>
      </c>
      <c r="F2082" s="34" t="s">
        <v>18</v>
      </c>
      <c r="G2082" s="57">
        <v>45929</v>
      </c>
      <c r="H2082" s="57">
        <v>46109</v>
      </c>
      <c r="I2082" s="34">
        <f t="shared" si="100"/>
        <v>5</v>
      </c>
      <c r="J2082" s="34">
        <v>35</v>
      </c>
      <c r="K2082" s="36">
        <v>1200</v>
      </c>
      <c r="L2082" s="34" t="s">
        <v>17</v>
      </c>
      <c r="M2082" s="39">
        <v>36190</v>
      </c>
      <c r="N2082" s="37">
        <f>(YEAR(TablaMadre[[#This Row],[ALTA]])-YEAR(M2082))</f>
        <v>26</v>
      </c>
      <c r="O2082" s="34" t="s">
        <v>18</v>
      </c>
      <c r="P2082" s="34" t="s">
        <v>19</v>
      </c>
      <c r="Q2082" s="34" t="s">
        <v>322</v>
      </c>
      <c r="R2082" s="34" t="s">
        <v>21</v>
      </c>
      <c r="S2082" s="34" t="s">
        <v>322</v>
      </c>
      <c r="T2082" s="34" t="s">
        <v>890</v>
      </c>
      <c r="U2082" s="34" t="s">
        <v>30</v>
      </c>
      <c r="V2082" s="34" t="s">
        <v>239</v>
      </c>
      <c r="W2082" s="34" t="s">
        <v>28</v>
      </c>
      <c r="X2082" s="38"/>
      <c r="Y2082" s="38"/>
      <c r="Z2082" s="38" t="e">
        <f t="shared" si="101"/>
        <v>#NUM!</v>
      </c>
      <c r="AA2082" s="38"/>
      <c r="AB2082" s="41">
        <v>9</v>
      </c>
      <c r="AC2082" s="41"/>
      <c r="AD2082" s="38"/>
      <c r="AE2082" s="59" t="str">
        <f t="shared" si="102"/>
        <v>NO</v>
      </c>
      <c r="AF2082" s="38" t="e" cm="1">
        <f t="array" aca="1" ref="AF2082" ca="1">MIN(100, MAX(0, (IF(R2082="ESTUDIANTE", 31, 0)) + (IF(I2082&lt;=3, 30, IF(I2082&lt;=6, 20, 0))) +(IF(OR(E2082="413 - Control de Costes y Enlace Construcción", E2082="480 - Secretaría General del Consejo", E2082="132 - Civil y estructuras", E2082="136 - Mecánica", E2082="412 - Planificación", E2082="142 - Compras"), 25, 0)) +(IF(OR(S2082="GRADO ING. MECÁNICA", S2082="GRADO ING. ELÉCTRICA", S2082="GRADO DERECHO", S2082="GRADO ECONOMÍA", S2082="GRADO ING. TECNOLOGÍAS INDUSTRIALES"), 24, 0)) + (IF(AND(K2082&gt;=451, K2082&lt;=700), 23, 0)) + (IF(AND(AB2082&gt;=5, AB2082&lt;=8), 17, 0)) +(IF(_xludf.OR(_xludf.AND(AC2082&gt;=8, AC2082&lt;=10), _xludf.AND(AC2082&gt;=0, AC2082&lt;=5)), 16, 0)) + (IF(F2082="Madrid", 11, 0))))</f>
        <v>#NAME?</v>
      </c>
      <c r="AG2082" s="68"/>
      <c r="AH2082" s="71" t="s">
        <v>164</v>
      </c>
    </row>
    <row r="2083" spans="1:34" ht="15" customHeight="1" x14ac:dyDescent="0.3">
      <c r="A2083" s="66" t="s">
        <v>3063</v>
      </c>
      <c r="B2083" s="66" t="s">
        <v>5180</v>
      </c>
      <c r="C2083" s="33">
        <v>2084</v>
      </c>
      <c r="D2083" s="33" t="s">
        <v>5405</v>
      </c>
      <c r="E2083" s="34" t="s">
        <v>5312</v>
      </c>
      <c r="F2083" s="34" t="s">
        <v>18</v>
      </c>
      <c r="G2083" s="57">
        <v>45929</v>
      </c>
      <c r="H2083" s="57">
        <v>46193</v>
      </c>
      <c r="I2083" s="38">
        <f t="shared" si="100"/>
        <v>8</v>
      </c>
      <c r="J2083" s="40">
        <v>25</v>
      </c>
      <c r="K2083" s="44">
        <v>500</v>
      </c>
      <c r="L2083" s="38" t="s">
        <v>17</v>
      </c>
      <c r="M2083" s="43">
        <v>37285</v>
      </c>
      <c r="N2083" s="37">
        <f>(YEAR(TablaMadre[[#This Row],[ALTA]])-YEAR(M2083))</f>
        <v>23</v>
      </c>
      <c r="O2083" s="34" t="s">
        <v>18</v>
      </c>
      <c r="P2083" s="38" t="s">
        <v>19</v>
      </c>
      <c r="Q2083" s="38" t="s">
        <v>326</v>
      </c>
      <c r="R2083" s="38" t="s">
        <v>30</v>
      </c>
      <c r="S2083" s="34" t="s">
        <v>326</v>
      </c>
      <c r="T2083" s="38" t="s">
        <v>806</v>
      </c>
      <c r="U2083" s="38" t="s">
        <v>347</v>
      </c>
      <c r="V2083" s="38" t="s">
        <v>22</v>
      </c>
      <c r="W2083" s="38" t="s">
        <v>886</v>
      </c>
      <c r="X2083" s="34"/>
      <c r="Y2083" s="34"/>
      <c r="Z2083" s="57" t="e">
        <f t="shared" si="101"/>
        <v>#NUM!</v>
      </c>
      <c r="AA2083" s="57"/>
      <c r="AB2083" s="47">
        <v>9</v>
      </c>
      <c r="AC2083" s="47">
        <v>7</v>
      </c>
      <c r="AD2083" s="34"/>
      <c r="AE2083" s="59" t="str">
        <f t="shared" si="102"/>
        <v>NO</v>
      </c>
      <c r="AF2083" s="38" t="e" cm="1">
        <f t="array" aca="1" ref="AF2083" ca="1">MIN(100, MAX(0, (IF(R2083="ESTUDIANTE", 31, 0)) + (IF(I2083&lt;=3, 30, IF(I2083&lt;=6, 20, 0))) +(IF(OR(E2083="413 - Control de Costes y Enlace Construcción", E2083="480 - Secretaría General del Consejo", E2083="132 - Civil y estructuras", E2083="136 - Mecánica", E2083="412 - Planificación", E2083="142 - Compras"), 25, 0)) +(IF(OR(S2083="GRADO ING. MECÁNICA", S2083="GRADO ING. ELÉCTRICA", S2083="GRADO DERECHO", S2083="GRADO ECONOMÍA", S2083="GRADO ING. TECNOLOGÍAS INDUSTRIALES"), 24, 0)) + (IF(AND(K2083&gt;=451, K2083&lt;=700), 23, 0)) + (IF(AND(AB2083&gt;=5, AB2083&lt;=8), 17, 0)) +(IF(_xludf.OR(_xludf.AND(AC2083&gt;=8, AC2083&lt;=10), _xludf.AND(AC2083&gt;=0, AC2083&lt;=5)), 16, 0)) + (IF(F2083="Madrid", 11, 0))))</f>
        <v>#NAME?</v>
      </c>
      <c r="AG2083" s="68"/>
      <c r="AH2083" s="71" t="s">
        <v>164</v>
      </c>
    </row>
    <row r="2084" spans="1:34" ht="15" customHeight="1" x14ac:dyDescent="0.3">
      <c r="A2084" s="66" t="s">
        <v>3084</v>
      </c>
      <c r="B2084" s="66" t="s">
        <v>5201</v>
      </c>
      <c r="C2084" s="33">
        <v>2081</v>
      </c>
      <c r="D2084" s="33" t="s">
        <v>5396</v>
      </c>
      <c r="E2084" s="34" t="s">
        <v>5241</v>
      </c>
      <c r="F2084" s="34" t="s">
        <v>931</v>
      </c>
      <c r="G2084" s="57">
        <v>45929</v>
      </c>
      <c r="H2084" s="57">
        <v>45989</v>
      </c>
      <c r="I2084" s="34">
        <f t="shared" si="100"/>
        <v>1</v>
      </c>
      <c r="J2084" s="34">
        <v>20</v>
      </c>
      <c r="K2084" s="36">
        <v>0</v>
      </c>
      <c r="L2084" s="34" t="s">
        <v>17</v>
      </c>
      <c r="M2084" s="39">
        <v>37984</v>
      </c>
      <c r="N2084" s="37">
        <f>(YEAR(TablaMadre[[#This Row],[ALTA]])-YEAR(M2084))</f>
        <v>22</v>
      </c>
      <c r="O2084" s="34"/>
      <c r="P2084" s="34" t="s">
        <v>19</v>
      </c>
      <c r="Q2084" s="34" t="s">
        <v>885</v>
      </c>
      <c r="R2084" s="34" t="s">
        <v>30</v>
      </c>
      <c r="S2084" s="34" t="s">
        <v>280</v>
      </c>
      <c r="T2084" s="34" t="s">
        <v>806</v>
      </c>
      <c r="U2084" s="34" t="s">
        <v>347</v>
      </c>
      <c r="V2084" s="34" t="s">
        <v>137</v>
      </c>
      <c r="W2084" s="34" t="s">
        <v>23</v>
      </c>
      <c r="X2084" s="38" t="s">
        <v>164</v>
      </c>
      <c r="Y2084" s="62"/>
      <c r="Z2084" s="62" t="e">
        <f t="shared" si="101"/>
        <v>#NUM!</v>
      </c>
      <c r="AA2084" s="62"/>
      <c r="AB2084" s="41"/>
      <c r="AC2084" s="41"/>
      <c r="AD2084" s="38"/>
      <c r="AE2084" s="59" t="str">
        <f t="shared" si="102"/>
        <v>SÍ</v>
      </c>
      <c r="AF2084" s="38" t="e" cm="1">
        <f t="array" aca="1" ref="AF2084" ca="1">MIN(100, MAX(0, (IF(R2084="ESTUDIANTE", 31, 0)) + (IF(I2084&lt;=3, 30, IF(I2084&lt;=6, 20, 0))) +(IF(OR(E2084="413 - Control de Costes y Enlace Construcción", E2084="480 - Secretaría General del Consejo", E2084="132 - Civil y estructuras", E2084="136 - Mecánica", E2084="412 - Planificación", E2084="142 - Compras"), 25, 0)) +(IF(OR(S2084="GRADO ING. MECÁNICA", S2084="GRADO ING. ELÉCTRICA", S2084="GRADO DERECHO", S2084="GRADO ECONOMÍA", S2084="GRADO ING. TECNOLOGÍAS INDUSTRIALES"), 24, 0)) + (IF(AND(K2084&gt;=451, K2084&lt;=700), 23, 0)) + (IF(AND(AB2084&gt;=5, AB2084&lt;=8), 17, 0)) +(IF(_xludf.OR(_xludf.AND(AC2084&gt;=8, AC2084&lt;=10), _xludf.AND(AC2084&gt;=0, AC2084&lt;=5)), 16, 0)) + (IF(F2084="Madrid", 11, 0))))</f>
        <v>#NAME?</v>
      </c>
      <c r="AG2084" s="68"/>
      <c r="AH2084" s="71" t="s">
        <v>164</v>
      </c>
    </row>
    <row r="2085" spans="1:34" s="4" customFormat="1" ht="15" customHeight="1" x14ac:dyDescent="0.3">
      <c r="A2085" s="66" t="s">
        <v>2860</v>
      </c>
      <c r="B2085" s="66" t="s">
        <v>4977</v>
      </c>
      <c r="C2085" s="33">
        <v>2088</v>
      </c>
      <c r="D2085" s="33" t="s">
        <v>5397</v>
      </c>
      <c r="E2085" s="34" t="s">
        <v>5323</v>
      </c>
      <c r="F2085" s="34" t="s">
        <v>118</v>
      </c>
      <c r="G2085" s="57">
        <v>45931</v>
      </c>
      <c r="H2085" s="57">
        <v>46112</v>
      </c>
      <c r="I2085" s="34">
        <f t="shared" si="100"/>
        <v>5</v>
      </c>
      <c r="J2085" s="34">
        <v>35</v>
      </c>
      <c r="K2085" s="36">
        <v>900</v>
      </c>
      <c r="L2085" s="34" t="s">
        <v>17</v>
      </c>
      <c r="M2085" s="39">
        <v>37908</v>
      </c>
      <c r="N2085" s="37">
        <f>(YEAR(TablaMadre[[#This Row],[ALTA]])-YEAR(M2085))</f>
        <v>22</v>
      </c>
      <c r="O2085" s="34" t="s">
        <v>118</v>
      </c>
      <c r="P2085" s="34" t="s">
        <v>19</v>
      </c>
      <c r="Q2085" s="34" t="s">
        <v>322</v>
      </c>
      <c r="R2085" s="34" t="s">
        <v>21</v>
      </c>
      <c r="S2085" s="34" t="s">
        <v>322</v>
      </c>
      <c r="T2085" s="34" t="s">
        <v>911</v>
      </c>
      <c r="U2085" s="34" t="s">
        <v>30</v>
      </c>
      <c r="V2085" s="34" t="s">
        <v>37</v>
      </c>
      <c r="W2085" s="34" t="s">
        <v>28</v>
      </c>
      <c r="X2085" s="38" t="s">
        <v>173</v>
      </c>
      <c r="Y2085" s="38"/>
      <c r="Z2085" s="38" t="e">
        <f t="shared" si="101"/>
        <v>#NUM!</v>
      </c>
      <c r="AA2085" s="38"/>
      <c r="AB2085" s="41">
        <v>9</v>
      </c>
      <c r="AC2085" s="41"/>
      <c r="AD2085" s="38"/>
      <c r="AE2085" s="59" t="str">
        <f t="shared" si="102"/>
        <v>NO</v>
      </c>
      <c r="AF2085" s="34" t="e" cm="1">
        <f t="array" aca="1" ref="AF2085" ca="1">MIN(100, MAX(0, (IF(R2085="ESTUDIANTE", 31, 0)) + (IF(I2085&lt;=3, 30, IF(I2085&lt;=6, 20, 0))) +(IF(OR(E2085="413 - Control de Costes y Enlace Construcción", E2085="480 - Secretaría General del Consejo", E2085="132 - Civil y estructuras", E2085="136 - Mecánica", E2085="412 - Planificación", E2085="142 - Compras"), 25, 0)) +(IF(OR(S2085="GRADO ING. MECÁNICA", S2085="GRADO ING. ELÉCTRICA", S2085="GRADO DERECHO", S2085="GRADO ECONOMÍA", S2085="GRADO ING. TECNOLOGÍAS INDUSTRIALES"), 24, 0)) + (IF(AND(K2085&gt;=451, K2085&lt;=700), 23, 0)) + (IF(AND(AB2085&gt;=5, AB2085&lt;=8), 17, 0)) +(IF(_xludf.OR(_xludf.AND(AC2085&gt;=8, AC2085&lt;=10), _xludf.AND(AC2085&gt;=0, AC2085&lt;=5)), 16, 0)) + (IF(F2085="Madrid", 11, 0))))</f>
        <v>#NAME?</v>
      </c>
      <c r="AG2085" s="69"/>
      <c r="AH2085" s="71" t="s">
        <v>164</v>
      </c>
    </row>
    <row r="2086" spans="1:34" s="4" customFormat="1" ht="15" customHeight="1" x14ac:dyDescent="0.3">
      <c r="A2086" s="66" t="s">
        <v>2932</v>
      </c>
      <c r="B2086" s="66" t="s">
        <v>5049</v>
      </c>
      <c r="C2086" s="33">
        <v>2089</v>
      </c>
      <c r="D2086" s="33" t="s">
        <v>5393</v>
      </c>
      <c r="E2086" s="34" t="s">
        <v>5285</v>
      </c>
      <c r="F2086" s="34" t="s">
        <v>18</v>
      </c>
      <c r="G2086" s="57">
        <v>45931</v>
      </c>
      <c r="H2086" s="57">
        <v>46142</v>
      </c>
      <c r="I2086" s="34">
        <f t="shared" si="100"/>
        <v>6</v>
      </c>
      <c r="J2086" s="34">
        <v>40</v>
      </c>
      <c r="K2086" s="36">
        <v>500</v>
      </c>
      <c r="L2086" s="34" t="s">
        <v>29</v>
      </c>
      <c r="M2086" s="39">
        <v>36042</v>
      </c>
      <c r="N2086" s="37">
        <f>(YEAR(TablaMadre[[#This Row],[ALTA]])-YEAR(M2086))</f>
        <v>27</v>
      </c>
      <c r="O2086" s="34" t="s">
        <v>18</v>
      </c>
      <c r="P2086" s="34" t="s">
        <v>19</v>
      </c>
      <c r="Q2086" s="34" t="s">
        <v>917</v>
      </c>
      <c r="R2086" s="34" t="s">
        <v>30</v>
      </c>
      <c r="S2086" s="34" t="s">
        <v>26</v>
      </c>
      <c r="T2086" s="34" t="s">
        <v>806</v>
      </c>
      <c r="U2086" s="34" t="s">
        <v>347</v>
      </c>
      <c r="V2086" s="34" t="s">
        <v>27</v>
      </c>
      <c r="W2086" s="34" t="s">
        <v>181</v>
      </c>
      <c r="X2086" s="34"/>
      <c r="Y2086" s="34"/>
      <c r="Z2086" s="57" t="e">
        <f t="shared" si="101"/>
        <v>#NUM!</v>
      </c>
      <c r="AA2086" s="57"/>
      <c r="AB2086" s="41">
        <v>8</v>
      </c>
      <c r="AC2086" s="41">
        <v>10</v>
      </c>
      <c r="AD2086" s="34"/>
      <c r="AE2086" s="59" t="str">
        <f t="shared" si="102"/>
        <v>NO</v>
      </c>
      <c r="AF2086" s="34" t="e" cm="1">
        <f t="array" aca="1" ref="AF2086" ca="1">MIN(100, MAX(0, (IF(R2086="ESTUDIANTE", 31, 0)) + (IF(I2086&lt;=3, 30, IF(I2086&lt;=6, 20, 0))) +(IF(OR(E2086="413 - Control de Costes y Enlace Construcción", E2086="480 - Secretaría General del Consejo", E2086="132 - Civil y estructuras", E2086="136 - Mecánica", E2086="412 - Planificación", E2086="142 - Compras"), 25, 0)) +(IF(OR(S2086="GRADO ING. MECÁNICA", S2086="GRADO ING. ELÉCTRICA", S2086="GRADO DERECHO", S2086="GRADO ECONOMÍA", S2086="GRADO ING. TECNOLOGÍAS INDUSTRIALES"), 24, 0)) + (IF(AND(K2086&gt;=451, K2086&lt;=700), 23, 0)) + (IF(AND(AB2086&gt;=5, AB2086&lt;=8), 17, 0)) +(IF(_xludf.OR(_xludf.AND(AC2086&gt;=8, AC2086&lt;=10), _xludf.AND(AC2086&gt;=0, AC2086&lt;=5)), 16, 0)) + (IF(F2086="Madrid", 11, 0))))</f>
        <v>#NAME?</v>
      </c>
      <c r="AG2086" s="69"/>
      <c r="AH2086" s="71" t="s">
        <v>164</v>
      </c>
    </row>
    <row r="2087" spans="1:34" s="4" customFormat="1" ht="15" customHeight="1" x14ac:dyDescent="0.3">
      <c r="A2087" s="66" t="s">
        <v>2953</v>
      </c>
      <c r="B2087" s="66" t="s">
        <v>5070</v>
      </c>
      <c r="C2087" s="33">
        <v>2086</v>
      </c>
      <c r="D2087" s="33" t="s">
        <v>5394</v>
      </c>
      <c r="E2087" s="34" t="s">
        <v>5216</v>
      </c>
      <c r="F2087" s="34" t="s">
        <v>977</v>
      </c>
      <c r="G2087" s="57">
        <v>45931</v>
      </c>
      <c r="H2087" s="57">
        <v>46112</v>
      </c>
      <c r="I2087" s="34">
        <f t="shared" si="100"/>
        <v>5</v>
      </c>
      <c r="J2087" s="34">
        <v>40</v>
      </c>
      <c r="K2087" s="36">
        <v>0</v>
      </c>
      <c r="L2087" s="34" t="s">
        <v>17</v>
      </c>
      <c r="M2087" s="39">
        <v>37353</v>
      </c>
      <c r="N2087" s="37">
        <f>(YEAR(TablaMadre[[#This Row],[ALTA]])-YEAR(M2087))</f>
        <v>23</v>
      </c>
      <c r="O2087" s="34" t="s">
        <v>558</v>
      </c>
      <c r="P2087" s="34" t="s">
        <v>19</v>
      </c>
      <c r="Q2087" s="34" t="s">
        <v>297</v>
      </c>
      <c r="R2087" s="34" t="s">
        <v>30</v>
      </c>
      <c r="S2087" s="34" t="s">
        <v>297</v>
      </c>
      <c r="T2087" s="34" t="s">
        <v>806</v>
      </c>
      <c r="U2087" s="34" t="s">
        <v>347</v>
      </c>
      <c r="V2087" s="34" t="s">
        <v>310</v>
      </c>
      <c r="W2087" s="34" t="s">
        <v>28</v>
      </c>
      <c r="X2087" s="34"/>
      <c r="Y2087" s="34"/>
      <c r="Z2087" s="34" t="e">
        <f t="shared" si="101"/>
        <v>#NUM!</v>
      </c>
      <c r="AA2087" s="34"/>
      <c r="AB2087" s="41">
        <v>7</v>
      </c>
      <c r="AC2087" s="41"/>
      <c r="AD2087" s="34"/>
      <c r="AE2087" s="59" t="str">
        <f t="shared" si="102"/>
        <v>SÍ</v>
      </c>
      <c r="AF2087" s="34" t="e" cm="1">
        <f t="array" aca="1" ref="AF2087" ca="1">MIN(100, MAX(0, (IF(R2087="ESTUDIANTE", 31, 0)) + (IF(I2087&lt;=3, 30, IF(I2087&lt;=6, 20, 0))) +(IF(OR(E2087="413 - Control de Costes y Enlace Construcción", E2087="480 - Secretaría General del Consejo", E2087="132 - Civil y estructuras", E2087="136 - Mecánica", E2087="412 - Planificación", E2087="142 - Compras"), 25, 0)) +(IF(OR(S2087="GRADO ING. MECÁNICA", S2087="GRADO ING. ELÉCTRICA", S2087="GRADO DERECHO", S2087="GRADO ECONOMÍA", S2087="GRADO ING. TECNOLOGÍAS INDUSTRIALES"), 24, 0)) + (IF(AND(K2087&gt;=451, K2087&lt;=700), 23, 0)) + (IF(AND(AB2087&gt;=5, AB2087&lt;=8), 17, 0)) +(IF(_xludf.OR(_xludf.AND(AC2087&gt;=8, AC2087&lt;=10), _xludf.AND(AC2087&gt;=0, AC2087&lt;=5)), 16, 0)) + (IF(F2087="Madrid", 11, 0))))</f>
        <v>#NAME?</v>
      </c>
      <c r="AG2087" s="69"/>
      <c r="AH2087" s="71" t="s">
        <v>164</v>
      </c>
    </row>
    <row r="2088" spans="1:34" s="4" customFormat="1" ht="15" customHeight="1" x14ac:dyDescent="0.3">
      <c r="A2088" s="66" t="s">
        <v>3085</v>
      </c>
      <c r="B2088" s="66" t="s">
        <v>5202</v>
      </c>
      <c r="C2088" s="33">
        <v>2087</v>
      </c>
      <c r="D2088" s="33" t="s">
        <v>5395</v>
      </c>
      <c r="E2088" s="34" t="s">
        <v>5273</v>
      </c>
      <c r="F2088" s="34" t="s">
        <v>95</v>
      </c>
      <c r="G2088" s="57">
        <v>45931</v>
      </c>
      <c r="H2088" s="57">
        <v>46112</v>
      </c>
      <c r="I2088" s="34">
        <f t="shared" si="100"/>
        <v>5</v>
      </c>
      <c r="J2088" s="34">
        <v>40</v>
      </c>
      <c r="K2088" s="36">
        <v>0</v>
      </c>
      <c r="L2088" s="34" t="s">
        <v>17</v>
      </c>
      <c r="M2088" s="39">
        <v>36373</v>
      </c>
      <c r="N2088" s="37">
        <f>(YEAR(TablaMadre[[#This Row],[ALTA]])-YEAR(M2088))</f>
        <v>26</v>
      </c>
      <c r="O2088" s="34" t="s">
        <v>941</v>
      </c>
      <c r="P2088" s="34" t="s">
        <v>19</v>
      </c>
      <c r="Q2088" s="34" t="s">
        <v>910</v>
      </c>
      <c r="R2088" s="34" t="s">
        <v>30</v>
      </c>
      <c r="S2088" s="34" t="s">
        <v>321</v>
      </c>
      <c r="T2088" s="34" t="s">
        <v>857</v>
      </c>
      <c r="U2088" s="34" t="s">
        <v>21</v>
      </c>
      <c r="V2088" s="34" t="s">
        <v>311</v>
      </c>
      <c r="W2088" s="34" t="s">
        <v>97</v>
      </c>
      <c r="X2088" s="34" t="s">
        <v>173</v>
      </c>
      <c r="Y2088" s="34"/>
      <c r="Z2088" s="57" t="e">
        <f t="shared" si="101"/>
        <v>#NUM!</v>
      </c>
      <c r="AA2088" s="57"/>
      <c r="AB2088" s="41">
        <v>9</v>
      </c>
      <c r="AC2088" s="41">
        <v>8</v>
      </c>
      <c r="AD2088" s="34"/>
      <c r="AE2088" s="59" t="str">
        <f t="shared" si="102"/>
        <v>SÍ</v>
      </c>
      <c r="AF2088" s="34" t="e" cm="1">
        <f t="array" aca="1" ref="AF2088" ca="1">MIN(100, MAX(0, (IF(R2088="ESTUDIANTE", 31, 0)) + (IF(I2088&lt;=3, 30, IF(I2088&lt;=6, 20, 0))) +(IF(OR(E2088="413 - Control de Costes y Enlace Construcción", E2088="480 - Secretaría General del Consejo", E2088="132 - Civil y estructuras", E2088="136 - Mecánica", E2088="412 - Planificación", E2088="142 - Compras"), 25, 0)) +(IF(OR(S2088="GRADO ING. MECÁNICA", S2088="GRADO ING. ELÉCTRICA", S2088="GRADO DERECHO", S2088="GRADO ECONOMÍA", S2088="GRADO ING. TECNOLOGÍAS INDUSTRIALES"), 24, 0)) + (IF(AND(K2088&gt;=451, K2088&lt;=700), 23, 0)) + (IF(AND(AB2088&gt;=5, AB2088&lt;=8), 17, 0)) +(IF(_xludf.OR(_xludf.AND(AC2088&gt;=8, AC2088&lt;=10), _xludf.AND(AC2088&gt;=0, AC2088&lt;=5)), 16, 0)) + (IF(F2088="Madrid", 11, 0))))</f>
        <v>#NAME?</v>
      </c>
      <c r="AG2088" s="69"/>
      <c r="AH2088" s="71" t="s">
        <v>164</v>
      </c>
    </row>
    <row r="2089" spans="1:34" ht="15" customHeight="1" x14ac:dyDescent="0.3">
      <c r="A2089" s="66" t="s">
        <v>3087</v>
      </c>
      <c r="B2089" s="66" t="s">
        <v>5204</v>
      </c>
      <c r="C2089" s="33">
        <v>2085</v>
      </c>
      <c r="D2089" s="33" t="s">
        <v>5396</v>
      </c>
      <c r="E2089" s="34" t="s">
        <v>5273</v>
      </c>
      <c r="F2089" s="34" t="s">
        <v>95</v>
      </c>
      <c r="G2089" s="57">
        <v>45931</v>
      </c>
      <c r="H2089" s="57">
        <v>46112</v>
      </c>
      <c r="I2089" s="34">
        <f t="shared" si="100"/>
        <v>5</v>
      </c>
      <c r="J2089" s="34">
        <v>40</v>
      </c>
      <c r="K2089" s="36">
        <v>0</v>
      </c>
      <c r="L2089" s="34" t="s">
        <v>17</v>
      </c>
      <c r="M2089" s="39">
        <v>36470</v>
      </c>
      <c r="N2089" s="37">
        <f>(YEAR(TablaMadre[[#This Row],[ALTA]])-YEAR(M2089))</f>
        <v>26</v>
      </c>
      <c r="O2089" s="34" t="s">
        <v>558</v>
      </c>
      <c r="P2089" s="34" t="s">
        <v>19</v>
      </c>
      <c r="Q2089" s="34" t="s">
        <v>326</v>
      </c>
      <c r="R2089" s="34" t="s">
        <v>30</v>
      </c>
      <c r="S2089" s="34" t="s">
        <v>326</v>
      </c>
      <c r="T2089" s="34" t="s">
        <v>909</v>
      </c>
      <c r="U2089" s="34" t="s">
        <v>21</v>
      </c>
      <c r="V2089" s="34" t="s">
        <v>40</v>
      </c>
      <c r="W2089" s="34" t="s">
        <v>97</v>
      </c>
      <c r="X2089" s="34" t="s">
        <v>173</v>
      </c>
      <c r="Y2089" s="34"/>
      <c r="Z2089" s="57" t="e">
        <f t="shared" si="101"/>
        <v>#NUM!</v>
      </c>
      <c r="AA2089" s="57"/>
      <c r="AB2089" s="41"/>
      <c r="AC2089" s="41"/>
      <c r="AD2089" s="34"/>
      <c r="AE2089" s="59" t="str">
        <f t="shared" si="102"/>
        <v>SÍ</v>
      </c>
      <c r="AF2089" s="38" t="e" cm="1">
        <f t="array" aca="1" ref="AF2089" ca="1">MIN(100, MAX(0, (IF(R2089="ESTUDIANTE", 31, 0)) + (IF(I2089&lt;=3, 30, IF(I2089&lt;=6, 20, 0))) +(IF(OR(E2089="413 - Control de Costes y Enlace Construcción", E2089="480 - Secretaría General del Consejo", E2089="132 - Civil y estructuras", E2089="136 - Mecánica", E2089="412 - Planificación", E2089="142 - Compras"), 25, 0)) +(IF(OR(S2089="GRADO ING. MECÁNICA", S2089="GRADO ING. ELÉCTRICA", S2089="GRADO DERECHO", S2089="GRADO ECONOMÍA", S2089="GRADO ING. TECNOLOGÍAS INDUSTRIALES"), 24, 0)) + (IF(AND(K2089&gt;=451, K2089&lt;=700), 23, 0)) + (IF(AND(AB2089&gt;=5, AB2089&lt;=8), 17, 0)) +(IF(_xludf.OR(_xludf.AND(AC2089&gt;=8, AC2089&lt;=10), _xludf.AND(AC2089&gt;=0, AC2089&lt;=5)), 16, 0)) + (IF(F2089="Madrid", 11, 0))))</f>
        <v>#NAME?</v>
      </c>
      <c r="AG2089" s="68"/>
      <c r="AH2089" s="71" t="s">
        <v>164</v>
      </c>
    </row>
    <row r="2090" spans="1:34" s="4" customFormat="1" ht="15" customHeight="1" x14ac:dyDescent="0.3">
      <c r="A2090" s="66" t="s">
        <v>2779</v>
      </c>
      <c r="B2090" s="66" t="s">
        <v>4896</v>
      </c>
      <c r="C2090" s="33">
        <v>2096</v>
      </c>
      <c r="D2090" s="33" t="s">
        <v>5397</v>
      </c>
      <c r="E2090" s="34" t="s">
        <v>5255</v>
      </c>
      <c r="F2090" s="34" t="s">
        <v>18</v>
      </c>
      <c r="G2090" s="57">
        <v>45936</v>
      </c>
      <c r="H2090" s="57">
        <v>46117</v>
      </c>
      <c r="I2090" s="34">
        <f t="shared" si="100"/>
        <v>5</v>
      </c>
      <c r="J2090" s="34">
        <v>25</v>
      </c>
      <c r="K2090" s="36">
        <v>625</v>
      </c>
      <c r="L2090" s="34" t="s">
        <v>17</v>
      </c>
      <c r="M2090" s="39">
        <v>36599</v>
      </c>
      <c r="N2090" s="37">
        <f>(YEAR(TablaMadre[[#This Row],[ALTA]])-YEAR(M2090))</f>
        <v>25</v>
      </c>
      <c r="O2090" s="34" t="s">
        <v>143</v>
      </c>
      <c r="P2090" s="34" t="s">
        <v>19</v>
      </c>
      <c r="Q2090" s="34" t="s">
        <v>685</v>
      </c>
      <c r="R2090" s="34" t="s">
        <v>21</v>
      </c>
      <c r="S2090" s="34" t="s">
        <v>685</v>
      </c>
      <c r="T2090" s="34" t="s">
        <v>806</v>
      </c>
      <c r="U2090" s="34" t="str">
        <f>SUBSTITUTE($T2090, "INGUN", "/")</f>
        <v>N/A</v>
      </c>
      <c r="V2090" s="34" t="s">
        <v>22</v>
      </c>
      <c r="W2090" s="34" t="s">
        <v>181</v>
      </c>
      <c r="X2090" s="34"/>
      <c r="Y2090" s="34"/>
      <c r="Z2090" s="57" t="e">
        <f t="shared" si="101"/>
        <v>#NUM!</v>
      </c>
      <c r="AA2090" s="57"/>
      <c r="AB2090" s="41">
        <v>8</v>
      </c>
      <c r="AC2090" s="41">
        <v>9</v>
      </c>
      <c r="AD2090" s="34"/>
      <c r="AE2090" s="59" t="str">
        <f t="shared" si="102"/>
        <v>SÍ</v>
      </c>
      <c r="AF2090" s="34" t="e" cm="1">
        <f t="array" aca="1" ref="AF2090" ca="1">MIN(100, MAX(0, (IF(R2090="ESTUDIANTE", 31, 0)) + (IF(I2090&lt;=3, 30, IF(I2090&lt;=6, 20, 0))) +(IF(OR(E2090="413 - Control de Costes y Enlace Construcción", E2090="480 - Secretaría General del Consejo", E2090="132 - Civil y estructuras", E2090="136 - Mecánica", E2090="412 - Planificación", E2090="142 - Compras"), 25, 0)) +(IF(OR(S2090="GRADO ING. MECÁNICA", S2090="GRADO ING. ELÉCTRICA", S2090="GRADO DERECHO", S2090="GRADO ECONOMÍA", S2090="GRADO ING. TECNOLOGÍAS INDUSTRIALES"), 24, 0)) + (IF(AND(K2090&gt;=451, K2090&lt;=700), 23, 0)) + (IF(AND(AB2090&gt;=5, AB2090&lt;=8), 17, 0)) +(IF(_xludf.OR(_xludf.AND(AC2090&gt;=8, AC2090&lt;=10), _xludf.AND(AC2090&gt;=0, AC2090&lt;=5)), 16, 0)) + (IF(F2090="Madrid", 11, 0))))</f>
        <v>#NAME?</v>
      </c>
      <c r="AG2090" s="69"/>
      <c r="AH2090" s="71" t="s">
        <v>164</v>
      </c>
    </row>
    <row r="2091" spans="1:34" ht="15" customHeight="1" x14ac:dyDescent="0.3">
      <c r="A2091" s="66" t="s">
        <v>2933</v>
      </c>
      <c r="B2091" s="66" t="s">
        <v>5050</v>
      </c>
      <c r="C2091" s="33">
        <v>2097</v>
      </c>
      <c r="D2091" s="33" t="s">
        <v>5398</v>
      </c>
      <c r="E2091" s="34" t="s">
        <v>5313</v>
      </c>
      <c r="F2091" s="34" t="s">
        <v>18</v>
      </c>
      <c r="G2091" s="57">
        <v>45936</v>
      </c>
      <c r="H2091" s="57">
        <v>46117</v>
      </c>
      <c r="I2091" s="34">
        <f t="shared" si="100"/>
        <v>5</v>
      </c>
      <c r="J2091" s="34">
        <v>35</v>
      </c>
      <c r="K2091" s="36">
        <v>900</v>
      </c>
      <c r="L2091" s="34" t="s">
        <v>17</v>
      </c>
      <c r="M2091" s="39">
        <v>37391</v>
      </c>
      <c r="N2091" s="37">
        <f>(YEAR(TablaMadre[[#This Row],[ALTA]])-YEAR(M2091))</f>
        <v>23</v>
      </c>
      <c r="O2091" s="34" t="s">
        <v>654</v>
      </c>
      <c r="P2091" s="34" t="s">
        <v>19</v>
      </c>
      <c r="Q2091" s="34" t="s">
        <v>151</v>
      </c>
      <c r="R2091" s="34" t="s">
        <v>21</v>
      </c>
      <c r="S2091" s="34" t="s">
        <v>151</v>
      </c>
      <c r="T2091" s="34" t="s">
        <v>870</v>
      </c>
      <c r="U2091" s="34" t="s">
        <v>30</v>
      </c>
      <c r="V2091" s="34" t="s">
        <v>22</v>
      </c>
      <c r="W2091" s="34" t="s">
        <v>28</v>
      </c>
      <c r="X2091" s="38"/>
      <c r="Y2091" s="38"/>
      <c r="Z2091" s="38" t="e">
        <f t="shared" si="101"/>
        <v>#NUM!</v>
      </c>
      <c r="AA2091" s="38"/>
      <c r="AB2091" s="41">
        <v>9</v>
      </c>
      <c r="AC2091" s="41">
        <v>10</v>
      </c>
      <c r="AD2091" s="38"/>
      <c r="AE2091" s="59" t="str">
        <f t="shared" si="102"/>
        <v>SÍ</v>
      </c>
      <c r="AF2091" s="38" t="e" cm="1">
        <f t="array" aca="1" ref="AF2091" ca="1">MIN(100, MAX(0, (IF(R2091="ESTUDIANTE", 31, 0)) + (IF(I2091&lt;=3, 30, IF(I2091&lt;=6, 20, 0))) +(IF(OR(E2091="413 - Control de Costes y Enlace Construcción", E2091="480 - Secretaría General del Consejo", E2091="132 - Civil y estructuras", E2091="136 - Mecánica", E2091="412 - Planificación", E2091="142 - Compras"), 25, 0)) +(IF(OR(S2091="GRADO ING. MECÁNICA", S2091="GRADO ING. ELÉCTRICA", S2091="GRADO DERECHO", S2091="GRADO ECONOMÍA", S2091="GRADO ING. TECNOLOGÍAS INDUSTRIALES"), 24, 0)) + (IF(AND(K2091&gt;=451, K2091&lt;=700), 23, 0)) + (IF(AND(AB2091&gt;=5, AB2091&lt;=8), 17, 0)) +(IF(_xludf.OR(_xludf.AND(AC2091&gt;=8, AC2091&lt;=10), _xludf.AND(AC2091&gt;=0, AC2091&lt;=5)), 16, 0)) + (IF(F2091="Madrid", 11, 0))))</f>
        <v>#NAME?</v>
      </c>
      <c r="AG2091" s="68"/>
      <c r="AH2091" s="71" t="s">
        <v>164</v>
      </c>
    </row>
    <row r="2092" spans="1:34" ht="15" customHeight="1" x14ac:dyDescent="0.3">
      <c r="A2092" s="66" t="s">
        <v>2934</v>
      </c>
      <c r="B2092" s="66" t="s">
        <v>5051</v>
      </c>
      <c r="C2092" s="33">
        <v>2093</v>
      </c>
      <c r="D2092" s="33" t="s">
        <v>5399</v>
      </c>
      <c r="E2092" s="34" t="s">
        <v>5252</v>
      </c>
      <c r="F2092" s="34" t="s">
        <v>18</v>
      </c>
      <c r="G2092" s="57">
        <v>45936</v>
      </c>
      <c r="H2092" s="57">
        <v>46117</v>
      </c>
      <c r="I2092" s="34">
        <f t="shared" si="100"/>
        <v>5</v>
      </c>
      <c r="J2092" s="34">
        <v>30</v>
      </c>
      <c r="K2092" s="36">
        <v>600</v>
      </c>
      <c r="L2092" s="34" t="s">
        <v>17</v>
      </c>
      <c r="M2092" s="39">
        <v>37367</v>
      </c>
      <c r="N2092" s="37">
        <f>(YEAR(TablaMadre[[#This Row],[ALTA]])-YEAR(M2092))</f>
        <v>23</v>
      </c>
      <c r="O2092" s="34" t="s">
        <v>105</v>
      </c>
      <c r="P2092" s="34" t="s">
        <v>19</v>
      </c>
      <c r="Q2092" s="34" t="s">
        <v>920</v>
      </c>
      <c r="R2092" s="34" t="s">
        <v>30</v>
      </c>
      <c r="S2092" s="34" t="s">
        <v>761</v>
      </c>
      <c r="T2092" s="34" t="s">
        <v>806</v>
      </c>
      <c r="U2092" s="34" t="s">
        <v>347</v>
      </c>
      <c r="V2092" s="34" t="s">
        <v>74</v>
      </c>
      <c r="W2092" s="34" t="s">
        <v>28</v>
      </c>
      <c r="X2092" s="34"/>
      <c r="Y2092" s="34"/>
      <c r="Z2092" s="34" t="e">
        <f t="shared" si="101"/>
        <v>#NUM!</v>
      </c>
      <c r="AA2092" s="34"/>
      <c r="AB2092" s="41">
        <v>7</v>
      </c>
      <c r="AC2092" s="41">
        <v>8</v>
      </c>
      <c r="AD2092" s="34"/>
      <c r="AE2092" s="59" t="str">
        <f t="shared" si="102"/>
        <v>SÍ</v>
      </c>
      <c r="AF2092" s="38" t="e" cm="1">
        <f t="array" aca="1" ref="AF2092" ca="1">MIN(100, MAX(0, (IF(R2092="ESTUDIANTE", 31, 0)) + (IF(I2092&lt;=3, 30, IF(I2092&lt;=6, 20, 0))) +(IF(OR(E2092="413 - Control de Costes y Enlace Construcción", E2092="480 - Secretaría General del Consejo", E2092="132 - Civil y estructuras", E2092="136 - Mecánica", E2092="412 - Planificación", E2092="142 - Compras"), 25, 0)) +(IF(OR(S2092="GRADO ING. MECÁNICA", S2092="GRADO ING. ELÉCTRICA", S2092="GRADO DERECHO", S2092="GRADO ECONOMÍA", S2092="GRADO ING. TECNOLOGÍAS INDUSTRIALES"), 24, 0)) + (IF(AND(K2092&gt;=451, K2092&lt;=700), 23, 0)) + (IF(AND(AB2092&gt;=5, AB2092&lt;=8), 17, 0)) +(IF(_xludf.OR(_xludf.AND(AC2092&gt;=8, AC2092&lt;=10), _xludf.AND(AC2092&gt;=0, AC2092&lt;=5)), 16, 0)) + (IF(F2092="Madrid", 11, 0))))</f>
        <v>#NAME?</v>
      </c>
      <c r="AG2092" s="68"/>
      <c r="AH2092" s="71" t="s">
        <v>164</v>
      </c>
    </row>
    <row r="2093" spans="1:34" s="4" customFormat="1" ht="15" customHeight="1" x14ac:dyDescent="0.3">
      <c r="A2093" s="66" t="s">
        <v>2937</v>
      </c>
      <c r="B2093" s="66" t="s">
        <v>5054</v>
      </c>
      <c r="C2093" s="33">
        <v>2094</v>
      </c>
      <c r="D2093" s="33" t="s">
        <v>5400</v>
      </c>
      <c r="E2093" s="34" t="s">
        <v>5386</v>
      </c>
      <c r="F2093" s="34" t="s">
        <v>18</v>
      </c>
      <c r="G2093" s="57">
        <v>45936</v>
      </c>
      <c r="H2093" s="57">
        <v>46117</v>
      </c>
      <c r="I2093" s="34">
        <f t="shared" si="100"/>
        <v>5</v>
      </c>
      <c r="J2093" s="34">
        <v>35</v>
      </c>
      <c r="K2093" s="36">
        <v>900</v>
      </c>
      <c r="L2093" s="34" t="s">
        <v>29</v>
      </c>
      <c r="M2093" s="39">
        <v>37100</v>
      </c>
      <c r="N2093" s="37">
        <f>(YEAR(TablaMadre[[#This Row],[ALTA]])-YEAR(M2093))</f>
        <v>24</v>
      </c>
      <c r="O2093" s="34" t="s">
        <v>293</v>
      </c>
      <c r="P2093" s="34" t="s">
        <v>19</v>
      </c>
      <c r="Q2093" s="34" t="s">
        <v>215</v>
      </c>
      <c r="R2093" s="34" t="s">
        <v>21</v>
      </c>
      <c r="S2093" s="34" t="s">
        <v>322</v>
      </c>
      <c r="T2093" s="34" t="s">
        <v>823</v>
      </c>
      <c r="U2093" s="34" t="s">
        <v>30</v>
      </c>
      <c r="V2093" s="34" t="s">
        <v>114</v>
      </c>
      <c r="W2093" s="34" t="s">
        <v>28</v>
      </c>
      <c r="X2093" s="34"/>
      <c r="Y2093" s="34"/>
      <c r="Z2093" s="34" t="e">
        <f t="shared" si="101"/>
        <v>#NUM!</v>
      </c>
      <c r="AA2093" s="34"/>
      <c r="AB2093" s="41">
        <v>10</v>
      </c>
      <c r="AC2093" s="41">
        <v>10</v>
      </c>
      <c r="AD2093" s="34"/>
      <c r="AE2093" s="59" t="str">
        <f t="shared" si="102"/>
        <v>SÍ</v>
      </c>
      <c r="AF2093" s="34" t="e" cm="1">
        <f t="array" aca="1" ref="AF2093" ca="1">MIN(100, MAX(0, (IF(R2093="ESTUDIANTE", 31, 0)) + (IF(I2093&lt;=3, 30, IF(I2093&lt;=6, 20, 0))) +(IF(OR(E2093="413 - Control de Costes y Enlace Construcción", E2093="480 - Secretaría General del Consejo", E2093="132 - Civil y estructuras", E2093="136 - Mecánica", E2093="412 - Planificación", E2093="142 - Compras"), 25, 0)) +(IF(OR(S2093="GRADO ING. MECÁNICA", S2093="GRADO ING. ELÉCTRICA", S2093="GRADO DERECHO", S2093="GRADO ECONOMÍA", S2093="GRADO ING. TECNOLOGÍAS INDUSTRIALES"), 24, 0)) + (IF(AND(K2093&gt;=451, K2093&lt;=700), 23, 0)) + (IF(AND(AB2093&gt;=5, AB2093&lt;=8), 17, 0)) +(IF(_xludf.OR(_xludf.AND(AC2093&gt;=8, AC2093&lt;=10), _xludf.AND(AC2093&gt;=0, AC2093&lt;=5)), 16, 0)) + (IF(F2093="Madrid", 11, 0))))</f>
        <v>#NAME?</v>
      </c>
      <c r="AG2093" s="69"/>
      <c r="AH2093" s="71" t="s">
        <v>164</v>
      </c>
    </row>
    <row r="2094" spans="1:34" s="4" customFormat="1" ht="15" customHeight="1" x14ac:dyDescent="0.3">
      <c r="A2094" s="66" t="s">
        <v>3074</v>
      </c>
      <c r="B2094" s="66" t="s">
        <v>5191</v>
      </c>
      <c r="C2094" s="33">
        <v>2095</v>
      </c>
      <c r="D2094" s="33" t="s">
        <v>5401</v>
      </c>
      <c r="E2094" s="34" t="s">
        <v>5285</v>
      </c>
      <c r="F2094" s="34" t="s">
        <v>18</v>
      </c>
      <c r="G2094" s="57">
        <v>45936</v>
      </c>
      <c r="H2094" s="57">
        <v>46265</v>
      </c>
      <c r="I2094" s="38">
        <f t="shared" si="100"/>
        <v>10</v>
      </c>
      <c r="J2094" s="40">
        <v>35</v>
      </c>
      <c r="K2094" s="44">
        <v>1200</v>
      </c>
      <c r="L2094" s="38" t="s">
        <v>17</v>
      </c>
      <c r="M2094" s="43">
        <v>37237</v>
      </c>
      <c r="N2094" s="37">
        <f>(YEAR(TablaMadre[[#This Row],[ALTA]])-YEAR(M2094))</f>
        <v>24</v>
      </c>
      <c r="O2094" s="34" t="s">
        <v>18</v>
      </c>
      <c r="P2094" s="38" t="s">
        <v>19</v>
      </c>
      <c r="Q2094" s="38" t="s">
        <v>921</v>
      </c>
      <c r="R2094" s="38" t="s">
        <v>21</v>
      </c>
      <c r="S2094" s="38" t="s">
        <v>773</v>
      </c>
      <c r="T2094" s="38" t="s">
        <v>823</v>
      </c>
      <c r="U2094" s="38" t="s">
        <v>30</v>
      </c>
      <c r="V2094" s="38" t="s">
        <v>137</v>
      </c>
      <c r="W2094" s="38" t="s">
        <v>886</v>
      </c>
      <c r="X2094" s="34"/>
      <c r="Y2094" s="34"/>
      <c r="Z2094" s="57" t="e">
        <f t="shared" si="101"/>
        <v>#NUM!</v>
      </c>
      <c r="AA2094" s="57"/>
      <c r="AB2094" s="47">
        <v>9</v>
      </c>
      <c r="AC2094" s="47">
        <v>10</v>
      </c>
      <c r="AD2094" s="34"/>
      <c r="AE2094" s="59" t="str">
        <f t="shared" si="102"/>
        <v>NO</v>
      </c>
      <c r="AF2094" s="34" t="e" cm="1">
        <f t="array" aca="1" ref="AF2094" ca="1">MIN(100, MAX(0, (IF(R2094="ESTUDIANTE", 31, 0)) + (IF(I2094&lt;=3, 30, IF(I2094&lt;=6, 20, 0))) +(IF(OR(E2094="413 - Control de Costes y Enlace Construcción", E2094="480 - Secretaría General del Consejo", E2094="132 - Civil y estructuras", E2094="136 - Mecánica", E2094="412 - Planificación", E2094="142 - Compras"), 25, 0)) +(IF(OR(S2094="GRADO ING. MECÁNICA", S2094="GRADO ING. ELÉCTRICA", S2094="GRADO DERECHO", S2094="GRADO ECONOMÍA", S2094="GRADO ING. TECNOLOGÍAS INDUSTRIALES"), 24, 0)) + (IF(AND(K2094&gt;=451, K2094&lt;=700), 23, 0)) + (IF(AND(AB2094&gt;=5, AB2094&lt;=8), 17, 0)) +(IF(_xludf.OR(_xludf.AND(AC2094&gt;=8, AC2094&lt;=10), _xludf.AND(AC2094&gt;=0, AC2094&lt;=5)), 16, 0)) + (IF(F2094="Madrid", 11, 0))))</f>
        <v>#NAME?</v>
      </c>
      <c r="AG2094" s="69"/>
      <c r="AH2094" s="71" t="s">
        <v>164</v>
      </c>
    </row>
    <row r="2095" spans="1:34" s="4" customFormat="1" ht="15" customHeight="1" x14ac:dyDescent="0.3">
      <c r="A2095" s="66" t="s">
        <v>3080</v>
      </c>
      <c r="B2095" s="66" t="s">
        <v>5197</v>
      </c>
      <c r="C2095" s="33">
        <v>2090</v>
      </c>
      <c r="D2095" s="33" t="s">
        <v>5402</v>
      </c>
      <c r="E2095" s="34" t="s">
        <v>5252</v>
      </c>
      <c r="F2095" s="34" t="s">
        <v>18</v>
      </c>
      <c r="G2095" s="57">
        <v>45936</v>
      </c>
      <c r="H2095" s="57">
        <v>46003</v>
      </c>
      <c r="I2095" s="34">
        <f t="shared" si="100"/>
        <v>2</v>
      </c>
      <c r="J2095" s="34">
        <v>40</v>
      </c>
      <c r="K2095" s="36">
        <v>0</v>
      </c>
      <c r="L2095" s="34" t="s">
        <v>17</v>
      </c>
      <c r="M2095" s="39">
        <v>38342</v>
      </c>
      <c r="N2095" s="37">
        <f>(YEAR(TablaMadre[[#This Row],[ALTA]])-YEAR(M2095))</f>
        <v>21</v>
      </c>
      <c r="O2095" s="34" t="s">
        <v>918</v>
      </c>
      <c r="P2095" s="34" t="s">
        <v>918</v>
      </c>
      <c r="Q2095" s="34" t="s">
        <v>359</v>
      </c>
      <c r="R2095" s="34" t="s">
        <v>30</v>
      </c>
      <c r="S2095" s="34" t="s">
        <v>26</v>
      </c>
      <c r="T2095" s="34" t="s">
        <v>806</v>
      </c>
      <c r="U2095" s="34" t="s">
        <v>347</v>
      </c>
      <c r="V2095" s="34" t="s">
        <v>27</v>
      </c>
      <c r="W2095" s="34" t="s">
        <v>28</v>
      </c>
      <c r="X2095" s="38" t="s">
        <v>173</v>
      </c>
      <c r="Y2095" s="62"/>
      <c r="Z2095" s="38" t="e">
        <f t="shared" si="101"/>
        <v>#NUM!</v>
      </c>
      <c r="AA2095" s="38"/>
      <c r="AB2095" s="41"/>
      <c r="AC2095" s="41"/>
      <c r="AD2095" s="38"/>
      <c r="AE2095" s="59" t="str">
        <f t="shared" si="102"/>
        <v>SÍ</v>
      </c>
      <c r="AF2095" s="34" t="e" cm="1">
        <f t="array" aca="1" ref="AF2095" ca="1">MIN(100, MAX(0, (IF(R2095="ESTUDIANTE", 31, 0)) + (IF(I2095&lt;=3, 30, IF(I2095&lt;=6, 20, 0))) +(IF(OR(E2095="413 - Control de Costes y Enlace Construcción", E2095="480 - Secretaría General del Consejo", E2095="132 - Civil y estructuras", E2095="136 - Mecánica", E2095="412 - Planificación", E2095="142 - Compras"), 25, 0)) +(IF(OR(S2095="GRADO ING. MECÁNICA", S2095="GRADO ING. ELÉCTRICA", S2095="GRADO DERECHO", S2095="GRADO ECONOMÍA", S2095="GRADO ING. TECNOLOGÍAS INDUSTRIALES"), 24, 0)) + (IF(AND(K2095&gt;=451, K2095&lt;=700), 23, 0)) + (IF(AND(AB2095&gt;=5, AB2095&lt;=8), 17, 0)) +(IF(_xludf.OR(_xludf.AND(AC2095&gt;=8, AC2095&lt;=10), _xludf.AND(AC2095&gt;=0, AC2095&lt;=5)), 16, 0)) + (IF(F2095="Madrid", 11, 0))))</f>
        <v>#NAME?</v>
      </c>
      <c r="AG2095" s="69"/>
      <c r="AH2095" s="71" t="s">
        <v>164</v>
      </c>
    </row>
    <row r="2096" spans="1:34" s="4" customFormat="1" ht="15" customHeight="1" x14ac:dyDescent="0.3">
      <c r="A2096" s="66" t="s">
        <v>3081</v>
      </c>
      <c r="B2096" s="66" t="s">
        <v>5198</v>
      </c>
      <c r="C2096" s="33">
        <v>2091</v>
      </c>
      <c r="D2096" s="33" t="s">
        <v>5393</v>
      </c>
      <c r="E2096" s="34" t="s">
        <v>5252</v>
      </c>
      <c r="F2096" s="34" t="s">
        <v>18</v>
      </c>
      <c r="G2096" s="57">
        <v>45936</v>
      </c>
      <c r="H2096" s="57">
        <v>46003</v>
      </c>
      <c r="I2096" s="34">
        <f t="shared" si="100"/>
        <v>2</v>
      </c>
      <c r="J2096" s="34">
        <v>40</v>
      </c>
      <c r="K2096" s="36">
        <v>0</v>
      </c>
      <c r="L2096" s="34" t="s">
        <v>17</v>
      </c>
      <c r="M2096" s="39">
        <v>37869</v>
      </c>
      <c r="N2096" s="37">
        <f>(YEAR(TablaMadre[[#This Row],[ALTA]])-YEAR(M2096))</f>
        <v>22</v>
      </c>
      <c r="O2096" s="34" t="s">
        <v>18</v>
      </c>
      <c r="P2096" s="34" t="s">
        <v>19</v>
      </c>
      <c r="Q2096" s="34" t="s">
        <v>359</v>
      </c>
      <c r="R2096" s="34" t="s">
        <v>30</v>
      </c>
      <c r="S2096" s="34" t="s">
        <v>26</v>
      </c>
      <c r="T2096" s="34" t="s">
        <v>806</v>
      </c>
      <c r="U2096" s="34" t="s">
        <v>347</v>
      </c>
      <c r="V2096" s="34" t="s">
        <v>27</v>
      </c>
      <c r="W2096" s="34" t="s">
        <v>28</v>
      </c>
      <c r="X2096" s="38" t="s">
        <v>173</v>
      </c>
      <c r="Y2096" s="62"/>
      <c r="Z2096" s="38" t="e">
        <f t="shared" si="101"/>
        <v>#NUM!</v>
      </c>
      <c r="AA2096" s="38"/>
      <c r="AB2096" s="41">
        <v>10</v>
      </c>
      <c r="AC2096" s="41"/>
      <c r="AD2096" s="38"/>
      <c r="AE2096" s="59" t="str">
        <f t="shared" si="102"/>
        <v>NO</v>
      </c>
      <c r="AF2096" s="34" t="e" cm="1">
        <f t="array" aca="1" ref="AF2096" ca="1">MIN(100, MAX(0, (IF(R2096="ESTUDIANTE", 31, 0)) + (IF(I2096&lt;=3, 30, IF(I2096&lt;=6, 20, 0))) +(IF(OR(E2096="413 - Control de Costes y Enlace Construcción", E2096="480 - Secretaría General del Consejo", E2096="132 - Civil y estructuras", E2096="136 - Mecánica", E2096="412 - Planificación", E2096="142 - Compras"), 25, 0)) +(IF(OR(S2096="GRADO ING. MECÁNICA", S2096="GRADO ING. ELÉCTRICA", S2096="GRADO DERECHO", S2096="GRADO ECONOMÍA", S2096="GRADO ING. TECNOLOGÍAS INDUSTRIALES"), 24, 0)) + (IF(AND(K2096&gt;=451, K2096&lt;=700), 23, 0)) + (IF(AND(AB2096&gt;=5, AB2096&lt;=8), 17, 0)) +(IF(_xludf.OR(_xludf.AND(AC2096&gt;=8, AC2096&lt;=10), _xludf.AND(AC2096&gt;=0, AC2096&lt;=5)), 16, 0)) + (IF(F2096="Madrid", 11, 0))))</f>
        <v>#NAME?</v>
      </c>
      <c r="AG2096" s="69"/>
      <c r="AH2096" s="71" t="s">
        <v>164</v>
      </c>
    </row>
    <row r="2097" spans="1:58" s="4" customFormat="1" ht="15" customHeight="1" x14ac:dyDescent="0.3">
      <c r="A2097" s="66" t="s">
        <v>3082</v>
      </c>
      <c r="B2097" s="66" t="s">
        <v>5199</v>
      </c>
      <c r="C2097" s="33">
        <v>2092</v>
      </c>
      <c r="D2097" s="33" t="s">
        <v>5394</v>
      </c>
      <c r="E2097" s="34" t="s">
        <v>5326</v>
      </c>
      <c r="F2097" s="34" t="s">
        <v>18</v>
      </c>
      <c r="G2097" s="57">
        <v>45936</v>
      </c>
      <c r="H2097" s="57">
        <v>46006</v>
      </c>
      <c r="I2097" s="34">
        <f t="shared" si="100"/>
        <v>2</v>
      </c>
      <c r="J2097" s="34">
        <v>40</v>
      </c>
      <c r="K2097" s="36">
        <v>0</v>
      </c>
      <c r="L2097" s="34" t="s">
        <v>17</v>
      </c>
      <c r="M2097" s="39">
        <v>38388</v>
      </c>
      <c r="N2097" s="37">
        <f>(YEAR(TablaMadre[[#This Row],[ALTA]])-YEAR(M2097))</f>
        <v>20</v>
      </c>
      <c r="O2097" s="34" t="s">
        <v>918</v>
      </c>
      <c r="P2097" s="34" t="s">
        <v>918</v>
      </c>
      <c r="Q2097" s="34" t="s">
        <v>919</v>
      </c>
      <c r="R2097" s="34" t="s">
        <v>30</v>
      </c>
      <c r="S2097" s="34" t="s">
        <v>301</v>
      </c>
      <c r="T2097" s="34" t="s">
        <v>806</v>
      </c>
      <c r="U2097" s="34" t="s">
        <v>347</v>
      </c>
      <c r="V2097" s="34" t="s">
        <v>27</v>
      </c>
      <c r="W2097" s="34" t="s">
        <v>28</v>
      </c>
      <c r="X2097" s="34" t="s">
        <v>173</v>
      </c>
      <c r="Y2097" s="57"/>
      <c r="Z2097" s="34" t="e">
        <f t="shared" si="101"/>
        <v>#NUM!</v>
      </c>
      <c r="AA2097" s="34"/>
      <c r="AB2097" s="41"/>
      <c r="AC2097" s="41"/>
      <c r="AD2097" s="34"/>
      <c r="AE2097" s="59" t="str">
        <f t="shared" si="102"/>
        <v>SÍ</v>
      </c>
      <c r="AF2097" s="34" t="e" cm="1">
        <f t="array" aca="1" ref="AF2097" ca="1">MIN(100, MAX(0, (IF(R2097="ESTUDIANTE", 31, 0)) + (IF(I2097&lt;=3, 30, IF(I2097&lt;=6, 20, 0))) +(IF(OR(E2097="413 - Control de Costes y Enlace Construcción", E2097="480 - Secretaría General del Consejo", E2097="132 - Civil y estructuras", E2097="136 - Mecánica", E2097="412 - Planificación", E2097="142 - Compras"), 25, 0)) +(IF(OR(S2097="GRADO ING. MECÁNICA", S2097="GRADO ING. ELÉCTRICA", S2097="GRADO DERECHO", S2097="GRADO ECONOMÍA", S2097="GRADO ING. TECNOLOGÍAS INDUSTRIALES"), 24, 0)) + (IF(AND(K2097&gt;=451, K2097&lt;=700), 23, 0)) + (IF(AND(AB2097&gt;=5, AB2097&lt;=8), 17, 0)) +(IF(_xludf.OR(_xludf.AND(AC2097&gt;=8, AC2097&lt;=10), _xludf.AND(AC2097&gt;=0, AC2097&lt;=5)), 16, 0)) + (IF(F2097="Madrid", 11, 0))))</f>
        <v>#NAME?</v>
      </c>
      <c r="AG2097" s="69"/>
      <c r="AH2097" s="71" t="s">
        <v>164</v>
      </c>
    </row>
    <row r="2098" spans="1:58" ht="15" customHeight="1" x14ac:dyDescent="0.3">
      <c r="A2098" s="66" t="s">
        <v>2916</v>
      </c>
      <c r="B2098" s="66" t="s">
        <v>5033</v>
      </c>
      <c r="C2098" s="33">
        <v>2098</v>
      </c>
      <c r="D2098" s="33" t="s">
        <v>5403</v>
      </c>
      <c r="E2098" s="34" t="s">
        <v>5233</v>
      </c>
      <c r="F2098" s="34" t="s">
        <v>18</v>
      </c>
      <c r="G2098" s="57">
        <v>45943</v>
      </c>
      <c r="H2098" s="57">
        <v>46122</v>
      </c>
      <c r="I2098" s="34">
        <f t="shared" si="100"/>
        <v>5</v>
      </c>
      <c r="J2098" s="34">
        <v>35</v>
      </c>
      <c r="K2098" s="36">
        <v>900</v>
      </c>
      <c r="L2098" s="39" t="s">
        <v>17</v>
      </c>
      <c r="M2098" s="39">
        <v>37692</v>
      </c>
      <c r="N2098" s="37">
        <f>(YEAR(TablaMadre[[#This Row],[ALTA]])-YEAR(M2098))</f>
        <v>22</v>
      </c>
      <c r="O2098" s="34" t="s">
        <v>18</v>
      </c>
      <c r="P2098" s="49" t="s">
        <v>19</v>
      </c>
      <c r="Q2098" s="34" t="s">
        <v>136</v>
      </c>
      <c r="R2098" s="34" t="s">
        <v>21</v>
      </c>
      <c r="S2098" s="34" t="s">
        <v>136</v>
      </c>
      <c r="T2098" s="34" t="s">
        <v>922</v>
      </c>
      <c r="U2098" s="34" t="s">
        <v>21</v>
      </c>
      <c r="V2098" s="34" t="s">
        <v>22</v>
      </c>
      <c r="W2098" s="34" t="s">
        <v>28</v>
      </c>
      <c r="X2098" s="34" t="s">
        <v>173</v>
      </c>
      <c r="Y2098" s="34"/>
      <c r="Z2098" s="34" t="e">
        <f t="shared" si="101"/>
        <v>#NUM!</v>
      </c>
      <c r="AA2098" s="34"/>
      <c r="AB2098" s="41">
        <v>10</v>
      </c>
      <c r="AC2098" s="41">
        <v>10</v>
      </c>
      <c r="AD2098" s="34"/>
      <c r="AE2098" s="59" t="str">
        <f t="shared" si="102"/>
        <v>NO</v>
      </c>
      <c r="AF2098" s="38" t="e" cm="1">
        <f t="array" aca="1" ref="AF2098" ca="1">MIN(100, MAX(0, (IF(R2098="ESTUDIANTE", 31, 0)) + (IF(I2098&lt;=3, 30, IF(I2098&lt;=6, 20, 0))) +(IF(OR(E2098="413 - Control de Costes y Enlace Construcción", E2098="480 - Secretaría General del Consejo", E2098="132 - Civil y estructuras", E2098="136 - Mecánica", E2098="412 - Planificación", E2098="142 - Compras"), 25, 0)) +(IF(OR(S2098="GRADO ING. MECÁNICA", S2098="GRADO ING. ELÉCTRICA", S2098="GRADO DERECHO", S2098="GRADO ECONOMÍA", S2098="GRADO ING. TECNOLOGÍAS INDUSTRIALES"), 24, 0)) + (IF(AND(K2098&gt;=451, K2098&lt;=700), 23, 0)) + (IF(AND(AB2098&gt;=5, AB2098&lt;=8), 17, 0)) +(IF(_xludf.OR(_xludf.AND(AC2098&gt;=8, AC2098&lt;=10), _xludf.AND(AC2098&gt;=0, AC2098&lt;=5)), 16, 0)) + (IF(F2098="Madrid", 11, 0))))</f>
        <v>#NAME?</v>
      </c>
      <c r="AG2098" s="68"/>
      <c r="AH2098" s="71" t="s">
        <v>164</v>
      </c>
    </row>
    <row r="2099" spans="1:58" s="4" customFormat="1" ht="15" customHeight="1" x14ac:dyDescent="0.3">
      <c r="A2099" s="66" t="s">
        <v>3078</v>
      </c>
      <c r="B2099" s="66" t="s">
        <v>5195</v>
      </c>
      <c r="C2099" s="33">
        <v>2099</v>
      </c>
      <c r="D2099" s="33" t="s">
        <v>5404</v>
      </c>
      <c r="E2099" s="34" t="s">
        <v>5297</v>
      </c>
      <c r="F2099" s="34" t="s">
        <v>18</v>
      </c>
      <c r="G2099" s="57">
        <v>45947</v>
      </c>
      <c r="H2099" s="57">
        <v>46205</v>
      </c>
      <c r="I2099" s="38">
        <f t="shared" si="100"/>
        <v>8</v>
      </c>
      <c r="J2099" s="40">
        <v>25</v>
      </c>
      <c r="K2099" s="44">
        <v>625</v>
      </c>
      <c r="L2099" s="50" t="s">
        <v>29</v>
      </c>
      <c r="M2099" s="43">
        <v>37292</v>
      </c>
      <c r="N2099" s="37">
        <f>(YEAR(TablaMadre[[#This Row],[ALTA]])-YEAR(M2099))</f>
        <v>23</v>
      </c>
      <c r="O2099" s="50" t="s">
        <v>155</v>
      </c>
      <c r="P2099" s="38" t="s">
        <v>19</v>
      </c>
      <c r="Q2099" s="38" t="s">
        <v>923</v>
      </c>
      <c r="R2099" s="38" t="s">
        <v>21</v>
      </c>
      <c r="S2099" s="34" t="s">
        <v>280</v>
      </c>
      <c r="T2099" s="38" t="s">
        <v>924</v>
      </c>
      <c r="U2099" s="38" t="s">
        <v>30</v>
      </c>
      <c r="V2099" s="38" t="s">
        <v>22</v>
      </c>
      <c r="W2099" s="38" t="s">
        <v>886</v>
      </c>
      <c r="X2099" s="34"/>
      <c r="Y2099" s="34"/>
      <c r="Z2099" s="57" t="e">
        <f t="shared" si="101"/>
        <v>#NUM!</v>
      </c>
      <c r="AA2099" s="57"/>
      <c r="AB2099" s="47">
        <v>10</v>
      </c>
      <c r="AC2099" s="47"/>
      <c r="AD2099" s="34"/>
      <c r="AE2099" s="59" t="str">
        <f t="shared" si="102"/>
        <v>SÍ</v>
      </c>
      <c r="AF2099" s="34" t="e" cm="1">
        <f t="array" aca="1" ref="AF2099" ca="1">MIN(100, MAX(0, (IF(R2099="ESTUDIANTE", 31, 0)) + (IF(I2099&lt;=3, 30, IF(I2099&lt;=6, 20, 0))) +(IF(OR(E2099="413 - Control de Costes y Enlace Construcción", E2099="480 - Secretaría General del Consejo", E2099="132 - Civil y estructuras", E2099="136 - Mecánica", E2099="412 - Planificación", E2099="142 - Compras"), 25, 0)) +(IF(OR(S2099="GRADO ING. MECÁNICA", S2099="GRADO ING. ELÉCTRICA", S2099="GRADO DERECHO", S2099="GRADO ECONOMÍA", S2099="GRADO ING. TECNOLOGÍAS INDUSTRIALES"), 24, 0)) + (IF(AND(K2099&gt;=451, K2099&lt;=700), 23, 0)) + (IF(AND(AB2099&gt;=5, AB2099&lt;=8), 17, 0)) +(IF(_xludf.OR(_xludf.AND(AC2099&gt;=8, AC2099&lt;=10), _xludf.AND(AC2099&gt;=0, AC2099&lt;=5)), 16, 0)) + (IF(F2099="Madrid", 11, 0))))</f>
        <v>#NAME?</v>
      </c>
      <c r="AG2099" s="69"/>
      <c r="AH2099" s="71" t="s">
        <v>164</v>
      </c>
    </row>
    <row r="2100" spans="1:58" s="4" customFormat="1" ht="15" customHeight="1" x14ac:dyDescent="0.3">
      <c r="A2100" s="66" t="s">
        <v>2938</v>
      </c>
      <c r="B2100" s="66" t="s">
        <v>5055</v>
      </c>
      <c r="C2100" s="33">
        <v>2105</v>
      </c>
      <c r="D2100" s="33" t="s">
        <v>5405</v>
      </c>
      <c r="E2100" s="34" t="s">
        <v>5361</v>
      </c>
      <c r="F2100" s="34" t="s">
        <v>18</v>
      </c>
      <c r="G2100" s="57">
        <v>45950</v>
      </c>
      <c r="H2100" s="57">
        <v>46131</v>
      </c>
      <c r="I2100" s="34">
        <f t="shared" si="100"/>
        <v>5</v>
      </c>
      <c r="J2100" s="34">
        <v>25</v>
      </c>
      <c r="K2100" s="36">
        <v>625</v>
      </c>
      <c r="L2100" s="34" t="s">
        <v>29</v>
      </c>
      <c r="M2100" s="39">
        <v>37209</v>
      </c>
      <c r="N2100" s="37">
        <f>(YEAR(TablaMadre[[#This Row],[ALTA]])-YEAR(M2100))</f>
        <v>24</v>
      </c>
      <c r="O2100" s="34" t="s">
        <v>211</v>
      </c>
      <c r="P2100" s="34" t="s">
        <v>19</v>
      </c>
      <c r="Q2100" s="34" t="s">
        <v>322</v>
      </c>
      <c r="R2100" s="34" t="s">
        <v>21</v>
      </c>
      <c r="S2100" s="34" t="s">
        <v>322</v>
      </c>
      <c r="T2100" s="34" t="s">
        <v>823</v>
      </c>
      <c r="U2100" s="34" t="s">
        <v>30</v>
      </c>
      <c r="V2100" s="34" t="s">
        <v>22</v>
      </c>
      <c r="W2100" s="34" t="s">
        <v>28</v>
      </c>
      <c r="X2100" s="34"/>
      <c r="Y2100" s="34"/>
      <c r="Z2100" s="34" t="e">
        <f t="shared" si="101"/>
        <v>#NUM!</v>
      </c>
      <c r="AA2100" s="34"/>
      <c r="AB2100" s="41">
        <v>9</v>
      </c>
      <c r="AC2100" s="41">
        <v>10</v>
      </c>
      <c r="AD2100" s="34"/>
      <c r="AE2100" s="59" t="str">
        <f t="shared" si="102"/>
        <v>SÍ</v>
      </c>
      <c r="AF2100" s="34" t="e" cm="1">
        <f t="array" aca="1" ref="AF2100" ca="1">MIN(100, MAX(0, (IF(R2100="ESTUDIANTE", 31, 0)) + (IF(I2100&lt;=3, 30, IF(I2100&lt;=6, 20, 0))) +(IF(OR(E2100="413 - Control de Costes y Enlace Construcción", E2100="480 - Secretaría General del Consejo", E2100="132 - Civil y estructuras", E2100="136 - Mecánica", E2100="412 - Planificación", E2100="142 - Compras"), 25, 0)) +(IF(OR(S2100="GRADO ING. MECÁNICA", S2100="GRADO ING. ELÉCTRICA", S2100="GRADO DERECHO", S2100="GRADO ECONOMÍA", S2100="GRADO ING. TECNOLOGÍAS INDUSTRIALES"), 24, 0)) + (IF(AND(K2100&gt;=451, K2100&lt;=700), 23, 0)) + (IF(AND(AB2100&gt;=5, AB2100&lt;=8), 17, 0)) +(IF(_xludf.OR(_xludf.AND(AC2100&gt;=8, AC2100&lt;=10), _xludf.AND(AC2100&gt;=0, AC2100&lt;=5)), 16, 0)) + (IF(F2100="Madrid", 11, 0))))</f>
        <v>#NAME?</v>
      </c>
      <c r="AG2100" s="69"/>
      <c r="AH2100" s="71" t="s">
        <v>164</v>
      </c>
    </row>
    <row r="2101" spans="1:58" s="4" customFormat="1" ht="15" customHeight="1" x14ac:dyDescent="0.3">
      <c r="A2101" s="66" t="s">
        <v>2939</v>
      </c>
      <c r="B2101" s="66" t="s">
        <v>5056</v>
      </c>
      <c r="C2101" s="33">
        <v>2103</v>
      </c>
      <c r="D2101" s="33" t="s">
        <v>5396</v>
      </c>
      <c r="E2101" s="34" t="s">
        <v>5319</v>
      </c>
      <c r="F2101" s="34" t="s">
        <v>18</v>
      </c>
      <c r="G2101" s="57">
        <v>45950</v>
      </c>
      <c r="H2101" s="57">
        <v>46131</v>
      </c>
      <c r="I2101" s="34">
        <f t="shared" si="100"/>
        <v>5</v>
      </c>
      <c r="J2101" s="34">
        <v>35</v>
      </c>
      <c r="K2101" s="36">
        <v>900</v>
      </c>
      <c r="L2101" s="34" t="s">
        <v>29</v>
      </c>
      <c r="M2101" s="39">
        <v>37887</v>
      </c>
      <c r="N2101" s="37">
        <f>(YEAR(TablaMadre[[#This Row],[ALTA]])-YEAR(M2101))</f>
        <v>22</v>
      </c>
      <c r="O2101" s="34" t="s">
        <v>18</v>
      </c>
      <c r="P2101" s="34" t="s">
        <v>19</v>
      </c>
      <c r="Q2101" s="34" t="s">
        <v>297</v>
      </c>
      <c r="R2101" s="34" t="s">
        <v>21</v>
      </c>
      <c r="S2101" s="34" t="s">
        <v>297</v>
      </c>
      <c r="T2101" s="34" t="s">
        <v>925</v>
      </c>
      <c r="U2101" s="34" t="s">
        <v>30</v>
      </c>
      <c r="V2101" s="34" t="s">
        <v>926</v>
      </c>
      <c r="W2101" s="34" t="s">
        <v>28</v>
      </c>
      <c r="X2101" s="38"/>
      <c r="Y2101" s="38"/>
      <c r="Z2101" s="38" t="e">
        <f t="shared" si="101"/>
        <v>#NUM!</v>
      </c>
      <c r="AA2101" s="38"/>
      <c r="AB2101" s="41">
        <v>8</v>
      </c>
      <c r="AC2101" s="41">
        <v>9</v>
      </c>
      <c r="AD2101" s="38"/>
      <c r="AE2101" s="59" t="str">
        <f t="shared" si="102"/>
        <v>NO</v>
      </c>
      <c r="AF2101" s="34" t="e" cm="1">
        <f t="array" aca="1" ref="AF2101" ca="1">MIN(100, MAX(0, (IF(R2101="ESTUDIANTE", 31, 0)) + (IF(I2101&lt;=3, 30, IF(I2101&lt;=6, 20, 0))) +(IF(OR(E2101="413 - Control de Costes y Enlace Construcción", E2101="480 - Secretaría General del Consejo", E2101="132 - Civil y estructuras", E2101="136 - Mecánica", E2101="412 - Planificación", E2101="142 - Compras"), 25, 0)) +(IF(OR(S2101="GRADO ING. MECÁNICA", S2101="GRADO ING. ELÉCTRICA", S2101="GRADO DERECHO", S2101="GRADO ECONOMÍA", S2101="GRADO ING. TECNOLOGÍAS INDUSTRIALES"), 24, 0)) + (IF(AND(K2101&gt;=451, K2101&lt;=700), 23, 0)) + (IF(AND(AB2101&gt;=5, AB2101&lt;=8), 17, 0)) +(IF(_xludf.OR(_xludf.AND(AC2101&gt;=8, AC2101&lt;=10), _xludf.AND(AC2101&gt;=0, AC2101&lt;=5)), 16, 0)) + (IF(F2101="Madrid", 11, 0))))</f>
        <v>#NAME?</v>
      </c>
      <c r="AG2101" s="69"/>
      <c r="AH2101" s="71" t="s">
        <v>164</v>
      </c>
    </row>
    <row r="2102" spans="1:58" s="4" customFormat="1" ht="15" customHeight="1" x14ac:dyDescent="0.3">
      <c r="A2102" s="66" t="s">
        <v>2940</v>
      </c>
      <c r="B2102" s="66" t="s">
        <v>5057</v>
      </c>
      <c r="C2102" s="33">
        <v>2106</v>
      </c>
      <c r="D2102" s="33" t="s">
        <v>5397</v>
      </c>
      <c r="E2102" s="34" t="s">
        <v>5319</v>
      </c>
      <c r="F2102" s="34" t="s">
        <v>18</v>
      </c>
      <c r="G2102" s="57">
        <v>45950</v>
      </c>
      <c r="H2102" s="57">
        <v>46131</v>
      </c>
      <c r="I2102" s="34">
        <f t="shared" si="100"/>
        <v>5</v>
      </c>
      <c r="J2102" s="34">
        <v>35</v>
      </c>
      <c r="K2102" s="36">
        <v>900</v>
      </c>
      <c r="L2102" s="34" t="s">
        <v>29</v>
      </c>
      <c r="M2102" s="39">
        <v>37565</v>
      </c>
      <c r="N2102" s="37">
        <f>(YEAR(TablaMadre[[#This Row],[ALTA]])-YEAR(M2102))</f>
        <v>23</v>
      </c>
      <c r="O2102" s="34" t="s">
        <v>64</v>
      </c>
      <c r="P2102" s="34" t="s">
        <v>19</v>
      </c>
      <c r="Q2102" s="34" t="s">
        <v>297</v>
      </c>
      <c r="R2102" s="34" t="s">
        <v>21</v>
      </c>
      <c r="S2102" s="34" t="s">
        <v>297</v>
      </c>
      <c r="T2102" s="34" t="s">
        <v>806</v>
      </c>
      <c r="U2102" s="34" t="s">
        <v>347</v>
      </c>
      <c r="V2102" s="34" t="s">
        <v>56</v>
      </c>
      <c r="W2102" s="34" t="s">
        <v>28</v>
      </c>
      <c r="X2102" s="38"/>
      <c r="Y2102" s="38"/>
      <c r="Z2102" s="38" t="e">
        <f t="shared" si="101"/>
        <v>#NUM!</v>
      </c>
      <c r="AA2102" s="38"/>
      <c r="AB2102" s="41">
        <v>9</v>
      </c>
      <c r="AC2102" s="41">
        <v>9</v>
      </c>
      <c r="AD2102" s="38"/>
      <c r="AE2102" s="59" t="str">
        <f t="shared" si="102"/>
        <v>SÍ</v>
      </c>
      <c r="AF2102" s="34" t="e" cm="1">
        <f t="array" aca="1" ref="AF2102" ca="1">MIN(100, MAX(0, (IF(R2102="ESTUDIANTE", 31, 0)) + (IF(I2102&lt;=3, 30, IF(I2102&lt;=6, 20, 0))) +(IF(OR(E2102="413 - Control de Costes y Enlace Construcción", E2102="480 - Secretaría General del Consejo", E2102="132 - Civil y estructuras", E2102="136 - Mecánica", E2102="412 - Planificación", E2102="142 - Compras"), 25, 0)) +(IF(OR(S2102="GRADO ING. MECÁNICA", S2102="GRADO ING. ELÉCTRICA", S2102="GRADO DERECHO", S2102="GRADO ECONOMÍA", S2102="GRADO ING. TECNOLOGÍAS INDUSTRIALES"), 24, 0)) + (IF(AND(K2102&gt;=451, K2102&lt;=700), 23, 0)) + (IF(AND(AB2102&gt;=5, AB2102&lt;=8), 17, 0)) +(IF(_xludf.OR(_xludf.AND(AC2102&gt;=8, AC2102&lt;=10), _xludf.AND(AC2102&gt;=0, AC2102&lt;=5)), 16, 0)) + (IF(F2102="Madrid", 11, 0))))</f>
        <v>#NAME?</v>
      </c>
      <c r="AG2102" s="69"/>
      <c r="AH2102" s="71" t="s">
        <v>164</v>
      </c>
    </row>
    <row r="2103" spans="1:58" s="25" customFormat="1" ht="15" customHeight="1" x14ac:dyDescent="0.3">
      <c r="A2103" s="66" t="s">
        <v>2944</v>
      </c>
      <c r="B2103" s="66" t="s">
        <v>5061</v>
      </c>
      <c r="C2103" s="33">
        <v>2102</v>
      </c>
      <c r="D2103" s="33" t="s">
        <v>5393</v>
      </c>
      <c r="E2103" s="34" t="s">
        <v>5312</v>
      </c>
      <c r="F2103" s="34" t="s">
        <v>18</v>
      </c>
      <c r="G2103" s="57">
        <v>45950</v>
      </c>
      <c r="H2103" s="57">
        <v>46131</v>
      </c>
      <c r="I2103" s="34">
        <f t="shared" si="100"/>
        <v>5</v>
      </c>
      <c r="J2103" s="34">
        <v>35</v>
      </c>
      <c r="K2103" s="36">
        <v>900</v>
      </c>
      <c r="L2103" s="34" t="s">
        <v>17</v>
      </c>
      <c r="M2103" s="39">
        <v>37362</v>
      </c>
      <c r="N2103" s="37">
        <f>(YEAR(TablaMadre[[#This Row],[ALTA]])-YEAR(M2103))</f>
        <v>23</v>
      </c>
      <c r="O2103" s="34" t="s">
        <v>18</v>
      </c>
      <c r="P2103" s="34" t="s">
        <v>19</v>
      </c>
      <c r="Q2103" s="34" t="s">
        <v>326</v>
      </c>
      <c r="R2103" s="34" t="s">
        <v>21</v>
      </c>
      <c r="S2103" s="34" t="s">
        <v>326</v>
      </c>
      <c r="T2103" s="34" t="s">
        <v>806</v>
      </c>
      <c r="U2103" s="34" t="s">
        <v>347</v>
      </c>
      <c r="V2103" s="34" t="s">
        <v>22</v>
      </c>
      <c r="W2103" s="34" t="s">
        <v>28</v>
      </c>
      <c r="X2103" s="38"/>
      <c r="Y2103" s="38"/>
      <c r="Z2103" s="38" t="e">
        <f t="shared" si="101"/>
        <v>#NUM!</v>
      </c>
      <c r="AA2103" s="38"/>
      <c r="AB2103" s="41">
        <v>10</v>
      </c>
      <c r="AC2103" s="41">
        <v>9</v>
      </c>
      <c r="AD2103" s="38"/>
      <c r="AE2103" s="59" t="str">
        <f t="shared" si="102"/>
        <v>NO</v>
      </c>
      <c r="AF2103" s="38" t="e" cm="1">
        <f t="array" aca="1" ref="AF2103" ca="1">MIN(100, MAX(0, (IF(R2103="ESTUDIANTE", 31, 0)) + (IF(I2103&lt;=3, 30, IF(I2103&lt;=6, 20, 0))) +(IF(OR(E2103="413 - Control de Costes y Enlace Construcción", E2103="480 - Secretaría General del Consejo", E2103="132 - Civil y estructuras", E2103="136 - Mecánica", E2103="412 - Planificación", E2103="142 - Compras"), 25, 0)) +(IF(OR(S2103="GRADO ING. MECÁNICA", S2103="GRADO ING. ELÉCTRICA", S2103="GRADO DERECHO", S2103="GRADO ECONOMÍA", S2103="GRADO ING. TECNOLOGÍAS INDUSTRIALES"), 24, 0)) + (IF(AND(K2103&gt;=451, K2103&lt;=700), 23, 0)) + (IF(AND(AB2103&gt;=5, AB2103&lt;=8), 17, 0)) +(IF(_xludf.OR(_xludf.AND(AC2103&gt;=8, AC2103&lt;=10), _xludf.AND(AC2103&gt;=0, AC2103&lt;=5)), 16, 0)) + (IF(F2103="Madrid", 11, 0))))</f>
        <v>#NAME?</v>
      </c>
      <c r="AG2103" s="68"/>
      <c r="AH2103" s="71" t="s">
        <v>164</v>
      </c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9"/>
      <c r="BA2103" s="9"/>
      <c r="BB2103" s="9"/>
      <c r="BC2103" s="9"/>
      <c r="BD2103" s="9"/>
      <c r="BE2103" s="9"/>
      <c r="BF2103" s="9"/>
    </row>
    <row r="2104" spans="1:58" ht="15" customHeight="1" x14ac:dyDescent="0.3">
      <c r="A2104" s="66" t="s">
        <v>3083</v>
      </c>
      <c r="B2104" s="66" t="s">
        <v>5200</v>
      </c>
      <c r="C2104" s="33">
        <v>2104</v>
      </c>
      <c r="D2104" s="33" t="s">
        <v>5394</v>
      </c>
      <c r="E2104" s="34" t="s">
        <v>5312</v>
      </c>
      <c r="F2104" s="34" t="s">
        <v>18</v>
      </c>
      <c r="G2104" s="57">
        <v>45950</v>
      </c>
      <c r="H2104" s="57">
        <v>46208</v>
      </c>
      <c r="I2104" s="38">
        <f t="shared" si="100"/>
        <v>8</v>
      </c>
      <c r="J2104" s="40">
        <v>25</v>
      </c>
      <c r="K2104" s="44">
        <v>500</v>
      </c>
      <c r="L2104" s="38" t="s">
        <v>29</v>
      </c>
      <c r="M2104" s="43">
        <v>37952</v>
      </c>
      <c r="N2104" s="37">
        <f>(YEAR(TablaMadre[[#This Row],[ALTA]])-YEAR(M2104))</f>
        <v>22</v>
      </c>
      <c r="O2104" s="34" t="s">
        <v>18</v>
      </c>
      <c r="P2104" s="38" t="s">
        <v>19</v>
      </c>
      <c r="Q2104" s="38" t="s">
        <v>322</v>
      </c>
      <c r="R2104" s="38" t="s">
        <v>30</v>
      </c>
      <c r="S2104" s="34" t="s">
        <v>322</v>
      </c>
      <c r="T2104" s="38" t="s">
        <v>806</v>
      </c>
      <c r="U2104" s="38" t="s">
        <v>347</v>
      </c>
      <c r="V2104" s="38" t="s">
        <v>22</v>
      </c>
      <c r="W2104" s="38" t="s">
        <v>886</v>
      </c>
      <c r="X2104" s="38"/>
      <c r="Y2104" s="38"/>
      <c r="Z2104" s="62" t="e">
        <f t="shared" si="101"/>
        <v>#NUM!</v>
      </c>
      <c r="AA2104" s="62"/>
      <c r="AB2104" s="47">
        <v>9</v>
      </c>
      <c r="AC2104" s="47">
        <v>8</v>
      </c>
      <c r="AD2104" s="38"/>
      <c r="AE2104" s="59" t="str">
        <f t="shared" si="102"/>
        <v>NO</v>
      </c>
      <c r="AF2104" s="38" t="e" cm="1">
        <f t="array" aca="1" ref="AF2104" ca="1">MIN(100, MAX(0, (IF(R2104="ESTUDIANTE", 31, 0)) + (IF(I2104&lt;=3, 30, IF(I2104&lt;=6, 20, 0))) +(IF(OR(E2104="413 - Control de Costes y Enlace Construcción", E2104="480 - Secretaría General del Consejo", E2104="132 - Civil y estructuras", E2104="136 - Mecánica", E2104="412 - Planificación", E2104="142 - Compras"), 25, 0)) +(IF(OR(S2104="GRADO ING. MECÁNICA", S2104="GRADO ING. ELÉCTRICA", S2104="GRADO DERECHO", S2104="GRADO ECONOMÍA", S2104="GRADO ING. TECNOLOGÍAS INDUSTRIALES"), 24, 0)) + (IF(AND(K2104&gt;=451, K2104&lt;=700), 23, 0)) + (IF(AND(AB2104&gt;=5, AB2104&lt;=8), 17, 0)) +(IF(_xludf.OR(_xludf.AND(AC2104&gt;=8, AC2104&lt;=10), _xludf.AND(AC2104&gt;=0, AC2104&lt;=5)), 16, 0)) + (IF(F2104="Madrid", 11, 0))))</f>
        <v>#NAME?</v>
      </c>
      <c r="AG2104" s="68"/>
      <c r="AH2104" s="71" t="s">
        <v>164</v>
      </c>
    </row>
    <row r="2105" spans="1:58" ht="15" customHeight="1" x14ac:dyDescent="0.3">
      <c r="A2105" s="66" t="s">
        <v>3086</v>
      </c>
      <c r="B2105" s="66" t="s">
        <v>5203</v>
      </c>
      <c r="C2105" s="33">
        <v>2100</v>
      </c>
      <c r="D2105" s="33" t="s">
        <v>5395</v>
      </c>
      <c r="E2105" s="34" t="s">
        <v>5273</v>
      </c>
      <c r="F2105" s="34" t="s">
        <v>18</v>
      </c>
      <c r="G2105" s="57">
        <v>45950</v>
      </c>
      <c r="H2105" s="57">
        <v>46091</v>
      </c>
      <c r="I2105" s="34">
        <f t="shared" si="100"/>
        <v>4</v>
      </c>
      <c r="J2105" s="34">
        <v>16</v>
      </c>
      <c r="K2105" s="36">
        <v>0</v>
      </c>
      <c r="L2105" s="34" t="s">
        <v>17</v>
      </c>
      <c r="M2105" s="39">
        <v>37739</v>
      </c>
      <c r="N2105" s="37">
        <f>(YEAR(TablaMadre[[#This Row],[ALTA]])-YEAR(M2105))</f>
        <v>22</v>
      </c>
      <c r="O2105" s="34" t="s">
        <v>18</v>
      </c>
      <c r="P2105" s="34" t="s">
        <v>19</v>
      </c>
      <c r="Q2105" s="34" t="s">
        <v>904</v>
      </c>
      <c r="R2105" s="34" t="s">
        <v>30</v>
      </c>
      <c r="S2105" s="34" t="s">
        <v>397</v>
      </c>
      <c r="T2105" s="34" t="s">
        <v>806</v>
      </c>
      <c r="U2105" s="34" t="s">
        <v>347</v>
      </c>
      <c r="V2105" s="34" t="s">
        <v>74</v>
      </c>
      <c r="W2105" s="34" t="s">
        <v>23</v>
      </c>
      <c r="X2105" s="34"/>
      <c r="Y2105" s="34"/>
      <c r="Z2105" s="57" t="e">
        <f t="shared" si="101"/>
        <v>#NUM!</v>
      </c>
      <c r="AA2105" s="57"/>
      <c r="AB2105" s="41">
        <v>9</v>
      </c>
      <c r="AC2105" s="41">
        <v>7</v>
      </c>
      <c r="AD2105" s="34"/>
      <c r="AE2105" s="59" t="str">
        <f t="shared" si="102"/>
        <v>NO</v>
      </c>
      <c r="AF2105" s="38" t="e" cm="1">
        <f t="array" aca="1" ref="AF2105" ca="1">MIN(100, MAX(0, (IF(R2105="ESTUDIANTE", 31, 0)) + (IF(I2105&lt;=3, 30, IF(I2105&lt;=6, 20, 0))) +(IF(OR(E2105="413 - Control de Costes y Enlace Construcción", E2105="480 - Secretaría General del Consejo", E2105="132 - Civil y estructuras", E2105="136 - Mecánica", E2105="412 - Planificación", E2105="142 - Compras"), 25, 0)) +(IF(OR(S2105="GRADO ING. MECÁNICA", S2105="GRADO ING. ELÉCTRICA", S2105="GRADO DERECHO", S2105="GRADO ECONOMÍA", S2105="GRADO ING. TECNOLOGÍAS INDUSTRIALES"), 24, 0)) + (IF(AND(K2105&gt;=451, K2105&lt;=700), 23, 0)) + (IF(AND(AB2105&gt;=5, AB2105&lt;=8), 17, 0)) +(IF(_xludf.OR(_xludf.AND(AC2105&gt;=8, AC2105&lt;=10), _xludf.AND(AC2105&gt;=0, AC2105&lt;=5)), 16, 0)) + (IF(F2105="Madrid", 11, 0))))</f>
        <v>#NAME?</v>
      </c>
      <c r="AG2105" s="68"/>
      <c r="AH2105" s="71" t="s">
        <v>164</v>
      </c>
    </row>
    <row r="2106" spans="1:58" s="4" customFormat="1" ht="15" customHeight="1" x14ac:dyDescent="0.3">
      <c r="A2106" s="66" t="s">
        <v>3088</v>
      </c>
      <c r="B2106" s="66" t="s">
        <v>5205</v>
      </c>
      <c r="C2106" s="33">
        <v>2101</v>
      </c>
      <c r="D2106" s="33" t="s">
        <v>5396</v>
      </c>
      <c r="E2106" s="34" t="s">
        <v>5382</v>
      </c>
      <c r="F2106" s="34" t="s">
        <v>18</v>
      </c>
      <c r="G2106" s="57">
        <v>45950</v>
      </c>
      <c r="H2106" s="57">
        <v>46065</v>
      </c>
      <c r="I2106" s="34">
        <f t="shared" si="100"/>
        <v>3</v>
      </c>
      <c r="J2106" s="34">
        <v>40</v>
      </c>
      <c r="K2106" s="36">
        <v>0</v>
      </c>
      <c r="L2106" s="34" t="s">
        <v>29</v>
      </c>
      <c r="M2106" s="39">
        <v>33696</v>
      </c>
      <c r="N2106" s="37">
        <f>(YEAR(TablaMadre[[#This Row],[ALTA]])-YEAR(M2106))</f>
        <v>33</v>
      </c>
      <c r="O2106" s="34" t="s">
        <v>18</v>
      </c>
      <c r="P2106" s="34" t="s">
        <v>19</v>
      </c>
      <c r="Q2106" s="38" t="s">
        <v>735</v>
      </c>
      <c r="R2106" s="34" t="s">
        <v>30</v>
      </c>
      <c r="S2106" s="34" t="s">
        <v>26</v>
      </c>
      <c r="T2106" s="34" t="s">
        <v>806</v>
      </c>
      <c r="U2106" s="34" t="s">
        <v>347</v>
      </c>
      <c r="V2106" s="34" t="s">
        <v>27</v>
      </c>
      <c r="W2106" s="34" t="s">
        <v>28</v>
      </c>
      <c r="X2106" s="34"/>
      <c r="Y2106" s="34"/>
      <c r="Z2106" s="34" t="e">
        <f t="shared" si="101"/>
        <v>#NUM!</v>
      </c>
      <c r="AA2106" s="34"/>
      <c r="AB2106" s="41">
        <v>9</v>
      </c>
      <c r="AC2106" s="41">
        <v>9</v>
      </c>
      <c r="AD2106" s="34"/>
      <c r="AE2106" s="59" t="str">
        <f t="shared" si="102"/>
        <v>NO</v>
      </c>
      <c r="AF2106" s="34" t="e" cm="1">
        <f t="array" aca="1" ref="AF2106" ca="1">MIN(100, MAX(0, (IF(R2106="ESTUDIANTE", 31, 0)) + (IF(I2106&lt;=3, 30, IF(I2106&lt;=6, 20, 0))) +(IF(OR(E2106="413 - Control de Costes y Enlace Construcción", E2106="480 - Secretaría General del Consejo", E2106="132 - Civil y estructuras", E2106="136 - Mecánica", E2106="412 - Planificación", E2106="142 - Compras"), 25, 0)) +(IF(OR(S2106="GRADO ING. MECÁNICA", S2106="GRADO ING. ELÉCTRICA", S2106="GRADO DERECHO", S2106="GRADO ECONOMÍA", S2106="GRADO ING. TECNOLOGÍAS INDUSTRIALES"), 24, 0)) + (IF(AND(K2106&gt;=451, K2106&lt;=700), 23, 0)) + (IF(AND(AB2106&gt;=5, AB2106&lt;=8), 17, 0)) +(IF(_xludf.OR(_xludf.AND(AC2106&gt;=8, AC2106&lt;=10), _xludf.AND(AC2106&gt;=0, AC2106&lt;=5)), 16, 0)) + (IF(F2106="Madrid", 11, 0))))</f>
        <v>#NAME?</v>
      </c>
      <c r="AG2106" s="69"/>
      <c r="AH2106" s="71" t="s">
        <v>164</v>
      </c>
    </row>
    <row r="2107" spans="1:58" ht="15" customHeight="1" x14ac:dyDescent="0.3">
      <c r="A2107" s="66" t="s">
        <v>2949</v>
      </c>
      <c r="B2107" s="66" t="s">
        <v>5066</v>
      </c>
      <c r="C2107" s="33">
        <v>2107</v>
      </c>
      <c r="D2107" s="33" t="s">
        <v>5397</v>
      </c>
      <c r="E2107" s="34" t="s">
        <v>5384</v>
      </c>
      <c r="F2107" s="34" t="s">
        <v>18</v>
      </c>
      <c r="G2107" s="57">
        <v>45951</v>
      </c>
      <c r="H2107" s="57">
        <v>45990</v>
      </c>
      <c r="I2107" s="34">
        <f t="shared" si="100"/>
        <v>1</v>
      </c>
      <c r="J2107" s="34">
        <v>25</v>
      </c>
      <c r="K2107" s="36">
        <v>500</v>
      </c>
      <c r="L2107" s="34" t="s">
        <v>29</v>
      </c>
      <c r="M2107" s="39">
        <v>34618</v>
      </c>
      <c r="N2107" s="37">
        <f>(YEAR(TablaMadre[[#This Row],[ALTA]])-YEAR(M2107))</f>
        <v>31</v>
      </c>
      <c r="O2107" s="34" t="s">
        <v>18</v>
      </c>
      <c r="P2107" s="34" t="s">
        <v>19</v>
      </c>
      <c r="Q2107" s="34" t="s">
        <v>338</v>
      </c>
      <c r="R2107" s="34" t="s">
        <v>30</v>
      </c>
      <c r="S2107" s="34" t="s">
        <v>338</v>
      </c>
      <c r="T2107" s="34" t="s">
        <v>806</v>
      </c>
      <c r="U2107" s="34" t="s">
        <v>347</v>
      </c>
      <c r="V2107" s="34" t="s">
        <v>193</v>
      </c>
      <c r="W2107" s="34" t="s">
        <v>23</v>
      </c>
      <c r="X2107" s="38" t="s">
        <v>164</v>
      </c>
      <c r="Y2107" s="62"/>
      <c r="Z2107" s="62" t="e">
        <f t="shared" si="101"/>
        <v>#NUM!</v>
      </c>
      <c r="AA2107" s="62"/>
      <c r="AB2107" s="41"/>
      <c r="AC2107" s="41">
        <v>3</v>
      </c>
      <c r="AD2107" s="38"/>
      <c r="AE2107" s="59" t="str">
        <f t="shared" si="102"/>
        <v>NO</v>
      </c>
      <c r="AF2107" s="38" t="e" cm="1">
        <f t="array" aca="1" ref="AF2107" ca="1">MIN(100, MAX(0, (IF(R2107="ESTUDIANTE", 31, 0)) + (IF(I2107&lt;=3, 30, IF(I2107&lt;=6, 20, 0))) +(IF(OR(E2107="413 - Control de Costes y Enlace Construcción", E2107="480 - Secretaría General del Consejo", E2107="132 - Civil y estructuras", E2107="136 - Mecánica", E2107="412 - Planificación", E2107="142 - Compras"), 25, 0)) +(IF(OR(S2107="GRADO ING. MECÁNICA", S2107="GRADO ING. ELÉCTRICA", S2107="GRADO DERECHO", S2107="GRADO ECONOMÍA", S2107="GRADO ING. TECNOLOGÍAS INDUSTRIALES"), 24, 0)) + (IF(AND(K2107&gt;=451, K2107&lt;=700), 23, 0)) + (IF(AND(AB2107&gt;=5, AB2107&lt;=8), 17, 0)) +(IF(_xludf.OR(_xludf.AND(AC2107&gt;=8, AC2107&lt;=10), _xludf.AND(AC2107&gt;=0, AC2107&lt;=5)), 16, 0)) + (IF(F2107="Madrid", 11, 0))))</f>
        <v>#NAME?</v>
      </c>
      <c r="AG2107" s="68"/>
      <c r="AH2107" s="71" t="s">
        <v>164</v>
      </c>
    </row>
    <row r="2108" spans="1:58" ht="15" customHeight="1" x14ac:dyDescent="0.3">
      <c r="A2108" s="66" t="s">
        <v>2950</v>
      </c>
      <c r="B2108" s="66" t="s">
        <v>5067</v>
      </c>
      <c r="C2108" s="33">
        <v>2108</v>
      </c>
      <c r="D2108" s="33" t="s">
        <v>5398</v>
      </c>
      <c r="E2108" s="34" t="s">
        <v>5222</v>
      </c>
      <c r="F2108" s="34" t="s">
        <v>18</v>
      </c>
      <c r="G2108" s="57">
        <v>45957</v>
      </c>
      <c r="H2108" s="57">
        <v>46136</v>
      </c>
      <c r="I2108" s="34">
        <f t="shared" si="100"/>
        <v>5</v>
      </c>
      <c r="J2108" s="34">
        <v>35</v>
      </c>
      <c r="K2108" s="36">
        <v>1200</v>
      </c>
      <c r="L2108" s="34" t="s">
        <v>29</v>
      </c>
      <c r="M2108" s="39">
        <v>37016</v>
      </c>
      <c r="N2108" s="37">
        <f>(YEAR(TablaMadre[[#This Row],[ALTA]])-YEAR(M2108))</f>
        <v>24</v>
      </c>
      <c r="O2108" s="34" t="s">
        <v>18</v>
      </c>
      <c r="P2108" s="34" t="s">
        <v>19</v>
      </c>
      <c r="Q2108" s="34" t="s">
        <v>297</v>
      </c>
      <c r="R2108" s="34" t="s">
        <v>21</v>
      </c>
      <c r="S2108" s="34" t="s">
        <v>297</v>
      </c>
      <c r="T2108" s="34" t="s">
        <v>820</v>
      </c>
      <c r="U2108" s="34" t="s">
        <v>30</v>
      </c>
      <c r="V2108" s="34" t="s">
        <v>84</v>
      </c>
      <c r="W2108" s="34" t="s">
        <v>28</v>
      </c>
      <c r="X2108" s="34"/>
      <c r="Y2108" s="34"/>
      <c r="Z2108" s="34" t="e">
        <f t="shared" si="101"/>
        <v>#NUM!</v>
      </c>
      <c r="AA2108" s="34"/>
      <c r="AB2108" s="41">
        <v>10</v>
      </c>
      <c r="AC2108" s="41">
        <v>9</v>
      </c>
      <c r="AD2108" s="34"/>
      <c r="AE2108" s="59" t="str">
        <f t="shared" si="102"/>
        <v>NO</v>
      </c>
      <c r="AF2108" s="38" t="e" cm="1">
        <f t="array" aca="1" ref="AF2108" ca="1">MIN(100, MAX(0, (IF(R2108="ESTUDIANTE", 31, 0)) + (IF(I2108&lt;=3, 30, IF(I2108&lt;=6, 20, 0))) +(IF(OR(E2108="413 - Control de Costes y Enlace Construcción", E2108="480 - Secretaría General del Consejo", E2108="132 - Civil y estructuras", E2108="136 - Mecánica", E2108="412 - Planificación", E2108="142 - Compras"), 25, 0)) +(IF(OR(S2108="GRADO ING. MECÁNICA", S2108="GRADO ING. ELÉCTRICA", S2108="GRADO DERECHO", S2108="GRADO ECONOMÍA", S2108="GRADO ING. TECNOLOGÍAS INDUSTRIALES"), 24, 0)) + (IF(AND(K2108&gt;=451, K2108&lt;=700), 23, 0)) + (IF(AND(AB2108&gt;=5, AB2108&lt;=8), 17, 0)) +(IF(_xludf.OR(_xludf.AND(AC2108&gt;=8, AC2108&lt;=10), _xludf.AND(AC2108&gt;=0, AC2108&lt;=5)), 16, 0)) + (IF(F2108="Madrid", 11, 0))))</f>
        <v>#NAME?</v>
      </c>
      <c r="AG2108" s="68"/>
      <c r="AH2108" s="71" t="s">
        <v>164</v>
      </c>
    </row>
    <row r="2109" spans="1:58" s="4" customFormat="1" ht="15" customHeight="1" x14ac:dyDescent="0.3">
      <c r="A2109" s="66" t="s">
        <v>2951</v>
      </c>
      <c r="B2109" s="66" t="s">
        <v>5068</v>
      </c>
      <c r="C2109" s="33">
        <v>2109</v>
      </c>
      <c r="D2109" s="33" t="s">
        <v>5399</v>
      </c>
      <c r="E2109" s="34" t="s">
        <v>5222</v>
      </c>
      <c r="F2109" s="34" t="s">
        <v>118</v>
      </c>
      <c r="G2109" s="57">
        <v>45971</v>
      </c>
      <c r="H2109" s="57">
        <v>46142</v>
      </c>
      <c r="I2109" s="34">
        <f t="shared" si="100"/>
        <v>5</v>
      </c>
      <c r="J2109" s="34">
        <v>25</v>
      </c>
      <c r="K2109" s="36">
        <v>625</v>
      </c>
      <c r="L2109" s="34" t="s">
        <v>17</v>
      </c>
      <c r="M2109" s="39">
        <v>37177</v>
      </c>
      <c r="N2109" s="37">
        <f>(YEAR(TablaMadre[[#This Row],[ALTA]])-YEAR(M2109))</f>
        <v>24</v>
      </c>
      <c r="O2109" s="34" t="s">
        <v>118</v>
      </c>
      <c r="P2109" s="34" t="s">
        <v>19</v>
      </c>
      <c r="Q2109" s="34" t="s">
        <v>668</v>
      </c>
      <c r="R2109" s="34" t="s">
        <v>21</v>
      </c>
      <c r="S2109" s="34" t="s">
        <v>297</v>
      </c>
      <c r="T2109" s="34" t="s">
        <v>866</v>
      </c>
      <c r="U2109" s="34" t="s">
        <v>30</v>
      </c>
      <c r="V2109" s="34" t="s">
        <v>37</v>
      </c>
      <c r="W2109" s="34" t="s">
        <v>28</v>
      </c>
      <c r="X2109" s="34"/>
      <c r="Y2109" s="34"/>
      <c r="Z2109" s="34" t="e">
        <f t="shared" si="101"/>
        <v>#NUM!</v>
      </c>
      <c r="AA2109" s="34"/>
      <c r="AB2109" s="41">
        <v>10</v>
      </c>
      <c r="AC2109" s="41">
        <v>9</v>
      </c>
      <c r="AD2109" s="34"/>
      <c r="AE2109" s="59" t="str">
        <f t="shared" si="102"/>
        <v>NO</v>
      </c>
      <c r="AF2109" s="34" t="e" cm="1">
        <f t="array" aca="1" ref="AF2109" ca="1">MIN(100, MAX(0, (IF(R2109="ESTUDIANTE", 31, 0)) + (IF(I2109&lt;=3, 30, IF(I2109&lt;=6, 20, 0))) +(IF(OR(E2109="413 - Control de Costes y Enlace Construcción", E2109="480 - Secretaría General del Consejo", E2109="132 - Civil y estructuras", E2109="136 - Mecánica", E2109="412 - Planificación", E2109="142 - Compras"), 25, 0)) +(IF(OR(S2109="GRADO ING. MECÁNICA", S2109="GRADO ING. ELÉCTRICA", S2109="GRADO DERECHO", S2109="GRADO ECONOMÍA", S2109="GRADO ING. TECNOLOGÍAS INDUSTRIALES"), 24, 0)) + (IF(AND(K2109&gt;=451, K2109&lt;=700), 23, 0)) + (IF(AND(AB2109&gt;=5, AB2109&lt;=8), 17, 0)) +(IF(_xludf.OR(_xludf.AND(AC2109&gt;=8, AC2109&lt;=10), _xludf.AND(AC2109&gt;=0, AC2109&lt;=5)), 16, 0)) + (IF(F2109="Madrid", 11, 0))))</f>
        <v>#NAME?</v>
      </c>
      <c r="AG2109" s="69"/>
      <c r="AH2109" s="71" t="s">
        <v>164</v>
      </c>
    </row>
    <row r="2110" spans="1:58" s="4" customFormat="1" ht="15" customHeight="1" x14ac:dyDescent="0.3">
      <c r="A2110" s="66" t="s">
        <v>3062</v>
      </c>
      <c r="B2110" s="66" t="s">
        <v>5179</v>
      </c>
      <c r="C2110" s="33">
        <v>2083</v>
      </c>
      <c r="D2110" s="33" t="s">
        <v>5400</v>
      </c>
      <c r="E2110" s="34" t="s">
        <v>5314</v>
      </c>
      <c r="F2110" s="34" t="s">
        <v>18</v>
      </c>
      <c r="G2110" s="57">
        <v>45978</v>
      </c>
      <c r="H2110" s="57">
        <v>46231</v>
      </c>
      <c r="I2110" s="38">
        <f t="shared" si="100"/>
        <v>8</v>
      </c>
      <c r="J2110" s="40">
        <v>40</v>
      </c>
      <c r="K2110" s="44">
        <v>1381.33</v>
      </c>
      <c r="L2110" s="38" t="s">
        <v>17</v>
      </c>
      <c r="M2110" s="43">
        <v>37584</v>
      </c>
      <c r="N2110" s="37">
        <f>(YEAR(TablaMadre[[#This Row],[ALTA]])-YEAR(M2110))</f>
        <v>23</v>
      </c>
      <c r="O2110" s="38" t="s">
        <v>618</v>
      </c>
      <c r="P2110" s="38" t="s">
        <v>618</v>
      </c>
      <c r="Q2110" s="38" t="s">
        <v>297</v>
      </c>
      <c r="R2110" s="38" t="s">
        <v>30</v>
      </c>
      <c r="S2110" s="38" t="s">
        <v>297</v>
      </c>
      <c r="T2110" s="38" t="s">
        <v>806</v>
      </c>
      <c r="U2110" s="38" t="s">
        <v>347</v>
      </c>
      <c r="V2110" s="38" t="s">
        <v>90</v>
      </c>
      <c r="W2110" s="38" t="s">
        <v>886</v>
      </c>
      <c r="X2110" s="38"/>
      <c r="Y2110" s="38"/>
      <c r="Z2110" s="62" t="e">
        <f t="shared" si="101"/>
        <v>#NUM!</v>
      </c>
      <c r="AA2110" s="62"/>
      <c r="AB2110" s="47">
        <v>8</v>
      </c>
      <c r="AC2110" s="47">
        <v>9</v>
      </c>
      <c r="AD2110" s="38"/>
      <c r="AE2110" s="59" t="str">
        <f t="shared" si="102"/>
        <v>SÍ</v>
      </c>
      <c r="AF2110" s="34" t="e" cm="1">
        <f t="array" aca="1" ref="AF2110" ca="1">MIN(100, MAX(0, (IF(R2110="ESTUDIANTE", 31, 0)) + (IF(I2110&lt;=3, 30, IF(I2110&lt;=6, 20, 0))) +(IF(OR(E2110="413 - Control de Costes y Enlace Construcción", E2110="480 - Secretaría General del Consejo", E2110="132 - Civil y estructuras", E2110="136 - Mecánica", E2110="412 - Planificación", E2110="142 - Compras"), 25, 0)) +(IF(OR(S2110="GRADO ING. MECÁNICA", S2110="GRADO ING. ELÉCTRICA", S2110="GRADO DERECHO", S2110="GRADO ECONOMÍA", S2110="GRADO ING. TECNOLOGÍAS INDUSTRIALES"), 24, 0)) + (IF(AND(K2110&gt;=451, K2110&lt;=700), 23, 0)) + (IF(AND(AB2110&gt;=5, AB2110&lt;=8), 17, 0)) +(IF(_xludf.OR(_xludf.AND(AC2110&gt;=8, AC2110&lt;=10), _xludf.AND(AC2110&gt;=0, AC2110&lt;=5)), 16, 0)) + (IF(F2110="Madrid", 11, 0))))</f>
        <v>#NAME?</v>
      </c>
      <c r="AG2110" s="69"/>
      <c r="AH2110" s="71" t="s">
        <v>164</v>
      </c>
    </row>
    <row r="2111" spans="1:58" s="4" customFormat="1" ht="15" customHeight="1" x14ac:dyDescent="0.3">
      <c r="A2111" s="66" t="s">
        <v>3089</v>
      </c>
      <c r="B2111" s="66" t="s">
        <v>5206</v>
      </c>
      <c r="C2111" s="33">
        <v>2110</v>
      </c>
      <c r="D2111" s="33" t="s">
        <v>5401</v>
      </c>
      <c r="E2111" s="34" t="s">
        <v>5387</v>
      </c>
      <c r="F2111" s="34" t="s">
        <v>18</v>
      </c>
      <c r="G2111" s="57">
        <v>45978</v>
      </c>
      <c r="H2111" s="57">
        <v>46158</v>
      </c>
      <c r="I2111" s="38">
        <f t="shared" si="100"/>
        <v>5</v>
      </c>
      <c r="J2111" s="40">
        <v>35</v>
      </c>
      <c r="K2111" s="44">
        <v>1200</v>
      </c>
      <c r="L2111" s="38" t="s">
        <v>29</v>
      </c>
      <c r="M2111" s="43">
        <v>36865</v>
      </c>
      <c r="N2111" s="37">
        <f>(YEAR(TablaMadre[[#This Row],[ALTA]])-YEAR(M2111))</f>
        <v>25</v>
      </c>
      <c r="O2111" s="34" t="s">
        <v>18</v>
      </c>
      <c r="P2111" s="38" t="s">
        <v>19</v>
      </c>
      <c r="Q2111" s="38" t="s">
        <v>322</v>
      </c>
      <c r="R2111" s="38" t="s">
        <v>21</v>
      </c>
      <c r="S2111" s="34" t="s">
        <v>322</v>
      </c>
      <c r="T2111" s="38" t="s">
        <v>823</v>
      </c>
      <c r="U2111" s="38" t="s">
        <v>30</v>
      </c>
      <c r="V2111" s="38" t="s">
        <v>137</v>
      </c>
      <c r="W2111" s="38" t="s">
        <v>886</v>
      </c>
      <c r="X2111" s="34"/>
      <c r="Y2111" s="34"/>
      <c r="Z2111" s="57" t="e">
        <f t="shared" si="101"/>
        <v>#NUM!</v>
      </c>
      <c r="AA2111" s="57"/>
      <c r="AB2111" s="38">
        <v>9</v>
      </c>
      <c r="AC2111" s="38">
        <v>10</v>
      </c>
      <c r="AD2111" s="34"/>
      <c r="AE2111" s="59" t="str">
        <f t="shared" si="102"/>
        <v>NO</v>
      </c>
      <c r="AF2111" s="34" t="e" cm="1">
        <f t="array" aca="1" ref="AF2111" ca="1">MIN(100, MAX(0, (IF(R2111="ESTUDIANTE", 31, 0)) + (IF(I2111&lt;=3, 30, IF(I2111&lt;=6, 20, 0))) +(IF(OR(E2111="413 - Control de Costes y Enlace Construcción", E2111="480 - Secretaría General del Consejo", E2111="132 - Civil y estructuras", E2111="136 - Mecánica", E2111="412 - Planificación", E2111="142 - Compras"), 25, 0)) +(IF(OR(S2111="GRADO ING. MECÁNICA", S2111="GRADO ING. ELÉCTRICA", S2111="GRADO DERECHO", S2111="GRADO ECONOMÍA", S2111="GRADO ING. TECNOLOGÍAS INDUSTRIALES"), 24, 0)) + (IF(AND(K2111&gt;=451, K2111&lt;=700), 23, 0)) + (IF(AND(AB2111&gt;=5, AB2111&lt;=8), 17, 0)) +(IF(_xludf.OR(_xludf.AND(AC2111&gt;=8, AC2111&lt;=10), _xludf.AND(AC2111&gt;=0, AC2111&lt;=5)), 16, 0)) + (IF(F2111="Madrid", 11, 0))))</f>
        <v>#NAME?</v>
      </c>
      <c r="AG2111" s="69"/>
      <c r="AH2111" s="71" t="s">
        <v>164</v>
      </c>
    </row>
    <row r="2112" spans="1:58" s="4" customFormat="1" ht="15" customHeight="1" x14ac:dyDescent="0.3">
      <c r="A2112" s="66" t="s">
        <v>3090</v>
      </c>
      <c r="B2112" s="66" t="s">
        <v>5207</v>
      </c>
      <c r="C2112" s="33">
        <v>2111</v>
      </c>
      <c r="D2112" s="33" t="s">
        <v>5402</v>
      </c>
      <c r="E2112" s="34" t="s">
        <v>5251</v>
      </c>
      <c r="F2112" s="34" t="s">
        <v>18</v>
      </c>
      <c r="G2112" s="57">
        <v>45978</v>
      </c>
      <c r="H2112" s="57">
        <v>46158</v>
      </c>
      <c r="I2112" s="38">
        <f t="shared" si="100"/>
        <v>5</v>
      </c>
      <c r="J2112" s="40">
        <v>35</v>
      </c>
      <c r="K2112" s="44">
        <v>900</v>
      </c>
      <c r="L2112" s="38" t="s">
        <v>17</v>
      </c>
      <c r="M2112" s="43">
        <v>37853</v>
      </c>
      <c r="N2112" s="37">
        <f>(YEAR(TablaMadre[[#This Row],[ALTA]])-YEAR(M2112))</f>
        <v>22</v>
      </c>
      <c r="O2112" s="34" t="s">
        <v>18</v>
      </c>
      <c r="P2112" s="38" t="s">
        <v>19</v>
      </c>
      <c r="Q2112" s="38" t="s">
        <v>384</v>
      </c>
      <c r="R2112" s="38" t="s">
        <v>21</v>
      </c>
      <c r="S2112" s="34" t="s">
        <v>384</v>
      </c>
      <c r="T2112" s="38" t="s">
        <v>806</v>
      </c>
      <c r="U2112" s="38" t="s">
        <v>347</v>
      </c>
      <c r="V2112" s="38" t="s">
        <v>56</v>
      </c>
      <c r="W2112" s="38" t="s">
        <v>886</v>
      </c>
      <c r="X2112" s="34"/>
      <c r="Y2112" s="34"/>
      <c r="Z2112" s="57" t="e">
        <f t="shared" si="101"/>
        <v>#NUM!</v>
      </c>
      <c r="AA2112" s="57"/>
      <c r="AB2112" s="38">
        <v>8</v>
      </c>
      <c r="AC2112" s="38">
        <v>10</v>
      </c>
      <c r="AD2112" s="34"/>
      <c r="AE2112" s="59" t="str">
        <f t="shared" si="102"/>
        <v>NO</v>
      </c>
      <c r="AF2112" s="34" t="e" cm="1">
        <f t="array" aca="1" ref="AF2112" ca="1">MIN(100, MAX(0, (IF(R2112="ESTUDIANTE", 31, 0)) + (IF(I2112&lt;=3, 30, IF(I2112&lt;=6, 20, 0))) +(IF(OR(E2112="413 - Control de Costes y Enlace Construcción", E2112="480 - Secretaría General del Consejo", E2112="132 - Civil y estructuras", E2112="136 - Mecánica", E2112="412 - Planificación", E2112="142 - Compras"), 25, 0)) +(IF(OR(S2112="GRADO ING. MECÁNICA", S2112="GRADO ING. ELÉCTRICA", S2112="GRADO DERECHO", S2112="GRADO ECONOMÍA", S2112="GRADO ING. TECNOLOGÍAS INDUSTRIALES"), 24, 0)) + (IF(AND(K2112&gt;=451, K2112&lt;=700), 23, 0)) + (IF(AND(AB2112&gt;=5, AB2112&lt;=8), 17, 0)) +(IF(_xludf.OR(_xludf.AND(AC2112&gt;=8, AC2112&lt;=10), _xludf.AND(AC2112&gt;=0, AC2112&lt;=5)), 16, 0)) + (IF(F2112="Madrid", 11, 0))))</f>
        <v>#NAME?</v>
      </c>
      <c r="AG2112" s="69"/>
      <c r="AH2112" s="71" t="s">
        <v>164</v>
      </c>
    </row>
    <row r="2113" spans="1:59" s="4" customFormat="1" ht="15" customHeight="1" x14ac:dyDescent="0.3">
      <c r="A2113" s="66" t="s">
        <v>3091</v>
      </c>
      <c r="B2113" s="66" t="s">
        <v>5208</v>
      </c>
      <c r="C2113" s="33">
        <v>2112</v>
      </c>
      <c r="D2113" s="33" t="s">
        <v>5393</v>
      </c>
      <c r="E2113" s="34" t="s">
        <v>5285</v>
      </c>
      <c r="F2113" s="34" t="s">
        <v>118</v>
      </c>
      <c r="G2113" s="57">
        <v>45992</v>
      </c>
      <c r="H2113" s="57">
        <v>46010</v>
      </c>
      <c r="I2113" s="34">
        <f t="shared" si="100"/>
        <v>0</v>
      </c>
      <c r="J2113" s="34">
        <v>20</v>
      </c>
      <c r="K2113" s="36">
        <v>0</v>
      </c>
      <c r="L2113" s="34" t="s">
        <v>29</v>
      </c>
      <c r="M2113" s="39">
        <v>36019</v>
      </c>
      <c r="N2113" s="37">
        <f>(YEAR(TablaMadre[[#This Row],[ALTA]])-YEAR(M2113))</f>
        <v>27</v>
      </c>
      <c r="O2113" s="34" t="s">
        <v>18</v>
      </c>
      <c r="P2113" s="34" t="s">
        <v>19</v>
      </c>
      <c r="Q2113" s="34" t="s">
        <v>889</v>
      </c>
      <c r="R2113" s="34" t="s">
        <v>30</v>
      </c>
      <c r="S2113" s="34" t="s">
        <v>397</v>
      </c>
      <c r="T2113" s="34" t="s">
        <v>806</v>
      </c>
      <c r="U2113" s="34" t="s">
        <v>347</v>
      </c>
      <c r="V2113" s="34" t="s">
        <v>163</v>
      </c>
      <c r="W2113" s="34" t="s">
        <v>380</v>
      </c>
      <c r="X2113" s="34" t="s">
        <v>974</v>
      </c>
      <c r="Y2113" s="57"/>
      <c r="Z2113" s="57" t="e">
        <f t="shared" si="101"/>
        <v>#NUM!</v>
      </c>
      <c r="AA2113" s="57"/>
      <c r="AB2113" s="34"/>
      <c r="AC2113" s="34"/>
      <c r="AD2113" s="34"/>
      <c r="AE2113" s="59" t="str">
        <f t="shared" si="102"/>
        <v>SÍ</v>
      </c>
      <c r="AF2113" s="34" t="e" cm="1">
        <f t="array" aca="1" ref="AF2113" ca="1">MIN(100, MAX(0, (IF(R2113="ESTUDIANTE", 31, 0)) + (IF(I2113&lt;=3, 30, IF(I2113&lt;=6, 20, 0))) +(IF(OR(E2113="413 - Control de Costes y Enlace Construcción", E2113="480 - Secretaría General del Consejo", E2113="132 - Civil y estructuras", E2113="136 - Mecánica", E2113="412 - Planificación", E2113="142 - Compras"), 25, 0)) +(IF(OR(S2113="GRADO ING. MECÁNICA", S2113="GRADO ING. ELÉCTRICA", S2113="GRADO DERECHO", S2113="GRADO ECONOMÍA", S2113="GRADO ING. TECNOLOGÍAS INDUSTRIALES"), 24, 0)) + (IF(AND(K2113&gt;=451, K2113&lt;=700), 23, 0)) + (IF(AND(AB2113&gt;=5, AB2113&lt;=8), 17, 0)) +(IF(_xludf.OR(_xludf.AND(AC2113&gt;=8, AC2113&lt;=10), _xludf.AND(AC2113&gt;=0, AC2113&lt;=5)), 16, 0)) + (IF(F2113="Madrid", 11, 0))))</f>
        <v>#NAME?</v>
      </c>
      <c r="AG2113" s="69"/>
      <c r="AH2113" s="71" t="s">
        <v>164</v>
      </c>
    </row>
    <row r="2114" spans="1:59" ht="15" customHeight="1" x14ac:dyDescent="0.3">
      <c r="A2114" s="66" t="s">
        <v>3092</v>
      </c>
      <c r="B2114" s="66" t="s">
        <v>5209</v>
      </c>
      <c r="C2114" s="33">
        <v>2113</v>
      </c>
      <c r="D2114" s="33" t="s">
        <v>5394</v>
      </c>
      <c r="E2114" s="34" t="s">
        <v>5241</v>
      </c>
      <c r="F2114" s="34" t="s">
        <v>18</v>
      </c>
      <c r="G2114" s="57">
        <v>45992</v>
      </c>
      <c r="H2114" s="57">
        <v>46173</v>
      </c>
      <c r="I2114" s="38">
        <f t="shared" ref="I2114:I2119" si="103">DATEDIF(G2114, H2114, "M")</f>
        <v>5</v>
      </c>
      <c r="J2114" s="40">
        <v>35</v>
      </c>
      <c r="K2114" s="44">
        <v>1200</v>
      </c>
      <c r="L2114" s="38" t="s">
        <v>17</v>
      </c>
      <c r="M2114" s="43">
        <v>37033</v>
      </c>
      <c r="N2114" s="37">
        <f>(YEAR(TablaMadre[[#This Row],[ALTA]])-YEAR(M2114))</f>
        <v>24</v>
      </c>
      <c r="O2114" s="34" t="s">
        <v>18</v>
      </c>
      <c r="P2114" s="38" t="s">
        <v>19</v>
      </c>
      <c r="Q2114" s="38" t="s">
        <v>322</v>
      </c>
      <c r="R2114" s="38" t="s">
        <v>21</v>
      </c>
      <c r="S2114" s="34" t="s">
        <v>322</v>
      </c>
      <c r="T2114" s="38" t="s">
        <v>823</v>
      </c>
      <c r="U2114" s="38" t="s">
        <v>30</v>
      </c>
      <c r="V2114" s="38" t="s">
        <v>137</v>
      </c>
      <c r="W2114" s="38" t="s">
        <v>886</v>
      </c>
      <c r="X2114" s="38"/>
      <c r="Y2114" s="38"/>
      <c r="Z2114" s="62" t="e">
        <f t="shared" ref="Z2114:Z2119" si="104">DATEDIF(H2114, Y2114, "y")</f>
        <v>#NUM!</v>
      </c>
      <c r="AA2114" s="62"/>
      <c r="AB2114" s="38"/>
      <c r="AC2114" s="38">
        <v>9</v>
      </c>
      <c r="AD2114" s="38"/>
      <c r="AE2114" s="59" t="str">
        <f t="shared" si="102"/>
        <v>NO</v>
      </c>
      <c r="AF2114" s="38" t="e" cm="1">
        <f t="array" aca="1" ref="AF2114" ca="1">MIN(100, MAX(0, (IF(R2114="ESTUDIANTE", 31, 0)) + (IF(I2114&lt;=3, 30, IF(I2114&lt;=6, 20, 0))) +(IF(OR(E2114="413 - Control de Costes y Enlace Construcción", E2114="480 - Secretaría General del Consejo", E2114="132 - Civil y estructuras", E2114="136 - Mecánica", E2114="412 - Planificación", E2114="142 - Compras"), 25, 0)) +(IF(OR(S2114="GRADO ING. MECÁNICA", S2114="GRADO ING. ELÉCTRICA", S2114="GRADO DERECHO", S2114="GRADO ECONOMÍA", S2114="GRADO ING. TECNOLOGÍAS INDUSTRIALES"), 24, 0)) + (IF(AND(K2114&gt;=451, K2114&lt;=700), 23, 0)) + (IF(AND(AB2114&gt;=5, AB2114&lt;=8), 17, 0)) +(IF(_xludf.OR(_xludf.AND(AC2114&gt;=8, AC2114&lt;=10), _xludf.AND(AC2114&gt;=0, AC2114&lt;=5)), 16, 0)) + (IF(F2114="Madrid", 11, 0))))</f>
        <v>#NAME?</v>
      </c>
      <c r="AG2114" s="68"/>
      <c r="AH2114" s="71" t="s">
        <v>164</v>
      </c>
    </row>
    <row r="2115" spans="1:59" s="7" customFormat="1" ht="15" customHeight="1" x14ac:dyDescent="0.3">
      <c r="A2115" s="66" t="s">
        <v>3093</v>
      </c>
      <c r="B2115" s="66" t="s">
        <v>5210</v>
      </c>
      <c r="C2115" s="33">
        <v>2114</v>
      </c>
      <c r="D2115" s="33" t="s">
        <v>5403</v>
      </c>
      <c r="E2115" s="34" t="s">
        <v>5241</v>
      </c>
      <c r="F2115" s="34" t="s">
        <v>558</v>
      </c>
      <c r="G2115" s="57">
        <v>45992</v>
      </c>
      <c r="H2115" s="57">
        <f>$G2115+179</f>
        <v>46171</v>
      </c>
      <c r="I2115" s="34">
        <f t="shared" si="103"/>
        <v>5</v>
      </c>
      <c r="J2115" s="34">
        <v>35</v>
      </c>
      <c r="K2115" s="36">
        <v>1200</v>
      </c>
      <c r="L2115" s="34" t="s">
        <v>17</v>
      </c>
      <c r="M2115" s="39">
        <v>37491</v>
      </c>
      <c r="N2115" s="37">
        <f>(YEAR(TablaMadre[[#This Row],[ALTA]])-YEAR(M2115))</f>
        <v>23</v>
      </c>
      <c r="O2115" s="34" t="s">
        <v>558</v>
      </c>
      <c r="P2115" s="34" t="s">
        <v>19</v>
      </c>
      <c r="Q2115" s="34" t="s">
        <v>322</v>
      </c>
      <c r="R2115" s="34" t="s">
        <v>21</v>
      </c>
      <c r="S2115" s="34" t="s">
        <v>322</v>
      </c>
      <c r="T2115" s="34" t="s">
        <v>927</v>
      </c>
      <c r="U2115" s="34" t="s">
        <v>21</v>
      </c>
      <c r="V2115" s="34" t="s">
        <v>90</v>
      </c>
      <c r="W2115" s="34" t="s">
        <v>886</v>
      </c>
      <c r="X2115" s="34"/>
      <c r="Y2115" s="34"/>
      <c r="Z2115" s="57" t="e">
        <f t="shared" si="104"/>
        <v>#NUM!</v>
      </c>
      <c r="AA2115" s="57"/>
      <c r="AB2115" s="34">
        <v>10</v>
      </c>
      <c r="AC2115" s="34">
        <v>10</v>
      </c>
      <c r="AD2115" s="34"/>
      <c r="AE2115" s="59" t="str">
        <f t="shared" ref="AE2115:AE2119" si="105">IF(F2115=O2115, "NO", "SÍ")</f>
        <v>NO</v>
      </c>
      <c r="AF2115" s="34" t="e" cm="1">
        <f t="array" aca="1" ref="AF2115" ca="1">MIN(100, MAX(0, (IF(R2115="ESTUDIANTE", 31, 0)) + (IF(I2115&lt;=3, 30, IF(I2115&lt;=6, 20, 0))) +(IF(OR(E2115="413 - Control de Costes y Enlace Construcción", E2115="480 - Secretaría General del Consejo", E2115="132 - Civil y estructuras", E2115="136 - Mecánica", E2115="412 - Planificación", E2115="142 - Compras"), 25, 0)) +(IF(OR(S2115="GRADO ING. MECÁNICA", S2115="GRADO ING. ELÉCTRICA", S2115="GRADO DERECHO", S2115="GRADO ECONOMÍA", S2115="GRADO ING. TECNOLOGÍAS INDUSTRIALES"), 24, 0)) + (IF(AND(K2115&gt;=451, K2115&lt;=700), 23, 0)) + (IF(AND(AB2115&gt;=5, AB2115&lt;=8), 17, 0)) +(IF(_xludf.OR(_xludf.AND(AC2115&gt;=8, AC2115&lt;=10), _xludf.AND(AC2115&gt;=0, AC2115&lt;=5)), 16, 0)) + (IF(F2115="Madrid", 11, 0))))</f>
        <v>#NAME?</v>
      </c>
      <c r="AG2115" s="69"/>
      <c r="AH2115" s="71" t="s">
        <v>164</v>
      </c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20"/>
    </row>
    <row r="2116" spans="1:59" ht="15" customHeight="1" x14ac:dyDescent="0.3">
      <c r="A2116" s="66" t="s">
        <v>3094</v>
      </c>
      <c r="B2116" s="66" t="s">
        <v>5211</v>
      </c>
      <c r="C2116" s="33">
        <v>2115</v>
      </c>
      <c r="D2116" s="33" t="s">
        <v>5404</v>
      </c>
      <c r="E2116" s="34" t="s">
        <v>5241</v>
      </c>
      <c r="F2116" s="34" t="s">
        <v>18</v>
      </c>
      <c r="G2116" s="57">
        <v>45992</v>
      </c>
      <c r="H2116" s="57">
        <v>46173</v>
      </c>
      <c r="I2116" s="38">
        <f t="shared" si="103"/>
        <v>5</v>
      </c>
      <c r="J2116" s="40">
        <v>35</v>
      </c>
      <c r="K2116" s="44">
        <v>900</v>
      </c>
      <c r="L2116" s="38" t="s">
        <v>17</v>
      </c>
      <c r="M2116" s="43">
        <v>37139</v>
      </c>
      <c r="N2116" s="37">
        <f>(YEAR(TablaMadre[[#This Row],[ALTA]])-YEAR(M2116))</f>
        <v>24</v>
      </c>
      <c r="O2116" s="34" t="s">
        <v>118</v>
      </c>
      <c r="P2116" s="38" t="s">
        <v>19</v>
      </c>
      <c r="Q2116" s="38" t="s">
        <v>322</v>
      </c>
      <c r="R2116" s="38" t="s">
        <v>21</v>
      </c>
      <c r="S2116" s="34" t="s">
        <v>322</v>
      </c>
      <c r="T2116" s="38" t="s">
        <v>823</v>
      </c>
      <c r="U2116" s="38" t="s">
        <v>30</v>
      </c>
      <c r="V2116" s="38" t="s">
        <v>37</v>
      </c>
      <c r="W2116" s="38" t="s">
        <v>886</v>
      </c>
      <c r="X2116" s="38"/>
      <c r="Y2116" s="38"/>
      <c r="Z2116" s="62" t="e">
        <f t="shared" si="104"/>
        <v>#NUM!</v>
      </c>
      <c r="AA2116" s="62"/>
      <c r="AB2116" s="38"/>
      <c r="AC2116" s="38">
        <v>9</v>
      </c>
      <c r="AD2116" s="38"/>
      <c r="AE2116" s="59" t="str">
        <f t="shared" si="105"/>
        <v>SÍ</v>
      </c>
      <c r="AF2116" s="38" t="e" cm="1">
        <f t="array" aca="1" ref="AF2116" ca="1">MIN(100, MAX(0, (IF(R2116="ESTUDIANTE", 31, 0)) + (IF(I2116&lt;=3, 30, IF(I2116&lt;=6, 20, 0))) +(IF(OR(E2116="413 - Control de Costes y Enlace Construcción", E2116="480 - Secretaría General del Consejo", E2116="132 - Civil y estructuras", E2116="136 - Mecánica", E2116="412 - Planificación", E2116="142 - Compras"), 25, 0)) +(IF(OR(S2116="GRADO ING. MECÁNICA", S2116="GRADO ING. ELÉCTRICA", S2116="GRADO DERECHO", S2116="GRADO ECONOMÍA", S2116="GRADO ING. TECNOLOGÍAS INDUSTRIALES"), 24, 0)) + (IF(AND(K2116&gt;=451, K2116&lt;=700), 23, 0)) + (IF(AND(AB2116&gt;=5, AB2116&lt;=8), 17, 0)) +(IF(_xludf.OR(_xludf.AND(AC2116&gt;=8, AC2116&lt;=10), _xludf.AND(AC2116&gt;=0, AC2116&lt;=5)), 16, 0)) + (IF(F2116="Madrid", 11, 0))))</f>
        <v>#NAME?</v>
      </c>
      <c r="AG2116" s="68"/>
      <c r="AH2116" s="71" t="s">
        <v>164</v>
      </c>
    </row>
    <row r="2117" spans="1:59" ht="15" customHeight="1" x14ac:dyDescent="0.3">
      <c r="A2117" s="66" t="s">
        <v>3095</v>
      </c>
      <c r="B2117" s="66" t="s">
        <v>5212</v>
      </c>
      <c r="C2117" s="33">
        <v>2116</v>
      </c>
      <c r="D2117" s="33" t="s">
        <v>5405</v>
      </c>
      <c r="E2117" s="34" t="s">
        <v>5381</v>
      </c>
      <c r="F2117" s="34" t="s">
        <v>18</v>
      </c>
      <c r="G2117" s="57">
        <v>45992</v>
      </c>
      <c r="H2117" s="57">
        <v>46173</v>
      </c>
      <c r="I2117" s="38">
        <f t="shared" si="103"/>
        <v>5</v>
      </c>
      <c r="J2117" s="40">
        <v>35</v>
      </c>
      <c r="K2117" s="44">
        <v>850</v>
      </c>
      <c r="L2117" s="38" t="s">
        <v>17</v>
      </c>
      <c r="M2117" s="43">
        <v>37600</v>
      </c>
      <c r="N2117" s="37">
        <f>(YEAR(TablaMadre[[#This Row],[ALTA]])-YEAR(M2117))</f>
        <v>23</v>
      </c>
      <c r="O2117" s="34" t="s">
        <v>18</v>
      </c>
      <c r="P2117" s="38" t="s">
        <v>19</v>
      </c>
      <c r="Q2117" s="38" t="s">
        <v>894</v>
      </c>
      <c r="R2117" s="38" t="s">
        <v>21</v>
      </c>
      <c r="S2117" s="38" t="s">
        <v>894</v>
      </c>
      <c r="T2117" s="38" t="s">
        <v>806</v>
      </c>
      <c r="U2117" s="38" t="s">
        <v>347</v>
      </c>
      <c r="V2117" s="38" t="s">
        <v>182</v>
      </c>
      <c r="W2117" s="38" t="s">
        <v>886</v>
      </c>
      <c r="X2117" s="38"/>
      <c r="Y2117" s="38"/>
      <c r="Z2117" s="62" t="e">
        <f t="shared" si="104"/>
        <v>#NUM!</v>
      </c>
      <c r="AA2117" s="62"/>
      <c r="AB2117" s="38">
        <v>7</v>
      </c>
      <c r="AC2117" s="38">
        <v>9</v>
      </c>
      <c r="AD2117" s="38"/>
      <c r="AE2117" s="59" t="str">
        <f t="shared" si="105"/>
        <v>NO</v>
      </c>
      <c r="AF2117" s="38" t="e" cm="1">
        <f t="array" aca="1" ref="AF2117" ca="1">MIN(100, MAX(0, (IF(R2117="ESTUDIANTE", 31, 0)) + (IF(I2117&lt;=3, 30, IF(I2117&lt;=6, 20, 0))) +(IF(OR(E2117="413 - Control de Costes y Enlace Construcción", E2117="480 - Secretaría General del Consejo", E2117="132 - Civil y estructuras", E2117="136 - Mecánica", E2117="412 - Planificación", E2117="142 - Compras"), 25, 0)) +(IF(OR(S2117="GRADO ING. MECÁNICA", S2117="GRADO ING. ELÉCTRICA", S2117="GRADO DERECHO", S2117="GRADO ECONOMÍA", S2117="GRADO ING. TECNOLOGÍAS INDUSTRIALES"), 24, 0)) + (IF(AND(K2117&gt;=451, K2117&lt;=700), 23, 0)) + (IF(AND(AB2117&gt;=5, AB2117&lt;=8), 17, 0)) +(IF(_xludf.OR(_xludf.AND(AC2117&gt;=8, AC2117&lt;=10), _xludf.AND(AC2117&gt;=0, AC2117&lt;=5)), 16, 0)) + (IF(F2117="Madrid", 11, 0))))</f>
        <v>#NAME?</v>
      </c>
      <c r="AG2117" s="68"/>
      <c r="AH2117" s="71" t="s">
        <v>164</v>
      </c>
    </row>
    <row r="2118" spans="1:59" ht="15" customHeight="1" x14ac:dyDescent="0.3">
      <c r="A2118" s="66" t="s">
        <v>3096</v>
      </c>
      <c r="B2118" s="66" t="s">
        <v>5213</v>
      </c>
      <c r="C2118" s="33">
        <v>2117</v>
      </c>
      <c r="D2118" s="33" t="s">
        <v>5396</v>
      </c>
      <c r="E2118" s="34" t="s">
        <v>5241</v>
      </c>
      <c r="F2118" s="34" t="s">
        <v>18</v>
      </c>
      <c r="G2118" s="57">
        <v>45992</v>
      </c>
      <c r="H2118" s="57">
        <v>46173</v>
      </c>
      <c r="I2118" s="40">
        <f t="shared" si="103"/>
        <v>5</v>
      </c>
      <c r="J2118" s="40">
        <v>35</v>
      </c>
      <c r="K2118" s="44">
        <v>1200</v>
      </c>
      <c r="L2118" s="38" t="s">
        <v>17</v>
      </c>
      <c r="M2118" s="43">
        <v>36961</v>
      </c>
      <c r="N2118" s="37">
        <f>(YEAR(TablaMadre[[#This Row],[ALTA]])-YEAR(M2118))</f>
        <v>24</v>
      </c>
      <c r="O2118" s="34" t="s">
        <v>257</v>
      </c>
      <c r="P2118" s="38" t="s">
        <v>19</v>
      </c>
      <c r="Q2118" s="38" t="s">
        <v>297</v>
      </c>
      <c r="R2118" s="38" t="s">
        <v>21</v>
      </c>
      <c r="S2118" s="38" t="s">
        <v>297</v>
      </c>
      <c r="T2118" s="38" t="s">
        <v>820</v>
      </c>
      <c r="U2118" s="38" t="s">
        <v>30</v>
      </c>
      <c r="V2118" s="38" t="s">
        <v>142</v>
      </c>
      <c r="W2118" s="38" t="s">
        <v>886</v>
      </c>
      <c r="X2118" s="38"/>
      <c r="Y2118" s="38"/>
      <c r="Z2118" s="62" t="e">
        <f t="shared" si="104"/>
        <v>#NUM!</v>
      </c>
      <c r="AA2118" s="62"/>
      <c r="AB2118" s="38">
        <v>10</v>
      </c>
      <c r="AC2118" s="38">
        <v>9</v>
      </c>
      <c r="AD2118" s="38"/>
      <c r="AE2118" s="59" t="str">
        <f t="shared" si="105"/>
        <v>SÍ</v>
      </c>
      <c r="AF2118" s="38" t="e" cm="1">
        <f t="array" aca="1" ref="AF2118" ca="1">MIN(100, MAX(0, (IF(R2118="ESTUDIANTE", 31, 0)) + (IF(I2118&lt;=3, 30, IF(I2118&lt;=6, 20, 0))) +(IF(OR(E2118="413 - Control de Costes y Enlace Construcción", E2118="480 - Secretaría General del Consejo", E2118="132 - Civil y estructuras", E2118="136 - Mecánica", E2118="412 - Planificación", E2118="142 - Compras"), 25, 0)) +(IF(OR(S2118="GRADO ING. MECÁNICA", S2118="GRADO ING. ELÉCTRICA", S2118="GRADO DERECHO", S2118="GRADO ECONOMÍA", S2118="GRADO ING. TECNOLOGÍAS INDUSTRIALES"), 24, 0)) + (IF(AND(K2118&gt;=451, K2118&lt;=700), 23, 0)) + (IF(AND(AB2118&gt;=5, AB2118&lt;=8), 17, 0)) +(IF(_xludf.OR(_xludf.AND(AC2118&gt;=8, AC2118&lt;=10), _xludf.AND(AC2118&gt;=0, AC2118&lt;=5)), 16, 0)) + (IF(F2118="Madrid", 11, 0))))</f>
        <v>#NAME?</v>
      </c>
      <c r="AG2118" s="68"/>
      <c r="AH2118" s="71" t="s">
        <v>164</v>
      </c>
    </row>
    <row r="2119" spans="1:59" ht="15" customHeight="1" x14ac:dyDescent="0.3">
      <c r="A2119" s="66" t="s">
        <v>3097</v>
      </c>
      <c r="B2119" s="66" t="s">
        <v>5214</v>
      </c>
      <c r="C2119" s="51">
        <v>2118</v>
      </c>
      <c r="D2119" s="33" t="s">
        <v>5397</v>
      </c>
      <c r="E2119" s="34" t="s">
        <v>5216</v>
      </c>
      <c r="F2119" s="34" t="s">
        <v>18</v>
      </c>
      <c r="G2119" s="57">
        <v>45992</v>
      </c>
      <c r="H2119" s="57">
        <v>46201</v>
      </c>
      <c r="I2119" s="55">
        <f t="shared" si="103"/>
        <v>6</v>
      </c>
      <c r="J2119" s="52">
        <v>25</v>
      </c>
      <c r="K2119" s="54">
        <v>625</v>
      </c>
      <c r="L2119" s="55" t="s">
        <v>17</v>
      </c>
      <c r="M2119" s="53">
        <v>37674</v>
      </c>
      <c r="N2119" s="37">
        <f>(YEAR(TablaMadre[[#This Row],[ALTA]])-YEAR(M2119))</f>
        <v>22</v>
      </c>
      <c r="O2119" s="55" t="s">
        <v>877</v>
      </c>
      <c r="P2119" s="55" t="s">
        <v>19</v>
      </c>
      <c r="Q2119" s="52" t="s">
        <v>297</v>
      </c>
      <c r="R2119" s="55" t="s">
        <v>30</v>
      </c>
      <c r="S2119" s="55" t="s">
        <v>297</v>
      </c>
      <c r="T2119" s="55" t="s">
        <v>806</v>
      </c>
      <c r="U2119" s="52" t="str">
        <f>SUBSTITUTE($T2119, "INGUN", "/")</f>
        <v>N/A</v>
      </c>
      <c r="V2119" s="55" t="s">
        <v>22</v>
      </c>
      <c r="W2119" s="55" t="s">
        <v>886</v>
      </c>
      <c r="X2119" s="55"/>
      <c r="Y2119" s="55"/>
      <c r="Z2119" s="64" t="e">
        <f t="shared" si="104"/>
        <v>#NUM!</v>
      </c>
      <c r="AA2119" s="64"/>
      <c r="AB2119" s="56">
        <v>9</v>
      </c>
      <c r="AC2119" s="56">
        <v>9</v>
      </c>
      <c r="AD2119" s="55"/>
      <c r="AE2119" s="59" t="str">
        <f t="shared" si="105"/>
        <v>SÍ</v>
      </c>
      <c r="AF2119" s="55" t="e" cm="1">
        <f t="array" aca="1" ref="AF2119" ca="1">MIN(100, MAX(0, (IF(R2119="ESTUDIANTE", 31, 0)) + (IF(I2119&lt;=3, 30, IF(I2119&lt;=6, 20, 0))) +(IF(OR(E2119="413 - Control de Costes y Enlace Construcción", E2119="480 - Secretaría General del Consejo", E2119="132 - Civil y estructuras", E2119="136 - Mecánica", E2119="412 - Planificación", E2119="142 - Compras"), 25, 0)) +(IF(OR(S2119="GRADO ING. MECÁNICA", S2119="GRADO ING. ELÉCTRICA", S2119="GRADO DERECHO", S2119="GRADO ECONOMÍA", S2119="GRADO ING. TECNOLOGÍAS INDUSTRIALES"), 24, 0)) + (IF(AND(K2119&gt;=451, K2119&lt;=700), 23, 0)) + (IF(AND(AB2119&gt;=5, AB2119&lt;=8), 17, 0)) +(IF(_xludf.OR(_xludf.AND(AC2119&gt;=8, AC2119&lt;=10), _xludf.AND(AC2119&gt;=0, AC2119&lt;=5)), 16, 0)) + (IF(F2119="Madrid", 11, 0))))</f>
        <v>#NAME?</v>
      </c>
      <c r="AG2119" s="72"/>
      <c r="AH2119" s="71" t="s">
        <v>164</v>
      </c>
    </row>
  </sheetData>
  <phoneticPr fontId="8" type="noConversion"/>
  <conditionalFormatting sqref="A1:D1 C2:D2119">
    <cfRule type="expression" dxfId="581" priority="8083">
      <formula>#REF!="OT Bilbao"</formula>
    </cfRule>
    <cfRule type="expression" dxfId="580" priority="8084">
      <formula>#REF!="OT Cartagena"</formula>
    </cfRule>
  </conditionalFormatting>
  <conditionalFormatting sqref="C2120:D4832">
    <cfRule type="expression" dxfId="579" priority="8081">
      <formula>#REF!="OT Bilbao"</formula>
    </cfRule>
  </conditionalFormatting>
  <conditionalFormatting sqref="C2120:D4834">
    <cfRule type="expression" dxfId="578" priority="8082">
      <formula>#REF!="OT Cartagena"</formula>
    </cfRule>
  </conditionalFormatting>
  <conditionalFormatting sqref="E1574:E1706 AD1754 L2012 V2012 V2014">
    <cfRule type="cellIs" dxfId="577" priority="5267" operator="equal">
      <formula>"N/A"</formula>
    </cfRule>
  </conditionalFormatting>
  <conditionalFormatting sqref="E1764 W1930:AA1930 W1934:AA1934 AC1934 W1936:AA1936 AC1936 W1938:AA1938 AC1938 V1940:AA1940 AC1940 W1942:AA1942 AC1942 AC1944 W1944:AA1966 AC1946 AC1948 AC1950">
    <cfRule type="cellIs" dxfId="576" priority="4691" operator="equal">
      <formula>"N/A"</formula>
    </cfRule>
  </conditionalFormatting>
  <conditionalFormatting sqref="E1:F1 E2:E2119 V2104:V1048576">
    <cfRule type="cellIs" dxfId="575" priority="142" operator="equal">
      <formula>"PENDIENTE"</formula>
    </cfRule>
  </conditionalFormatting>
  <conditionalFormatting sqref="F2:F2119">
    <cfRule type="cellIs" dxfId="574" priority="4" operator="equal">
      <formula>"PENDIENTE"</formula>
    </cfRule>
    <cfRule type="cellIs" dxfId="573" priority="5" operator="equal">
      <formula>"OT Bilbao"</formula>
    </cfRule>
    <cfRule type="cellIs" dxfId="572" priority="6" operator="equal">
      <formula>"OT$A$1:$BU$1Bilbao"</formula>
    </cfRule>
  </conditionalFormatting>
  <conditionalFormatting sqref="F1954">
    <cfRule type="cellIs" dxfId="571" priority="8" operator="equal">
      <formula>"N/A"</formula>
    </cfRule>
    <cfRule type="cellIs" dxfId="570" priority="9" operator="equal">
      <formula>"NO APLICA"</formula>
    </cfRule>
  </conditionalFormatting>
  <conditionalFormatting sqref="H1:I1 H2 H3:I106 I107:I649 H2120:I1048576">
    <cfRule type="timePeriod" dxfId="569" priority="4211" timePeriod="lastMonth">
      <formula>AND(MONTH(H1)=MONTH(EDATE(TODAY(),0-1)),YEAR(H1)=YEAR(EDATE(TODAY(),0-1)))</formula>
    </cfRule>
    <cfRule type="timePeriod" dxfId="568" priority="4212" timePeriod="thisMonth">
      <formula>AND(MONTH(H1)=MONTH(TODAY()),YEAR(H1)=YEAR(TODAY()))</formula>
    </cfRule>
  </conditionalFormatting>
  <conditionalFormatting sqref="I651:I1282 H1283:I1478 I1479:I1489 H1479:H2119 I1491:I1535 I1537:I1539 I1541:I1555">
    <cfRule type="timePeriod" dxfId="567" priority="5689" timePeriod="lastMonth">
      <formula>AND(MONTH(H651)=MONTH(EDATE(TODAY(),0-1)),YEAR(H651)=YEAR(EDATE(TODAY(),0-1)))</formula>
    </cfRule>
    <cfRule type="timePeriod" dxfId="566" priority="5690" timePeriod="thisMonth">
      <formula>AND(MONTH(H651)=MONTH(TODAY()),YEAR(H651)=YEAR(TODAY()))</formula>
    </cfRule>
  </conditionalFormatting>
  <conditionalFormatting sqref="I1559:I1603">
    <cfRule type="timePeriod" dxfId="565" priority="5496" timePeriod="lastMonth">
      <formula>AND(MONTH(I1559)=MONTH(EDATE(TODAY(),0-1)),YEAR(I1559)=YEAR(EDATE(TODAY(),0-1)))</formula>
    </cfRule>
    <cfRule type="timePeriod" dxfId="564" priority="5497" timePeriod="thisMonth">
      <formula>AND(MONTH(I1559)=MONTH(TODAY()),YEAR(I1559)=YEAR(TODAY()))</formula>
    </cfRule>
  </conditionalFormatting>
  <conditionalFormatting sqref="I1608:I1833">
    <cfRule type="timePeriod" dxfId="563" priority="4209" timePeriod="lastMonth">
      <formula>AND(MONTH(I1608)=MONTH(EDATE(TODAY(),0-1)),YEAR(I1608)=YEAR(EDATE(TODAY(),0-1)))</formula>
    </cfRule>
    <cfRule type="timePeriod" dxfId="562" priority="4210" timePeriod="thisMonth">
      <formula>AND(MONTH(I1608)=MONTH(TODAY()),YEAR(I1608)=YEAR(TODAY()))</formula>
    </cfRule>
  </conditionalFormatting>
  <conditionalFormatting sqref="I1835:I2119">
    <cfRule type="timePeriod" dxfId="561" priority="1818" timePeriod="lastMonth">
      <formula>AND(MONTH(I1835)=MONTH(EDATE(TODAY(),0-1)),YEAR(I1835)=YEAR(EDATE(TODAY(),0-1)))</formula>
    </cfRule>
    <cfRule type="timePeriod" dxfId="560" priority="1819" timePeriod="thisMonth">
      <formula>AND(MONTH(I1835)=MONTH(TODAY()),YEAR(I1835)=YEAR(TODAY()))</formula>
    </cfRule>
  </conditionalFormatting>
  <conditionalFormatting sqref="J1855">
    <cfRule type="cellIs" dxfId="559" priority="2437" operator="equal">
      <formula>"SOLICITADO"</formula>
    </cfRule>
    <cfRule type="cellIs" dxfId="558" priority="2438" operator="equal">
      <formula>"PENDIENTE"</formula>
    </cfRule>
    <cfRule type="cellIs" dxfId="557" priority="2439" operator="equal">
      <formula>"ARCHIVADO"</formula>
    </cfRule>
  </conditionalFormatting>
  <conditionalFormatting sqref="J1888">
    <cfRule type="cellIs" dxfId="556" priority="2446" operator="equal">
      <formula>"SOLICITADO"</formula>
    </cfRule>
    <cfRule type="cellIs" dxfId="555" priority="2447" operator="equal">
      <formula>"PENDIENTE"</formula>
    </cfRule>
    <cfRule type="cellIs" dxfId="554" priority="2448" operator="equal">
      <formula>"ARCHIVADO"</formula>
    </cfRule>
  </conditionalFormatting>
  <conditionalFormatting sqref="J1893">
    <cfRule type="cellIs" dxfId="553" priority="2455" operator="equal">
      <formula>"SOLICITADO"</formula>
    </cfRule>
    <cfRule type="cellIs" dxfId="552" priority="2456" operator="equal">
      <formula>"PENDIENTE"</formula>
    </cfRule>
    <cfRule type="cellIs" dxfId="551" priority="2457" operator="equal">
      <formula>"ARCHIVADO"</formula>
    </cfRule>
  </conditionalFormatting>
  <conditionalFormatting sqref="J1896:J1900 J1902 J1904 J1906:J1908 J1910 J1912">
    <cfRule type="cellIs" dxfId="550" priority="4607" operator="equal">
      <formula>"SOLICITADO"</formula>
    </cfRule>
    <cfRule type="cellIs" dxfId="549" priority="4608" operator="equal">
      <formula>"PENDIENTE"</formula>
    </cfRule>
    <cfRule type="cellIs" dxfId="548" priority="4609" operator="equal">
      <formula>"ARCHIVADO"</formula>
    </cfRule>
  </conditionalFormatting>
  <conditionalFormatting sqref="J1914">
    <cfRule type="cellIs" dxfId="547" priority="2475" operator="equal">
      <formula>"SOLICITADO"</formula>
    </cfRule>
    <cfRule type="cellIs" dxfId="546" priority="2476" operator="equal">
      <formula>"PENDIENTE"</formula>
    </cfRule>
    <cfRule type="cellIs" dxfId="545" priority="2477" operator="equal">
      <formula>"ARCHIVADO"</formula>
    </cfRule>
  </conditionalFormatting>
  <conditionalFormatting sqref="J1916">
    <cfRule type="cellIs" dxfId="544" priority="2468" operator="equal">
      <formula>"SOLICITADO"</formula>
    </cfRule>
    <cfRule type="cellIs" dxfId="543" priority="2469" operator="equal">
      <formula>"PENDIENTE"</formula>
    </cfRule>
    <cfRule type="cellIs" dxfId="542" priority="2470" operator="equal">
      <formula>"ARCHIVADO"</formula>
    </cfRule>
  </conditionalFormatting>
  <conditionalFormatting sqref="J1954">
    <cfRule type="cellIs" dxfId="541" priority="4224" operator="equal">
      <formula>"NO"</formula>
    </cfRule>
  </conditionalFormatting>
  <conditionalFormatting sqref="K1736">
    <cfRule type="cellIs" dxfId="540" priority="5370" operator="equal">
      <formula>"NO APLICA"</formula>
    </cfRule>
    <cfRule type="cellIs" dxfId="539" priority="5385" operator="equal">
      <formula>"N/A"</formula>
    </cfRule>
  </conditionalFormatting>
  <conditionalFormatting sqref="L1808">
    <cfRule type="cellIs" dxfId="538" priority="4786" operator="equal">
      <formula>"N/A"</formula>
    </cfRule>
    <cfRule type="cellIs" dxfId="537" priority="5393" operator="equal">
      <formula>"Firma Dir. RRHH"</formula>
    </cfRule>
    <cfRule type="cellIs" dxfId="536" priority="5394" operator="equal">
      <formula>"Firma DPTO"</formula>
    </cfRule>
    <cfRule type="cellIs" dxfId="535" priority="5395" operator="equal">
      <formula>"OK"</formula>
    </cfRule>
    <cfRule type="cellIs" dxfId="534" priority="5396" operator="equal">
      <formula>"PENDIENTE"</formula>
    </cfRule>
  </conditionalFormatting>
  <conditionalFormatting sqref="L1940">
    <cfRule type="cellIs" dxfId="533" priority="1253" operator="equal">
      <formula>"N/A"</formula>
    </cfRule>
  </conditionalFormatting>
  <conditionalFormatting sqref="L1954 AB2007:AC2039 U1775:U1785 AB2264:AC1048576">
    <cfRule type="cellIs" dxfId="532" priority="4238" operator="between">
      <formula>5</formula>
      <formula>8</formula>
    </cfRule>
  </conditionalFormatting>
  <conditionalFormatting sqref="L1954">
    <cfRule type="cellIs" dxfId="531" priority="4228" operator="between">
      <formula>1</formula>
      <formula>5</formula>
    </cfRule>
  </conditionalFormatting>
  <conditionalFormatting sqref="L2014">
    <cfRule type="cellIs" dxfId="530" priority="2525" operator="equal">
      <formula>"N/A"</formula>
    </cfRule>
  </conditionalFormatting>
  <conditionalFormatting sqref="L2101">
    <cfRule type="cellIs" dxfId="529" priority="4225" operator="equal">
      <formula>"SOLICITADO"</formula>
    </cfRule>
    <cfRule type="cellIs" dxfId="528" priority="4227" operator="equal">
      <formula>"ARCHIVADO"</formula>
    </cfRule>
  </conditionalFormatting>
  <conditionalFormatting sqref="M1736">
    <cfRule type="timePeriod" dxfId="527" priority="1591" timePeriod="lastMonth">
      <formula>AND(MONTH(M1736)=MONTH(EDATE(TODAY(),0-1)),YEAR(M1736)=YEAR(EDATE(TODAY(),0-1)))</formula>
    </cfRule>
    <cfRule type="timePeriod" dxfId="526" priority="1592" timePeriod="thisMonth">
      <formula>AND(MONTH(M1736)=MONTH(TODAY()),YEAR(M1736)=YEAR(TODAY()))</formula>
    </cfRule>
  </conditionalFormatting>
  <conditionalFormatting sqref="O1:O1325 O1327:O1613">
    <cfRule type="cellIs" dxfId="525" priority="34" operator="equal">
      <formula>"POR DETERMINAR"</formula>
    </cfRule>
  </conditionalFormatting>
  <conditionalFormatting sqref="O1615:O1852">
    <cfRule type="cellIs" dxfId="524" priority="28" operator="equal">
      <formula>"POR DETERMINAR"</formula>
    </cfRule>
  </conditionalFormatting>
  <conditionalFormatting sqref="O1853">
    <cfRule type="cellIs" dxfId="523" priority="4499" operator="equal">
      <formula>"ESPAÑA"</formula>
    </cfRule>
  </conditionalFormatting>
  <conditionalFormatting sqref="O1854:O2011">
    <cfRule type="cellIs" dxfId="522" priority="32" operator="equal">
      <formula>"POR DETERMINAR"</formula>
    </cfRule>
  </conditionalFormatting>
  <conditionalFormatting sqref="O2012 Q2012:R2012 T2012">
    <cfRule type="cellIs" dxfId="521" priority="4102" operator="equal">
      <formula>"N/A"</formula>
    </cfRule>
  </conditionalFormatting>
  <conditionalFormatting sqref="O2013:O2018 O2120:O1048576">
    <cfRule type="cellIs" dxfId="520" priority="5712" operator="equal">
      <formula>"POR DETERMINAR"</formula>
    </cfRule>
  </conditionalFormatting>
  <conditionalFormatting sqref="O2020:O2043">
    <cfRule type="cellIs" dxfId="519" priority="104" operator="equal">
      <formula>"POR DETERMINAR"</formula>
    </cfRule>
  </conditionalFormatting>
  <conditionalFormatting sqref="O2045:O2119">
    <cfRule type="cellIs" dxfId="518" priority="30" operator="equal">
      <formula>"POR DETERMINAR"</formula>
    </cfRule>
  </conditionalFormatting>
  <conditionalFormatting sqref="P1:P1852">
    <cfRule type="cellIs" dxfId="517" priority="1577" operator="equal">
      <formula>"ESPAÑA"</formula>
    </cfRule>
  </conditionalFormatting>
  <conditionalFormatting sqref="P1854:P1952">
    <cfRule type="cellIs" dxfId="516" priority="4233" operator="equal">
      <formula>"ESPAÑA"</formula>
    </cfRule>
  </conditionalFormatting>
  <conditionalFormatting sqref="P1953">
    <cfRule type="cellIs" dxfId="515" priority="2581" operator="equal">
      <formula>"POR DETERMINAR"</formula>
    </cfRule>
  </conditionalFormatting>
  <conditionalFormatting sqref="P1954:P2119">
    <cfRule type="cellIs" dxfId="514" priority="1751" operator="equal">
      <formula>"ESPAÑA"</formula>
    </cfRule>
  </conditionalFormatting>
  <conditionalFormatting sqref="P2120:P1048576">
    <cfRule type="cellIs" dxfId="513" priority="4825" operator="equal">
      <formula>"ESPAÑA"</formula>
    </cfRule>
  </conditionalFormatting>
  <conditionalFormatting sqref="Q1954 L1954 AB2120:AC4835 V1908 S1910:V1910 V1912:V1921 AB1:AC1475">
    <cfRule type="cellIs" dxfId="512" priority="4258" operator="between">
      <formula>8</formula>
      <formula>10</formula>
    </cfRule>
  </conditionalFormatting>
  <conditionalFormatting sqref="Q1954">
    <cfRule type="cellIs" dxfId="511" priority="4222" operator="between">
      <formula>5</formula>
      <formula>8</formula>
    </cfRule>
  </conditionalFormatting>
  <conditionalFormatting sqref="Q2102">
    <cfRule type="cellIs" dxfId="510" priority="1126" operator="equal">
      <formula>"PENDIENTE"</formula>
    </cfRule>
  </conditionalFormatting>
  <conditionalFormatting sqref="R2014 T2014">
    <cfRule type="cellIs" dxfId="509" priority="2522" operator="equal">
      <formula>"N/A"</formula>
    </cfRule>
  </conditionalFormatting>
  <conditionalFormatting sqref="R1967:S1967">
    <cfRule type="cellIs" dxfId="508" priority="2485" operator="equal">
      <formula>"ESPAÑA"</formula>
    </cfRule>
  </conditionalFormatting>
  <conditionalFormatting sqref="U8:U9">
    <cfRule type="cellIs" dxfId="507" priority="4090" operator="equal">
      <formula>"PENDIENTE"</formula>
    </cfRule>
  </conditionalFormatting>
  <conditionalFormatting sqref="U82:U93 V1908 S1910:V1910 V1912:V1921">
    <cfRule type="cellIs" dxfId="506" priority="4087" operator="between">
      <formula>5</formula>
      <formula>8</formula>
    </cfRule>
  </conditionalFormatting>
  <conditionalFormatting sqref="U108:U117 U1775:U1785 AB1743:AC1819 AB2007:AB2040">
    <cfRule type="cellIs" dxfId="505" priority="4084" operator="between">
      <formula>8</formula>
      <formula>10</formula>
    </cfRule>
  </conditionalFormatting>
  <conditionalFormatting sqref="U108:U122">
    <cfRule type="cellIs" dxfId="504" priority="4083" operator="between">
      <formula>5</formula>
      <formula>8</formula>
    </cfRule>
    <cfRule type="cellIs" dxfId="503" priority="4088" operator="between">
      <formula>1</formula>
      <formula>5</formula>
    </cfRule>
  </conditionalFormatting>
  <conditionalFormatting sqref="U118:U122 U82:U93">
    <cfRule type="cellIs" dxfId="502" priority="4089" operator="between">
      <formula>8</formula>
      <formula>10</formula>
    </cfRule>
  </conditionalFormatting>
  <conditionalFormatting sqref="U162:U165">
    <cfRule type="cellIs" dxfId="501" priority="4081" operator="equal">
      <formula>"SÍ"</formula>
    </cfRule>
    <cfRule type="cellIs" dxfId="500" priority="4082" operator="equal">
      <formula>"NO"</formula>
    </cfRule>
  </conditionalFormatting>
  <conditionalFormatting sqref="U1701:U1702">
    <cfRule type="cellIs" dxfId="499" priority="4080" operator="equal">
      <formula>"PENDIENTE"</formula>
    </cfRule>
  </conditionalFormatting>
  <conditionalFormatting sqref="U1775:U1777 AB2264:AC1048576">
    <cfRule type="cellIs" dxfId="498" priority="4076" operator="between">
      <formula>1</formula>
      <formula>5</formula>
    </cfRule>
  </conditionalFormatting>
  <conditionalFormatting sqref="U1801 U1806 U1808 U1811:U1815">
    <cfRule type="cellIs" dxfId="497" priority="4073" operator="between">
      <formula>5</formula>
      <formula>8</formula>
    </cfRule>
    <cfRule type="cellIs" dxfId="496" priority="4078" operator="between">
      <formula>1</formula>
      <formula>5</formula>
    </cfRule>
  </conditionalFormatting>
  <conditionalFormatting sqref="U1801 U1806 U1808">
    <cfRule type="cellIs" dxfId="495" priority="4075" operator="between">
      <formula>8</formula>
      <formula>10</formula>
    </cfRule>
  </conditionalFormatting>
  <conditionalFormatting sqref="U1811:U1815">
    <cfRule type="cellIs" dxfId="494" priority="4079" operator="between">
      <formula>8</formula>
      <formula>10</formula>
    </cfRule>
  </conditionalFormatting>
  <conditionalFormatting sqref="U2097">
    <cfRule type="cellIs" dxfId="493" priority="1796" operator="between">
      <formula>5</formula>
      <formula>8</formula>
    </cfRule>
    <cfRule type="cellIs" dxfId="492" priority="1797" operator="between">
      <formula>8</formula>
      <formula>10</formula>
    </cfRule>
    <cfRule type="cellIs" dxfId="491" priority="1798" operator="between">
      <formula>1</formula>
      <formula>5</formula>
    </cfRule>
  </conditionalFormatting>
  <conditionalFormatting sqref="V1:V1325 V1327:V1735 L2101 E2120:F1048576">
    <cfRule type="cellIs" dxfId="490" priority="1014" operator="equal">
      <formula>"PENDIENTE"</formula>
    </cfRule>
  </conditionalFormatting>
  <conditionalFormatting sqref="V1737:V1760 Y1754:AA1754 AN1754 Q1874 Q1876 Q1878:R1878 V1909 Q1910:R1910 V1911:V1939 Q1912 V1941:V1953 V1955:V1983 V1985:V2011 Q2044">
    <cfRule type="cellIs" dxfId="489" priority="5494" operator="equal">
      <formula>"PENDIENTE"</formula>
    </cfRule>
  </conditionalFormatting>
  <conditionalFormatting sqref="V1763:V1907">
    <cfRule type="cellIs" dxfId="488" priority="2506" operator="equal">
      <formula>"PENDIENTE"</formula>
    </cfRule>
  </conditionalFormatting>
  <conditionalFormatting sqref="V2016:V2102">
    <cfRule type="cellIs" dxfId="487" priority="1824" operator="equal">
      <formula>"PENDIENTE"</formula>
    </cfRule>
  </conditionalFormatting>
  <conditionalFormatting sqref="W1886:AA1886 AB1956:AC1956 AB1958:AC1958 AB1960:AC1973">
    <cfRule type="cellIs" dxfId="486" priority="4312" operator="between">
      <formula>8</formula>
      <formula>10</formula>
    </cfRule>
  </conditionalFormatting>
  <conditionalFormatting sqref="W1910:AA1921">
    <cfRule type="cellIs" dxfId="485" priority="4788" operator="equal">
      <formula>"SÍ"</formula>
    </cfRule>
    <cfRule type="cellIs" dxfId="484" priority="4819" operator="equal">
      <formula>"NO"</formula>
    </cfRule>
  </conditionalFormatting>
  <conditionalFormatting sqref="X1:X1048576 O1954">
    <cfRule type="cellIs" dxfId="483" priority="4235" operator="equal">
      <formula>"SÍ"</formula>
    </cfRule>
    <cfRule type="cellIs" dxfId="482" priority="4236" operator="equal">
      <formula>"NO"</formula>
    </cfRule>
  </conditionalFormatting>
  <conditionalFormatting sqref="X1754">
    <cfRule type="cellIs" dxfId="481" priority="4514" operator="equal">
      <formula>"POR DEFINIR"</formula>
    </cfRule>
  </conditionalFormatting>
  <conditionalFormatting sqref="Y1754:AA1754">
    <cfRule type="cellIs" dxfId="480" priority="5379" operator="equal">
      <formula>"SOLICITADO"</formula>
    </cfRule>
    <cfRule type="cellIs" dxfId="479" priority="5392" operator="equal">
      <formula>"ARCHIVADO"</formula>
    </cfRule>
  </conditionalFormatting>
  <conditionalFormatting sqref="AA1:AA1048576 AD1:AD1048576">
    <cfRule type="cellIs" dxfId="478" priority="24" operator="equal">
      <formula>"SÍ"</formula>
    </cfRule>
  </conditionalFormatting>
  <conditionalFormatting sqref="AB1524:AB1526 AB1528 AB1533 AB1535 AB1543 AB1549:AB1550 AB1560 AB1563:AB1569 AB1572:AB1580 W1736:AC1736 AC1910 S1912 AB1570:AC1570 AB1576:AC1592 AB1593 AB1594:AC1603 AB1603:AB1604 AB1605:AC1628 AB1629:AB1632 AB1633:AC1639 AB1640 AC1640:AC1641 AB1641:AC1652 AB1653:AB1657 AB1654:AC1654 AB1657:AC1660 AB1662:AC1688 AB1689 AB1690:AC1701 AB1702:AB1703 AB1704:AC1705 AB1713:AC1713 AB1723:AC1728 AB1728:AB1729 AB1737:AC1742 AB1820:AC1823 AB1825:AC1830 AB1833:AC1840 AB1842 AB1843:AC1863 W1868:AC1872 W1874:AB1874 W1876:AB1876 W1878:AB1878 AB1886:AC1886 AB1911:AC1912 AB1914:AC1914 AB1916:AC1916 AB1918:AC1918 AB1952">
    <cfRule type="cellIs" dxfId="477" priority="5700" operator="between">
      <formula>8</formula>
      <formula>10</formula>
    </cfRule>
  </conditionalFormatting>
  <conditionalFormatting sqref="AB1524:AB1526 AB1528 AB1533 AB1535 AB1543 AB1549:AB1550 AB1560 AB1563:AB1569 AB1570:AC1570 AB1572:AB1580 AB1576:AC1592 AB1593 AB1594:AC1603 AB1603:AB1604 AB1605:AC1628 AB1629:AB1632 AB1633:AC1639 AB1640 AC1640:AC1641 AB1641:AC1652 AB1653:AB1657 AB1654:AC1654 AB1657:AC1660 AB1662:AC1688 AB1689 AB1690:AC1701 AB1702:AB1703 AB1704:AC1705 AB1713:AC1713 AB1723:AC1728 AB1728:AB1729 W1736:AC1736 AB1737:AC1742 AB1820:AB1821 AB1828 AB1842:AB1845 AB1849:AB1854 AB1859:AB1861 AB1786 AB1807:AB1808 AB1810:AB1812">
    <cfRule type="cellIs" dxfId="476" priority="5707" operator="between">
      <formula>5</formula>
      <formula>8</formula>
    </cfRule>
  </conditionalFormatting>
  <conditionalFormatting sqref="AB1562:AB1568">
    <cfRule type="cellIs" dxfId="475" priority="5451" operator="between">
      <formula>8</formula>
      <formula>10</formula>
    </cfRule>
    <cfRule type="cellIs" dxfId="474" priority="5452" operator="between">
      <formula>5</formula>
      <formula>8</formula>
    </cfRule>
  </conditionalFormatting>
  <conditionalFormatting sqref="AB1571 AB1573:AC1573">
    <cfRule type="cellIs" dxfId="473" priority="5454" operator="between">
      <formula>8</formula>
      <formula>10</formula>
    </cfRule>
    <cfRule type="cellIs" dxfId="472" priority="5455" operator="between">
      <formula>5</formula>
      <formula>8</formula>
    </cfRule>
  </conditionalFormatting>
  <conditionalFormatting sqref="AB1582 AB1586:AB1588 AB1591 AB1593:AB1599 AB1601:AB1614 AC1616 AB1616:AB1618 AB1843:AC1843 AB1845:AC1849 AB1851:AC1851 AC1853 AB1764 W1868:AC1872 AB1825:AC1830 AB1886:AC1886 W1874:AB1874 W1876:AB1876 W1878:AB1878 AC1910 S1912">
    <cfRule type="cellIs" dxfId="471" priority="5366" operator="between">
      <formula>5</formula>
      <formula>8</formula>
    </cfRule>
  </conditionalFormatting>
  <conditionalFormatting sqref="AB1586:AB1588 AB1591 AB1593:AB1599 AB1601:AB1614 AB1616:AB1618 AB1582 AC1616">
    <cfRule type="cellIs" dxfId="470" priority="5365" operator="between">
      <formula>8</formula>
      <formula>10</formula>
    </cfRule>
  </conditionalFormatting>
  <conditionalFormatting sqref="AB1586:AB1588 AB1591 AB1593:AB1599 AB1601:AB1614 AB1616:AB1618">
    <cfRule type="cellIs" dxfId="469" priority="5363" operator="between">
      <formula>1</formula>
      <formula>5</formula>
    </cfRule>
  </conditionalFormatting>
  <conditionalFormatting sqref="AB1620 AB1651:AB1655">
    <cfRule type="cellIs" dxfId="468" priority="5360" operator="between">
      <formula>8</formula>
      <formula>10</formula>
    </cfRule>
    <cfRule type="cellIs" dxfId="467" priority="5361" operator="between">
      <formula>5</formula>
      <formula>8</formula>
    </cfRule>
  </conditionalFormatting>
  <conditionalFormatting sqref="AB1620 AB1651:AB1656">
    <cfRule type="cellIs" dxfId="466" priority="5362" operator="between">
      <formula>1</formula>
      <formula>5</formula>
    </cfRule>
  </conditionalFormatting>
  <conditionalFormatting sqref="AB1624">
    <cfRule type="cellIs" dxfId="465" priority="5353" operator="between">
      <formula>1</formula>
      <formula>5</formula>
    </cfRule>
    <cfRule type="cellIs" dxfId="464" priority="5355" operator="between">
      <formula>8</formula>
      <formula>10</formula>
    </cfRule>
    <cfRule type="cellIs" dxfId="463" priority="5356" operator="between">
      <formula>5</formula>
      <formula>8</formula>
    </cfRule>
    <cfRule type="cellIs" dxfId="462" priority="5357" operator="between">
      <formula>1</formula>
      <formula>5</formula>
    </cfRule>
  </conditionalFormatting>
  <conditionalFormatting sqref="AB1638">
    <cfRule type="cellIs" dxfId="461" priority="5220" operator="between">
      <formula>8</formula>
      <formula>10</formula>
    </cfRule>
    <cfRule type="cellIs" dxfId="460" priority="5221" operator="between">
      <formula>5</formula>
      <formula>8</formula>
    </cfRule>
  </conditionalFormatting>
  <conditionalFormatting sqref="AB1638:AB1639">
    <cfRule type="cellIs" dxfId="459" priority="5217" operator="between">
      <formula>1</formula>
      <formula>5</formula>
    </cfRule>
  </conditionalFormatting>
  <conditionalFormatting sqref="AB1638:AB1648">
    <cfRule type="cellIs" dxfId="458" priority="5222" operator="between">
      <formula>1</formula>
      <formula>5</formula>
    </cfRule>
    <cfRule type="cellIs" dxfId="457" priority="5345" operator="between">
      <formula>8</formula>
      <formula>10</formula>
    </cfRule>
    <cfRule type="cellIs" dxfId="456" priority="5346" operator="between">
      <formula>5</formula>
      <formula>8</formula>
    </cfRule>
    <cfRule type="cellIs" dxfId="455" priority="5347" operator="between">
      <formula>1</formula>
      <formula>5</formula>
    </cfRule>
  </conditionalFormatting>
  <conditionalFormatting sqref="AB1639">
    <cfRule type="cellIs" dxfId="454" priority="5213" operator="between">
      <formula>1</formula>
      <formula>5</formula>
    </cfRule>
    <cfRule type="cellIs" dxfId="453" priority="5215" operator="between">
      <formula>8</formula>
      <formula>10</formula>
    </cfRule>
    <cfRule type="cellIs" dxfId="452" priority="5216" operator="between">
      <formula>5</formula>
      <formula>8</formula>
    </cfRule>
  </conditionalFormatting>
  <conditionalFormatting sqref="AB1648">
    <cfRule type="cellIs" dxfId="451" priority="5210" operator="between">
      <formula>8</formula>
      <formula>10</formula>
    </cfRule>
    <cfRule type="cellIs" dxfId="450" priority="5211" operator="between">
      <formula>5</formula>
      <formula>8</formula>
    </cfRule>
    <cfRule type="cellIs" dxfId="449" priority="5212" operator="between">
      <formula>1</formula>
      <formula>5</formula>
    </cfRule>
  </conditionalFormatting>
  <conditionalFormatting sqref="AB1651:AB1655 AB1620">
    <cfRule type="cellIs" dxfId="448" priority="5358" operator="between">
      <formula>1</formula>
      <formula>5</formula>
    </cfRule>
  </conditionalFormatting>
  <conditionalFormatting sqref="AB1653:AB1654">
    <cfRule type="cellIs" dxfId="447" priority="5195" operator="between">
      <formula>8</formula>
      <formula>10</formula>
    </cfRule>
    <cfRule type="cellIs" dxfId="446" priority="5196" operator="between">
      <formula>5</formula>
      <formula>8</formula>
    </cfRule>
  </conditionalFormatting>
  <conditionalFormatting sqref="AB1653:AB1655">
    <cfRule type="cellIs" dxfId="445" priority="5192" operator="between">
      <formula>1</formula>
      <formula>5</formula>
    </cfRule>
  </conditionalFormatting>
  <conditionalFormatting sqref="AB1655">
    <cfRule type="cellIs" dxfId="444" priority="5190" operator="between">
      <formula>8</formula>
      <formula>10</formula>
    </cfRule>
    <cfRule type="cellIs" dxfId="443" priority="5191" operator="between">
      <formula>5</formula>
      <formula>8</formula>
    </cfRule>
  </conditionalFormatting>
  <conditionalFormatting sqref="AB1655:AB1656">
    <cfRule type="cellIs" dxfId="442" priority="5187" operator="between">
      <formula>1</formula>
      <formula>5</formula>
    </cfRule>
  </conditionalFormatting>
  <conditionalFormatting sqref="AB1656:AB1657">
    <cfRule type="cellIs" dxfId="441" priority="4981" operator="between">
      <formula>1</formula>
      <formula>5</formula>
    </cfRule>
  </conditionalFormatting>
  <conditionalFormatting sqref="AB1657">
    <cfRule type="cellIs" dxfId="440" priority="4974" operator="between">
      <formula>8</formula>
      <formula>10</formula>
    </cfRule>
    <cfRule type="cellIs" dxfId="439" priority="4975" operator="between">
      <formula>5</formula>
      <formula>8</formula>
    </cfRule>
    <cfRule type="cellIs" dxfId="438" priority="4976" operator="between">
      <formula>1</formula>
      <formula>5</formula>
    </cfRule>
    <cfRule type="cellIs" dxfId="437" priority="4979" operator="between">
      <formula>8</formula>
      <formula>10</formula>
    </cfRule>
    <cfRule type="cellIs" dxfId="436" priority="4980" operator="between">
      <formula>5</formula>
      <formula>8</formula>
    </cfRule>
  </conditionalFormatting>
  <conditionalFormatting sqref="AB1659">
    <cfRule type="cellIs" dxfId="435" priority="5180" operator="between">
      <formula>8</formula>
      <formula>10</formula>
    </cfRule>
    <cfRule type="cellIs" dxfId="434" priority="5181" operator="between">
      <formula>5</formula>
      <formula>8</formula>
    </cfRule>
    <cfRule type="cellIs" dxfId="433" priority="5182" operator="between">
      <formula>1</formula>
      <formula>5</formula>
    </cfRule>
  </conditionalFormatting>
  <conditionalFormatting sqref="AB1659:AB1660">
    <cfRule type="cellIs" dxfId="432" priority="5177" operator="between">
      <formula>1</formula>
      <formula>5</formula>
    </cfRule>
  </conditionalFormatting>
  <conditionalFormatting sqref="AB1660:AB1661">
    <cfRule type="cellIs" dxfId="431" priority="5172" operator="between">
      <formula>1</formula>
      <formula>5</formula>
    </cfRule>
    <cfRule type="cellIs" dxfId="430" priority="5175" operator="between">
      <formula>8</formula>
      <formula>10</formula>
    </cfRule>
    <cfRule type="cellIs" dxfId="429" priority="5176" operator="between">
      <formula>5</formula>
      <formula>8</formula>
    </cfRule>
  </conditionalFormatting>
  <conditionalFormatting sqref="AB1661">
    <cfRule type="cellIs" dxfId="428" priority="5170" operator="between">
      <formula>8</formula>
      <formula>10</formula>
    </cfRule>
    <cfRule type="cellIs" dxfId="427" priority="5171" operator="between">
      <formula>5</formula>
      <formula>8</formula>
    </cfRule>
  </conditionalFormatting>
  <conditionalFormatting sqref="AB1661:AB1662">
    <cfRule type="cellIs" dxfId="426" priority="5167" operator="between">
      <formula>1</formula>
      <formula>5</formula>
    </cfRule>
  </conditionalFormatting>
  <conditionalFormatting sqref="AB1662">
    <cfRule type="cellIs" dxfId="425" priority="5165" operator="between">
      <formula>8</formula>
      <formula>10</formula>
    </cfRule>
    <cfRule type="cellIs" dxfId="424" priority="5166" operator="between">
      <formula>5</formula>
      <formula>8</formula>
    </cfRule>
  </conditionalFormatting>
  <conditionalFormatting sqref="AB1662:AB1663">
    <cfRule type="cellIs" dxfId="423" priority="5162" operator="between">
      <formula>1</formula>
      <formula>5</formula>
    </cfRule>
  </conditionalFormatting>
  <conditionalFormatting sqref="AB1663">
    <cfRule type="cellIs" dxfId="422" priority="5160" operator="between">
      <formula>8</formula>
      <formula>10</formula>
    </cfRule>
    <cfRule type="cellIs" dxfId="421" priority="5161" operator="between">
      <formula>5</formula>
      <formula>8</formula>
    </cfRule>
  </conditionalFormatting>
  <conditionalFormatting sqref="AB1665">
    <cfRule type="cellIs" dxfId="420" priority="5155" operator="between">
      <formula>8</formula>
      <formula>10</formula>
    </cfRule>
    <cfRule type="cellIs" dxfId="419" priority="5156" operator="between">
      <formula>5</formula>
      <formula>8</formula>
    </cfRule>
    <cfRule type="cellIs" dxfId="418" priority="5157" operator="between">
      <formula>1</formula>
      <formula>5</formula>
    </cfRule>
  </conditionalFormatting>
  <conditionalFormatting sqref="AB1667">
    <cfRule type="cellIs" dxfId="417" priority="5150" operator="between">
      <formula>8</formula>
      <formula>10</formula>
    </cfRule>
    <cfRule type="cellIs" dxfId="416" priority="5151" operator="between">
      <formula>5</formula>
      <formula>8</formula>
    </cfRule>
  </conditionalFormatting>
  <conditionalFormatting sqref="AB1667:AB1668">
    <cfRule type="cellIs" dxfId="415" priority="5147" operator="between">
      <formula>1</formula>
      <formula>5</formula>
    </cfRule>
    <cfRule type="cellIs" dxfId="414" priority="5152" operator="between">
      <formula>1</formula>
      <formula>5</formula>
    </cfRule>
  </conditionalFormatting>
  <conditionalFormatting sqref="AB1668">
    <cfRule type="cellIs" dxfId="413" priority="5145" operator="between">
      <formula>8</formula>
      <formula>10</formula>
    </cfRule>
    <cfRule type="cellIs" dxfId="412" priority="5146" operator="between">
      <formula>5</formula>
      <formula>8</formula>
    </cfRule>
  </conditionalFormatting>
  <conditionalFormatting sqref="AB1668:AB1669">
    <cfRule type="cellIs" dxfId="411" priority="5142" operator="between">
      <formula>1</formula>
      <formula>5</formula>
    </cfRule>
  </conditionalFormatting>
  <conditionalFormatting sqref="AB1669">
    <cfRule type="cellIs" dxfId="410" priority="5140" operator="between">
      <formula>8</formula>
      <formula>10</formula>
    </cfRule>
    <cfRule type="cellIs" dxfId="409" priority="5141" operator="between">
      <formula>5</formula>
      <formula>8</formula>
    </cfRule>
  </conditionalFormatting>
  <conditionalFormatting sqref="AB1669:AB1670">
    <cfRule type="cellIs" dxfId="408" priority="5137" operator="between">
      <formula>1</formula>
      <formula>5</formula>
    </cfRule>
  </conditionalFormatting>
  <conditionalFormatting sqref="AB1670">
    <cfRule type="cellIs" dxfId="407" priority="5135" operator="between">
      <formula>8</formula>
      <formula>10</formula>
    </cfRule>
    <cfRule type="cellIs" dxfId="406" priority="5136" operator="between">
      <formula>5</formula>
      <formula>8</formula>
    </cfRule>
  </conditionalFormatting>
  <conditionalFormatting sqref="AB1685">
    <cfRule type="cellIs" dxfId="405" priority="5130" operator="between">
      <formula>8</formula>
      <formula>10</formula>
    </cfRule>
    <cfRule type="cellIs" dxfId="404" priority="5131" operator="between">
      <formula>5</formula>
      <formula>8</formula>
    </cfRule>
    <cfRule type="cellIs" dxfId="403" priority="5132" operator="between">
      <formula>1</formula>
      <formula>5</formula>
    </cfRule>
  </conditionalFormatting>
  <conditionalFormatting sqref="AB1687">
    <cfRule type="cellIs" dxfId="402" priority="5125" operator="between">
      <formula>8</formula>
      <formula>10</formula>
    </cfRule>
    <cfRule type="cellIs" dxfId="401" priority="5126" operator="between">
      <formula>5</formula>
      <formula>8</formula>
    </cfRule>
    <cfRule type="cellIs" dxfId="400" priority="5127" operator="between">
      <formula>1</formula>
      <formula>5</formula>
    </cfRule>
  </conditionalFormatting>
  <conditionalFormatting sqref="AB1689">
    <cfRule type="cellIs" dxfId="399" priority="5120" operator="between">
      <formula>8</formula>
      <formula>10</formula>
    </cfRule>
    <cfRule type="cellIs" dxfId="398" priority="5121" operator="between">
      <formula>5</formula>
      <formula>8</formula>
    </cfRule>
    <cfRule type="cellIs" dxfId="397" priority="5122" operator="between">
      <formula>1</formula>
      <formula>5</formula>
    </cfRule>
  </conditionalFormatting>
  <conditionalFormatting sqref="AB1689:AB1690">
    <cfRule type="cellIs" dxfId="396" priority="5117" operator="between">
      <formula>1</formula>
      <formula>5</formula>
    </cfRule>
  </conditionalFormatting>
  <conditionalFormatting sqref="AB1690">
    <cfRule type="cellIs" dxfId="395" priority="5115" operator="between">
      <formula>8</formula>
      <formula>10</formula>
    </cfRule>
    <cfRule type="cellIs" dxfId="394" priority="5116" operator="between">
      <formula>5</formula>
      <formula>8</formula>
    </cfRule>
  </conditionalFormatting>
  <conditionalFormatting sqref="AB1690:AB1691">
    <cfRule type="cellIs" dxfId="393" priority="5112" operator="between">
      <formula>1</formula>
      <formula>5</formula>
    </cfRule>
  </conditionalFormatting>
  <conditionalFormatting sqref="AB1691">
    <cfRule type="cellIs" dxfId="392" priority="5110" operator="between">
      <formula>8</formula>
      <formula>10</formula>
    </cfRule>
    <cfRule type="cellIs" dxfId="391" priority="5111" operator="between">
      <formula>5</formula>
      <formula>8</formula>
    </cfRule>
  </conditionalFormatting>
  <conditionalFormatting sqref="AB1702:AB1703">
    <cfRule type="cellIs" dxfId="390" priority="5107" operator="between">
      <formula>1</formula>
      <formula>5</formula>
    </cfRule>
  </conditionalFormatting>
  <conditionalFormatting sqref="AB1705">
    <cfRule type="cellIs" dxfId="389" priority="5102" operator="between">
      <formula>1</formula>
      <formula>5</formula>
    </cfRule>
  </conditionalFormatting>
  <conditionalFormatting sqref="AB1705:AB1706">
    <cfRule type="cellIs" dxfId="388" priority="5097" operator="between">
      <formula>1</formula>
      <formula>5</formula>
    </cfRule>
    <cfRule type="cellIs" dxfId="387" priority="5100" operator="between">
      <formula>8</formula>
      <formula>10</formula>
    </cfRule>
    <cfRule type="cellIs" dxfId="386" priority="5101" operator="between">
      <formula>5</formula>
      <formula>8</formula>
    </cfRule>
  </conditionalFormatting>
  <conditionalFormatting sqref="AB1713">
    <cfRule type="cellIs" dxfId="385" priority="4935" operator="between">
      <formula>8</formula>
      <formula>10</formula>
    </cfRule>
    <cfRule type="cellIs" dxfId="384" priority="4936" operator="between">
      <formula>5</formula>
      <formula>8</formula>
    </cfRule>
    <cfRule type="cellIs" dxfId="383" priority="5092" operator="between">
      <formula>1</formula>
      <formula>5</formula>
    </cfRule>
  </conditionalFormatting>
  <conditionalFormatting sqref="AB1728:AB1729">
    <cfRule type="cellIs" dxfId="382" priority="5087" operator="between">
      <formula>1</formula>
      <formula>5</formula>
    </cfRule>
  </conditionalFormatting>
  <conditionalFormatting sqref="AB1750">
    <cfRule type="cellIs" dxfId="381" priority="4450" operator="between">
      <formula>1</formula>
      <formula>5</formula>
    </cfRule>
    <cfRule type="cellIs" dxfId="380" priority="4451" operator="between">
      <formula>8</formula>
      <formula>10</formula>
    </cfRule>
    <cfRule type="cellIs" dxfId="379" priority="4452" operator="between">
      <formula>5</formula>
      <formula>8</formula>
    </cfRule>
    <cfRule type="cellIs" dxfId="378" priority="4453" operator="between">
      <formula>1</formula>
      <formula>5</formula>
    </cfRule>
    <cfRule type="cellIs" dxfId="377" priority="4455" operator="between">
      <formula>8</formula>
      <formula>10</formula>
    </cfRule>
    <cfRule type="cellIs" dxfId="376" priority="4456" operator="between">
      <formula>5</formula>
      <formula>8</formula>
    </cfRule>
    <cfRule type="cellIs" dxfId="375" priority="4457" operator="between">
      <formula>1</formula>
      <formula>5</formula>
    </cfRule>
    <cfRule type="cellIs" dxfId="374" priority="4458" operator="between">
      <formula>5</formula>
      <formula>8</formula>
    </cfRule>
  </conditionalFormatting>
  <conditionalFormatting sqref="AB1764">
    <cfRule type="cellIs" dxfId="373" priority="4674" operator="between">
      <formula>1</formula>
      <formula>5</formula>
    </cfRule>
    <cfRule type="cellIs" dxfId="372" priority="4675" operator="between">
      <formula>8</formula>
      <formula>10</formula>
    </cfRule>
  </conditionalFormatting>
  <conditionalFormatting sqref="AB1768">
    <cfRule type="cellIs" dxfId="371" priority="4432" operator="between">
      <formula>1</formula>
      <formula>5</formula>
    </cfRule>
    <cfRule type="cellIs" dxfId="370" priority="4433" operator="between">
      <formula>8</formula>
      <formula>10</formula>
    </cfRule>
    <cfRule type="cellIs" dxfId="369" priority="4434" operator="between">
      <formula>5</formula>
      <formula>8</formula>
    </cfRule>
    <cfRule type="cellIs" dxfId="368" priority="4435" operator="between">
      <formula>1</formula>
      <formula>5</formula>
    </cfRule>
    <cfRule type="cellIs" dxfId="367" priority="4437" operator="between">
      <formula>8</formula>
      <formula>10</formula>
    </cfRule>
    <cfRule type="cellIs" dxfId="366" priority="4438" operator="between">
      <formula>5</formula>
      <formula>8</formula>
    </cfRule>
    <cfRule type="cellIs" dxfId="365" priority="4439" operator="between">
      <formula>1</formula>
      <formula>5</formula>
    </cfRule>
    <cfRule type="cellIs" dxfId="364" priority="4440" operator="between">
      <formula>5</formula>
      <formula>8</formula>
    </cfRule>
  </conditionalFormatting>
  <conditionalFormatting sqref="AB1770">
    <cfRule type="cellIs" dxfId="363" priority="4424" operator="between">
      <formula>8</formula>
      <formula>10</formula>
    </cfRule>
    <cfRule type="cellIs" dxfId="362" priority="4425" operator="between">
      <formula>5</formula>
      <formula>8</formula>
    </cfRule>
    <cfRule type="cellIs" dxfId="361" priority="4426" operator="between">
      <formula>1</formula>
      <formula>5</formula>
    </cfRule>
    <cfRule type="cellIs" dxfId="360" priority="4428" operator="between">
      <formula>8</formula>
      <formula>10</formula>
    </cfRule>
    <cfRule type="cellIs" dxfId="359" priority="4429" operator="between">
      <formula>5</formula>
      <formula>8</formula>
    </cfRule>
    <cfRule type="cellIs" dxfId="358" priority="4430" operator="between">
      <formula>1</formula>
      <formula>5</formula>
    </cfRule>
    <cfRule type="cellIs" dxfId="357" priority="4431" operator="between">
      <formula>5</formula>
      <formula>8</formula>
    </cfRule>
  </conditionalFormatting>
  <conditionalFormatting sqref="AB1770:AB1771">
    <cfRule type="cellIs" dxfId="356" priority="4421" operator="between">
      <formula>1</formula>
      <formula>5</formula>
    </cfRule>
  </conditionalFormatting>
  <conditionalFormatting sqref="AB1771">
    <cfRule type="cellIs" dxfId="355" priority="4414" operator="between">
      <formula>1</formula>
      <formula>5</formula>
    </cfRule>
    <cfRule type="cellIs" dxfId="354" priority="4415" operator="between">
      <formula>8</formula>
      <formula>10</formula>
    </cfRule>
    <cfRule type="cellIs" dxfId="353" priority="4416" operator="between">
      <formula>5</formula>
      <formula>8</formula>
    </cfRule>
    <cfRule type="cellIs" dxfId="352" priority="4417" operator="between">
      <formula>1</formula>
      <formula>5</formula>
    </cfRule>
    <cfRule type="cellIs" dxfId="351" priority="4419" operator="between">
      <formula>8</formula>
      <formula>10</formula>
    </cfRule>
    <cfRule type="cellIs" dxfId="350" priority="4420" operator="between">
      <formula>5</formula>
      <formula>8</formula>
    </cfRule>
    <cfRule type="cellIs" dxfId="349" priority="4422" operator="between">
      <formula>5</formula>
      <formula>8</formula>
    </cfRule>
  </conditionalFormatting>
  <conditionalFormatting sqref="AB1774">
    <cfRule type="cellIs" dxfId="348" priority="4405" operator="between">
      <formula>1</formula>
      <formula>5</formula>
    </cfRule>
    <cfRule type="cellIs" dxfId="347" priority="4406" operator="between">
      <formula>8</formula>
      <formula>10</formula>
    </cfRule>
    <cfRule type="cellIs" dxfId="346" priority="4407" operator="between">
      <formula>5</formula>
      <formula>8</formula>
    </cfRule>
    <cfRule type="cellIs" dxfId="345" priority="4408" operator="between">
      <formula>1</formula>
      <formula>5</formula>
    </cfRule>
    <cfRule type="cellIs" dxfId="344" priority="4410" operator="between">
      <formula>8</formula>
      <formula>10</formula>
    </cfRule>
    <cfRule type="cellIs" dxfId="343" priority="4411" operator="between">
      <formula>5</formula>
      <formula>8</formula>
    </cfRule>
    <cfRule type="cellIs" dxfId="342" priority="4412" operator="between">
      <formula>1</formula>
      <formula>5</formula>
    </cfRule>
    <cfRule type="cellIs" dxfId="341" priority="4413" operator="between">
      <formula>5</formula>
      <formula>8</formula>
    </cfRule>
  </conditionalFormatting>
  <conditionalFormatting sqref="AB1789 AB1791 AB1794 AB1797:AB1798 AB1804">
    <cfRule type="cellIs" dxfId="340" priority="2699" operator="between">
      <formula>5</formula>
      <formula>8</formula>
    </cfRule>
  </conditionalFormatting>
  <conditionalFormatting sqref="AB1831 AB2007:AC2038">
    <cfRule type="cellIs" dxfId="339" priority="4099" operator="between">
      <formula>8</formula>
      <formula>10</formula>
    </cfRule>
  </conditionalFormatting>
  <conditionalFormatting sqref="AB1842">
    <cfRule type="cellIs" dxfId="338" priority="4510" operator="between">
      <formula>1</formula>
      <formula>5</formula>
    </cfRule>
    <cfRule type="cellIs" dxfId="337" priority="4511" operator="between">
      <formula>8</formula>
      <formula>10</formula>
    </cfRule>
    <cfRule type="cellIs" dxfId="336" priority="4512" operator="between">
      <formula>5</formula>
      <formula>8</formula>
    </cfRule>
    <cfRule type="cellIs" dxfId="335" priority="4513" operator="between">
      <formula>1</formula>
      <formula>5</formula>
    </cfRule>
  </conditionalFormatting>
  <conditionalFormatting sqref="AB1850">
    <cfRule type="cellIs" dxfId="334" priority="2747" operator="between">
      <formula>1</formula>
      <formula>5</formula>
    </cfRule>
  </conditionalFormatting>
  <conditionalFormatting sqref="AB1852">
    <cfRule type="cellIs" dxfId="333" priority="2764" operator="between">
      <formula>1</formula>
      <formula>5</formula>
    </cfRule>
  </conditionalFormatting>
  <conditionalFormatting sqref="AB1854:AB1867">
    <cfRule type="cellIs" dxfId="332" priority="4567" operator="between">
      <formula>1</formula>
      <formula>5</formula>
    </cfRule>
  </conditionalFormatting>
  <conditionalFormatting sqref="AB1856 AB1843:AB1845 AB1847:AB1849 AB1851 AB1854">
    <cfRule type="cellIs" dxfId="331" priority="2698" operator="between">
      <formula>5</formula>
      <formula>8</formula>
    </cfRule>
  </conditionalFormatting>
  <conditionalFormatting sqref="AB1856">
    <cfRule type="cellIs" dxfId="330" priority="2697" operator="between">
      <formula>1</formula>
      <formula>5</formula>
    </cfRule>
  </conditionalFormatting>
  <conditionalFormatting sqref="AB1861">
    <cfRule type="cellIs" dxfId="329" priority="2696" operator="between">
      <formula>5</formula>
      <formula>8</formula>
    </cfRule>
  </conditionalFormatting>
  <conditionalFormatting sqref="AB1863:AB1871">
    <cfRule type="cellIs" dxfId="328" priority="2694" operator="between">
      <formula>1</formula>
      <formula>5</formula>
    </cfRule>
    <cfRule type="cellIs" dxfId="327" priority="2695" operator="between">
      <formula>5</formula>
      <formula>8</formula>
    </cfRule>
  </conditionalFormatting>
  <conditionalFormatting sqref="AB1864:AB1867">
    <cfRule type="cellIs" dxfId="326" priority="2693" operator="between">
      <formula>8</formula>
      <formula>10</formula>
    </cfRule>
  </conditionalFormatting>
  <conditionalFormatting sqref="AB1930">
    <cfRule type="cellIs" dxfId="325" priority="4123" operator="between">
      <formula>1</formula>
      <formula>5</formula>
    </cfRule>
    <cfRule type="cellIs" dxfId="324" priority="4124" operator="between">
      <formula>5</formula>
      <formula>8</formula>
    </cfRule>
    <cfRule type="cellIs" dxfId="323" priority="4125" operator="between">
      <formula>8</formula>
      <formula>10</formula>
    </cfRule>
  </conditionalFormatting>
  <conditionalFormatting sqref="AB1954 AB1952">
    <cfRule type="cellIs" dxfId="322" priority="4247" operator="between">
      <formula>1</formula>
      <formula>5</formula>
    </cfRule>
  </conditionalFormatting>
  <conditionalFormatting sqref="AB1954">
    <cfRule type="cellIs" dxfId="321" priority="4246" operator="between">
      <formula>8</formula>
      <formula>10</formula>
    </cfRule>
  </conditionalFormatting>
  <conditionalFormatting sqref="AB1956 AB1958 AB1960:AB1984">
    <cfRule type="cellIs" dxfId="320" priority="4199" operator="between">
      <formula>1</formula>
      <formula>5</formula>
    </cfRule>
  </conditionalFormatting>
  <conditionalFormatting sqref="AB1960:AB1984 AB1956 AB1958">
    <cfRule type="cellIs" dxfId="319" priority="4197" operator="between">
      <formula>8</formula>
      <formula>10</formula>
    </cfRule>
  </conditionalFormatting>
  <conditionalFormatting sqref="AB1975">
    <cfRule type="cellIs" dxfId="318" priority="2709" operator="between">
      <formula>8</formula>
      <formula>10</formula>
    </cfRule>
    <cfRule type="cellIs" dxfId="317" priority="2710" operator="between">
      <formula>1</formula>
      <formula>5</formula>
    </cfRule>
  </conditionalFormatting>
  <conditionalFormatting sqref="AB1986:AB1988">
    <cfRule type="cellIs" dxfId="316" priority="3516" operator="between">
      <formula>8</formula>
      <formula>10</formula>
    </cfRule>
    <cfRule type="cellIs" dxfId="315" priority="3517" operator="between">
      <formula>1</formula>
      <formula>5</formula>
    </cfRule>
  </conditionalFormatting>
  <conditionalFormatting sqref="AB2041:AB2046">
    <cfRule type="cellIs" dxfId="314" priority="2215" operator="between">
      <formula>8</formula>
      <formula>10</formula>
    </cfRule>
    <cfRule type="cellIs" dxfId="313" priority="2216" operator="between">
      <formula>1</formula>
      <formula>5</formula>
    </cfRule>
  </conditionalFormatting>
  <conditionalFormatting sqref="AB2049:AB2054 AB2060:AB2079 AB2115:AB2117">
    <cfRule type="cellIs" dxfId="312" priority="1581" operator="between">
      <formula>1</formula>
      <formula>5</formula>
    </cfRule>
  </conditionalFormatting>
  <conditionalFormatting sqref="AB2057">
    <cfRule type="cellIs" dxfId="311" priority="2082" operator="between">
      <formula>1</formula>
      <formula>5</formula>
    </cfRule>
    <cfRule type="cellIs" dxfId="310" priority="2083" operator="between">
      <formula>5</formula>
      <formula>8</formula>
    </cfRule>
  </conditionalFormatting>
  <conditionalFormatting sqref="AB2059">
    <cfRule type="cellIs" dxfId="309" priority="438" operator="lessThan">
      <formula>1</formula>
    </cfRule>
    <cfRule type="cellIs" dxfId="308" priority="439" operator="between">
      <formula>1</formula>
      <formula>5</formula>
    </cfRule>
    <cfRule type="cellIs" dxfId="307" priority="440" operator="between">
      <formula>5</formula>
      <formula>8</formula>
    </cfRule>
    <cfRule type="cellIs" dxfId="306" priority="441" operator="greaterThan">
      <formula>8</formula>
    </cfRule>
    <cfRule type="cellIs" dxfId="305" priority="442" operator="between">
      <formula>8</formula>
      <formula>10</formula>
    </cfRule>
    <cfRule type="cellIs" dxfId="304" priority="443" operator="between">
      <formula>5</formula>
      <formula>8</formula>
    </cfRule>
  </conditionalFormatting>
  <conditionalFormatting sqref="AB2060:AB2100 AB2049:AB2055">
    <cfRule type="cellIs" dxfId="303" priority="1580" operator="between">
      <formula>8</formula>
      <formula>10</formula>
    </cfRule>
  </conditionalFormatting>
  <conditionalFormatting sqref="AB2102:AB2117">
    <cfRule type="cellIs" dxfId="302" priority="898" operator="between">
      <formula>8</formula>
      <formula>10</formula>
    </cfRule>
  </conditionalFormatting>
  <conditionalFormatting sqref="AB2112">
    <cfRule type="cellIs" dxfId="301" priority="1561" operator="between">
      <formula>1</formula>
      <formula>5</formula>
    </cfRule>
  </conditionalFormatting>
  <conditionalFormatting sqref="AB1:AC2006 AB2120:AC4835 W1886:AA1886">
    <cfRule type="cellIs" dxfId="300" priority="4311" operator="between">
      <formula>5</formula>
      <formula>8</formula>
    </cfRule>
  </conditionalFormatting>
  <conditionalFormatting sqref="AB1:AC2006 AB2120:AC4835">
    <cfRule type="cellIs" dxfId="299" priority="5367" operator="between">
      <formula>1</formula>
      <formula>5</formula>
    </cfRule>
  </conditionalFormatting>
  <conditionalFormatting sqref="AB1:AC2047 AC2:AC1048576">
    <cfRule type="cellIs" dxfId="298" priority="345" operator="greaterThan">
      <formula>8</formula>
    </cfRule>
  </conditionalFormatting>
  <conditionalFormatting sqref="AB1:AC2047">
    <cfRule type="cellIs" dxfId="297" priority="1573" operator="lessThan">
      <formula>1</formula>
    </cfRule>
  </conditionalFormatting>
  <conditionalFormatting sqref="AB1476:AC1513">
    <cfRule type="cellIs" dxfId="296" priority="5409" operator="between">
      <formula>8</formula>
      <formula>10</formula>
    </cfRule>
    <cfRule type="cellIs" dxfId="295" priority="5410" operator="between">
      <formula>5</formula>
      <formula>8</formula>
    </cfRule>
  </conditionalFormatting>
  <conditionalFormatting sqref="AB1514:AC1562 AB1563">
    <cfRule type="cellIs" dxfId="294" priority="5611" operator="between">
      <formula>8</formula>
      <formula>10</formula>
    </cfRule>
    <cfRule type="cellIs" dxfId="293" priority="5617" operator="between">
      <formula>5</formula>
      <formula>8</formula>
    </cfRule>
  </conditionalFormatting>
  <conditionalFormatting sqref="AB1582:AC1582">
    <cfRule type="cellIs" dxfId="292" priority="5329" operator="between">
      <formula>1</formula>
      <formula>5</formula>
    </cfRule>
  </conditionalFormatting>
  <conditionalFormatting sqref="AB1654:AC1654">
    <cfRule type="cellIs" dxfId="291" priority="5004" operator="between">
      <formula>1</formula>
      <formula>5</formula>
    </cfRule>
    <cfRule type="cellIs" dxfId="290" priority="5009" operator="between">
      <formula>8</formula>
      <formula>10</formula>
    </cfRule>
    <cfRule type="cellIs" dxfId="289" priority="5010" operator="between">
      <formula>5</formula>
      <formula>8</formula>
    </cfRule>
  </conditionalFormatting>
  <conditionalFormatting sqref="AB1656:AC1656">
    <cfRule type="cellIs" dxfId="288" priority="4986" operator="between">
      <formula>8</formula>
      <formula>10</formula>
    </cfRule>
    <cfRule type="cellIs" dxfId="287" priority="4987" operator="between">
      <formula>5</formula>
      <formula>8</formula>
    </cfRule>
  </conditionalFormatting>
  <conditionalFormatting sqref="AB1702:AC1702">
    <cfRule type="cellIs" dxfId="286" priority="4958" operator="between">
      <formula>1</formula>
      <formula>5</formula>
    </cfRule>
    <cfRule type="cellIs" dxfId="285" priority="4963" operator="between">
      <formula>8</formula>
      <formula>10</formula>
    </cfRule>
    <cfRule type="cellIs" dxfId="284" priority="4964" operator="between">
      <formula>5</formula>
      <formula>8</formula>
    </cfRule>
  </conditionalFormatting>
  <conditionalFormatting sqref="AB1706:AC1706">
    <cfRule type="cellIs" dxfId="283" priority="4944" operator="between">
      <formula>1</formula>
      <formula>5</formula>
    </cfRule>
    <cfRule type="cellIs" dxfId="282" priority="4949" operator="between">
      <formula>8</formula>
      <formula>10</formula>
    </cfRule>
    <cfRule type="cellIs" dxfId="281" priority="4950" operator="between">
      <formula>5</formula>
      <formula>8</formula>
    </cfRule>
  </conditionalFormatting>
  <conditionalFormatting sqref="AB1708:AC1712">
    <cfRule type="cellIs" dxfId="280" priority="4942" operator="between">
      <formula>8</formula>
      <formula>10</formula>
    </cfRule>
    <cfRule type="cellIs" dxfId="279" priority="4943" operator="between">
      <formula>5</formula>
      <formula>8</formula>
    </cfRule>
  </conditionalFormatting>
  <conditionalFormatting sqref="AB1713:AC1713">
    <cfRule type="cellIs" dxfId="278" priority="4770" operator="between">
      <formula>1</formula>
      <formula>5</formula>
    </cfRule>
  </conditionalFormatting>
  <conditionalFormatting sqref="AB1714:AC1722">
    <cfRule type="cellIs" dxfId="277" priority="4764" operator="between">
      <formula>8</formula>
      <formula>10</formula>
    </cfRule>
    <cfRule type="cellIs" dxfId="276" priority="4765" operator="between">
      <formula>5</formula>
      <formula>8</formula>
    </cfRule>
  </conditionalFormatting>
  <conditionalFormatting sqref="AB1729:AC1729">
    <cfRule type="cellIs" dxfId="275" priority="4909" operator="between">
      <formula>1</formula>
      <formula>5</formula>
    </cfRule>
  </conditionalFormatting>
  <conditionalFormatting sqref="AB1729:AC1731">
    <cfRule type="cellIs" dxfId="274" priority="4914" operator="between">
      <formula>8</formula>
      <formula>10</formula>
    </cfRule>
    <cfRule type="cellIs" dxfId="273" priority="4915" operator="between">
      <formula>5</formula>
      <formula>8</formula>
    </cfRule>
  </conditionalFormatting>
  <conditionalFormatting sqref="AB1732:AC1735">
    <cfRule type="cellIs" dxfId="272" priority="4900" operator="between">
      <formula>8</formula>
      <formula>10</formula>
    </cfRule>
    <cfRule type="cellIs" dxfId="271" priority="4901" operator="between">
      <formula>5</formula>
      <formula>8</formula>
    </cfRule>
  </conditionalFormatting>
  <conditionalFormatting sqref="AB1833:AC1841 AB1843:AC1843 AB1845:AC1845 AB1847:AC1849 AB1851:AC1851 AC1853">
    <cfRule type="cellIs" dxfId="270" priority="4801" operator="between">
      <formula>5</formula>
      <formula>8</formula>
    </cfRule>
  </conditionalFormatting>
  <conditionalFormatting sqref="AB1841:AC1841 AB1843:AC1843 AB1845:AC1845 AB1847:AC1849 AB1851:AC1851 AC1853">
    <cfRule type="cellIs" dxfId="269" priority="4815" operator="between">
      <formula>8</formula>
      <formula>10</formula>
    </cfRule>
  </conditionalFormatting>
  <conditionalFormatting sqref="AB1842:AC1842">
    <cfRule type="cellIs" dxfId="268" priority="4533" operator="between">
      <formula>8</formula>
      <formula>10</formula>
    </cfRule>
    <cfRule type="cellIs" dxfId="267" priority="4535" operator="between">
      <formula>5</formula>
      <formula>8</formula>
    </cfRule>
  </conditionalFormatting>
  <conditionalFormatting sqref="AB1850:AC1850">
    <cfRule type="cellIs" dxfId="266" priority="2748" operator="between">
      <formula>5</formula>
      <formula>8</formula>
    </cfRule>
  </conditionalFormatting>
  <conditionalFormatting sqref="AB1852:AC1852">
    <cfRule type="cellIs" dxfId="265" priority="2765" operator="between">
      <formula>5</formula>
      <formula>8</formula>
    </cfRule>
  </conditionalFormatting>
  <conditionalFormatting sqref="AB1854:AC1854">
    <cfRule type="cellIs" dxfId="264" priority="2774" operator="between">
      <formula>5</formula>
      <formula>8</formula>
    </cfRule>
  </conditionalFormatting>
  <conditionalFormatting sqref="AB1855:AC1867">
    <cfRule type="cellIs" dxfId="263" priority="4671" operator="between">
      <formula>5</formula>
      <formula>8</formula>
    </cfRule>
  </conditionalFormatting>
  <conditionalFormatting sqref="AB1864:AC1867">
    <cfRule type="cellIs" dxfId="262" priority="4672" operator="between">
      <formula>8</formula>
      <formula>10</formula>
    </cfRule>
  </conditionalFormatting>
  <conditionalFormatting sqref="AB1873:AC1873">
    <cfRule type="cellIs" dxfId="261" priority="3728" operator="between">
      <formula>1</formula>
      <formula>5</formula>
    </cfRule>
    <cfRule type="cellIs" dxfId="260" priority="3730" operator="between">
      <formula>5</formula>
      <formula>8</formula>
    </cfRule>
    <cfRule type="cellIs" dxfId="259" priority="3734" operator="between">
      <formula>8</formula>
      <formula>10</formula>
    </cfRule>
  </conditionalFormatting>
  <conditionalFormatting sqref="AB1875:AC1875">
    <cfRule type="cellIs" dxfId="258" priority="3497" operator="between">
      <formula>1</formula>
      <formula>5</formula>
    </cfRule>
    <cfRule type="cellIs" dxfId="257" priority="3499" operator="between">
      <formula>5</formula>
      <formula>8</formula>
    </cfRule>
    <cfRule type="cellIs" dxfId="256" priority="3503" operator="between">
      <formula>8</formula>
      <formula>10</formula>
    </cfRule>
  </conditionalFormatting>
  <conditionalFormatting sqref="AB1877:AC1877">
    <cfRule type="cellIs" dxfId="255" priority="3480" operator="between">
      <formula>1</formula>
      <formula>5</formula>
    </cfRule>
    <cfRule type="cellIs" dxfId="254" priority="3482" operator="between">
      <formula>5</formula>
      <formula>8</formula>
    </cfRule>
    <cfRule type="cellIs" dxfId="253" priority="3486" operator="between">
      <formula>8</formula>
      <formula>10</formula>
    </cfRule>
  </conditionalFormatting>
  <conditionalFormatting sqref="AB1879:AC1885 AB1887:AC1909">
    <cfRule type="cellIs" dxfId="252" priority="2593" operator="between">
      <formula>1</formula>
      <formula>5</formula>
    </cfRule>
    <cfRule type="cellIs" dxfId="251" priority="2594" operator="between">
      <formula>5</formula>
      <formula>8</formula>
    </cfRule>
    <cfRule type="cellIs" dxfId="250" priority="2595" operator="between">
      <formula>8</formula>
      <formula>10</formula>
    </cfRule>
  </conditionalFormatting>
  <conditionalFormatting sqref="AB1913:AC1913">
    <cfRule type="cellIs" dxfId="249" priority="3239" operator="between">
      <formula>1</formula>
      <formula>5</formula>
    </cfRule>
    <cfRule type="cellIs" dxfId="248" priority="3241" operator="between">
      <formula>5</formula>
      <formula>8</formula>
    </cfRule>
    <cfRule type="cellIs" dxfId="247" priority="3245" operator="between">
      <formula>8</formula>
      <formula>10</formula>
    </cfRule>
  </conditionalFormatting>
  <conditionalFormatting sqref="AB1915:AC1915">
    <cfRule type="cellIs" dxfId="246" priority="3223" operator="between">
      <formula>1</formula>
      <formula>5</formula>
    </cfRule>
    <cfRule type="cellIs" dxfId="245" priority="3225" operator="between">
      <formula>5</formula>
      <formula>8</formula>
    </cfRule>
    <cfRule type="cellIs" dxfId="244" priority="3229" operator="between">
      <formula>8</formula>
      <formula>10</formula>
    </cfRule>
  </conditionalFormatting>
  <conditionalFormatting sqref="AB1917:AC1917">
    <cfRule type="cellIs" dxfId="243" priority="3207" operator="between">
      <formula>1</formula>
      <formula>5</formula>
    </cfRule>
    <cfRule type="cellIs" dxfId="242" priority="3209" operator="between">
      <formula>5</formula>
      <formula>8</formula>
    </cfRule>
    <cfRule type="cellIs" dxfId="241" priority="3213" operator="between">
      <formula>8</formula>
      <formula>10</formula>
    </cfRule>
  </conditionalFormatting>
  <conditionalFormatting sqref="AB1919:AC1919">
    <cfRule type="cellIs" dxfId="240" priority="3191" operator="between">
      <formula>1</formula>
      <formula>5</formula>
    </cfRule>
    <cfRule type="cellIs" dxfId="239" priority="3193" operator="between">
      <formula>5</formula>
      <formula>8</formula>
    </cfRule>
    <cfRule type="cellIs" dxfId="238" priority="3197" operator="between">
      <formula>8</formula>
      <formula>10</formula>
    </cfRule>
  </conditionalFormatting>
  <conditionalFormatting sqref="AB1920:AC1920 AB1944:AC1944 AB1911:AC1912 AB1914:AC1914 AB1916:AC1916 AB1918:AC1918 W1868:AA1870">
    <cfRule type="cellIs" dxfId="237" priority="4661" operator="between">
      <formula>1</formula>
      <formula>5</formula>
    </cfRule>
  </conditionalFormatting>
  <conditionalFormatting sqref="AB1920:AC1920 AB1944:AC1944 AB1986:AC1987 AC2264:AC1046769 AB2264:AB1048576">
    <cfRule type="cellIs" dxfId="236" priority="4364" operator="between">
      <formula>8</formula>
      <formula>10</formula>
    </cfRule>
  </conditionalFormatting>
  <conditionalFormatting sqref="AB1921:AC1929">
    <cfRule type="cellIs" dxfId="235" priority="2598" operator="between">
      <formula>1</formula>
      <formula>5</formula>
    </cfRule>
    <cfRule type="cellIs" dxfId="234" priority="2599" operator="between">
      <formula>5</formula>
      <formula>8</formula>
    </cfRule>
    <cfRule type="cellIs" dxfId="233" priority="2600" operator="between">
      <formula>8</formula>
      <formula>10</formula>
    </cfRule>
  </conditionalFormatting>
  <conditionalFormatting sqref="AB1931:AC1933">
    <cfRule type="cellIs" dxfId="232" priority="2603" operator="between">
      <formula>1</formula>
      <formula>5</formula>
    </cfRule>
    <cfRule type="cellIs" dxfId="231" priority="2604" operator="between">
      <formula>5</formula>
      <formula>8</formula>
    </cfRule>
    <cfRule type="cellIs" dxfId="230" priority="2605" operator="between">
      <formula>8</formula>
      <formula>10</formula>
    </cfRule>
  </conditionalFormatting>
  <conditionalFormatting sqref="AB1935:AC1935">
    <cfRule type="cellIs" dxfId="229" priority="2613" operator="between">
      <formula>1</formula>
      <formula>5</formula>
    </cfRule>
    <cfRule type="cellIs" dxfId="228" priority="2614" operator="between">
      <formula>5</formula>
      <formula>8</formula>
    </cfRule>
    <cfRule type="cellIs" dxfId="227" priority="2615" operator="between">
      <formula>8</formula>
      <formula>10</formula>
    </cfRule>
  </conditionalFormatting>
  <conditionalFormatting sqref="AB1937:AC1937">
    <cfRule type="cellIs" dxfId="226" priority="2618" operator="between">
      <formula>1</formula>
      <formula>5</formula>
    </cfRule>
    <cfRule type="cellIs" dxfId="225" priority="2619" operator="between">
      <formula>5</formula>
      <formula>8</formula>
    </cfRule>
    <cfRule type="cellIs" dxfId="224" priority="2620" operator="between">
      <formula>8</formula>
      <formula>10</formula>
    </cfRule>
  </conditionalFormatting>
  <conditionalFormatting sqref="AB1939:AC1939">
    <cfRule type="cellIs" dxfId="223" priority="2999" operator="between">
      <formula>1</formula>
      <formula>5</formula>
    </cfRule>
    <cfRule type="cellIs" dxfId="222" priority="3001" operator="between">
      <formula>5</formula>
      <formula>8</formula>
    </cfRule>
    <cfRule type="cellIs" dxfId="221" priority="3005" operator="between">
      <formula>8</formula>
      <formula>10</formula>
    </cfRule>
  </conditionalFormatting>
  <conditionalFormatting sqref="AB1941:AC1941">
    <cfRule type="cellIs" dxfId="220" priority="2983" operator="between">
      <formula>1</formula>
      <formula>5</formula>
    </cfRule>
    <cfRule type="cellIs" dxfId="219" priority="2985" operator="between">
      <formula>5</formula>
      <formula>8</formula>
    </cfRule>
    <cfRule type="cellIs" dxfId="218" priority="2989" operator="between">
      <formula>8</formula>
      <formula>10</formula>
    </cfRule>
  </conditionalFormatting>
  <conditionalFormatting sqref="AB1943:AC1943">
    <cfRule type="cellIs" dxfId="217" priority="2628" operator="between">
      <formula>1</formula>
      <formula>5</formula>
    </cfRule>
    <cfRule type="cellIs" dxfId="216" priority="2629" operator="between">
      <formula>5</formula>
      <formula>8</formula>
    </cfRule>
    <cfRule type="cellIs" dxfId="215" priority="2630" operator="between">
      <formula>8</formula>
      <formula>10</formula>
    </cfRule>
  </conditionalFormatting>
  <conditionalFormatting sqref="AB1945:AC1945">
    <cfRule type="cellIs" dxfId="214" priority="2486" operator="between">
      <formula>1</formula>
      <formula>5</formula>
    </cfRule>
    <cfRule type="cellIs" dxfId="213" priority="2487" operator="between">
      <formula>5</formula>
      <formula>8</formula>
    </cfRule>
    <cfRule type="cellIs" dxfId="212" priority="2488" operator="between">
      <formula>8</formula>
      <formula>10</formula>
    </cfRule>
    <cfRule type="cellIs" dxfId="211" priority="2491" operator="between">
      <formula>1</formula>
      <formula>5</formula>
    </cfRule>
    <cfRule type="cellIs" dxfId="210" priority="2492" operator="between">
      <formula>5</formula>
      <formula>8</formula>
    </cfRule>
    <cfRule type="cellIs" dxfId="209" priority="2493" operator="between">
      <formula>8</formula>
      <formula>10</formula>
    </cfRule>
  </conditionalFormatting>
  <conditionalFormatting sqref="AB1947:AC1947">
    <cfRule type="cellIs" dxfId="208" priority="2648" operator="between">
      <formula>1</formula>
      <formula>5</formula>
    </cfRule>
    <cfRule type="cellIs" dxfId="207" priority="2649" operator="between">
      <formula>5</formula>
      <formula>8</formula>
    </cfRule>
    <cfRule type="cellIs" dxfId="206" priority="2650" operator="between">
      <formula>8</formula>
      <formula>10</formula>
    </cfRule>
    <cfRule type="cellIs" dxfId="205" priority="2935" operator="between">
      <formula>1</formula>
      <formula>5</formula>
    </cfRule>
    <cfRule type="cellIs" dxfId="204" priority="2937" operator="between">
      <formula>5</formula>
      <formula>8</formula>
    </cfRule>
    <cfRule type="cellIs" dxfId="203" priority="2941" operator="between">
      <formula>8</formula>
      <formula>10</formula>
    </cfRule>
  </conditionalFormatting>
  <conditionalFormatting sqref="AB1949:AC1949">
    <cfRule type="cellIs" dxfId="202" priority="2643" operator="between">
      <formula>1</formula>
      <formula>5</formula>
    </cfRule>
    <cfRule type="cellIs" dxfId="201" priority="2644" operator="between">
      <formula>5</formula>
      <formula>8</formula>
    </cfRule>
    <cfRule type="cellIs" dxfId="200" priority="2645" operator="between">
      <formula>8</formula>
      <formula>10</formula>
    </cfRule>
    <cfRule type="cellIs" dxfId="199" priority="2919" operator="between">
      <formula>1</formula>
      <formula>5</formula>
    </cfRule>
    <cfRule type="cellIs" dxfId="198" priority="2921" operator="between">
      <formula>5</formula>
      <formula>8</formula>
    </cfRule>
    <cfRule type="cellIs" dxfId="197" priority="2925" operator="between">
      <formula>8</formula>
      <formula>10</formula>
    </cfRule>
  </conditionalFormatting>
  <conditionalFormatting sqref="AB1951:AC1951">
    <cfRule type="cellIs" dxfId="196" priority="2496" operator="between">
      <formula>1</formula>
      <formula>5</formula>
    </cfRule>
    <cfRule type="cellIs" dxfId="195" priority="2497" operator="between">
      <formula>5</formula>
      <formula>8</formula>
    </cfRule>
    <cfRule type="cellIs" dxfId="194" priority="2498" operator="between">
      <formula>8</formula>
      <formula>10</formula>
    </cfRule>
    <cfRule type="cellIs" dxfId="193" priority="2501" operator="between">
      <formula>1</formula>
      <formula>5</formula>
    </cfRule>
    <cfRule type="cellIs" dxfId="192" priority="2502" operator="between">
      <formula>5</formula>
      <formula>8</formula>
    </cfRule>
    <cfRule type="cellIs" dxfId="191" priority="2503" operator="between">
      <formula>8</formula>
      <formula>10</formula>
    </cfRule>
  </conditionalFormatting>
  <conditionalFormatting sqref="AB1953:AC1953">
    <cfRule type="cellIs" dxfId="190" priority="2633" operator="between">
      <formula>1</formula>
      <formula>5</formula>
    </cfRule>
    <cfRule type="cellIs" dxfId="189" priority="2634" operator="between">
      <formula>5</formula>
      <formula>8</formula>
    </cfRule>
    <cfRule type="cellIs" dxfId="188" priority="2635" operator="between">
      <formula>8</formula>
      <formula>10</formula>
    </cfRule>
    <cfRule type="cellIs" dxfId="187" priority="2886" operator="between">
      <formula>1</formula>
      <formula>5</formula>
    </cfRule>
    <cfRule type="cellIs" dxfId="186" priority="2888" operator="between">
      <formula>5</formula>
      <formula>8</formula>
    </cfRule>
    <cfRule type="cellIs" dxfId="185" priority="2892" operator="between">
      <formula>8</formula>
      <formula>10</formula>
    </cfRule>
  </conditionalFormatting>
  <conditionalFormatting sqref="AB1955:AC1955">
    <cfRule type="cellIs" dxfId="184" priority="2872" operator="between">
      <formula>5</formula>
      <formula>8</formula>
    </cfRule>
    <cfRule type="cellIs" dxfId="183" priority="2876" operator="between">
      <formula>8</formula>
      <formula>10</formula>
    </cfRule>
  </conditionalFormatting>
  <conditionalFormatting sqref="AB1955:AC1959">
    <cfRule type="cellIs" dxfId="182" priority="2838" operator="between">
      <formula>1</formula>
      <formula>5</formula>
    </cfRule>
  </conditionalFormatting>
  <conditionalFormatting sqref="AB1957:AC1957">
    <cfRule type="cellIs" dxfId="181" priority="2856" operator="between">
      <formula>5</formula>
      <formula>8</formula>
    </cfRule>
    <cfRule type="cellIs" dxfId="180" priority="2860" operator="between">
      <formula>8</formula>
      <formula>10</formula>
    </cfRule>
  </conditionalFormatting>
  <conditionalFormatting sqref="AB1959:AC1959">
    <cfRule type="cellIs" dxfId="179" priority="2840" operator="between">
      <formula>5</formula>
      <formula>8</formula>
    </cfRule>
    <cfRule type="cellIs" dxfId="178" priority="2844" operator="between">
      <formula>8</formula>
      <formula>10</formula>
    </cfRule>
  </conditionalFormatting>
  <conditionalFormatting sqref="AB1960:AC1984 U82:U84">
    <cfRule type="cellIs" dxfId="177" priority="4086" operator="between">
      <formula>1</formula>
      <formula>5</formula>
    </cfRule>
  </conditionalFormatting>
  <conditionalFormatting sqref="AB1974:AC1983">
    <cfRule type="cellIs" dxfId="176" priority="3977" operator="between">
      <formula>5</formula>
      <formula>8</formula>
    </cfRule>
    <cfRule type="cellIs" dxfId="175" priority="3978" operator="between">
      <formula>8</formula>
      <formula>10</formula>
    </cfRule>
  </conditionalFormatting>
  <conditionalFormatting sqref="AB1975:AC1975">
    <cfRule type="cellIs" dxfId="174" priority="2706" operator="between">
      <formula>5</formula>
      <formula>8</formula>
    </cfRule>
    <cfRule type="cellIs" dxfId="173" priority="2707" operator="between">
      <formula>8</formula>
      <formula>10</formula>
    </cfRule>
    <cfRule type="cellIs" dxfId="172" priority="2708" operator="between">
      <formula>1</formula>
      <formula>5</formula>
    </cfRule>
  </conditionalFormatting>
  <conditionalFormatting sqref="AB1984:AC1984">
    <cfRule type="cellIs" dxfId="171" priority="2034" operator="between">
      <formula>5</formula>
      <formula>8</formula>
    </cfRule>
    <cfRule type="cellIs" dxfId="170" priority="2035" operator="between">
      <formula>8</formula>
      <formula>10</formula>
    </cfRule>
    <cfRule type="cellIs" dxfId="169" priority="2037" operator="between">
      <formula>5</formula>
      <formula>8</formula>
    </cfRule>
    <cfRule type="cellIs" dxfId="168" priority="2038" operator="between">
      <formula>8</formula>
      <formula>10</formula>
    </cfRule>
    <cfRule type="cellIs" dxfId="167" priority="2040" operator="between">
      <formula>5</formula>
      <formula>8</formula>
    </cfRule>
    <cfRule type="cellIs" dxfId="166" priority="2041" operator="between">
      <formula>8</formula>
      <formula>10</formula>
    </cfRule>
  </conditionalFormatting>
  <conditionalFormatting sqref="AB1985:AC1985">
    <cfRule type="cellIs" dxfId="165" priority="2814" operator="between">
      <formula>1</formula>
      <formula>5</formula>
    </cfRule>
  </conditionalFormatting>
  <conditionalFormatting sqref="AB1985:AC1988">
    <cfRule type="cellIs" dxfId="164" priority="2816" operator="between">
      <formula>5</formula>
      <formula>8</formula>
    </cfRule>
  </conditionalFormatting>
  <conditionalFormatting sqref="AB1985:AC2006">
    <cfRule type="cellIs" dxfId="163" priority="2820" operator="between">
      <formula>8</formula>
      <formula>10</formula>
    </cfRule>
  </conditionalFormatting>
  <conditionalFormatting sqref="AB2007:AC2038 AB1831">
    <cfRule type="cellIs" dxfId="162" priority="4098" operator="between">
      <formula>5</formula>
      <formula>8</formula>
    </cfRule>
  </conditionalFormatting>
  <conditionalFormatting sqref="AB2007:AC2039 AB2038:AB2040 Q1954">
    <cfRule type="cellIs" dxfId="161" priority="4239" operator="between">
      <formula>1</formula>
      <formula>5</formula>
    </cfRule>
  </conditionalFormatting>
  <conditionalFormatting sqref="AB2039:AC2039">
    <cfRule type="cellIs" dxfId="160" priority="2227" operator="between">
      <formula>8</formula>
      <formula>10</formula>
    </cfRule>
    <cfRule type="cellIs" dxfId="159" priority="2228" operator="between">
      <formula>1</formula>
      <formula>5</formula>
    </cfRule>
  </conditionalFormatting>
  <conditionalFormatting sqref="AB2039:AC2041">
    <cfRule type="cellIs" dxfId="158" priority="2206" operator="between">
      <formula>5</formula>
      <formula>8</formula>
    </cfRule>
  </conditionalFormatting>
  <conditionalFormatting sqref="AB2040:AC2040">
    <cfRule type="cellIs" dxfId="157" priority="2202" operator="between">
      <formula>5</formula>
      <formula>8</formula>
    </cfRule>
    <cfRule type="cellIs" dxfId="156" priority="2203" operator="between">
      <formula>8</formula>
      <formula>10</formula>
    </cfRule>
    <cfRule type="cellIs" dxfId="155" priority="2204" operator="between">
      <formula>1</formula>
      <formula>5</formula>
    </cfRule>
    <cfRule type="cellIs" dxfId="154" priority="2207" operator="between">
      <formula>1</formula>
      <formula>5</formula>
    </cfRule>
  </conditionalFormatting>
  <conditionalFormatting sqref="AB2041:AC2041">
    <cfRule type="cellIs" dxfId="153" priority="2213" operator="between">
      <formula>8</formula>
      <formula>10</formula>
    </cfRule>
    <cfRule type="cellIs" dxfId="152" priority="2214" operator="between">
      <formula>1</formula>
      <formula>5</formula>
    </cfRule>
    <cfRule type="cellIs" dxfId="151" priority="2217" operator="between">
      <formula>5</formula>
      <formula>8</formula>
    </cfRule>
    <cfRule type="cellIs" dxfId="150" priority="2218" operator="between">
      <formula>1</formula>
      <formula>5</formula>
    </cfRule>
  </conditionalFormatting>
  <conditionalFormatting sqref="AB2042:AC2046 AB2049:AC2054 AB2060:AC2078 AB2115:AC2117">
    <cfRule type="cellIs" dxfId="149" priority="1585" operator="between">
      <formula>8</formula>
      <formula>10</formula>
    </cfRule>
    <cfRule type="cellIs" dxfId="148" priority="1586" operator="between">
      <formula>1</formula>
      <formula>5</formula>
    </cfRule>
  </conditionalFormatting>
  <conditionalFormatting sqref="AB2042:AC2046 AB2049:AC2055 AB2060:AC2078 AB2115:AC2117">
    <cfRule type="cellIs" dxfId="147" priority="1587" operator="between">
      <formula>5</formula>
      <formula>8</formula>
    </cfRule>
  </conditionalFormatting>
  <conditionalFormatting sqref="AB2042:AC2047 AB2049:AC2054 AB2060:AC2078 AB2115:AC2117">
    <cfRule type="cellIs" dxfId="146" priority="1588" operator="between">
      <formula>1</formula>
      <formula>5</formula>
    </cfRule>
  </conditionalFormatting>
  <conditionalFormatting sqref="AB2047:AC2047">
    <cfRule type="cellIs" dxfId="145" priority="2168" operator="between">
      <formula>5</formula>
      <formula>8</formula>
    </cfRule>
    <cfRule type="cellIs" dxfId="144" priority="2169" operator="between">
      <formula>8</formula>
      <formula>10</formula>
    </cfRule>
    <cfRule type="cellIs" dxfId="143" priority="2174" operator="between">
      <formula>5</formula>
      <formula>8</formula>
    </cfRule>
    <cfRule type="cellIs" dxfId="142" priority="2175" operator="between">
      <formula>1</formula>
      <formula>5</formula>
    </cfRule>
  </conditionalFormatting>
  <conditionalFormatting sqref="AB2049:AC2054 AB2060:AC2078 AB2115:AC2117 AB2042:AC2046">
    <cfRule type="cellIs" dxfId="141" priority="1583" operator="between">
      <formula>5</formula>
      <formula>8</formula>
    </cfRule>
  </conditionalFormatting>
  <conditionalFormatting sqref="AB2049:AC2055">
    <cfRule type="cellIs" dxfId="140" priority="1582" operator="lessThan">
      <formula>1</formula>
    </cfRule>
    <cfRule type="cellIs" dxfId="139" priority="1584" operator="greaterThan">
      <formula>8</formula>
    </cfRule>
  </conditionalFormatting>
  <conditionalFormatting sqref="AB2055:AC2055">
    <cfRule type="cellIs" dxfId="138" priority="2054" operator="between">
      <formula>8</formula>
      <formula>10</formula>
    </cfRule>
    <cfRule type="cellIs" dxfId="137" priority="2055" operator="between">
      <formula>5</formula>
      <formula>8</formula>
    </cfRule>
    <cfRule type="cellIs" dxfId="136" priority="2056" operator="between">
      <formula>1</formula>
      <formula>5</formula>
    </cfRule>
  </conditionalFormatting>
  <conditionalFormatting sqref="AB2057:AC2057">
    <cfRule type="cellIs" dxfId="135" priority="2085" operator="lessThan">
      <formula>1</formula>
    </cfRule>
    <cfRule type="cellIs" dxfId="134" priority="2089" operator="between">
      <formula>5</formula>
      <formula>8</formula>
    </cfRule>
    <cfRule type="cellIs" dxfId="133" priority="2090" operator="between">
      <formula>1</formula>
      <formula>5</formula>
    </cfRule>
    <cfRule type="cellIs" dxfId="132" priority="2091" operator="greaterThan">
      <formula>8</formula>
    </cfRule>
    <cfRule type="cellIs" dxfId="131" priority="2109" operator="between">
      <formula>5</formula>
      <formula>8</formula>
    </cfRule>
    <cfRule type="cellIs" dxfId="130" priority="2110" operator="between">
      <formula>8</formula>
      <formula>10</formula>
    </cfRule>
  </conditionalFormatting>
  <conditionalFormatting sqref="AB2060:AC2117">
    <cfRule type="cellIs" dxfId="129" priority="519" operator="lessThan">
      <formula>1</formula>
    </cfRule>
    <cfRule type="cellIs" dxfId="128" priority="521" operator="greaterThan">
      <formula>8</formula>
    </cfRule>
  </conditionalFormatting>
  <conditionalFormatting sqref="AB2079:AC2079">
    <cfRule type="cellIs" dxfId="127" priority="520" operator="between">
      <formula>5</formula>
      <formula>8</formula>
    </cfRule>
    <cfRule type="cellIs" dxfId="126" priority="523" operator="between">
      <formula>1</formula>
      <formula>5</formula>
    </cfRule>
    <cfRule type="cellIs" dxfId="125" priority="524" operator="between">
      <formula>5</formula>
      <formula>8</formula>
    </cfRule>
  </conditionalFormatting>
  <conditionalFormatting sqref="AB2079:AC2111">
    <cfRule type="cellIs" dxfId="124" priority="522" operator="between">
      <formula>8</formula>
      <formula>10</formula>
    </cfRule>
    <cfRule type="cellIs" dxfId="123" priority="525" operator="between">
      <formula>1</formula>
      <formula>5</formula>
    </cfRule>
  </conditionalFormatting>
  <conditionalFormatting sqref="AB2080:AC2111">
    <cfRule type="cellIs" dxfId="122" priority="530" operator="between">
      <formula>5</formula>
      <formula>8</formula>
    </cfRule>
  </conditionalFormatting>
  <conditionalFormatting sqref="AB2112:AC2112">
    <cfRule type="cellIs" dxfId="121" priority="1563" operator="between">
      <formula>5</formula>
      <formula>8</formula>
    </cfRule>
    <cfRule type="cellIs" dxfId="120" priority="1565" operator="between">
      <formula>8</formula>
      <formula>10</formula>
    </cfRule>
    <cfRule type="cellIs" dxfId="119" priority="1566" operator="between">
      <formula>1</formula>
      <formula>5</formula>
    </cfRule>
    <cfRule type="cellIs" dxfId="118" priority="1567" operator="between">
      <formula>5</formula>
      <formula>8</formula>
    </cfRule>
    <cfRule type="cellIs" dxfId="117" priority="1568" operator="between">
      <formula>1</formula>
      <formula>5</formula>
    </cfRule>
  </conditionalFormatting>
  <conditionalFormatting sqref="AB2113:AC2114">
    <cfRule type="cellIs" dxfId="116" priority="895" operator="between">
      <formula>8</formula>
      <formula>10</formula>
    </cfRule>
    <cfRule type="cellIs" dxfId="115" priority="896" operator="between">
      <formula>1</formula>
      <formula>5</formula>
    </cfRule>
    <cfRule type="cellIs" dxfId="114" priority="897" operator="between">
      <formula>5</formula>
      <formula>8</formula>
    </cfRule>
  </conditionalFormatting>
  <conditionalFormatting sqref="AB2264:AC1048576">
    <cfRule type="cellIs" dxfId="113" priority="2831" operator="lessThan">
      <formula>1</formula>
    </cfRule>
    <cfRule type="cellIs" dxfId="112" priority="4492" operator="greaterThan">
      <formula>8</formula>
    </cfRule>
  </conditionalFormatting>
  <conditionalFormatting sqref="AC422">
    <cfRule type="cellIs" dxfId="111" priority="4365" operator="between">
      <formula>5</formula>
      <formula>8</formula>
    </cfRule>
    <cfRule type="cellIs" dxfId="110" priority="4366" operator="between">
      <formula>8</formula>
      <formula>10</formula>
    </cfRule>
  </conditionalFormatting>
  <conditionalFormatting sqref="AC1563">
    <cfRule type="cellIs" dxfId="109" priority="5079" operator="between">
      <formula>8</formula>
      <formula>10</formula>
    </cfRule>
    <cfRule type="cellIs" dxfId="108" priority="5080" operator="between">
      <formula>5</formula>
      <formula>8</formula>
    </cfRule>
  </conditionalFormatting>
  <conditionalFormatting sqref="AC1563:AC1569">
    <cfRule type="cellIs" dxfId="107" priority="4748" operator="between">
      <formula>8</formula>
      <formula>10</formula>
    </cfRule>
    <cfRule type="cellIs" dxfId="106" priority="4749" operator="between">
      <formula>5</formula>
      <formula>8</formula>
    </cfRule>
  </conditionalFormatting>
  <conditionalFormatting sqref="AC1569">
    <cfRule type="cellIs" dxfId="105" priority="5065" operator="between">
      <formula>8</formula>
      <formula>10</formula>
    </cfRule>
    <cfRule type="cellIs" dxfId="104" priority="5066" operator="between">
      <formula>5</formula>
      <formula>8</formula>
    </cfRule>
  </conditionalFormatting>
  <conditionalFormatting sqref="AC1571:AC1572">
    <cfRule type="cellIs" dxfId="103" priority="5403" operator="between">
      <formula>8</formula>
      <formula>10</formula>
    </cfRule>
    <cfRule type="cellIs" dxfId="102" priority="5404" operator="between">
      <formula>5</formula>
      <formula>8</formula>
    </cfRule>
  </conditionalFormatting>
  <conditionalFormatting sqref="AC1574:AC1575">
    <cfRule type="cellIs" dxfId="101" priority="5058" operator="between">
      <formula>8</formula>
      <formula>10</formula>
    </cfRule>
    <cfRule type="cellIs" dxfId="100" priority="5059" operator="between">
      <formula>5</formula>
      <formula>8</formula>
    </cfRule>
  </conditionalFormatting>
  <conditionalFormatting sqref="AC1575">
    <cfRule type="cellIs" dxfId="99" priority="5056" operator="between">
      <formula>8</formula>
      <formula>10</formula>
    </cfRule>
    <cfRule type="cellIs" dxfId="98" priority="5057" operator="between">
      <formula>5</formula>
      <formula>8</formula>
    </cfRule>
  </conditionalFormatting>
  <conditionalFormatting sqref="AC1593">
    <cfRule type="cellIs" dxfId="97" priority="4743" operator="between">
      <formula>8</formula>
      <formula>10</formula>
    </cfRule>
    <cfRule type="cellIs" dxfId="96" priority="4744" operator="between">
      <formula>5</formula>
      <formula>8</formula>
    </cfRule>
    <cfRule type="cellIs" dxfId="95" priority="4745" operator="between">
      <formula>8</formula>
      <formula>10</formula>
    </cfRule>
    <cfRule type="cellIs" dxfId="94" priority="4746" operator="between">
      <formula>5</formula>
      <formula>8</formula>
    </cfRule>
  </conditionalFormatting>
  <conditionalFormatting sqref="AC1604">
    <cfRule type="cellIs" dxfId="93" priority="4738" operator="between">
      <formula>8</formula>
      <formula>10</formula>
    </cfRule>
    <cfRule type="cellIs" dxfId="92" priority="4739" operator="between">
      <formula>5</formula>
      <formula>8</formula>
    </cfRule>
    <cfRule type="cellIs" dxfId="91" priority="4740" operator="between">
      <formula>8</formula>
      <formula>10</formula>
    </cfRule>
    <cfRule type="cellIs" dxfId="90" priority="4741" operator="between">
      <formula>5</formula>
      <formula>8</formula>
    </cfRule>
  </conditionalFormatting>
  <conditionalFormatting sqref="AC1629">
    <cfRule type="cellIs" dxfId="89" priority="5051" operator="between">
      <formula>8</formula>
      <formula>10</formula>
    </cfRule>
    <cfRule type="cellIs" dxfId="88" priority="5052" operator="between">
      <formula>5</formula>
      <formula>8</formula>
    </cfRule>
  </conditionalFormatting>
  <conditionalFormatting sqref="AC1629:AC1630">
    <cfRule type="cellIs" dxfId="87" priority="5044" operator="between">
      <formula>8</formula>
      <formula>10</formula>
    </cfRule>
    <cfRule type="cellIs" dxfId="86" priority="5045" operator="between">
      <formula>5</formula>
      <formula>8</formula>
    </cfRule>
  </conditionalFormatting>
  <conditionalFormatting sqref="AC1630:AC1631">
    <cfRule type="cellIs" dxfId="85" priority="5037" operator="between">
      <formula>8</formula>
      <formula>10</formula>
    </cfRule>
    <cfRule type="cellIs" dxfId="84" priority="5038" operator="between">
      <formula>5</formula>
      <formula>8</formula>
    </cfRule>
  </conditionalFormatting>
  <conditionalFormatting sqref="AC1631:AC1632">
    <cfRule type="cellIs" dxfId="83" priority="5030" operator="between">
      <formula>8</formula>
      <formula>10</formula>
    </cfRule>
    <cfRule type="cellIs" dxfId="82" priority="5031" operator="between">
      <formula>5</formula>
      <formula>8</formula>
    </cfRule>
  </conditionalFormatting>
  <conditionalFormatting sqref="AC1632">
    <cfRule type="cellIs" dxfId="81" priority="5028" operator="between">
      <formula>8</formula>
      <formula>10</formula>
    </cfRule>
    <cfRule type="cellIs" dxfId="80" priority="5029" operator="between">
      <formula>5</formula>
      <formula>8</formula>
    </cfRule>
  </conditionalFormatting>
  <conditionalFormatting sqref="AC1640">
    <cfRule type="cellIs" dxfId="79" priority="5021" operator="between">
      <formula>8</formula>
      <formula>10</formula>
    </cfRule>
    <cfRule type="cellIs" dxfId="78" priority="5022" operator="between">
      <formula>5</formula>
      <formula>8</formula>
    </cfRule>
    <cfRule type="cellIs" dxfId="77" priority="5023" operator="between">
      <formula>8</formula>
      <formula>10</formula>
    </cfRule>
    <cfRule type="cellIs" dxfId="76" priority="5024" operator="between">
      <formula>5</formula>
      <formula>8</formula>
    </cfRule>
  </conditionalFormatting>
  <conditionalFormatting sqref="AC1653:AC1654">
    <cfRule type="cellIs" dxfId="75" priority="5002" operator="between">
      <formula>8</formula>
      <formula>10</formula>
    </cfRule>
    <cfRule type="cellIs" dxfId="74" priority="5003" operator="between">
      <formula>5</formula>
      <formula>8</formula>
    </cfRule>
  </conditionalFormatting>
  <conditionalFormatting sqref="AC1653:AC1655">
    <cfRule type="cellIs" dxfId="73" priority="4995" operator="between">
      <formula>8</formula>
      <formula>10</formula>
    </cfRule>
    <cfRule type="cellIs" dxfId="72" priority="4996" operator="between">
      <formula>5</formula>
      <formula>8</formula>
    </cfRule>
  </conditionalFormatting>
  <conditionalFormatting sqref="AC1654">
    <cfRule type="cellIs" dxfId="71" priority="5007" operator="between">
      <formula>8</formula>
      <formula>10</formula>
    </cfRule>
    <cfRule type="cellIs" dxfId="70" priority="5008" operator="between">
      <formula>5</formula>
      <formula>8</formula>
    </cfRule>
  </conditionalFormatting>
  <conditionalFormatting sqref="AC1655">
    <cfRule type="cellIs" dxfId="69" priority="4403" operator="between">
      <formula>8</formula>
      <formula>10</formula>
    </cfRule>
    <cfRule type="cellIs" dxfId="68" priority="4404" operator="between">
      <formula>5</formula>
      <formula>8</formula>
    </cfRule>
  </conditionalFormatting>
  <conditionalFormatting sqref="AC1655:AC1656">
    <cfRule type="cellIs" dxfId="67" priority="4988" operator="between">
      <formula>8</formula>
      <formula>10</formula>
    </cfRule>
    <cfRule type="cellIs" dxfId="66" priority="4989" operator="between">
      <formula>5</formula>
      <formula>8</formula>
    </cfRule>
  </conditionalFormatting>
  <conditionalFormatting sqref="AC1659">
    <cfRule type="cellIs" dxfId="65" priority="4398" operator="between">
      <formula>1</formula>
      <formula>5</formula>
    </cfRule>
    <cfRule type="cellIs" dxfId="64" priority="4399" operator="between">
      <formula>8</formula>
      <formula>10</formula>
    </cfRule>
    <cfRule type="cellIs" dxfId="63" priority="4400" operator="between">
      <formula>5</formula>
      <formula>8</formula>
    </cfRule>
    <cfRule type="cellIs" dxfId="62" priority="4401" operator="between">
      <formula>8</formula>
      <formula>10</formula>
    </cfRule>
    <cfRule type="cellIs" dxfId="61" priority="4402" operator="between">
      <formula>5</formula>
      <formula>8</formula>
    </cfRule>
  </conditionalFormatting>
  <conditionalFormatting sqref="AC1661">
    <cfRule type="cellIs" dxfId="60" priority="5014" operator="between">
      <formula>8</formula>
      <formula>10</formula>
    </cfRule>
    <cfRule type="cellIs" dxfId="59" priority="5015" operator="between">
      <formula>5</formula>
      <formula>8</formula>
    </cfRule>
    <cfRule type="cellIs" dxfId="58" priority="5016" operator="between">
      <formula>8</formula>
      <formula>10</formula>
    </cfRule>
    <cfRule type="cellIs" dxfId="57" priority="5017" operator="between">
      <formula>5</formula>
      <formula>8</formula>
    </cfRule>
  </conditionalFormatting>
  <conditionalFormatting sqref="AC1689">
    <cfRule type="cellIs" dxfId="56" priority="4968" operator="between">
      <formula>8</formula>
      <formula>10</formula>
    </cfRule>
    <cfRule type="cellIs" dxfId="55" priority="4969" operator="between">
      <formula>5</formula>
      <formula>8</formula>
    </cfRule>
    <cfRule type="cellIs" dxfId="54" priority="4970" operator="between">
      <formula>8</formula>
      <formula>10</formula>
    </cfRule>
    <cfRule type="cellIs" dxfId="53" priority="4971" operator="between">
      <formula>5</formula>
      <formula>8</formula>
    </cfRule>
  </conditionalFormatting>
  <conditionalFormatting sqref="AC1702">
    <cfRule type="cellIs" dxfId="52" priority="4961" operator="between">
      <formula>8</formula>
      <formula>10</formula>
    </cfRule>
    <cfRule type="cellIs" dxfId="51" priority="4962" operator="between">
      <formula>5</formula>
      <formula>8</formula>
    </cfRule>
  </conditionalFormatting>
  <conditionalFormatting sqref="AC1703">
    <cfRule type="cellIs" dxfId="50" priority="4954" operator="between">
      <formula>8</formula>
      <formula>10</formula>
    </cfRule>
    <cfRule type="cellIs" dxfId="49" priority="4955" operator="between">
      <formula>5</formula>
      <formula>8</formula>
    </cfRule>
    <cfRule type="cellIs" dxfId="48" priority="4956" operator="between">
      <formula>8</formula>
      <formula>10</formula>
    </cfRule>
    <cfRule type="cellIs" dxfId="47" priority="4957" operator="between">
      <formula>5</formula>
      <formula>8</formula>
    </cfRule>
  </conditionalFormatting>
  <conditionalFormatting sqref="AC1706">
    <cfRule type="cellIs" dxfId="46" priority="4947" operator="between">
      <formula>8</formula>
      <formula>10</formula>
    </cfRule>
    <cfRule type="cellIs" dxfId="45" priority="4948" operator="between">
      <formula>5</formula>
      <formula>8</formula>
    </cfRule>
  </conditionalFormatting>
  <conditionalFormatting sqref="AC1708">
    <cfRule type="cellIs" dxfId="44" priority="4940" operator="between">
      <formula>8</formula>
      <formula>10</formula>
    </cfRule>
    <cfRule type="cellIs" dxfId="43" priority="4941" operator="between">
      <formula>5</formula>
      <formula>8</formula>
    </cfRule>
  </conditionalFormatting>
  <conditionalFormatting sqref="AC1721">
    <cfRule type="cellIs" dxfId="42" priority="4928" operator="between">
      <formula>8</formula>
      <formula>10</formula>
    </cfRule>
    <cfRule type="cellIs" dxfId="41" priority="4929" operator="between">
      <formula>5</formula>
      <formula>8</formula>
    </cfRule>
  </conditionalFormatting>
  <conditionalFormatting sqref="AC1729">
    <cfRule type="cellIs" dxfId="40" priority="4912" operator="between">
      <formula>8</formula>
      <formula>10</formula>
    </cfRule>
    <cfRule type="cellIs" dxfId="39" priority="4913" operator="between">
      <formula>5</formula>
      <formula>8</formula>
    </cfRule>
  </conditionalFormatting>
  <conditionalFormatting sqref="AC1820:AC1821">
    <cfRule type="cellIs" dxfId="38" priority="4692" operator="between">
      <formula>5</formula>
      <formula>8</formula>
    </cfRule>
  </conditionalFormatting>
  <conditionalFormatting sqref="AC1831">
    <cfRule type="cellIs" dxfId="37" priority="4095" operator="between">
      <formula>1</formula>
      <formula>5</formula>
    </cfRule>
    <cfRule type="cellIs" dxfId="36" priority="4096" operator="between">
      <formula>8</formula>
      <formula>10</formula>
    </cfRule>
    <cfRule type="cellIs" dxfId="35" priority="4097" operator="between">
      <formula>5</formula>
      <formula>8</formula>
    </cfRule>
  </conditionalFormatting>
  <conditionalFormatting sqref="AC1833:AC1872 AB1648:AB1706 AB1708:AB1735 AC1825:AC1831 AB1871:AB1872 AC1874 AC1876 AC1878 AB1886:AC1886">
    <cfRule type="cellIs" dxfId="34" priority="4622" operator="between">
      <formula>1</formula>
      <formula>5</formula>
    </cfRule>
  </conditionalFormatting>
  <conditionalFormatting sqref="AC1838:AC1841 AC1863:AC1871 AC1825 AC1843:AC1845 AC1847:AC1849 AC1851:AC1854 AC1856 AC1858 AC1861">
    <cfRule type="cellIs" dxfId="33" priority="2701" operator="between">
      <formula>5</formula>
      <formula>8</formula>
    </cfRule>
  </conditionalFormatting>
  <conditionalFormatting sqref="AC1841 AC1864:AC1867">
    <cfRule type="cellIs" dxfId="32" priority="2700" operator="between">
      <formula>8</formula>
      <formula>10</formula>
    </cfRule>
  </conditionalFormatting>
  <conditionalFormatting sqref="AC1874 AC1876 AC1878">
    <cfRule type="cellIs" dxfId="31" priority="4569" operator="equal">
      <formula>"SÍ"</formula>
    </cfRule>
  </conditionalFormatting>
  <conditionalFormatting sqref="AC1910 S1912 S1910:U1910 W1736:AA1736">
    <cfRule type="cellIs" dxfId="30" priority="5369" operator="between">
      <formula>1</formula>
      <formula>5</formula>
    </cfRule>
  </conditionalFormatting>
  <conditionalFormatting sqref="AC1930">
    <cfRule type="cellIs" dxfId="29" priority="4120" operator="between">
      <formula>1</formula>
      <formula>5</formula>
    </cfRule>
    <cfRule type="cellIs" dxfId="28" priority="4121" operator="between">
      <formula>5</formula>
      <formula>8</formula>
    </cfRule>
    <cfRule type="cellIs" dxfId="27" priority="4122" operator="between">
      <formula>8</formula>
      <formula>10</formula>
    </cfRule>
  </conditionalFormatting>
  <conditionalFormatting sqref="AC2057">
    <cfRule type="cellIs" dxfId="26" priority="2084" operator="between">
      <formula>5</formula>
      <formula>8</formula>
    </cfRule>
    <cfRule type="cellIs" dxfId="25" priority="2107" operator="between">
      <formula>1</formula>
      <formula>5</formula>
    </cfRule>
  </conditionalFormatting>
  <conditionalFormatting sqref="AC2059">
    <cfRule type="cellIs" dxfId="24" priority="444" operator="lessThan">
      <formula>1</formula>
    </cfRule>
    <cfRule type="cellIs" dxfId="23" priority="445" operator="between">
      <formula>1</formula>
      <formula>5</formula>
    </cfRule>
    <cfRule type="cellIs" dxfId="22" priority="446" operator="between">
      <formula>5</formula>
      <formula>8</formula>
    </cfRule>
    <cfRule type="cellIs" dxfId="21" priority="447" operator="between">
      <formula>8</formula>
      <formula>10</formula>
    </cfRule>
    <cfRule type="cellIs" dxfId="20" priority="448" operator="greaterThan">
      <formula>8</formula>
    </cfRule>
  </conditionalFormatting>
  <conditionalFormatting sqref="AC2111">
    <cfRule type="cellIs" dxfId="19" priority="428" operator="between">
      <formula>8</formula>
      <formula>10</formula>
    </cfRule>
  </conditionalFormatting>
  <conditionalFormatting sqref="AD1754">
    <cfRule type="cellIs" dxfId="18" priority="5453" operator="equal">
      <formula>"NO APLICA"</formula>
    </cfRule>
  </conditionalFormatting>
  <conditionalFormatting sqref="AF2:AF2119">
    <cfRule type="cellIs" dxfId="17" priority="1" operator="between">
      <formula>26</formula>
      <formula>50</formula>
    </cfRule>
    <cfRule type="cellIs" dxfId="16" priority="2" operator="between">
      <formula>0</formula>
      <formula>25</formula>
    </cfRule>
    <cfRule type="cellIs" dxfId="15" priority="3" operator="greaterThan">
      <formula>50</formula>
    </cfRule>
  </conditionalFormatting>
  <conditionalFormatting sqref="AK1754">
    <cfRule type="cellIs" dxfId="11" priority="4677" operator="equal">
      <formula>"PENDIENTE"</formula>
    </cfRule>
    <cfRule type="cellIs" dxfId="10" priority="4678" operator="equal">
      <formula>"SOLICITADO"</formula>
    </cfRule>
    <cfRule type="cellIs" dxfId="9" priority="4679" operator="equal">
      <formula>"ARCHIVADO"</formula>
    </cfRule>
  </conditionalFormatting>
  <conditionalFormatting sqref="AL1754 AC1874 AC1876 AC1878">
    <cfRule type="cellIs" dxfId="8" priority="4578" operator="equal">
      <formula>"NO"</formula>
    </cfRule>
  </conditionalFormatting>
  <conditionalFormatting sqref="AN1754 E1:F1 E1708:E1731 E1736">
    <cfRule type="cellIs" dxfId="7" priority="5703" operator="equal">
      <formula>"N/A"</formula>
    </cfRule>
  </conditionalFormatting>
  <conditionalFormatting sqref="AN1754">
    <cfRule type="cellIs" dxfId="6" priority="4684" operator="equal">
      <formula>"N/A"</formula>
    </cfRule>
    <cfRule type="cellIs" dxfId="5" priority="4686" operator="equal">
      <formula>"Firma Dir. RRHH"</formula>
    </cfRule>
    <cfRule type="cellIs" dxfId="4" priority="4687" operator="equal">
      <formula>"Firma DPTO"</formula>
    </cfRule>
    <cfRule type="cellIs" dxfId="3" priority="4688" operator="equal">
      <formula>"OK"</formula>
    </cfRule>
  </conditionalFormatting>
  <conditionalFormatting sqref="AR1754">
    <cfRule type="cellIs" dxfId="2" priority="4693" operator="equal">
      <formula>"POR DETERMINAR"</formula>
    </cfRule>
  </conditionalFormatting>
  <conditionalFormatting sqref="AS1754:AT1754">
    <cfRule type="cellIs" dxfId="1" priority="4680" operator="equal">
      <formula>"ESPAÑA"</formula>
    </cfRule>
  </conditionalFormatting>
  <dataValidations count="4">
    <dataValidation type="list" allowBlank="1" showInputMessage="1" showErrorMessage="1" sqref="L1842:L1852 L1854:L1983 L1:L1840 L1985:L1048373" xr:uid="{0A26A889-D1FD-476F-A497-50445A1D175F}">
      <formula1>"HOMBRE, MUJER"</formula1>
    </dataValidation>
    <dataValidation type="list" allowBlank="1" showInputMessage="1" showErrorMessage="1" sqref="L1808" xr:uid="{2EB8BFF1-4F9E-4EAF-A809-9E7CB7B91B90}">
      <formula1>"Firma Dir. RRHH, Firma DPTO, OK, N/A, PENDIENTE"</formula1>
    </dataValidation>
    <dataValidation allowBlank="1" showInputMessage="1" showErrorMessage="1" sqref="S1 Q1814:Q1843 Q1985:Q2011 Q2099:Q2108 Q2046:Q2072 Q1845:Q1983 T1985:T2073 Q2074:Q2097 T1721:T1983 T2075:T2110 Q2013:Q2044 Q1327:Q1812 Q1:Q1325 T1:T1325 T1327:T1719 T2112:T1048373 Q2110:Q1048373" xr:uid="{32E5AF1E-149B-4D36-924B-1E4E9E01BC77}"/>
    <dataValidation type="list" allowBlank="1" showInputMessage="1" showErrorMessage="1" sqref="R1:R1325 U1327:U1048576 E2:E2119 E2120:F1048374 U1:V1325 V1327:V1983 V1985:V1048382 Q1770 Q1813 Q1899 Q1883 Q1875 Q1968:Q1970 Q1919 Q2073 Q1963 T1991 Q1844 Q2103 Q2109 S2:S1325 R1327:S1048382 Q1853 Q1762:Q1763 Q1639 Q1636:Q1637 Q1828:Q1829 Q1594 Q1914:Q1915 Q1826 Q1838:Q1840 Q1809:Q1810 Q1739:Q1750 Q1551 Q1818:Q1822 W1:W1048576" xr:uid="{7A8782E9-0A2F-48F4-BFFB-D22DA360B5B3}">
      <formula1>#REF!</formula1>
    </dataValidation>
  </dataValidations>
  <pageMargins left="0.25" right="0.25" top="0.75" bottom="0.75" header="0.3" footer="0.3"/>
  <pageSetup paperSize="9" scale="10"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c89309-6e0b-4d10-89a1-7524ed08bd53" xsi:nil="true"/>
    <Cliente xmlns="5d3ce079-0ec3-475d-a54b-5e48c4ce9c8d" xsi:nil="true"/>
    <lcf76f155ced4ddcb4097134ff3c332f xmlns="5d3ce079-0ec3-475d-a54b-5e48c4ce9c8d">
      <Terms xmlns="http://schemas.microsoft.com/office/infopath/2007/PartnerControls"/>
    </lcf76f155ced4ddcb4097134ff3c332f>
    <SharedWithUsers xmlns="ce718eb0-4988-4720-a24c-0b100ed33099">
      <UserInfo>
        <DisplayName>David Godoy Caballero</DisplayName>
        <AccountId>1261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6EF19FF654E4B9D82AE7BD1CC3FA5" ma:contentTypeVersion="16" ma:contentTypeDescription="Create a new document." ma:contentTypeScope="" ma:versionID="a4f9d14da75b1991a9e2ef5a22a39a05">
  <xsd:schema xmlns:xsd="http://www.w3.org/2001/XMLSchema" xmlns:xs="http://www.w3.org/2001/XMLSchema" xmlns:p="http://schemas.microsoft.com/office/2006/metadata/properties" xmlns:ns2="5d3ce079-0ec3-475d-a54b-5e48c4ce9c8d" xmlns:ns3="cac89309-6e0b-4d10-89a1-7524ed08bd53" xmlns:ns4="ce718eb0-4988-4720-a24c-0b100ed33099" targetNamespace="http://schemas.microsoft.com/office/2006/metadata/properties" ma:root="true" ma:fieldsID="e0ed1d4b570f9b988e024bafb0918814" ns2:_="" ns3:_="" ns4:_="">
    <xsd:import namespace="5d3ce079-0ec3-475d-a54b-5e48c4ce9c8d"/>
    <xsd:import namespace="cac89309-6e0b-4d10-89a1-7524ed08bd53"/>
    <xsd:import namespace="ce718eb0-4988-4720-a24c-0b100ed33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lient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e079-0ec3-475d-a54b-5e48c4ce9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liente" ma:index="10" nillable="true" ma:displayName="Cliente" ma:format="Dropdown" ma:internalName="Cliente">
      <xsd:simpleType>
        <xsd:restriction base="dms:Choice">
          <xsd:enumeration value="TR"/>
          <xsd:enumeration value="Cliente2"/>
          <xsd:enumeration value="Choice 3"/>
        </xsd:restriction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562f1b7-4b25-4637-b5b0-00ff1f400b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89309-6e0b-4d10-89a1-7524ed08bd5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80dc8c5-92d7-4ce7-9761-e3e68813116e}" ma:internalName="TaxCatchAll" ma:showField="CatchAllData" ma:web="cac89309-6e0b-4d10-89a1-7524ed08bd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18eb0-4988-4720-a24c-0b100ed33099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CE93E2-8515-49D6-997F-579AEBFB54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DBA5F9-6201-47D9-AEAE-85CD2F9046E5}">
  <ds:schemaRefs>
    <ds:schemaRef ds:uri="http://schemas.microsoft.com/office/2006/metadata/properties"/>
    <ds:schemaRef ds:uri="http://schemas.microsoft.com/office/infopath/2007/PartnerControls"/>
    <ds:schemaRef ds:uri="cac89309-6e0b-4d10-89a1-7524ed08bd53"/>
    <ds:schemaRef ds:uri="5d3ce079-0ec3-475d-a54b-5e48c4ce9c8d"/>
    <ds:schemaRef ds:uri="ce718eb0-4988-4720-a24c-0b100ed33099"/>
  </ds:schemaRefs>
</ds:datastoreItem>
</file>

<file path=customXml/itemProps3.xml><?xml version="1.0" encoding="utf-8"?>
<ds:datastoreItem xmlns:ds="http://schemas.openxmlformats.org/officeDocument/2006/customXml" ds:itemID="{88F53BD1-C090-48C0-BB21-B3AF54840B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e079-0ec3-475d-a54b-5e48c4ce9c8d"/>
    <ds:schemaRef ds:uri="cac89309-6e0b-4d10-89a1-7524ed08bd53"/>
    <ds:schemaRef ds:uri="ce718eb0-4988-4720-a24c-0b100ed330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cf2f2b0-237a-4418-9927-9eefd42ac953}" enabled="1" method="Standard" siteId="{47312dc6-0a91-4272-a8a5-031fca1301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Nueva Tabla Madre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 Jimenez Ayuso</dc:creator>
  <cp:keywords/>
  <dc:description/>
  <cp:lastModifiedBy>Rubén Jiménez</cp:lastModifiedBy>
  <cp:revision/>
  <dcterms:created xsi:type="dcterms:W3CDTF">2023-07-05T06:06:38Z</dcterms:created>
  <dcterms:modified xsi:type="dcterms:W3CDTF">2026-10-04T21:03:08Z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0x010100D246EF19FF654E4B9D82AE7BD1CC3FA5</vt:lpwstr>
  </property>
  <property fmtid="{D5CDD505-2E9C-101B-9397-08002B2CF9AE}" pid="3" name="MediaServiceImageTags">
    <vt:lpwstr/>
  </property>
  <property fmtid="{D5CDD505-2E9C-101B-9397-08002B2CF9AE}" pid="4" name="MSIP_Label_dcf2f2b0-237a-4418-9927-9eefd42ac953_Enabled">
    <vt:lpwstr>true</vt:lpwstr>
  </property>
  <property fmtid="{D5CDD505-2E9C-101B-9397-08002B2CF9AE}" pid="5" name="MSIP_Label_dcf2f2b0-237a-4418-9927-9eefd42ac953_SetDate">
    <vt:lpwstr>2023-10-18T10:36:26Z</vt:lpwstr>
  </property>
  <property fmtid="{D5CDD505-2E9C-101B-9397-08002B2CF9AE}" pid="6" name="MSIP_Label_dcf2f2b0-237a-4418-9927-9eefd42ac953_Method">
    <vt:lpwstr>Standard</vt:lpwstr>
  </property>
  <property fmtid="{D5CDD505-2E9C-101B-9397-08002B2CF9AE}" pid="7" name="MSIP_Label_dcf2f2b0-237a-4418-9927-9eefd42ac953_Name">
    <vt:lpwstr>dcf2f2b0-237a-4418-9927-9eefd42ac953</vt:lpwstr>
  </property>
  <property fmtid="{D5CDD505-2E9C-101B-9397-08002B2CF9AE}" pid="8" name="MSIP_Label_dcf2f2b0-237a-4418-9927-9eefd42ac953_SiteId">
    <vt:lpwstr>47312dc6-0a91-4272-a8a5-031fca130189</vt:lpwstr>
  </property>
  <property fmtid="{D5CDD505-2E9C-101B-9397-08002B2CF9AE}" pid="9" name="MSIP_Label_dcf2f2b0-237a-4418-9927-9eefd42ac953_ActionId">
    <vt:lpwstr>7c7ccb4b-3a80-4f97-bdca-194ac69a4333</vt:lpwstr>
  </property>
  <property fmtid="{D5CDD505-2E9C-101B-9397-08002B2CF9AE}" pid="10" name="MSIP_Label_dcf2f2b0-237a-4418-9927-9eefd42ac953_ContentBits">
    <vt:lpwstr>0</vt:lpwstr>
  </property>
</Properties>
</file>